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wrapper Format" sheetId="1" r:id="rId4"/>
    <sheet state="visible" name="Data" sheetId="2" r:id="rId5"/>
    <sheet state="visible" name="Formula" sheetId="3" r:id="rId6"/>
    <sheet state="visible" name="Avg" sheetId="4" r:id="rId7"/>
    <sheet state="visible" name="Pollster &amp; Method Ratings" sheetId="5" r:id="rId8"/>
  </sheets>
  <definedNames>
    <definedName hidden="1" localSheetId="1" name="_xlnm._FilterDatabase">Data!$A$1:$N$2277</definedName>
  </definedNames>
  <calcPr/>
  <extLst>
    <ext uri="GoogleSheetsCustomDataVersion2">
      <go:sheetsCustomData xmlns:go="http://customooxmlschemas.google.com/" r:id="rId9" roundtripDataChecksum="x9ZmB0CU1Q1lS7FbGsCUOrMoojuWKjMkYh6IQSIBJhw="/>
    </ext>
  </extLst>
</workbook>
</file>

<file path=xl/sharedStrings.xml><?xml version="1.0" encoding="utf-8"?>
<sst xmlns="http://schemas.openxmlformats.org/spreadsheetml/2006/main" count="25646" uniqueCount="3449">
  <si>
    <t>Datum</t>
  </si>
  <si>
    <t>year_month</t>
  </si>
  <si>
    <t>pollster</t>
  </si>
  <si>
    <t>Vladimir Zelenskiy (individual, scope-normalised)</t>
  </si>
  <si>
    <t>Valerii Zaluzhniy (individual, scope-normalised)</t>
  </si>
  <si>
    <t>Kyrylo Budanov (individual, scope-normalised)</t>
  </si>
  <si>
    <t>Pyotr Poroshenko (individual, scope-normalised)</t>
  </si>
  <si>
    <t>Vladimir Zelenskiy (full weighted 1mo avg)</t>
  </si>
  <si>
    <t>Valerii Zaluzhniy (full weighted 1mo avg)</t>
  </si>
  <si>
    <t>Kyrylo Budanov (full weighted 1mo avg)</t>
  </si>
  <si>
    <t>Pyotr Poroshenko (full weighted 1mo avg)</t>
  </si>
  <si>
    <t>Zelenskiy (smoothed avg)</t>
  </si>
  <si>
    <t>Zaluzhniy (smoothed avg)</t>
  </si>
  <si>
    <t>Budanov (smoothed avg)</t>
  </si>
  <si>
    <t>Poroshenko (smoothed avg)</t>
  </si>
  <si>
    <t>2026-03-26</t>
  </si>
  <si>
    <t>2026-03-01</t>
  </si>
  <si>
    <t>SOCIS</t>
  </si>
  <si>
    <t>2026-02-04</t>
  </si>
  <si>
    <t>2026-01-01</t>
  </si>
  <si>
    <t>Active Group</t>
  </si>
  <si>
    <t>2026-01-12</t>
  </si>
  <si>
    <t>2026-01-02</t>
  </si>
  <si>
    <t>2025-12-01</t>
  </si>
  <si>
    <t>Ipsos</t>
  </si>
  <si>
    <t>2025-12-29</t>
  </si>
  <si>
    <t>2026-01-14</t>
  </si>
  <si>
    <t>Info Sapiens</t>
  </si>
  <si>
    <t>2025-12-25</t>
  </si>
  <si>
    <t>2025-12-13</t>
  </si>
  <si>
    <t>NewImage commissioned by Business capital</t>
  </si>
  <si>
    <t>2025-12-09</t>
  </si>
  <si>
    <t>2025-11-01</t>
  </si>
  <si>
    <t>2025-10-01</t>
  </si>
  <si>
    <t>2025-11-21</t>
  </si>
  <si>
    <t>2025-10-13</t>
  </si>
  <si>
    <t>Rate 1 research commissioned by American Political Services, LLC</t>
  </si>
  <si>
    <t>2025-09-01</t>
  </si>
  <si>
    <t>2025-08-31</t>
  </si>
  <si>
    <t>2025-08-01</t>
  </si>
  <si>
    <t>Rating</t>
  </si>
  <si>
    <t>2025-08-25</t>
  </si>
  <si>
    <t>2025-07-01</t>
  </si>
  <si>
    <t>Rating commissioned by IRI</t>
  </si>
  <si>
    <t>2025-06-26</t>
  </si>
  <si>
    <t>2025-06-01</t>
  </si>
  <si>
    <t>2025-05-01</t>
  </si>
  <si>
    <t>2025-04-01</t>
  </si>
  <si>
    <t>2025-04-09</t>
  </si>
  <si>
    <t>2025-03-01</t>
  </si>
  <si>
    <t>ISPP NAES of Ukraine, APPU</t>
  </si>
  <si>
    <t>2025-03-28</t>
  </si>
  <si>
    <t>2025-03-14</t>
  </si>
  <si>
    <t>National Sample, NMS Market Research</t>
  </si>
  <si>
    <t>2025-03-13</t>
  </si>
  <si>
    <t>2025-02-20</t>
  </si>
  <si>
    <t>2025-02-01</t>
  </si>
  <si>
    <t>Gradus Research</t>
  </si>
  <si>
    <t>2025-02-26</t>
  </si>
  <si>
    <t>2025-01-02</t>
  </si>
  <si>
    <t>2024-12-01</t>
  </si>
  <si>
    <t>LLI</t>
  </si>
  <si>
    <t>2025-01-21</t>
  </si>
  <si>
    <t>2024-11-26</t>
  </si>
  <si>
    <t>2024-11-01</t>
  </si>
  <si>
    <t>Social Monitoring commissioned by American Political Services, LLC</t>
  </si>
  <si>
    <t>2024-10-26</t>
  </si>
  <si>
    <t>2024-10-01</t>
  </si>
  <si>
    <t>2024-08-19</t>
  </si>
  <si>
    <t>2024-08-01</t>
  </si>
  <si>
    <t>2024-06-17</t>
  </si>
  <si>
    <t>2024-05-01</t>
  </si>
  <si>
    <t>KIIS</t>
  </si>
  <si>
    <t>2024-03-29</t>
  </si>
  <si>
    <t>2024-03-01</t>
  </si>
  <si>
    <t>2024-06-20</t>
  </si>
  <si>
    <t>2024-03-05</t>
  </si>
  <si>
    <t>2024-02-01</t>
  </si>
  <si>
    <t>2024-02-14</t>
  </si>
  <si>
    <t>2024-01-22</t>
  </si>
  <si>
    <t>2023-12-01</t>
  </si>
  <si>
    <t>2023-12-14</t>
  </si>
  <si>
    <t>2023-11-01</t>
  </si>
  <si>
    <t>2023-11-03</t>
  </si>
  <si>
    <t>2023-10-01</t>
  </si>
  <si>
    <t>Telegram channel "PolitiKum"</t>
  </si>
  <si>
    <t>2023-09-13</t>
  </si>
  <si>
    <t>2023-08-01</t>
  </si>
  <si>
    <t>2023-08-10</t>
  </si>
  <si>
    <t>2023-07-01</t>
  </si>
  <si>
    <t>2023-06-01</t>
  </si>
  <si>
    <t>Operational sociology</t>
  </si>
  <si>
    <t>2023-06-19</t>
  </si>
  <si>
    <t>2023-05-01</t>
  </si>
  <si>
    <t>2023-05-08</t>
  </si>
  <si>
    <t>2023-04-01</t>
  </si>
  <si>
    <t>2023-03-01</t>
  </si>
  <si>
    <t>Deminitiatives, Razumkov Centre</t>
  </si>
  <si>
    <t>2023-04-07</t>
  </si>
  <si>
    <t>2023-02-01</t>
  </si>
  <si>
    <t>2023-03-04</t>
  </si>
  <si>
    <t>2023-01-29</t>
  </si>
  <si>
    <t>2023-01-01</t>
  </si>
  <si>
    <t>2023-02-23</t>
  </si>
  <si>
    <t>2023-01-12</t>
  </si>
  <si>
    <t>2022-12-01</t>
  </si>
  <si>
    <t>Razumkov Centre</t>
  </si>
  <si>
    <t>2023-01-04</t>
  </si>
  <si>
    <t>2022-12-23</t>
  </si>
  <si>
    <t>2022-12-04</t>
  </si>
  <si>
    <t>2022-11-01</t>
  </si>
  <si>
    <t>2022-11-02</t>
  </si>
  <si>
    <t>2022-10-01</t>
  </si>
  <si>
    <t>2022-11-06</t>
  </si>
  <si>
    <t>2022-11-11</t>
  </si>
  <si>
    <t>CSR "Pulse"</t>
  </si>
  <si>
    <t>2022-10-04</t>
  </si>
  <si>
    <t>2022-09-01</t>
  </si>
  <si>
    <t>2022-10-13</t>
  </si>
  <si>
    <t>2022-09-02</t>
  </si>
  <si>
    <t>2022-08-01</t>
  </si>
  <si>
    <t>2022-08-23</t>
  </si>
  <si>
    <t>2022-07-01</t>
  </si>
  <si>
    <t>2022-06-29</t>
  </si>
  <si>
    <t>2022-06-01</t>
  </si>
  <si>
    <t>2022-08-04</t>
  </si>
  <si>
    <t>2022-06-30</t>
  </si>
  <si>
    <t>2022-05-01</t>
  </si>
  <si>
    <t>2022-05-30</t>
  </si>
  <si>
    <t>2022-04-30</t>
  </si>
  <si>
    <t>2022-04-01</t>
  </si>
  <si>
    <t>2022-04-25</t>
  </si>
  <si>
    <t>2022-03-31</t>
  </si>
  <si>
    <t>2022-03-01</t>
  </si>
  <si>
    <t>2022-02-23</t>
  </si>
  <si>
    <t>2022-02-01</t>
  </si>
  <si>
    <t>2022-02-21</t>
  </si>
  <si>
    <t>UIF, NewImage</t>
  </si>
  <si>
    <t>Social Perspectives, Institute of Sociology of NASU</t>
  </si>
  <si>
    <t>2022-02-16</t>
  </si>
  <si>
    <t>2022-02-09</t>
  </si>
  <si>
    <t>2022-01-01</t>
  </si>
  <si>
    <t>2022-01-24</t>
  </si>
  <si>
    <t>2021-12-29</t>
  </si>
  <si>
    <t>2021-12-01</t>
  </si>
  <si>
    <t>Razumkov Centre, Deminitiatives</t>
  </si>
  <si>
    <t>2021-12-26</t>
  </si>
  <si>
    <t>2021-12-22</t>
  </si>
  <si>
    <t>2021-12-20</t>
  </si>
  <si>
    <t>2021-12-17</t>
  </si>
  <si>
    <t>Ukrainian sociology group</t>
  </si>
  <si>
    <t>2021-12-15</t>
  </si>
  <si>
    <t>2021-12-13</t>
  </si>
  <si>
    <t>2021-12-10</t>
  </si>
  <si>
    <t>2021-12-21</t>
  </si>
  <si>
    <t>Social Monitoring</t>
  </si>
  <si>
    <t>NewImage commissioned by UIF</t>
  </si>
  <si>
    <t>2021-12-09</t>
  </si>
  <si>
    <t>RDI</t>
  </si>
  <si>
    <t>2021-11-24</t>
  </si>
  <si>
    <t>2021-11-01</t>
  </si>
  <si>
    <t>2021-11-16</t>
  </si>
  <si>
    <t>2021-11-12</t>
  </si>
  <si>
    <t>KISCS commissioned by West Market Industrial LLC</t>
  </si>
  <si>
    <t>Razumkov Centre commissioned by Obozrevatel</t>
  </si>
  <si>
    <t>2021-11-18</t>
  </si>
  <si>
    <t>2021-11-11</t>
  </si>
  <si>
    <t>2021-11-02</t>
  </si>
  <si>
    <t>2021-11-10</t>
  </si>
  <si>
    <t>2021-11-09</t>
  </si>
  <si>
    <t>2021-11-05</t>
  </si>
  <si>
    <t>2021-10-01</t>
  </si>
  <si>
    <t>NewImage, UIF</t>
  </si>
  <si>
    <t>2021-10-26</t>
  </si>
  <si>
    <t>2021-10-19</t>
  </si>
  <si>
    <t>2021-10-13</t>
  </si>
  <si>
    <t>2021-10-04</t>
  </si>
  <si>
    <t>2021-09-01</t>
  </si>
  <si>
    <t>2021-09-23</t>
  </si>
  <si>
    <t>2021-09-09</t>
  </si>
  <si>
    <t>2021-09-07</t>
  </si>
  <si>
    <t>2021-08-21</t>
  </si>
  <si>
    <t>2021-08-01</t>
  </si>
  <si>
    <t>2021-08-20</t>
  </si>
  <si>
    <t>2021-08-10</t>
  </si>
  <si>
    <t>2021-08-09</t>
  </si>
  <si>
    <t>2021-07-01</t>
  </si>
  <si>
    <t>2021-08-19</t>
  </si>
  <si>
    <t>2021-08-11</t>
  </si>
  <si>
    <t>2021-07-27</t>
  </si>
  <si>
    <t>2021-07-20</t>
  </si>
  <si>
    <t>2021-07-17</t>
  </si>
  <si>
    <t>2021-07-06</t>
  </si>
  <si>
    <t>2021-07-09</t>
  </si>
  <si>
    <t>2021-06-01</t>
  </si>
  <si>
    <t>2021-07-07</t>
  </si>
  <si>
    <t>2021-06-25</t>
  </si>
  <si>
    <t>2021-06-24</t>
  </si>
  <si>
    <t>2021-06-17</t>
  </si>
  <si>
    <t>2021-06-11</t>
  </si>
  <si>
    <t>2021-06-09</t>
  </si>
  <si>
    <t>2021-05-01</t>
  </si>
  <si>
    <t>2021-06-15</t>
  </si>
  <si>
    <t>2021-06-08</t>
  </si>
  <si>
    <t>2021-05-12</t>
  </si>
  <si>
    <t>2021-06-02</t>
  </si>
  <si>
    <t>2021-05-20</t>
  </si>
  <si>
    <t>2021-06-14</t>
  </si>
  <si>
    <t>2021-05-05</t>
  </si>
  <si>
    <t>2021-04-01</t>
  </si>
  <si>
    <t>2021-05-06</t>
  </si>
  <si>
    <t>2021-04-25</t>
  </si>
  <si>
    <t>2021-04-26</t>
  </si>
  <si>
    <t>2021-04-21</t>
  </si>
  <si>
    <t>2021-04-09</t>
  </si>
  <si>
    <t>2021-03-26</t>
  </si>
  <si>
    <t>2021-03-01</t>
  </si>
  <si>
    <t>2021-03-27</t>
  </si>
  <si>
    <t>2021-03-25</t>
  </si>
  <si>
    <t>2021-03-22</t>
  </si>
  <si>
    <t>RTS</t>
  </si>
  <si>
    <t>2021-03-16</t>
  </si>
  <si>
    <t>KISMR commissioned by Trade Union LLC</t>
  </si>
  <si>
    <t>2021-03-05</t>
  </si>
  <si>
    <t>2021-02-01</t>
  </si>
  <si>
    <t>2021-03-04</t>
  </si>
  <si>
    <t>2021-02-24</t>
  </si>
  <si>
    <t>2021-02-25</t>
  </si>
  <si>
    <t>2021-02-19</t>
  </si>
  <si>
    <t>SOCIS, KIIS</t>
  </si>
  <si>
    <t>2021-02-15</t>
  </si>
  <si>
    <t>2021-02-04</t>
  </si>
  <si>
    <t>2021-02-06</t>
  </si>
  <si>
    <t>Sociopolis</t>
  </si>
  <si>
    <t>2021-02-18</t>
  </si>
  <si>
    <t>2021-01-01</t>
  </si>
  <si>
    <t>2021-02-09</t>
  </si>
  <si>
    <t>2021-02-02</t>
  </si>
  <si>
    <t>2021-01-26</t>
  </si>
  <si>
    <t>2021-01-12</t>
  </si>
  <si>
    <t>Ukraine Now</t>
  </si>
  <si>
    <t>2021-01-05</t>
  </si>
  <si>
    <t>2020-12-30</t>
  </si>
  <si>
    <t>2020-12-01</t>
  </si>
  <si>
    <t>2020-12-29</t>
  </si>
  <si>
    <t>2020-12-23</t>
  </si>
  <si>
    <t>2020-12-16</t>
  </si>
  <si>
    <t>2020-11-27</t>
  </si>
  <si>
    <t>2020-11-01</t>
  </si>
  <si>
    <t>R&amp;B Group</t>
  </si>
  <si>
    <t>2020-11-10</t>
  </si>
  <si>
    <t>2020-11-12</t>
  </si>
  <si>
    <t>2020-10-01</t>
  </si>
  <si>
    <t>2020-09-30</t>
  </si>
  <si>
    <t>2020-09-01</t>
  </si>
  <si>
    <t>2020-09-21</t>
  </si>
  <si>
    <t>2020-09-15</t>
  </si>
  <si>
    <t>2020-09-16</t>
  </si>
  <si>
    <t>2020-07-28</t>
  </si>
  <si>
    <t>2020-07-01</t>
  </si>
  <si>
    <t>2020-08-13</t>
  </si>
  <si>
    <t>SOCIS, Razumkov Centre</t>
  </si>
  <si>
    <t>2020-07-27</t>
  </si>
  <si>
    <t>2020-07-15</t>
  </si>
  <si>
    <t>2020-07-07</t>
  </si>
  <si>
    <t>2020-06-01</t>
  </si>
  <si>
    <t>2020-07-02</t>
  </si>
  <si>
    <t>2020-06-28</t>
  </si>
  <si>
    <t>2020-06-11</t>
  </si>
  <si>
    <t>2020-05-01</t>
  </si>
  <si>
    <t>2020-06-06</t>
  </si>
  <si>
    <t>2020-05-18</t>
  </si>
  <si>
    <t>2020-06-04</t>
  </si>
  <si>
    <t>2020-04-01</t>
  </si>
  <si>
    <t>2020-05-04</t>
  </si>
  <si>
    <t>2020-04-02</t>
  </si>
  <si>
    <t>2020-03-01</t>
  </si>
  <si>
    <t>2020-03-10</t>
  </si>
  <si>
    <t>2020-02-01</t>
  </si>
  <si>
    <t>2020-02-24</t>
  </si>
  <si>
    <t>2020-02-14</t>
  </si>
  <si>
    <t>2019-04-22</t>
  </si>
  <si>
    <t>2019-04-01</t>
  </si>
  <si>
    <t>OPORA</t>
  </si>
  <si>
    <t>2019-04-21</t>
  </si>
  <si>
    <t>NewImage, 112 Ukraine commissioned by GMA</t>
  </si>
  <si>
    <t>TNS commissioned by 1+1</t>
  </si>
  <si>
    <t>Deminitiatives, KIIS, Razumkov Centre</t>
  </si>
  <si>
    <t>2019-04-18</t>
  </si>
  <si>
    <t>2019-04-16</t>
  </si>
  <si>
    <t>2019-04-11</t>
  </si>
  <si>
    <t>2019-04-03</t>
  </si>
  <si>
    <t>2019-03-01</t>
  </si>
  <si>
    <t>SORA, Social Monitoring, UISR</t>
  </si>
  <si>
    <t>row_id</t>
  </si>
  <si>
    <t>poll_id</t>
  </si>
  <si>
    <t>poll_url</t>
  </si>
  <si>
    <t>publication_date</t>
  </si>
  <si>
    <t>poll_region</t>
  </si>
  <si>
    <t>time_frame_start</t>
  </si>
  <si>
    <t>time_frame_end</t>
  </si>
  <si>
    <t>number_of_respondents</t>
  </si>
  <si>
    <t>sampling_error_pct</t>
  </si>
  <si>
    <t>polling_method</t>
  </si>
  <si>
    <t>rating_scope</t>
  </si>
  <si>
    <t>candidate</t>
  </si>
  <si>
    <t>percent</t>
  </si>
  <si>
    <t>method_weight</t>
  </si>
  <si>
    <t>precision_weight</t>
  </si>
  <si>
    <t>obs_weight</t>
  </si>
  <si>
    <t>recency_weight</t>
  </si>
  <si>
    <t>flood_weight</t>
  </si>
  <si>
    <t>final_weight</t>
  </si>
  <si>
    <t>scope_factor</t>
  </si>
  <si>
    <t>normalised_percent</t>
  </si>
  <si>
    <t>2241:Vladimir Zelenskiy</t>
  </si>
  <si>
    <t>2241</t>
  </si>
  <si>
    <t>https://ukraine-elections.com.ua/en/socopros/opinion_poll_show/2241</t>
  </si>
  <si>
    <t>Ukraine</t>
  </si>
  <si>
    <t>2026-03-12</t>
  </si>
  <si>
    <t>2026-03-18</t>
  </si>
  <si>
    <t>CATI - computer-assisted telephone interviews</t>
  </si>
  <si>
    <t>Among those who will vote and have made their choice</t>
  </si>
  <si>
    <t>Vladimir Zelenskiy</t>
  </si>
  <si>
    <t>2241:Valerii Zaluzhniy</t>
  </si>
  <si>
    <t>Valerii Zaluzhniy</t>
  </si>
  <si>
    <t>2241:Kyrylo Budanov</t>
  </si>
  <si>
    <t>Kyrylo Budanov</t>
  </si>
  <si>
    <t>2241:Pyotr Poroshenko</t>
  </si>
  <si>
    <t>Pyotr Poroshenko</t>
  </si>
  <si>
    <t>2241:Igor Terehov</t>
  </si>
  <si>
    <t>Igor Terehov</t>
  </si>
  <si>
    <t>2241:Dmitriy Razumkov</t>
  </si>
  <si>
    <t>Dmitriy Razumkov</t>
  </si>
  <si>
    <t>2241:Andrei Bileckiy</t>
  </si>
  <si>
    <t>Andrei Bileckiy</t>
  </si>
  <si>
    <t>2241:Yulia Timoshenko</t>
  </si>
  <si>
    <t>Yulia Timoshenko</t>
  </si>
  <si>
    <t>2241:Sergey Pritula</t>
  </si>
  <si>
    <t>Sergey Pritula</t>
  </si>
  <si>
    <t>2241:Vitalii Kim</t>
  </si>
  <si>
    <t>Vitalii Kim</t>
  </si>
  <si>
    <t>2241:Vitaly Klichko</t>
  </si>
  <si>
    <t>Vitaly Klichko</t>
  </si>
  <si>
    <t>2241:Alexander Vilkul</t>
  </si>
  <si>
    <t>Alexander Vilkul</t>
  </si>
  <si>
    <t>2237:Vladimir Zelenskiy</t>
  </si>
  <si>
    <t>2237</t>
  </si>
  <si>
    <t>https://ukraine-elections.com.ua/en/socopros/opinion_poll_show/2237</t>
  </si>
  <si>
    <t>2026-01-31</t>
  </si>
  <si>
    <t>2026-02-01</t>
  </si>
  <si>
    <t>CAWI (Computer Assisted Web Interviewing)</t>
  </si>
  <si>
    <t>2237:Valerii Zaluzhniy</t>
  </si>
  <si>
    <t>2237:Kyrylo Budanov</t>
  </si>
  <si>
    <t>2237:Pyotr Poroshenko</t>
  </si>
  <si>
    <t>2237:Dmitriy Razumkov</t>
  </si>
  <si>
    <t>2237:Yulia Timoshenko</t>
  </si>
  <si>
    <t>2237:Andrei Bileckiy</t>
  </si>
  <si>
    <t>2237:Alexei Goncharenko</t>
  </si>
  <si>
    <t>Alexei Goncharenko</t>
  </si>
  <si>
    <t>2237:Sergey Pritula</t>
  </si>
  <si>
    <t>2237:Oleksiy Arestovych</t>
  </si>
  <si>
    <t>Oleksiy Arestovych</t>
  </si>
  <si>
    <t>2237:Vitaly Klichko</t>
  </si>
  <si>
    <t>2237:Yuri Boyko</t>
  </si>
  <si>
    <t>Yuri Boyko</t>
  </si>
  <si>
    <t>2237:Denis Prokopenko</t>
  </si>
  <si>
    <t>Denis Prokopenko</t>
  </si>
  <si>
    <t>2232:Vladimir Zelenskiy</t>
  </si>
  <si>
    <t>2232</t>
  </si>
  <si>
    <t>https://ukraine-elections.com.ua/en/socopros/opinion_poll_show/2232</t>
  </si>
  <si>
    <t>2025-12-17</t>
  </si>
  <si>
    <t>2025-12-26</t>
  </si>
  <si>
    <t>Among all respondents</t>
  </si>
  <si>
    <t>2232:Valerii Zaluzhniy</t>
  </si>
  <si>
    <t>2232:Pyotr Poroshenko</t>
  </si>
  <si>
    <t>2232:Kyrylo Budanov</t>
  </si>
  <si>
    <t>2232:Dmitriy Razumkov</t>
  </si>
  <si>
    <t>2232:Andrei Bileckiy</t>
  </si>
  <si>
    <t>2232:Yulia Timoshenko</t>
  </si>
  <si>
    <t>2232:Denis Prokopenko</t>
  </si>
  <si>
    <t>2232:Oleksandr Usyk</t>
  </si>
  <si>
    <t>Oleksandr Usyk</t>
  </si>
  <si>
    <t>2232:Sergey Pritula</t>
  </si>
  <si>
    <t>2232:Yuri Boyko</t>
  </si>
  <si>
    <t>2232:Vladimir Groysman</t>
  </si>
  <si>
    <t>Vladimir Groysman</t>
  </si>
  <si>
    <t>2232:Oleg Lyashko</t>
  </si>
  <si>
    <t>Oleg Lyashko</t>
  </si>
  <si>
    <t>2232:Alexei Goncharenko</t>
  </si>
  <si>
    <t>2232:Vitaly Klichko</t>
  </si>
  <si>
    <t>2228:Vladimir Zelenskiy</t>
  </si>
  <si>
    <t>2228</t>
  </si>
  <si>
    <t>https://ukraine-elections.com.ua/en/socopros/opinion_poll_show/2228</t>
  </si>
  <si>
    <t>2026-01-10</t>
  </si>
  <si>
    <t>2228:Valerii Zaluzhniy</t>
  </si>
  <si>
    <t>2228:Pyotr Poroshenko</t>
  </si>
  <si>
    <t>2228:Kyrylo Budanov</t>
  </si>
  <si>
    <t>2228:Dmitriy Razumkov</t>
  </si>
  <si>
    <t>2228:Yulia Timoshenko</t>
  </si>
  <si>
    <t>2228:Andrei Bileckiy</t>
  </si>
  <si>
    <t>2228:Alexei Goncharenko</t>
  </si>
  <si>
    <t>2228:Sergey Pritula</t>
  </si>
  <si>
    <t>2228:Yuri Boyko</t>
  </si>
  <si>
    <t>2228:Oleksiy Arestovych</t>
  </si>
  <si>
    <t>2228:Vitaly Klichko</t>
  </si>
  <si>
    <t>2228:Denis Prokopenko</t>
  </si>
  <si>
    <t>2227:Valerii Zaluzhniy</t>
  </si>
  <si>
    <t>2227</t>
  </si>
  <si>
    <t>https://ukraine-elections.com.ua/en/socopros/opinion_poll_show/2227</t>
  </si>
  <si>
    <t>2025-12-31</t>
  </si>
  <si>
    <t>2227:Vladimir Zelenskiy</t>
  </si>
  <si>
    <t>2227:Pyotr Poroshenko</t>
  </si>
  <si>
    <t>2227:Kyrylo Budanov</t>
  </si>
  <si>
    <t>2226:Vladimir Zelenskiy</t>
  </si>
  <si>
    <t>2226</t>
  </si>
  <si>
    <t>https://ukraine-elections.com.ua/en/socopros/opinion_poll_show/2226</t>
  </si>
  <si>
    <t>2025-12-21</t>
  </si>
  <si>
    <t>2025-12-23</t>
  </si>
  <si>
    <t>2226:Valerii Zaluzhniy</t>
  </si>
  <si>
    <t>2226:Kyrylo Budanov</t>
  </si>
  <si>
    <t>2226:Pyotr Poroshenko</t>
  </si>
  <si>
    <t>2226:Dmitriy Razumkov</t>
  </si>
  <si>
    <t>2226:Andrei Bileckiy</t>
  </si>
  <si>
    <t>2226:Yulia Timoshenko</t>
  </si>
  <si>
    <t>2226:Yuri Boyko</t>
  </si>
  <si>
    <t>2226:Alexei Goncharenko</t>
  </si>
  <si>
    <t>2226:Sergey Pritula</t>
  </si>
  <si>
    <t>2226:Oleksiy Arestovych</t>
  </si>
  <si>
    <t>2226:Denis Prokopenko</t>
  </si>
  <si>
    <t>2226:Vitaly Klichko</t>
  </si>
  <si>
    <t>2225:Vladimir Zelenskiy</t>
  </si>
  <si>
    <t>2225</t>
  </si>
  <si>
    <t>https://ukraine-elections.com.ua/en/socopros/opinion_poll_show/2225</t>
  </si>
  <si>
    <t>2025-12-12</t>
  </si>
  <si>
    <t>2025-12-18</t>
  </si>
  <si>
    <t>CAPI</t>
  </si>
  <si>
    <t>2225:Valerii Zaluzhniy</t>
  </si>
  <si>
    <t>2225:Kyrylo Budanov</t>
  </si>
  <si>
    <t>2225:Pyotr Poroshenko</t>
  </si>
  <si>
    <t>2225:Yulia Timoshenko</t>
  </si>
  <si>
    <t>2225:Dmitriy Razumkov</t>
  </si>
  <si>
    <t>2225:Andrei Bileckiy</t>
  </si>
  <si>
    <t>2225:Yuri Boyko</t>
  </si>
  <si>
    <t>2225:Sergey Pritula</t>
  </si>
  <si>
    <t>2225:Denis Prokopenko</t>
  </si>
  <si>
    <t>2225:Alexei Goncharenko</t>
  </si>
  <si>
    <t>2222:Vladimir Zelenskiy</t>
  </si>
  <si>
    <t>2222</t>
  </si>
  <si>
    <t>https://ukraine-elections.com.ua/en/socopros/opinion_poll_show/2222</t>
  </si>
  <si>
    <t>2025-12-02</t>
  </si>
  <si>
    <t>2025-12-07</t>
  </si>
  <si>
    <t>2222:Valerii Zaluzhniy</t>
  </si>
  <si>
    <t>2222:Pyotr Poroshenko</t>
  </si>
  <si>
    <t>2222:Dmitriy Razumkov</t>
  </si>
  <si>
    <t>2222:Yulia Timoshenko</t>
  </si>
  <si>
    <t>2222:Kyrylo Budanov</t>
  </si>
  <si>
    <t>2222:Oleksandr Usyk</t>
  </si>
  <si>
    <t>2222:Sergey Pritula</t>
  </si>
  <si>
    <t>2222:Alexei Goncharenko</t>
  </si>
  <si>
    <t>2222:Oleksiy Arestovych</t>
  </si>
  <si>
    <t>2222:Yuri Boyko</t>
  </si>
  <si>
    <t>2233:Vladimir Zelenskiy</t>
  </si>
  <si>
    <t>2233</t>
  </si>
  <si>
    <t>https://ukraine-elections.com.ua/en/socopros/opinion_poll_show/2233</t>
  </si>
  <si>
    <t>2025-11-13</t>
  </si>
  <si>
    <t>2025-11-28</t>
  </si>
  <si>
    <t>Combined CATI and F2F</t>
  </si>
  <si>
    <t>2233:Valerii Zaluzhniy</t>
  </si>
  <si>
    <t>2233:Kyrylo Budanov</t>
  </si>
  <si>
    <t>2233:Pyotr Poroshenko</t>
  </si>
  <si>
    <t>2233:Oleksandr Usyk</t>
  </si>
  <si>
    <t>2233:Andrei Bileckiy</t>
  </si>
  <si>
    <t>2233:Dmitriy Razumkov</t>
  </si>
  <si>
    <t>2233:Yulia Timoshenko</t>
  </si>
  <si>
    <t>2233:Sergey Sternenko</t>
  </si>
  <si>
    <t>Sergey Sternenko</t>
  </si>
  <si>
    <t>2233:Alexei Goncharenko</t>
  </si>
  <si>
    <t>2233:Sergey Pritula</t>
  </si>
  <si>
    <t>2233:Denis Prokopenko</t>
  </si>
  <si>
    <t>2233:Vladimir Groysman</t>
  </si>
  <si>
    <t>2233:Oleg Lyashko</t>
  </si>
  <si>
    <t>2233:Yuri Boyko</t>
  </si>
  <si>
    <t>2233:Vitaly Klichko</t>
  </si>
  <si>
    <t>2217:Vladimir Zelenskiy</t>
  </si>
  <si>
    <t>2217</t>
  </si>
  <si>
    <t>https://ukraine-elections.com.ua/en/socopros/opinion_poll_show/2217</t>
  </si>
  <si>
    <t>2025-10-10</t>
  </si>
  <si>
    <t>2025-10-16</t>
  </si>
  <si>
    <t>2217:Valerii Zaluzhniy</t>
  </si>
  <si>
    <t>2217:Pyotr Poroshenko</t>
  </si>
  <si>
    <t>2217:Kyrylo Budanov</t>
  </si>
  <si>
    <t>2217:Dmitriy Razumkov</t>
  </si>
  <si>
    <t>2217:Yulia Timoshenko</t>
  </si>
  <si>
    <t>2217:Andrei Bileckiy</t>
  </si>
  <si>
    <t>2217:Sergey Pritula</t>
  </si>
  <si>
    <t>2217:Yuri Boyko</t>
  </si>
  <si>
    <t>2217:Sergey Tigipko</t>
  </si>
  <si>
    <t>Sergey Tigipko</t>
  </si>
  <si>
    <t>2217:Alexei Goncharenko</t>
  </si>
  <si>
    <t>2217:Denis Prokopenko</t>
  </si>
  <si>
    <t>2217:Vitaly Klichko</t>
  </si>
  <si>
    <t>2234:Vladimir Zelenskiy</t>
  </si>
  <si>
    <t>2234</t>
  </si>
  <si>
    <t>https://ukraine-elections.com.ua/en/socopros/opinion_poll_show/2234</t>
  </si>
  <si>
    <t>2025-10-15</t>
  </si>
  <si>
    <t>2025-10-23</t>
  </si>
  <si>
    <t>2234:Valerii Zaluzhniy</t>
  </si>
  <si>
    <t>2234:Kyrylo Budanov</t>
  </si>
  <si>
    <t>2234:Pyotr Poroshenko</t>
  </si>
  <si>
    <t>2234:Dmitriy Razumkov</t>
  </si>
  <si>
    <t>2234:Yulia Timoshenko</t>
  </si>
  <si>
    <t>2234:Sergey Pritula</t>
  </si>
  <si>
    <t>2234:Sergey Sternenko</t>
  </si>
  <si>
    <t>2234:Denis Prokopenko</t>
  </si>
  <si>
    <t>2234:Andrei Bileckiy</t>
  </si>
  <si>
    <t>2234:Alexei Goncharenko</t>
  </si>
  <si>
    <t>2234:Vitaly Klichko</t>
  </si>
  <si>
    <t>2234:Yuri Boyko</t>
  </si>
  <si>
    <t>2234:Oleg Lyashko</t>
  </si>
  <si>
    <t>2234:Vladimir Groysman</t>
  </si>
  <si>
    <t>2234:Yurii Gudymenko</t>
  </si>
  <si>
    <t>Yurii Gudymenko</t>
  </si>
  <si>
    <t>2216:Vladimir Zelenskiy</t>
  </si>
  <si>
    <t>2216</t>
  </si>
  <si>
    <t>https://ukraine-elections.com.ua/en/socopros/opinion_poll_show/2216</t>
  </si>
  <si>
    <t>2025-10-03</t>
  </si>
  <si>
    <t>2216:Valerii Zaluzhniy</t>
  </si>
  <si>
    <t>2216:Kyrylo Budanov</t>
  </si>
  <si>
    <t>2216:Pyotr Poroshenko</t>
  </si>
  <si>
    <t>2216:Yulia Timoshenko</t>
  </si>
  <si>
    <t>2216:Dmitriy Razumkov</t>
  </si>
  <si>
    <t>2216:Andrei Bileckiy</t>
  </si>
  <si>
    <t>2216:Vitaly Klichko</t>
  </si>
  <si>
    <t>2216:Sergey Pritula</t>
  </si>
  <si>
    <t>2216:Yuri Boyko</t>
  </si>
  <si>
    <t>2220:Vladimir Zelenskiy</t>
  </si>
  <si>
    <t>2220</t>
  </si>
  <si>
    <t>https://ukraine-elections.com.ua/en/socopros/opinion_poll_show/2220</t>
  </si>
  <si>
    <t>2025-09-30</t>
  </si>
  <si>
    <t>2220:Valerii Zaluzhniy</t>
  </si>
  <si>
    <t>2220:Pyotr Poroshenko</t>
  </si>
  <si>
    <t>2220:Kyrylo Budanov</t>
  </si>
  <si>
    <t>2220:Andrei Bileckiy</t>
  </si>
  <si>
    <t>2220:Dmitriy Razumkov</t>
  </si>
  <si>
    <t>2220:Yulia Timoshenko</t>
  </si>
  <si>
    <t>2220:Sergey Pritula</t>
  </si>
  <si>
    <t>2220:Alexei Goncharenko</t>
  </si>
  <si>
    <t>2220:Vitaly Klichko</t>
  </si>
  <si>
    <t>2214:Vladimir Zelenskiy</t>
  </si>
  <si>
    <t>2214</t>
  </si>
  <si>
    <t>https://ukraine-elections.com.ua/en/socopros/opinion_poll_show/2214</t>
  </si>
  <si>
    <t>2025-08-21</t>
  </si>
  <si>
    <t>2025-08-23</t>
  </si>
  <si>
    <t>2214:Valerii Zaluzhniy</t>
  </si>
  <si>
    <t>2214:Pyotr Poroshenko</t>
  </si>
  <si>
    <t>2214:Kyrylo Budanov</t>
  </si>
  <si>
    <t>2214:Yulia Timoshenko</t>
  </si>
  <si>
    <t>2214:Dmitriy Razumkov</t>
  </si>
  <si>
    <t>2214:Andrei Bileckiy</t>
  </si>
  <si>
    <t>2214:Sergey Pritula</t>
  </si>
  <si>
    <t>2214:Yuri Boyko</t>
  </si>
  <si>
    <t>2214:Vitaly Klichko</t>
  </si>
  <si>
    <t>2213:Vladimir Zelenskiy</t>
  </si>
  <si>
    <t>2213</t>
  </si>
  <si>
    <t>https://ukraine-elections.com.ua/en/socopros/opinion_poll_show/2213</t>
  </si>
  <si>
    <t>2025-07-22</t>
  </si>
  <si>
    <t>2025-07-27</t>
  </si>
  <si>
    <t>2213:Valerii Zaluzhniy</t>
  </si>
  <si>
    <t>2213:Pyotr Poroshenko</t>
  </si>
  <si>
    <t>2213:Kyrylo Budanov</t>
  </si>
  <si>
    <t>2213:Dmitriy Razumkov</t>
  </si>
  <si>
    <t>2213:Sergey Pritula</t>
  </si>
  <si>
    <t>2213:Yulia Timoshenko</t>
  </si>
  <si>
    <t>2213:Andrei Bileckiy</t>
  </si>
  <si>
    <t>2213:Alexei Goncharenko</t>
  </si>
  <si>
    <t>2213:Yuri Boyko</t>
  </si>
  <si>
    <t>2213:Vitaly Klichko</t>
  </si>
  <si>
    <t>2202:Vladimir Zelenskiy</t>
  </si>
  <si>
    <t>2202</t>
  </si>
  <si>
    <t>https://ukraine-elections.com.ua/en/socopros/opinion_poll_show/2202</t>
  </si>
  <si>
    <t>2025-06-06</t>
  </si>
  <si>
    <t>2025-06-11</t>
  </si>
  <si>
    <t>Personal interview face-to-face</t>
  </si>
  <si>
    <t>2202:Valerii Zaluzhniy</t>
  </si>
  <si>
    <t>2202:Pyotr Poroshenko</t>
  </si>
  <si>
    <t>2202:Dmitriy Razumkov</t>
  </si>
  <si>
    <t>2202:Kyrylo Budanov</t>
  </si>
  <si>
    <t>2202:Andrei Bileckiy</t>
  </si>
  <si>
    <t>2202:Yulia Timoshenko</t>
  </si>
  <si>
    <t>2202:Denis Prokopenko</t>
  </si>
  <si>
    <t>2202:Sergey Pritula</t>
  </si>
  <si>
    <t>2202:Yuri Boyko</t>
  </si>
  <si>
    <t>2202:Alexei Goncharenko</t>
  </si>
  <si>
    <t>2202:Vitaly Klichko</t>
  </si>
  <si>
    <t>2221:Vladimir Zelenskiy</t>
  </si>
  <si>
    <t>2221</t>
  </si>
  <si>
    <t>https://ukraine-elections.com.ua/en/socopros/opinion_poll_show/2221</t>
  </si>
  <si>
    <t>2025-04-30</t>
  </si>
  <si>
    <t>2221:Valerii Zaluzhniy</t>
  </si>
  <si>
    <t>2221:Pyotr Poroshenko</t>
  </si>
  <si>
    <t>2221:Kyrylo Budanov</t>
  </si>
  <si>
    <t>2221:Yulia Timoshenko</t>
  </si>
  <si>
    <t>2221:Andrei Bileckiy</t>
  </si>
  <si>
    <t>2221:Dmitriy Razumkov</t>
  </si>
  <si>
    <t>2221:Sergey Pritula</t>
  </si>
  <si>
    <t>2221:Alexei Goncharenko</t>
  </si>
  <si>
    <t>2221:Vitaly Klichko</t>
  </si>
  <si>
    <t>2197:Vladimir Zelenskiy</t>
  </si>
  <si>
    <t>2197</t>
  </si>
  <si>
    <t>https://ukraine-elections.com.ua/en/socopros/opinion_poll_show/2197</t>
  </si>
  <si>
    <t>2025-03-15</t>
  </si>
  <si>
    <t>2025-03-25</t>
  </si>
  <si>
    <t>2197:Valerii Zaluzhniy</t>
  </si>
  <si>
    <t>2197:Pyotr Poroshenko</t>
  </si>
  <si>
    <t>2197:Yulia Timoshenko</t>
  </si>
  <si>
    <t>2197:Kyrylo Budanov</t>
  </si>
  <si>
    <t>2197:Dmitriy Razumkov</t>
  </si>
  <si>
    <t>2197:Sergey Pritula</t>
  </si>
  <si>
    <t>2197:Yuri Boyko</t>
  </si>
  <si>
    <t>2197:Andrei Bileckiy</t>
  </si>
  <si>
    <t>2195:Vladimir Zelenskiy</t>
  </si>
  <si>
    <t>2195</t>
  </si>
  <si>
    <t>https://ukraine-elections.com.ua/en/socopros/opinion_poll_show/2195</t>
  </si>
  <si>
    <t>2025-03-23</t>
  </si>
  <si>
    <t>2195:Valerii Zaluzhniy</t>
  </si>
  <si>
    <t>2195:Pyotr Poroshenko</t>
  </si>
  <si>
    <t>2195:Yulia Timoshenko</t>
  </si>
  <si>
    <t>2195:Dmitriy Razumkov</t>
  </si>
  <si>
    <t>2195:Kyrylo Budanov</t>
  </si>
  <si>
    <t>2195:Andrei Bileckiy</t>
  </si>
  <si>
    <t>2195:Sergey Pritula</t>
  </si>
  <si>
    <t>2195:Alexei Goncharenko</t>
  </si>
  <si>
    <t>2195:Vitaly Klichko</t>
  </si>
  <si>
    <t>2192:Vladimir Zelenskiy</t>
  </si>
  <si>
    <t>2192</t>
  </si>
  <si>
    <t>https://ukraine-elections.com.ua/en/socopros/opinion_poll_show/2192</t>
  </si>
  <si>
    <t>2025-03-06</t>
  </si>
  <si>
    <t>2025-03-12</t>
  </si>
  <si>
    <t>2192:Valerii Zaluzhniy</t>
  </si>
  <si>
    <t>2192:Pyotr Poroshenko</t>
  </si>
  <si>
    <t>2192:Dmitriy Razumkov</t>
  </si>
  <si>
    <t>2192:Kyrylo Budanov</t>
  </si>
  <si>
    <t>2192:Yulia Timoshenko</t>
  </si>
  <si>
    <t>2192:Alexei Goncharenko</t>
  </si>
  <si>
    <t>2191:Vladimir Zelenskiy</t>
  </si>
  <si>
    <t>2191</t>
  </si>
  <si>
    <t>https://ukraine-elections.com.ua/en/socopros/opinion_poll_show/2191</t>
  </si>
  <si>
    <t>2025-03-05</t>
  </si>
  <si>
    <t>2025-03-10</t>
  </si>
  <si>
    <t>2191:Valerii Zaluzhniy</t>
  </si>
  <si>
    <t>2191:Pyotr Poroshenko</t>
  </si>
  <si>
    <t>2191:Yulia Timoshenko</t>
  </si>
  <si>
    <t>2191:Dmitriy Razumkov</t>
  </si>
  <si>
    <t>2191:Kyrylo Budanov</t>
  </si>
  <si>
    <t>2191:Sergey Pritula</t>
  </si>
  <si>
    <t>2191:Oleksiy Arestovych</t>
  </si>
  <si>
    <t>2191:Andrei Bileckiy</t>
  </si>
  <si>
    <t>2191:Vitaly Klichko</t>
  </si>
  <si>
    <t>2185:Valerii Zaluzhniy</t>
  </si>
  <si>
    <t>2185</t>
  </si>
  <si>
    <t>https://ukraine-elections.com.ua/en/socopros/opinion_poll_show/2185</t>
  </si>
  <si>
    <t>2025-02-03</t>
  </si>
  <si>
    <t>2025-02-09</t>
  </si>
  <si>
    <t>2185:Vladimir Zelenskiy</t>
  </si>
  <si>
    <t>2185:Pyotr Poroshenko</t>
  </si>
  <si>
    <t>2185:Kyrylo Budanov</t>
  </si>
  <si>
    <t>2185:Andrei Bileckiy</t>
  </si>
  <si>
    <t>2185:Yulia Timoshenko</t>
  </si>
  <si>
    <t>2185:Dmitriy Razumkov</t>
  </si>
  <si>
    <t>2185:Sergey Pritula</t>
  </si>
  <si>
    <t>2185:Igor Terehov</t>
  </si>
  <si>
    <t>2185:Denis Prokopenko</t>
  </si>
  <si>
    <t>2185:Oleksiy Arestovych</t>
  </si>
  <si>
    <t>2185:Vitaly Klichko</t>
  </si>
  <si>
    <t>2185:Alexei Goncharenko</t>
  </si>
  <si>
    <t>2185:Yuri Boyko</t>
  </si>
  <si>
    <t>2188:Vladimir Zelenskiy</t>
  </si>
  <si>
    <t>2188</t>
  </si>
  <si>
    <t>https://ukraine-elections.com.ua/en/socopros/opinion_poll_show/2188</t>
  </si>
  <si>
    <t>2025-02-19</t>
  </si>
  <si>
    <t>2179:Valerii Zaluzhniy</t>
  </si>
  <si>
    <t>2179</t>
  </si>
  <si>
    <t>https://ukraine-elections.com.ua/en/socopros/opinion_poll_show/2179</t>
  </si>
  <si>
    <t>2024-12-05</t>
  </si>
  <si>
    <t>2024-12-11</t>
  </si>
  <si>
    <t>2179:Vladimir Zelenskiy</t>
  </si>
  <si>
    <t>2179:Pyotr Poroshenko</t>
  </si>
  <si>
    <t>2179:Dmitriy Razumkov</t>
  </si>
  <si>
    <t>2179:Yulia Timoshenko</t>
  </si>
  <si>
    <t>2179:Sergey Pritula</t>
  </si>
  <si>
    <t>2179:Kyrylo Budanov</t>
  </si>
  <si>
    <t>2179:Andrei Bileckiy</t>
  </si>
  <si>
    <t>2179:Vitaly Klichko</t>
  </si>
  <si>
    <t>2179:Alexei Goncharenko</t>
  </si>
  <si>
    <t>2177:Valerii Zaluzhniy</t>
  </si>
  <si>
    <t>2177</t>
  </si>
  <si>
    <t>https://ukraine-elections.com.ua/en/socopros/opinion_poll_show/2177</t>
  </si>
  <si>
    <t>2024-12-19</t>
  </si>
  <si>
    <t>2024-12-24</t>
  </si>
  <si>
    <t>2177:Vladimir Zelenskiy</t>
  </si>
  <si>
    <t>2177:Yulia Timoshenko</t>
  </si>
  <si>
    <t>2177:Pyotr Poroshenko</t>
  </si>
  <si>
    <t>2177:Vitaly Klichko</t>
  </si>
  <si>
    <t>2177:Dmitriy Razumkov</t>
  </si>
  <si>
    <t>2177:Kyrylo Budanov</t>
  </si>
  <si>
    <t>2177:Andrei Bileckiy</t>
  </si>
  <si>
    <t>2177:Sergey Pritula</t>
  </si>
  <si>
    <t>2177:Vladimir Groysman</t>
  </si>
  <si>
    <t>2177:Oleksiy Arestovych</t>
  </si>
  <si>
    <t>2175:Valerii Zaluzhniy</t>
  </si>
  <si>
    <t>2175</t>
  </si>
  <si>
    <t>https://ukraine-elections.com.ua/en/socopros/opinion_poll_show/2175</t>
  </si>
  <si>
    <t>2024-11-15</t>
  </si>
  <si>
    <t>2024-11-21</t>
  </si>
  <si>
    <t>Phone Interview</t>
  </si>
  <si>
    <t>2175:Vladimir Zelenskiy</t>
  </si>
  <si>
    <t>2175:Pyotr Poroshenko</t>
  </si>
  <si>
    <t>2175:Kyrylo Budanov</t>
  </si>
  <si>
    <t>2175:Dmitriy Razumkov</t>
  </si>
  <si>
    <t>2175:Yulia Timoshenko</t>
  </si>
  <si>
    <t>2175:Andrei Bileckiy</t>
  </si>
  <si>
    <t>2175:Sergey Pritula</t>
  </si>
  <si>
    <t>2175:Vitaly Klichko</t>
  </si>
  <si>
    <t>2175:Oleksiy Arestovych</t>
  </si>
  <si>
    <t>2175:Yuri Boyko</t>
  </si>
  <si>
    <t>2175:Vladimir Groysman</t>
  </si>
  <si>
    <t>2170:Vladimir Zelenskiy</t>
  </si>
  <si>
    <t>2170</t>
  </si>
  <si>
    <t>https://ukraine-elections.com.ua/en/socopros/opinion_poll_show/2170</t>
  </si>
  <si>
    <t>2024-10-18</t>
  </si>
  <si>
    <t>2024-10-20</t>
  </si>
  <si>
    <t>2170:Yulia Timoshenko</t>
  </si>
  <si>
    <t>2170:Pyotr Poroshenko</t>
  </si>
  <si>
    <t>2170:Vitaly Klichko</t>
  </si>
  <si>
    <t>2170:Andrei Bileckiy</t>
  </si>
  <si>
    <t>2170:Kyrylo Budanov</t>
  </si>
  <si>
    <t>2170:Dmitriy Razumkov</t>
  </si>
  <si>
    <t>2170:Sergey Pritula</t>
  </si>
  <si>
    <t>2170:Oleg Tyagnibok</t>
  </si>
  <si>
    <t>Oleg Tyagnibok</t>
  </si>
  <si>
    <t>2170:Vladimir Groysman</t>
  </si>
  <si>
    <t>2170:Arseniy Yacenyuk</t>
  </si>
  <si>
    <t>Arseniy Yacenyuk</t>
  </si>
  <si>
    <t>2167:Vladimir Zelenskiy</t>
  </si>
  <si>
    <t>2167</t>
  </si>
  <si>
    <t>https://ukraine-elections.com.ua/en/socopros/opinion_poll_show/2167</t>
  </si>
  <si>
    <t>2024-08-09</t>
  </si>
  <si>
    <t>2024-08-11</t>
  </si>
  <si>
    <t>2167:Yulia Timoshenko</t>
  </si>
  <si>
    <t>2167:Pyotr Poroshenko</t>
  </si>
  <si>
    <t>2167:Vitaly Klichko</t>
  </si>
  <si>
    <t>2167:Andrei Bileckiy</t>
  </si>
  <si>
    <t>2167:Kyrylo Budanov</t>
  </si>
  <si>
    <t>2167:Dmitriy Razumkov</t>
  </si>
  <si>
    <t>2167:Sergey Pritula</t>
  </si>
  <si>
    <t>2167:Oleg Tyagnibok</t>
  </si>
  <si>
    <t>2167:Vladimir Groysman</t>
  </si>
  <si>
    <t>2167:Arseniy Yacenyuk</t>
  </si>
  <si>
    <t>2162:Valerii Zaluzhniy</t>
  </si>
  <si>
    <t>2162</t>
  </si>
  <si>
    <t>https://ukraine-elections.com.ua/en/socopros/opinion_poll_show/2162</t>
  </si>
  <si>
    <t>2024-03-15</t>
  </si>
  <si>
    <t>2162:Vladimir Zelenskiy</t>
  </si>
  <si>
    <t>2162:Pyotr Poroshenko</t>
  </si>
  <si>
    <t>2162:Sergey Pritula</t>
  </si>
  <si>
    <t>2162:Yulia Timoshenko</t>
  </si>
  <si>
    <t>2162:Oleksiy Arestovych</t>
  </si>
  <si>
    <t>2161:Vladimir Zelenskiy</t>
  </si>
  <si>
    <t>2161</t>
  </si>
  <si>
    <t>https://ukraine-elections.com.ua/en/socopros/opinion_poll_show/2161</t>
  </si>
  <si>
    <t>2024-05-26</t>
  </si>
  <si>
    <t>2024-06-01</t>
  </si>
  <si>
    <t>2161:Valerii Zaluzhniy</t>
  </si>
  <si>
    <t>2161:Pyotr Poroshenko</t>
  </si>
  <si>
    <t>2155:Vladimir Zelenskiy</t>
  </si>
  <si>
    <t>2155</t>
  </si>
  <si>
    <t>https://ukraine-elections.com.ua/en/socopros/opinion_poll_show/2155</t>
  </si>
  <si>
    <t>2024-03-22</t>
  </si>
  <si>
    <t>2024-03-24</t>
  </si>
  <si>
    <t>2155:Yulia Timoshenko</t>
  </si>
  <si>
    <t>2155:Pyotr Poroshenko</t>
  </si>
  <si>
    <t>2155:Vitaly Klichko</t>
  </si>
  <si>
    <t>2155:Sergey Pritula</t>
  </si>
  <si>
    <t>2155:Dmitriy Razumkov</t>
  </si>
  <si>
    <t>2155:Andrei Bileckiy</t>
  </si>
  <si>
    <t>2155:Kyrylo Budanov</t>
  </si>
  <si>
    <t>2155:Oleg Tyagnibok</t>
  </si>
  <si>
    <t>2155:Arseniy Yacenyuk</t>
  </si>
  <si>
    <t>2155:Vladimir Groysman</t>
  </si>
  <si>
    <t>2152:Valerii Zaluzhniy</t>
  </si>
  <si>
    <t>2152</t>
  </si>
  <si>
    <t>https://ukraine-elections.com.ua/en/socopros/opinion_poll_show/2152</t>
  </si>
  <si>
    <t>2024-02-22</t>
  </si>
  <si>
    <t>2152:Vladimir Zelenskiy</t>
  </si>
  <si>
    <t>2152:Pyotr Poroshenko</t>
  </si>
  <si>
    <t>2152:Dmitriy Razumkov</t>
  </si>
  <si>
    <t>2152:Sergey Pritula</t>
  </si>
  <si>
    <t>2152:Kyrylo Budanov</t>
  </si>
  <si>
    <t>2152:Yulia Timoshenko</t>
  </si>
  <si>
    <t>2152:Oleksiy Arestovych</t>
  </si>
  <si>
    <t>2152:Yuri Boyko</t>
  </si>
  <si>
    <t>2152:Vitaly Klichko</t>
  </si>
  <si>
    <t>2153:Vladimir Zelenskiy</t>
  </si>
  <si>
    <t>2153</t>
  </si>
  <si>
    <t>https://ukraine-elections.com.ua/en/socopros/opinion_poll_show/2153</t>
  </si>
  <si>
    <t>2024-02-09</t>
  </si>
  <si>
    <t>2024-02-11</t>
  </si>
  <si>
    <t>2153:Yulia Timoshenko</t>
  </si>
  <si>
    <t>2153:Pyotr Poroshenko</t>
  </si>
  <si>
    <t>2153:Vitaly Klichko</t>
  </si>
  <si>
    <t>2153:Sergey Pritula</t>
  </si>
  <si>
    <t>2153:Valerii Zaluzhniy</t>
  </si>
  <si>
    <t>2149:Valerii Zaluzhniy</t>
  </si>
  <si>
    <t>2149</t>
  </si>
  <si>
    <t>https://ukraine-elections.com.ua/en/socopros/opinion_poll_show/2149</t>
  </si>
  <si>
    <t>2023-12-22</t>
  </si>
  <si>
    <t>2023-12-24</t>
  </si>
  <si>
    <t>2149:Vladimir Zelenskiy</t>
  </si>
  <si>
    <t>2149:Yuri Boyko</t>
  </si>
  <si>
    <t>2149:Pyotr Poroshenko</t>
  </si>
  <si>
    <t>2149:Yulia Timoshenko</t>
  </si>
  <si>
    <t>2149:Sergey Pritula</t>
  </si>
  <si>
    <t>2149:Dmitriy Razumkov</t>
  </si>
  <si>
    <t>2149:Vitaly Klichko</t>
  </si>
  <si>
    <t>2149:Arseniy Yacenyuk</t>
  </si>
  <si>
    <t>2149:Oleksiy Arestovych</t>
  </si>
  <si>
    <t>2149:Igor Smeshko</t>
  </si>
  <si>
    <t>Igor Smeshko</t>
  </si>
  <si>
    <t>2149:Oleg Lyashko</t>
  </si>
  <si>
    <t>2149:Kyrylo Budanov</t>
  </si>
  <si>
    <t>2149:Oleg Tyagnibok</t>
  </si>
  <si>
    <t>2149:Nikolai Tomenko</t>
  </si>
  <si>
    <t>Nikolai Tomenko</t>
  </si>
  <si>
    <t>2149:Vladimir Groysman</t>
  </si>
  <si>
    <t>2149:Andrei Sadovyy</t>
  </si>
  <si>
    <t>Andrei Sadovyy</t>
  </si>
  <si>
    <t>2149:Anatoly Gricenko</t>
  </si>
  <si>
    <t>Anatoly Gricenko</t>
  </si>
  <si>
    <t>2149:Yrii Butusov</t>
  </si>
  <si>
    <t>Yrii Butusov</t>
  </si>
  <si>
    <t>2149:Andrei Bileckiy</t>
  </si>
  <si>
    <t>2141:Vladimir Zelenskiy</t>
  </si>
  <si>
    <t>2141</t>
  </si>
  <si>
    <t>https://ukraine-elections.com.ua/en/socopros/opinion_poll_show/2141</t>
  </si>
  <si>
    <t>2023-11-21</t>
  </si>
  <si>
    <t>2023-11-28</t>
  </si>
  <si>
    <t>2141:Valerii Zaluzhniy</t>
  </si>
  <si>
    <t>2141:Pyotr Poroshenko</t>
  </si>
  <si>
    <t>2141:Sergey Pritula</t>
  </si>
  <si>
    <t>2141:Oleksandr Usyk</t>
  </si>
  <si>
    <t>2141:Andrei Bileckiy</t>
  </si>
  <si>
    <t>2141:Yulia Timoshenko</t>
  </si>
  <si>
    <t>2141:Dmitriy Razumkov</t>
  </si>
  <si>
    <t>2141:Oleksiy Arestovych</t>
  </si>
  <si>
    <t>2141:Vitaly Klichko</t>
  </si>
  <si>
    <t>2141:Alexei Goncharenko</t>
  </si>
  <si>
    <t>2141:Arsen Avakov</t>
  </si>
  <si>
    <t>Arsen Avakov</t>
  </si>
  <si>
    <t>2136:Vladimir Zelenskiy</t>
  </si>
  <si>
    <t>2136</t>
  </si>
  <si>
    <t>https://ukraine-elections.com.ua/en/socopros/opinion_poll_show/2136</t>
  </si>
  <si>
    <t>2023-11-07</t>
  </si>
  <si>
    <t>2136:Valerii Zaluzhniy</t>
  </si>
  <si>
    <t>2136:Sergey Pritula</t>
  </si>
  <si>
    <t>2136:Pyotr Poroshenko</t>
  </si>
  <si>
    <t>2136:Dmitriy Razumkov</t>
  </si>
  <si>
    <t>2136:Yulia Timoshenko</t>
  </si>
  <si>
    <t>2136:Vladimir Groysman</t>
  </si>
  <si>
    <t>2136:Vitaly Klichko</t>
  </si>
  <si>
    <t>2136:Alexei Goncharenko</t>
  </si>
  <si>
    <t>2136:Oleksiy Arestovych</t>
  </si>
  <si>
    <t>2136:Yrii Butusov</t>
  </si>
  <si>
    <t>2132:Vladimir Zelenskiy</t>
  </si>
  <si>
    <t>2132</t>
  </si>
  <si>
    <t>https://ukraine-elections.com.ua/en/socopros/opinion_poll_show/2132</t>
  </si>
  <si>
    <t>2023-10-07</t>
  </si>
  <si>
    <t>Online poll in Telegram channel</t>
  </si>
  <si>
    <t>2132:Pyotr Poroshenko</t>
  </si>
  <si>
    <t>2132:Valerii Zaluzhniy</t>
  </si>
  <si>
    <t>2132:Yulia Timoshenko</t>
  </si>
  <si>
    <t>2132:Sergey Pritula</t>
  </si>
  <si>
    <t>2132:Dmitriy Razumkov</t>
  </si>
  <si>
    <t>2132:Vitaly Klichko</t>
  </si>
  <si>
    <t>2125:Vladimir Zelenskiy</t>
  </si>
  <si>
    <t>2125</t>
  </si>
  <si>
    <t>https://ukraine-elections.com.ua/en/socopros/opinion_poll_show/2125</t>
  </si>
  <si>
    <t>2023-08-09</t>
  </si>
  <si>
    <t>2125:Valerii Zaluzhniy</t>
  </si>
  <si>
    <t>2125:Pyotr Poroshenko</t>
  </si>
  <si>
    <t>2125:Yulia Timoshenko</t>
  </si>
  <si>
    <t>2125:Sergey Pritula</t>
  </si>
  <si>
    <t>2125:Kyrylo Budanov</t>
  </si>
  <si>
    <t>2125:Vitaly Klichko</t>
  </si>
  <si>
    <t>2123:Vladimir Zelenskiy</t>
  </si>
  <si>
    <t>2123</t>
  </si>
  <si>
    <t>https://ukraine-elections.com.ua/en/socopros/opinion_poll_show/2123</t>
  </si>
  <si>
    <t>2023-07-13</t>
  </si>
  <si>
    <t>2123:Valerii Zaluzhniy</t>
  </si>
  <si>
    <t>2123:Pyotr Poroshenko</t>
  </si>
  <si>
    <t>2123:Oleksiy Arestovych</t>
  </si>
  <si>
    <t>2123:Sergey Pritula</t>
  </si>
  <si>
    <t>2123:Dmitriy Razumkov</t>
  </si>
  <si>
    <t>2123:Yulia Timoshenko</t>
  </si>
  <si>
    <t>2121:Vladimir Zelenskiy</t>
  </si>
  <si>
    <t>2121</t>
  </si>
  <si>
    <t>https://ukraine-elections.com.ua/en/socopros/opinion_poll_show/2121</t>
  </si>
  <si>
    <t>2023-05-30</t>
  </si>
  <si>
    <t>2023-06-14</t>
  </si>
  <si>
    <t>2121:Pyotr Poroshenko</t>
  </si>
  <si>
    <t>2121:Sergey Pritula</t>
  </si>
  <si>
    <t>2121:Yulia Timoshenko</t>
  </si>
  <si>
    <t>2121:Dmitriy Razumkov</t>
  </si>
  <si>
    <t>2121:Igor Smeshko</t>
  </si>
  <si>
    <t>2121:Alexei Goncharenko</t>
  </si>
  <si>
    <t>2118:Vladimir Zelenskiy</t>
  </si>
  <si>
    <t>2118</t>
  </si>
  <si>
    <t>https://ukraine-elections.com.ua/en/socopros/opinion_poll_show/2118</t>
  </si>
  <si>
    <t>2023-05-07</t>
  </si>
  <si>
    <t>2118:Valerii Zaluzhniy</t>
  </si>
  <si>
    <t>2118:Pyotr Poroshenko</t>
  </si>
  <si>
    <t>2118:Sergey Pritula</t>
  </si>
  <si>
    <t>2118:Yulia Timoshenko</t>
  </si>
  <si>
    <t>2118:Dmitriy Razumkov</t>
  </si>
  <si>
    <t>2118:Igor Smeshko</t>
  </si>
  <si>
    <t>2115:Vladimir Zelenskiy</t>
  </si>
  <si>
    <t>2115</t>
  </si>
  <si>
    <t>https://ukraine-elections.com.ua/en/socopros/opinion_poll_show/2115</t>
  </si>
  <si>
    <t>2023-03-23</t>
  </si>
  <si>
    <t>2023-03-30</t>
  </si>
  <si>
    <t>2115:Valerii Zaluzhniy</t>
  </si>
  <si>
    <t>2115:Mykhailo Podolyak</t>
  </si>
  <si>
    <t>Mykhailo Podolyak</t>
  </si>
  <si>
    <t>2115:Sergey Pritula</t>
  </si>
  <si>
    <t>2115:Alexei Reznikov</t>
  </si>
  <si>
    <t>Alexei Reznikov</t>
  </si>
  <si>
    <t>2115:Oleksiy Arestovych</t>
  </si>
  <si>
    <t>2115:Dmytro Kuleba</t>
  </si>
  <si>
    <t>Dmytro Kuleba</t>
  </si>
  <si>
    <t>2115:Kyrylo Budanov</t>
  </si>
  <si>
    <t>2115:Alexey Danilov</t>
  </si>
  <si>
    <t>Alexey Danilov</t>
  </si>
  <si>
    <t>2115:Pyotr Poroshenko</t>
  </si>
  <si>
    <t>2115:Oleksandr Syrskyi</t>
  </si>
  <si>
    <t>Oleksandr Syrskyi</t>
  </si>
  <si>
    <t>2114:Vladimir Zelenskiy</t>
  </si>
  <si>
    <t>2114</t>
  </si>
  <si>
    <t>https://ukraine-elections.com.ua/en/socopros/opinion_poll_show/2114</t>
  </si>
  <si>
    <t>2023-04-06</t>
  </si>
  <si>
    <t>2114:Valerii Zaluzhniy</t>
  </si>
  <si>
    <t>2114:Pyotr Poroshenko</t>
  </si>
  <si>
    <t>2114:Sergey Pritula</t>
  </si>
  <si>
    <t>2114:Yulia Timoshenko</t>
  </si>
  <si>
    <t>2114:Dmitriy Razumkov</t>
  </si>
  <si>
    <t>2114:Yrii Butusov</t>
  </si>
  <si>
    <t>2114:Igor Smeshko</t>
  </si>
  <si>
    <t>2112:Vladimir Zelenskiy</t>
  </si>
  <si>
    <t>2112</t>
  </si>
  <si>
    <t>https://ukraine-elections.com.ua/en/socopros/opinion_poll_show/2112</t>
  </si>
  <si>
    <t>2023-03-02</t>
  </si>
  <si>
    <t>2112:Valerii Zaluzhniy</t>
  </si>
  <si>
    <t>2112:Pyotr Poroshenko</t>
  </si>
  <si>
    <t>2112:Sergey Pritula</t>
  </si>
  <si>
    <t>2112:Dmitriy Razumkov</t>
  </si>
  <si>
    <t>2112:Yulia Timoshenko</t>
  </si>
  <si>
    <t>2112:Igor Smeshko</t>
  </si>
  <si>
    <t>2112:Vladimir Groysman</t>
  </si>
  <si>
    <t>2109:Vladimir Zelenskiy</t>
  </si>
  <si>
    <t>2109</t>
  </si>
  <si>
    <t>https://ukraine-elections.com.ua/en/socopros/opinion_poll_show/2109</t>
  </si>
  <si>
    <t>Among those who will vote</t>
  </si>
  <si>
    <t>2109:Valerii Zaluzhniy</t>
  </si>
  <si>
    <t>2109:Pyotr Poroshenko</t>
  </si>
  <si>
    <t>2109:Oleksiy Arestovych</t>
  </si>
  <si>
    <t>2109:Sergey Pritula</t>
  </si>
  <si>
    <t>2109:Vitalii Kim</t>
  </si>
  <si>
    <t>2109:Yulia Timoshenko</t>
  </si>
  <si>
    <t>2109:Dmitriy Yarosh</t>
  </si>
  <si>
    <t>Dmitriy Yarosh</t>
  </si>
  <si>
    <t>2108:Vladimir Zelenskiy</t>
  </si>
  <si>
    <t>2108</t>
  </si>
  <si>
    <t>https://ukraine-elections.com.ua/en/socopros/opinion_poll_show/2108</t>
  </si>
  <si>
    <t>2023-02-28</t>
  </si>
  <si>
    <t>2108:Valerii Zaluzhniy</t>
  </si>
  <si>
    <t>2108:Pyotr Poroshenko</t>
  </si>
  <si>
    <t>2108:Sergey Pritula</t>
  </si>
  <si>
    <t>2108:Yulia Timoshenko</t>
  </si>
  <si>
    <t>2108:Dmitriy Razumkov</t>
  </si>
  <si>
    <t>2108:Igor Smeshko</t>
  </si>
  <si>
    <t>2108:Vladimir Groysman</t>
  </si>
  <si>
    <t>2108:Yuri Boyko</t>
  </si>
  <si>
    <t>2108:Oleg Tyagnibok</t>
  </si>
  <si>
    <t>2108:Vitaly Klichko</t>
  </si>
  <si>
    <t>2107:Vladimir Zelenskiy</t>
  </si>
  <si>
    <t>2107</t>
  </si>
  <si>
    <t>https://ukraine-elections.com.ua/en/socopros/opinion_poll_show/2107</t>
  </si>
  <si>
    <t>2023-02-14</t>
  </si>
  <si>
    <t>2107:Pyotr Poroshenko</t>
  </si>
  <si>
    <t>2107:Sergey Pritula</t>
  </si>
  <si>
    <t>2107:Dmitriy Razumkov</t>
  </si>
  <si>
    <t>2107:Yulia Timoshenko</t>
  </si>
  <si>
    <t>2107:Igor Smeshko</t>
  </si>
  <si>
    <t>2101:Vladimir Zelenskiy</t>
  </si>
  <si>
    <t>2101</t>
  </si>
  <si>
    <t>https://ukraine-elections.com.ua/en/socopros/opinion_poll_show/2101</t>
  </si>
  <si>
    <t>2023-01-15</t>
  </si>
  <si>
    <t>2101:Pyotr Poroshenko</t>
  </si>
  <si>
    <t>2101:Sergey Pritula</t>
  </si>
  <si>
    <t>2101:Igor Smeshko</t>
  </si>
  <si>
    <t>2101:Yulia Timoshenko</t>
  </si>
  <si>
    <t>2101:Dmitriy Razumkov</t>
  </si>
  <si>
    <t>2101:Vladimir Groysman</t>
  </si>
  <si>
    <t>2101:Vitaly Klichko</t>
  </si>
  <si>
    <t>2099:Vladimir Zelenskiy</t>
  </si>
  <si>
    <t>2099</t>
  </si>
  <si>
    <t>https://ukraine-elections.com.ua/en/socopros/opinion_poll_show/2099</t>
  </si>
  <si>
    <t>2099:Valerii Zaluzhniy</t>
  </si>
  <si>
    <t>2099:Pyotr Poroshenko</t>
  </si>
  <si>
    <t>2099:Sergey Pritula</t>
  </si>
  <si>
    <t>2099:Oleksiy Arestovych</t>
  </si>
  <si>
    <t>2099:Vitalii Kim</t>
  </si>
  <si>
    <t>2099:Dmitriy Razumkov</t>
  </si>
  <si>
    <t>2099:Yulia Timoshenko</t>
  </si>
  <si>
    <t>2099:Igor Smeshko</t>
  </si>
  <si>
    <t>2098:Vladimir Zelenskiy</t>
  </si>
  <si>
    <t>2098</t>
  </si>
  <si>
    <t>https://ukraine-elections.com.ua/en/socopros/opinion_poll_show/2098</t>
  </si>
  <si>
    <t>2022-12-21</t>
  </si>
  <si>
    <t>2023-01-02</t>
  </si>
  <si>
    <t>2098:Valerii Zaluzhniy</t>
  </si>
  <si>
    <t>2098:Oleksiy Arestovych</t>
  </si>
  <si>
    <t>2098:Pyotr Poroshenko</t>
  </si>
  <si>
    <t>2098:Dmytro Kuleba</t>
  </si>
  <si>
    <t>2098:Mykhailo Podolyak</t>
  </si>
  <si>
    <t>2098:Sergey Pritula</t>
  </si>
  <si>
    <t>2097:Vladimir Zelenskiy</t>
  </si>
  <si>
    <t>2097</t>
  </si>
  <si>
    <t>https://ukraine-elections.com.ua/en/socopros/opinion_poll_show/2097</t>
  </si>
  <si>
    <t>2022-12-03</t>
  </si>
  <si>
    <t>2097:Valerii Zaluzhniy</t>
  </si>
  <si>
    <t>2097:Pyotr Poroshenko</t>
  </si>
  <si>
    <t>2097:Sergey Pritula</t>
  </si>
  <si>
    <t>2097:Vitalii Kim</t>
  </si>
  <si>
    <t>2097:Oleksiy Arestovych</t>
  </si>
  <si>
    <t>2097:Yulia Timoshenko</t>
  </si>
  <si>
    <t>2097:Igor Smeshko</t>
  </si>
  <si>
    <t>2097:Vitaly Klichko</t>
  </si>
  <si>
    <t>2096:Vladimir Zelenskiy</t>
  </si>
  <si>
    <t>2096</t>
  </si>
  <si>
    <t>https://ukraine-elections.com.ua/en/socopros/opinion_poll_show/2096</t>
  </si>
  <si>
    <t>2022-12-13</t>
  </si>
  <si>
    <t>2022-12-20</t>
  </si>
  <si>
    <t>2096:Pyotr Poroshenko</t>
  </si>
  <si>
    <t>2096:Sergey Pritula</t>
  </si>
  <si>
    <t>2096:Yulia Timoshenko</t>
  </si>
  <si>
    <t>2096:Dmitriy Razumkov</t>
  </si>
  <si>
    <t>2096:Igor Smeshko</t>
  </si>
  <si>
    <t>2094:Vladimir Zelenskiy</t>
  </si>
  <si>
    <t>2094</t>
  </si>
  <si>
    <t>https://ukraine-elections.com.ua/en/socopros/opinion_poll_show/2094</t>
  </si>
  <si>
    <t>2022-11-05</t>
  </si>
  <si>
    <t>2094:Valerii Zaluzhniy</t>
  </si>
  <si>
    <t>2094:Pyotr Poroshenko</t>
  </si>
  <si>
    <t>2094:Yulia Timoshenko</t>
  </si>
  <si>
    <t>2094:Sergey Pritula</t>
  </si>
  <si>
    <t>2094:Vitalii Kim</t>
  </si>
  <si>
    <t>2094:Oleksiy Arestovych</t>
  </si>
  <si>
    <t>2094:Dmitriy Razumkov</t>
  </si>
  <si>
    <t>2093:Vladimir Zelenskiy</t>
  </si>
  <si>
    <t>2093</t>
  </si>
  <si>
    <t>https://ukraine-elections.com.ua/en/socopros/opinion_poll_show/2093</t>
  </si>
  <si>
    <t>2022-10-15</t>
  </si>
  <si>
    <t>2093:Valerii Zaluzhniy</t>
  </si>
  <si>
    <t>2093:Pyotr Poroshenko</t>
  </si>
  <si>
    <t>2093:Sergey Pritula</t>
  </si>
  <si>
    <t>2093:Igor Smeshko</t>
  </si>
  <si>
    <t>2093:Yulia Timoshenko</t>
  </si>
  <si>
    <t>2093:Yuri Boyko</t>
  </si>
  <si>
    <t>2093:Oleksiy Arestovych</t>
  </si>
  <si>
    <t>2093:Vitaly Klichko</t>
  </si>
  <si>
    <t>2093:Oleg Lyashko</t>
  </si>
  <si>
    <t>2092:Vladimir Zelenskiy</t>
  </si>
  <si>
    <t>2092</t>
  </si>
  <si>
    <t>https://ukraine-elections.com.ua/en/socopros/opinion_poll_show/2092</t>
  </si>
  <si>
    <t>2022-10-06</t>
  </si>
  <si>
    <t>2092:Valerii Zaluzhniy</t>
  </si>
  <si>
    <t>2092:Pyotr Poroshenko</t>
  </si>
  <si>
    <t>2092:Sergey Pritula</t>
  </si>
  <si>
    <t>2092:Vitalii Kim</t>
  </si>
  <si>
    <t>2092:Oleksiy Arestovych</t>
  </si>
  <si>
    <t>2092:Yulia Timoshenko</t>
  </si>
  <si>
    <t>2092:Dmitriy Razumkov</t>
  </si>
  <si>
    <t>2091:Vladimir Zelenskiy</t>
  </si>
  <si>
    <t>2091</t>
  </si>
  <si>
    <t>https://ukraine-elections.com.ua/en/socopros/opinion_poll_show/2091</t>
  </si>
  <si>
    <t>2022-10-26</t>
  </si>
  <si>
    <t>2022-10-28</t>
  </si>
  <si>
    <t>2091:Pyotr Poroshenko</t>
  </si>
  <si>
    <t>2091:Sergey Pritula</t>
  </si>
  <si>
    <t>2091:Yulia Timoshenko</t>
  </si>
  <si>
    <t>2091:Dmitriy Razumkov</t>
  </si>
  <si>
    <t>2091:Igor Smeshko</t>
  </si>
  <si>
    <t>2091:Vladimir Groysman</t>
  </si>
  <si>
    <t>2091:Alexei Goncharenko</t>
  </si>
  <si>
    <t>2091:Oleg Lyashko</t>
  </si>
  <si>
    <t>2089:Vladimir Zelenskiy</t>
  </si>
  <si>
    <t>2089</t>
  </si>
  <si>
    <t>https://ukraine-elections.com.ua/en/socopros/opinion_poll_show/2089</t>
  </si>
  <si>
    <t>2022-08-24</t>
  </si>
  <si>
    <t>2089:Valerii Zaluzhniy</t>
  </si>
  <si>
    <t>2089:Pyotr Poroshenko</t>
  </si>
  <si>
    <t>2089:Sergey Pritula</t>
  </si>
  <si>
    <t>2089:Vitalii Kim</t>
  </si>
  <si>
    <t>2089:Oleksiy Arestovych</t>
  </si>
  <si>
    <t>2089:Yulia Timoshenko</t>
  </si>
  <si>
    <t>2089:Dmitriy Razumkov</t>
  </si>
  <si>
    <t>2088:Vladimir Zelenskiy</t>
  </si>
  <si>
    <t>2088</t>
  </si>
  <si>
    <t>https://ukraine-elections.com.ua/en/socopros/opinion_poll_show/2088</t>
  </si>
  <si>
    <t>2022-09-28</t>
  </si>
  <si>
    <t>2022-09-30</t>
  </si>
  <si>
    <t>2088:Pyotr Poroshenko</t>
  </si>
  <si>
    <t>2088:Sergey Pritula</t>
  </si>
  <si>
    <t>2088:Yulia Timoshenko</t>
  </si>
  <si>
    <t>2088:Igor Smeshko</t>
  </si>
  <si>
    <t>2088:Dmitriy Razumkov</t>
  </si>
  <si>
    <t>2088:Vladimir Groysman</t>
  </si>
  <si>
    <t>2088:Alexei Goncharenko</t>
  </si>
  <si>
    <t>2088:Oleg Lyashko</t>
  </si>
  <si>
    <t>2085:Vladimir Zelenskiy</t>
  </si>
  <si>
    <t>2085</t>
  </si>
  <si>
    <t>https://ukraine-elections.com.ua/en/socopros/opinion_poll_show/2085</t>
  </si>
  <si>
    <t>2022-08-29</t>
  </si>
  <si>
    <t>2022-08-31</t>
  </si>
  <si>
    <t>2085:Pyotr Poroshenko</t>
  </si>
  <si>
    <t>2085:Sergey Pritula</t>
  </si>
  <si>
    <t>2085:Yulia Timoshenko</t>
  </si>
  <si>
    <t>2085:Dmitriy Razumkov</t>
  </si>
  <si>
    <t>2085:Igor Smeshko</t>
  </si>
  <si>
    <t>2085:Vladimir Groysman</t>
  </si>
  <si>
    <t>2085:Alexei Goncharenko</t>
  </si>
  <si>
    <t>2085:Oleg Lyashko</t>
  </si>
  <si>
    <t>2102:Vladimir Zelenskiy</t>
  </si>
  <si>
    <t>2102</t>
  </si>
  <si>
    <t>https://ukraine-elections.com.ua/en/socopros/opinion_poll_show/2102</t>
  </si>
  <si>
    <t>2022-08-12</t>
  </si>
  <si>
    <t>2022-08-18</t>
  </si>
  <si>
    <t>2102:Pyotr Poroshenko</t>
  </si>
  <si>
    <t>2102:Sergey Pritula</t>
  </si>
  <si>
    <t>2102:Vladimir Groysman</t>
  </si>
  <si>
    <t>2102:Yulia Timoshenko</t>
  </si>
  <si>
    <t>2102:Igor Smeshko</t>
  </si>
  <si>
    <t>2102:Evgeniy Muraev</t>
  </si>
  <si>
    <t>Evgeniy Muraev</t>
  </si>
  <si>
    <t>2102:Dmitriy Razumkov</t>
  </si>
  <si>
    <t>2102:Alexander Vilkul</t>
  </si>
  <si>
    <t>2103:Vladimir Zelenskiy</t>
  </si>
  <si>
    <t>2103</t>
  </si>
  <si>
    <t>https://ukraine-elections.com.ua/en/socopros/opinion_poll_show/2103</t>
  </si>
  <si>
    <t>2022-06-21</t>
  </si>
  <si>
    <t>2022-06-24</t>
  </si>
  <si>
    <t>2103:Pyotr Poroshenko</t>
  </si>
  <si>
    <t>2103:Sergey Pritula</t>
  </si>
  <si>
    <t>2103:Igor Smeshko</t>
  </si>
  <si>
    <t>2103:Vladimir Groysman</t>
  </si>
  <si>
    <t>2103:Yulia Timoshenko</t>
  </si>
  <si>
    <t>2103:Evgeniy Muraev</t>
  </si>
  <si>
    <t>2103:Dmitriy Razumkov</t>
  </si>
  <si>
    <t>2103:Vitaly Klichko</t>
  </si>
  <si>
    <t>2103:Yuri Boyko</t>
  </si>
  <si>
    <t>2103:Kira Rudik</t>
  </si>
  <si>
    <t>Kira Rudik</t>
  </si>
  <si>
    <t>2083:Vladimir Zelenskiy</t>
  </si>
  <si>
    <t>2083</t>
  </si>
  <si>
    <t>https://ukraine-elections.com.ua/en/socopros/opinion_poll_show/2083</t>
  </si>
  <si>
    <t>2022-07-27</t>
  </si>
  <si>
    <t>2022-07-30</t>
  </si>
  <si>
    <t>2083:Sergey Pritula</t>
  </si>
  <si>
    <t>2083:Pyotr Poroshenko</t>
  </si>
  <si>
    <t>2083:Dmitriy Razumkov</t>
  </si>
  <si>
    <t>2083:Yulia Timoshenko</t>
  </si>
  <si>
    <t>2083:Vladimir Groysman</t>
  </si>
  <si>
    <t>2083:Igor Smeshko</t>
  </si>
  <si>
    <t>2083:Alexei Goncharenko</t>
  </si>
  <si>
    <t>2083:Oleg Lyashko</t>
  </si>
  <si>
    <t>2104:Vladimir Zelenskiy</t>
  </si>
  <si>
    <t>2104</t>
  </si>
  <si>
    <t>https://ukraine-elections.com.ua/en/socopros/opinion_poll_show/2104</t>
  </si>
  <si>
    <t>2104:Pyotr Poroshenko</t>
  </si>
  <si>
    <t>2104:Sergey Pritula</t>
  </si>
  <si>
    <t>2104:Yulia Timoshenko</t>
  </si>
  <si>
    <t>2104:Vladimir Groysman</t>
  </si>
  <si>
    <t>2104:Igor Smeshko</t>
  </si>
  <si>
    <t>2104:Evgeniy Muraev</t>
  </si>
  <si>
    <t>2104:Dmitriy Razumkov</t>
  </si>
  <si>
    <t>2104:Yuri Boyko</t>
  </si>
  <si>
    <t>2082:Vladimir Zelenskiy</t>
  </si>
  <si>
    <t>2082</t>
  </si>
  <si>
    <t>https://ukraine-elections.com.ua/en/socopros/opinion_poll_show/2082</t>
  </si>
  <si>
    <t>2022-06-22</t>
  </si>
  <si>
    <t>2082:Pyotr Poroshenko</t>
  </si>
  <si>
    <t>2082:Sergey Pritula</t>
  </si>
  <si>
    <t>2082:Dmitriy Razumkov</t>
  </si>
  <si>
    <t>2082:Yulia Timoshenko</t>
  </si>
  <si>
    <t>2082:Vladimir Groysman</t>
  </si>
  <si>
    <t>2082:Igor Smeshko</t>
  </si>
  <si>
    <t>2082:Alexei Goncharenko</t>
  </si>
  <si>
    <t>2082:Oleg Lyashko</t>
  </si>
  <si>
    <t>2082:Volodymyr Klichko</t>
  </si>
  <si>
    <t>Volodymyr Klichko</t>
  </si>
  <si>
    <t>2105:Vladimir Zelenskiy</t>
  </si>
  <si>
    <t>2105</t>
  </si>
  <si>
    <t>https://ukraine-elections.com.ua/en/socopros/opinion_poll_show/2105</t>
  </si>
  <si>
    <t>2022-05-28</t>
  </si>
  <si>
    <t>2022-05-29</t>
  </si>
  <si>
    <t>2105:Pyotr Poroshenko</t>
  </si>
  <si>
    <t>2105:Sergey Pritula</t>
  </si>
  <si>
    <t>2105:Evgeniy Muraev</t>
  </si>
  <si>
    <t>2105:Dmitriy Razumkov</t>
  </si>
  <si>
    <t>2105:Vladimir Groysman</t>
  </si>
  <si>
    <t>2105:Igor Smeshko</t>
  </si>
  <si>
    <t>2105:Yulia Timoshenko</t>
  </si>
  <si>
    <t>2105:Yuri Boyko</t>
  </si>
  <si>
    <t>2081:Vladimir Zelenskiy</t>
  </si>
  <si>
    <t>2081</t>
  </si>
  <si>
    <t>https://ukraine-elections.com.ua/en/socopros/opinion_poll_show/2081</t>
  </si>
  <si>
    <t>2022-05-25</t>
  </si>
  <si>
    <t>2081:Pyotr Poroshenko</t>
  </si>
  <si>
    <t>2081:Dmitriy Razumkov</t>
  </si>
  <si>
    <t>2081:Yulia Timoshenko</t>
  </si>
  <si>
    <t>2081:Sergey Pritula</t>
  </si>
  <si>
    <t>2081:Vladimir Groysman</t>
  </si>
  <si>
    <t>2081:Igor Smeshko</t>
  </si>
  <si>
    <t>2081:Andrei Bileckiy</t>
  </si>
  <si>
    <t>2081:Kira Rudik</t>
  </si>
  <si>
    <t>2081:Oleg Lyashko</t>
  </si>
  <si>
    <t>2080:Vladimir Zelenskiy</t>
  </si>
  <si>
    <t>2080</t>
  </si>
  <si>
    <t>https://ukraine-elections.com.ua/en/socopros/opinion_poll_show/2080</t>
  </si>
  <si>
    <t>2022-04-26</t>
  </si>
  <si>
    <t>2022-04-28</t>
  </si>
  <si>
    <t>2080:Pyotr Poroshenko</t>
  </si>
  <si>
    <t>2080:Valerii Zaluzhniy</t>
  </si>
  <si>
    <t>2080:Yulia Timoshenko</t>
  </si>
  <si>
    <t>2080:Igor Smeshko</t>
  </si>
  <si>
    <t>2080:Dmitriy Razumkov</t>
  </si>
  <si>
    <t>2080:Oleksiy Arestovych</t>
  </si>
  <si>
    <t>2080:Vladimir Groysman</t>
  </si>
  <si>
    <t>2080:Oleg Lyashko</t>
  </si>
  <si>
    <t>2080:Oleg Tyagnibok</t>
  </si>
  <si>
    <t>2106:Vladimir Zelenskiy</t>
  </si>
  <si>
    <t>2106</t>
  </si>
  <si>
    <t>https://ukraine-elections.com.ua/en/socopros/opinion_poll_show/2106</t>
  </si>
  <si>
    <t>2022-04-18</t>
  </si>
  <si>
    <t>2022-04-19</t>
  </si>
  <si>
    <t>2106:Pyotr Poroshenko</t>
  </si>
  <si>
    <t>2106:Igor Smeshko</t>
  </si>
  <si>
    <t>2106:Dmitriy Razumkov</t>
  </si>
  <si>
    <t>2106:Sergey Pritula</t>
  </si>
  <si>
    <t>2106:Yulia Timoshenko</t>
  </si>
  <si>
    <t>2106:Evgeniy Muraev</t>
  </si>
  <si>
    <t>2106:Vitaly Klichko</t>
  </si>
  <si>
    <t>2106:Yuri Boyko</t>
  </si>
  <si>
    <t>2079:Vladimir Zelenskiy</t>
  </si>
  <si>
    <t>2079</t>
  </si>
  <si>
    <t>https://ukraine-elections.com.ua/en/socopros/opinion_poll_show/2079</t>
  </si>
  <si>
    <t>2022-03-24</t>
  </si>
  <si>
    <t>2022-03-28</t>
  </si>
  <si>
    <t>2079:Pyotr Poroshenko</t>
  </si>
  <si>
    <t>2079:Yulia Timoshenko</t>
  </si>
  <si>
    <t>2079:Igor Smeshko</t>
  </si>
  <si>
    <t>2079:Sergey Pritula</t>
  </si>
  <si>
    <t>2079:Yuri Boyko</t>
  </si>
  <si>
    <t>2079:Dmitriy Razumkov</t>
  </si>
  <si>
    <t>2079:Evgeniy Muraev</t>
  </si>
  <si>
    <t>2079:Vladimir Groysman</t>
  </si>
  <si>
    <t>2079:Vitaly Klichko</t>
  </si>
  <si>
    <t>2079:Alexander Vilkul</t>
  </si>
  <si>
    <t>2079:Oleg Lyashko</t>
  </si>
  <si>
    <t>2079:Kira Rudik</t>
  </si>
  <si>
    <t>2078:Vladimir Zelenskiy</t>
  </si>
  <si>
    <t>2078</t>
  </si>
  <si>
    <t>https://ukraine-elections.com.ua/en/socopros/opinion_poll_show/2078</t>
  </si>
  <si>
    <t>2022-02-06</t>
  </si>
  <si>
    <t>2022-02-18</t>
  </si>
  <si>
    <t>2078:Pyotr Poroshenko</t>
  </si>
  <si>
    <t>2078:Yuri Boyko</t>
  </si>
  <si>
    <t>2078:Yulia Timoshenko</t>
  </si>
  <si>
    <t>2078:Dmitriy Razumkov</t>
  </si>
  <si>
    <t>2078:Igor Smeshko</t>
  </si>
  <si>
    <t>2078:Evgeniy Muraev</t>
  </si>
  <si>
    <t>2078:Vladimir Groysman</t>
  </si>
  <si>
    <t>2077:Vladimir Zelenskiy</t>
  </si>
  <si>
    <t>2077</t>
  </si>
  <si>
    <t>https://ukraine-elections.com.ua/en/socopros/opinion_poll_show/2077</t>
  </si>
  <si>
    <t>2077:Pyotr Poroshenko</t>
  </si>
  <si>
    <t>2077:Yulia Timoshenko</t>
  </si>
  <si>
    <t>2077:Igor Smeshko</t>
  </si>
  <si>
    <t>2077:Yuri Boyko</t>
  </si>
  <si>
    <t>2077:Sergey Pritula</t>
  </si>
  <si>
    <t>2077:Evgeniy Muraev</t>
  </si>
  <si>
    <t>2077:Dmitriy Razumkov</t>
  </si>
  <si>
    <t>2077:Vladimir Groysman</t>
  </si>
  <si>
    <t>2077:Oleg Lyashko</t>
  </si>
  <si>
    <t>2077:Oleg Tyagnibok</t>
  </si>
  <si>
    <t>2077:Vitaly Klichko</t>
  </si>
  <si>
    <t>2076:Vladimir Zelenskiy</t>
  </si>
  <si>
    <t>2076</t>
  </si>
  <si>
    <t>https://ukraine-elections.com.ua/en/socopros/opinion_poll_show/2076</t>
  </si>
  <si>
    <t>2022-02-11</t>
  </si>
  <si>
    <t>2076:Pyotr Poroshenko</t>
  </si>
  <si>
    <t>2076:Yulia Timoshenko</t>
  </si>
  <si>
    <t>2076:Yuri Boyko</t>
  </si>
  <si>
    <t>2076:Igor Smeshko</t>
  </si>
  <si>
    <t>2076:Dmitriy Razumkov</t>
  </si>
  <si>
    <t>2076:Evgeniy Muraev</t>
  </si>
  <si>
    <t>2076:Vladimir Groysman</t>
  </si>
  <si>
    <t>2076:Oleg Lyashko</t>
  </si>
  <si>
    <t>2076:Arseniy Yacenyuk</t>
  </si>
  <si>
    <t>2076:Vitaly Klichko</t>
  </si>
  <si>
    <t>2076:Oleg Tyagnibok</t>
  </si>
  <si>
    <t>2075:Vladimir Zelenskiy</t>
  </si>
  <si>
    <t>2075</t>
  </si>
  <si>
    <t>https://ukraine-elections.com.ua/en/socopros/opinion_poll_show/2075</t>
  </si>
  <si>
    <t>2022-02-08</t>
  </si>
  <si>
    <t>2075:Pyotr Poroshenko</t>
  </si>
  <si>
    <t>2075:Yuri Boyko</t>
  </si>
  <si>
    <t>2075:Yulia Timoshenko</t>
  </si>
  <si>
    <t>2075:Igor Smeshko</t>
  </si>
  <si>
    <t>2075:Dmitriy Razumkov</t>
  </si>
  <si>
    <t>2075:Evgeniy Muraev</t>
  </si>
  <si>
    <t>2075:Vladimir Groysman</t>
  </si>
  <si>
    <t>2075:Oleg Lyashko</t>
  </si>
  <si>
    <t>2075:Victor Medvedchuk</t>
  </si>
  <si>
    <t>Victor Medvedchuk</t>
  </si>
  <si>
    <t>2075:Vitaly Klichko</t>
  </si>
  <si>
    <t>2075:Arsen Avakov</t>
  </si>
  <si>
    <t>2074:Vladimir Zelenskiy</t>
  </si>
  <si>
    <t>2074</t>
  </si>
  <si>
    <t>https://ukraine-elections.com.ua/en/socopros/opinion_poll_show/2074</t>
  </si>
  <si>
    <t>2074:Pyotr Poroshenko</t>
  </si>
  <si>
    <t>2074:Yulia Timoshenko</t>
  </si>
  <si>
    <t>2074:Yuri Boyko</t>
  </si>
  <si>
    <t>2074:Dmitriy Razumkov</t>
  </si>
  <si>
    <t>2074:Evgeniy Muraev</t>
  </si>
  <si>
    <t>2074:Igor Smeshko</t>
  </si>
  <si>
    <t>2074:Vladimir Groysman</t>
  </si>
  <si>
    <t>2074:Victor Medvedchuk</t>
  </si>
  <si>
    <t>2074:Oleg Tyagnibok</t>
  </si>
  <si>
    <t>2074:Oleg Lyashko</t>
  </si>
  <si>
    <t>2074:Kira Rudik</t>
  </si>
  <si>
    <t>2073:Vladimir Zelenskiy</t>
  </si>
  <si>
    <t>2073</t>
  </si>
  <si>
    <t>https://ukraine-elections.com.ua/en/socopros/opinion_poll_show/2073</t>
  </si>
  <si>
    <t>2022-02-12</t>
  </si>
  <si>
    <t>2022-02-13</t>
  </si>
  <si>
    <t>2073:Pyotr Poroshenko</t>
  </si>
  <si>
    <t>2073:Yulia Timoshenko</t>
  </si>
  <si>
    <t>2073:Yuri Boyko</t>
  </si>
  <si>
    <t>2073:Evgeniy Muraev</t>
  </si>
  <si>
    <t>2073:Igor Smeshko</t>
  </si>
  <si>
    <t>2073:Dmitriy Razumkov</t>
  </si>
  <si>
    <t>2073:Vladimir Groysman</t>
  </si>
  <si>
    <t>2073:Oleg Lyashko</t>
  </si>
  <si>
    <t>2073:Vitaly Klichko</t>
  </si>
  <si>
    <t>2073:Andrei Sadovyy</t>
  </si>
  <si>
    <t>2073:Oleg Tyagnibok</t>
  </si>
  <si>
    <t>2073:Arseniy Yacenyuk</t>
  </si>
  <si>
    <t>2072:Vladimir Zelenskiy</t>
  </si>
  <si>
    <t>2072</t>
  </si>
  <si>
    <t>https://ukraine-elections.com.ua/en/socopros/opinion_poll_show/2072</t>
  </si>
  <si>
    <t>2022-02-05</t>
  </si>
  <si>
    <t>2072:Pyotr Poroshenko</t>
  </si>
  <si>
    <t>2072:Yulia Timoshenko</t>
  </si>
  <si>
    <t>2072:Yuri Boyko</t>
  </si>
  <si>
    <t>2072:Dmitriy Razumkov</t>
  </si>
  <si>
    <t>2072:Evgeniy Muraev</t>
  </si>
  <si>
    <t>2072:Igor Smeshko</t>
  </si>
  <si>
    <t>2072:Vladimir Groysman</t>
  </si>
  <si>
    <t>2072:Oleg Lyashko</t>
  </si>
  <si>
    <t>2072:Oleg Tyagnibok</t>
  </si>
  <si>
    <t>2072:Kira Rudik</t>
  </si>
  <si>
    <t>2070:Vladimir Zelenskiy</t>
  </si>
  <si>
    <t>2070</t>
  </si>
  <si>
    <t>https://ukraine-elections.com.ua/en/socopros/opinion_poll_show/2070</t>
  </si>
  <si>
    <t>2022-02-04</t>
  </si>
  <si>
    <t>2070:Pyotr Poroshenko</t>
  </si>
  <si>
    <t>2070:Yuri Boyko</t>
  </si>
  <si>
    <t>2070:Yulia Timoshenko</t>
  </si>
  <si>
    <t>2070:Igor Smeshko</t>
  </si>
  <si>
    <t>2070:Dmitriy Razumkov</t>
  </si>
  <si>
    <t>2070:Evgeniy Muraev</t>
  </si>
  <si>
    <t>2070:Sergey Pritula</t>
  </si>
  <si>
    <t>2070:Vladimir Groysman</t>
  </si>
  <si>
    <t>2070:Vitaly Klichko</t>
  </si>
  <si>
    <t>2070:Anatoly Gricenko</t>
  </si>
  <si>
    <t>2070:Oleg Lyashko</t>
  </si>
  <si>
    <t>2070:Ruslan Koshulinskiy</t>
  </si>
  <si>
    <t>Ruslan Koshulinskiy</t>
  </si>
  <si>
    <t>2070:Victor Medvedchuk</t>
  </si>
  <si>
    <t>2069:Vladimir Zelenskiy</t>
  </si>
  <si>
    <t>2069</t>
  </si>
  <si>
    <t>https://ukraine-elections.com.ua/en/socopros/opinion_poll_show/2069</t>
  </si>
  <si>
    <t>2022-01-28</t>
  </si>
  <si>
    <t>2022-01-31</t>
  </si>
  <si>
    <t>2069:Pyotr Poroshenko</t>
  </si>
  <si>
    <t>2069:Yulia Timoshenko</t>
  </si>
  <si>
    <t>2069:Dmitriy Razumkov</t>
  </si>
  <si>
    <t>2069:Yuri Boyko</t>
  </si>
  <si>
    <t>2069:Evgeniy Muraev</t>
  </si>
  <si>
    <t>2069:Igor Smeshko</t>
  </si>
  <si>
    <t>2069:Vladimir Groysman</t>
  </si>
  <si>
    <t>2069:Oleg Lyashko</t>
  </si>
  <si>
    <t>2069:Victor Medvedchuk</t>
  </si>
  <si>
    <t>2069:Oleg Tyagnibok</t>
  </si>
  <si>
    <t>2066:Vladimir Zelenskiy</t>
  </si>
  <si>
    <t>2066</t>
  </si>
  <si>
    <t>https://ukraine-elections.com.ua/en/socopros/opinion_poll_show/2066</t>
  </si>
  <si>
    <t>2022-01-20</t>
  </si>
  <si>
    <t>2022-01-21</t>
  </si>
  <si>
    <t>2066:Pyotr Poroshenko</t>
  </si>
  <si>
    <t>2066:Yulia Timoshenko</t>
  </si>
  <si>
    <t>2066:Igor Smeshko</t>
  </si>
  <si>
    <t>2066:Yuri Boyko</t>
  </si>
  <si>
    <t>2066:Evgeniy Muraev</t>
  </si>
  <si>
    <t>2066:Dmitriy Razumkov</t>
  </si>
  <si>
    <t>2066:Vladimir Groysman</t>
  </si>
  <si>
    <t>2066:Oleg Lyashko</t>
  </si>
  <si>
    <t>2066:Victor Medvedchuk</t>
  </si>
  <si>
    <t>2066:Oleg Tyagnibok</t>
  </si>
  <si>
    <t>2058:Vladimir Zelenskiy</t>
  </si>
  <si>
    <t>2058</t>
  </si>
  <si>
    <t>https://ukraine-elections.com.ua/en/socopros/opinion_poll_show/2058</t>
  </si>
  <si>
    <t>2058:Pyotr Poroshenko</t>
  </si>
  <si>
    <t>2058:Yulia Timoshenko</t>
  </si>
  <si>
    <t>2058:Dmitriy Razumkov</t>
  </si>
  <si>
    <t>2058:Yuri Boyko</t>
  </si>
  <si>
    <t>2058:Igor Smeshko</t>
  </si>
  <si>
    <t>2058:Evgeniy Muraev</t>
  </si>
  <si>
    <t>2058:Vladimir Groysman</t>
  </si>
  <si>
    <t>2058:Sergey Pritula</t>
  </si>
  <si>
    <t>2058:Ruslan Koshulinskiy</t>
  </si>
  <si>
    <t>2058:Oleg Lyashko</t>
  </si>
  <si>
    <t>2058:Anatoly Gricenko</t>
  </si>
  <si>
    <t>2058:Vitaly Klichko</t>
  </si>
  <si>
    <t>2058:Dmitriy Gordon</t>
  </si>
  <si>
    <t>Dmitriy Gordon</t>
  </si>
  <si>
    <t>2058:Vitaly Portnikov</t>
  </si>
  <si>
    <t>Vitaly Portnikov</t>
  </si>
  <si>
    <t>2058:Nataliya Moseichuk</t>
  </si>
  <si>
    <t>Nataliya Moseichuk</t>
  </si>
  <si>
    <t>2058:Evgeniy Komarovskiy</t>
  </si>
  <si>
    <t>Evgeniy Komarovskiy</t>
  </si>
  <si>
    <t>2058:Dmitriy Spivak</t>
  </si>
  <si>
    <t>Dmitriy Spivak</t>
  </si>
  <si>
    <t>2058:Dmitrii Komarov</t>
  </si>
  <si>
    <t>Dmitrii Komarov</t>
  </si>
  <si>
    <t>2058:Vasylii Lomachenko</t>
  </si>
  <si>
    <t>Vasylii Lomachenko</t>
  </si>
  <si>
    <t>2058:Oleg Vinnik</t>
  </si>
  <si>
    <t>Oleg Vinnik</t>
  </si>
  <si>
    <t>2058:Les Poderevyanskii</t>
  </si>
  <si>
    <t>Les Poderevyanskii</t>
  </si>
  <si>
    <t>2058:Oleksandr Shovkovskii</t>
  </si>
  <si>
    <t>Oleksandr Shovkovskii</t>
  </si>
  <si>
    <t>2058:Olga Polyakova</t>
  </si>
  <si>
    <t>Olga Polyakova</t>
  </si>
  <si>
    <t>2056:Vladimir Zelenskiy</t>
  </si>
  <si>
    <t>2056</t>
  </si>
  <si>
    <t>https://ukraine-elections.com.ua/en/socopros/opinion_poll_show/2056</t>
  </si>
  <si>
    <t>2021-12-19</t>
  </si>
  <si>
    <t>2056:Pyotr Poroshenko</t>
  </si>
  <si>
    <t>2056:Yuri Boyko</t>
  </si>
  <si>
    <t>2056:Yulia Timoshenko</t>
  </si>
  <si>
    <t>2056:Igor Smeshko</t>
  </si>
  <si>
    <t>2056:Dmitriy Razumkov</t>
  </si>
  <si>
    <t>2056:Evgeniy Muraev</t>
  </si>
  <si>
    <t>2056:Andrei Sadovyy</t>
  </si>
  <si>
    <t>2056:Oleg Lyashko</t>
  </si>
  <si>
    <t>2056:Oleg Tyagnibok</t>
  </si>
  <si>
    <t>2056:Vladimir Groysman</t>
  </si>
  <si>
    <t>2056:Vitaly Klichko</t>
  </si>
  <si>
    <t>2056:Anatoly Gricenko</t>
  </si>
  <si>
    <t>2056:Arseniy Yacenyuk</t>
  </si>
  <si>
    <t>2056:Victor Medvedchuk</t>
  </si>
  <si>
    <t>2056:Valentin Nalivaychenko</t>
  </si>
  <si>
    <t>Valentin Nalivaychenko</t>
  </si>
  <si>
    <t>2056:Rinat Ahmetov</t>
  </si>
  <si>
    <t>Rinat Ahmetov</t>
  </si>
  <si>
    <t>2056:Arsen Avakov</t>
  </si>
  <si>
    <t>2056:Andrei Bileckiy</t>
  </si>
  <si>
    <t>2056:Dmitriy Yarosh</t>
  </si>
  <si>
    <t>2055:Vladimir Zelenskiy</t>
  </si>
  <si>
    <t>2055</t>
  </si>
  <si>
    <t>https://ukraine-elections.com.ua/en/socopros/opinion_poll_show/2055</t>
  </si>
  <si>
    <t>2021-12-16</t>
  </si>
  <si>
    <t>2021-12-18</t>
  </si>
  <si>
    <t>2055:Pyotr Poroshenko</t>
  </si>
  <si>
    <t>2055:Yulia Timoshenko</t>
  </si>
  <si>
    <t>2055:Yuri Boyko</t>
  </si>
  <si>
    <t>2055:Evgeniy Muraev</t>
  </si>
  <si>
    <t>2055:Dmitriy Razumkov</t>
  </si>
  <si>
    <t>2055:Igor Smeshko</t>
  </si>
  <si>
    <t>2055:Vladimir Groysman</t>
  </si>
  <si>
    <t>2055:Oleg Lyashko</t>
  </si>
  <si>
    <t>2055:Arseniy Yacenyuk</t>
  </si>
  <si>
    <t>2055:Andrei Sadovyy</t>
  </si>
  <si>
    <t>2055:Oleg Tyagnibok</t>
  </si>
  <si>
    <t>2055:Vitaly Klichko</t>
  </si>
  <si>
    <t>2054:Vladimir Zelenskiy</t>
  </si>
  <si>
    <t>2054</t>
  </si>
  <si>
    <t>https://ukraine-elections.com.ua/en/socopros/opinion_poll_show/2054</t>
  </si>
  <si>
    <t>2021-11-28</t>
  </si>
  <si>
    <t>2054:Pyotr Poroshenko</t>
  </si>
  <si>
    <t>2054:Yuri Boyko</t>
  </si>
  <si>
    <t>2054:Yulia Timoshenko</t>
  </si>
  <si>
    <t>2054:Dmitriy Razumkov</t>
  </si>
  <si>
    <t>2054:Evgeniy Muraev</t>
  </si>
  <si>
    <t>2054:Igor Smeshko</t>
  </si>
  <si>
    <t>2054:Vladimir Groysman</t>
  </si>
  <si>
    <t>2054:Oleg Lyashko</t>
  </si>
  <si>
    <t>2054:Oleg Tyagnibok</t>
  </si>
  <si>
    <t>2054:Vitaly Klichko</t>
  </si>
  <si>
    <t>2054:Arsen Avakov</t>
  </si>
  <si>
    <t>2054:Arseniy Yacenyuk</t>
  </si>
  <si>
    <t>2052:Vladimir Zelenskiy</t>
  </si>
  <si>
    <t>2052</t>
  </si>
  <si>
    <t>https://ukraine-elections.com.ua/en/socopros/opinion_poll_show/2052</t>
  </si>
  <si>
    <t>2052:Pyotr Poroshenko</t>
  </si>
  <si>
    <t>2052:Yuri Boyko</t>
  </si>
  <si>
    <t>2052:Yulia Timoshenko</t>
  </si>
  <si>
    <t>2052:Igor Smeshko</t>
  </si>
  <si>
    <t>2052:Dmitriy Razumkov</t>
  </si>
  <si>
    <t>2052:Vladimir Groysman</t>
  </si>
  <si>
    <t>2052:Evgeniy Muraev</t>
  </si>
  <si>
    <t>2052:Oleg Lyashko</t>
  </si>
  <si>
    <t>2052:Sergey Pritula</t>
  </si>
  <si>
    <t>2052:Victor Medvedchuk</t>
  </si>
  <si>
    <t>2052:Anatoly Shariy</t>
  </si>
  <si>
    <t>Anatoly Shariy</t>
  </si>
  <si>
    <t>2052:Vitaly Klichko</t>
  </si>
  <si>
    <t>2052:Arseniy Yacenyuk</t>
  </si>
  <si>
    <t>2052:Oleg Tyagnibok</t>
  </si>
  <si>
    <t>2052:Kira Rudik</t>
  </si>
  <si>
    <t>2050:Vladimir Zelenskiy</t>
  </si>
  <si>
    <t>2050</t>
  </si>
  <si>
    <t>https://ukraine-elections.com.ua/en/socopros/opinion_poll_show/2050</t>
  </si>
  <si>
    <t>2021-12-11</t>
  </si>
  <si>
    <t>2050:Pyotr Poroshenko</t>
  </si>
  <si>
    <t>2050:Yulia Timoshenko</t>
  </si>
  <si>
    <t>2050:Yuri Boyko</t>
  </si>
  <si>
    <t>2050:Igor Smeshko</t>
  </si>
  <si>
    <t>2050:Dmitriy Razumkov</t>
  </si>
  <si>
    <t>2050:Evgeniy Muraev</t>
  </si>
  <si>
    <t>2050:Vladimir Groysman</t>
  </si>
  <si>
    <t>2050:Victor Medvedchuk</t>
  </si>
  <si>
    <t>2050:Oleg Tyagnibok</t>
  </si>
  <si>
    <t>2050:Oleg Lyashko</t>
  </si>
  <si>
    <t>2050:Kira Rudik</t>
  </si>
  <si>
    <t>2049:Vladimir Zelenskiy</t>
  </si>
  <si>
    <t>2049</t>
  </si>
  <si>
    <t>https://ukraine-elections.com.ua/en/socopros/opinion_poll_show/2049</t>
  </si>
  <si>
    <t>2021-12-04</t>
  </si>
  <si>
    <t>2049:Yuri Boyko</t>
  </si>
  <si>
    <t>2049:Pyotr Poroshenko</t>
  </si>
  <si>
    <t>2049:Yulia Timoshenko</t>
  </si>
  <si>
    <t>2049:Dmitriy Razumkov</t>
  </si>
  <si>
    <t>2049:Igor Smeshko</t>
  </si>
  <si>
    <t>2049:Vladimir Groysman</t>
  </si>
  <si>
    <t>2049:Evgeniy Muraev</t>
  </si>
  <si>
    <t>2049:Oleg Lyashko</t>
  </si>
  <si>
    <t>2049:Vitaly Klichko</t>
  </si>
  <si>
    <t>2049:Sergey Pritula</t>
  </si>
  <si>
    <t>2049:Oleg Tyagnibok</t>
  </si>
  <si>
    <t>2049:Kira Rudik</t>
  </si>
  <si>
    <t>2049:Andrei Bileckiy</t>
  </si>
  <si>
    <t>2047:Vladimir Zelenskiy</t>
  </si>
  <si>
    <t>2047</t>
  </si>
  <si>
    <t>https://ukraine-elections.com.ua/en/socopros/opinion_poll_show/2047</t>
  </si>
  <si>
    <t>2021-12-07</t>
  </si>
  <si>
    <t>2021-12-08</t>
  </si>
  <si>
    <t>2047:Pyotr Poroshenko</t>
  </si>
  <si>
    <t>2047:Dmitriy Razumkov</t>
  </si>
  <si>
    <t>2047:Yuri Boyko</t>
  </si>
  <si>
    <t>2047:Yulia Timoshenko</t>
  </si>
  <si>
    <t>2047:Vladimir Groysman</t>
  </si>
  <si>
    <t>2047:Igor Smeshko</t>
  </si>
  <si>
    <t>2047:Evgeniy Muraev</t>
  </si>
  <si>
    <t>2047:Oleg Lyashko</t>
  </si>
  <si>
    <t>2047:Vitaly Klichko</t>
  </si>
  <si>
    <t>2047:Andrei Sadovyy</t>
  </si>
  <si>
    <t>2047:Arseniy Yacenyuk</t>
  </si>
  <si>
    <t>2047:Oleg Tyagnibok</t>
  </si>
  <si>
    <t>2047:Arsen Avakov</t>
  </si>
  <si>
    <t>2046:Vladimir Zelenskiy</t>
  </si>
  <si>
    <t>2046</t>
  </si>
  <si>
    <t>https://ukraine-elections.com.ua/en/socopros/opinion_poll_show/2046</t>
  </si>
  <si>
    <t>2021-12-03</t>
  </si>
  <si>
    <t>2046:Pyotr Poroshenko</t>
  </si>
  <si>
    <t>2046:Yulia Timoshenko</t>
  </si>
  <si>
    <t>2046:Igor Smeshko</t>
  </si>
  <si>
    <t>2046:Yuri Boyko</t>
  </si>
  <si>
    <t>2046:Evgeniy Muraev</t>
  </si>
  <si>
    <t>2046:Dmitriy Razumkov</t>
  </si>
  <si>
    <t>2046:Vladimir Groysman</t>
  </si>
  <si>
    <t>2046:Oleg Lyashko</t>
  </si>
  <si>
    <t>2046:Oleg Tyagnibok</t>
  </si>
  <si>
    <t>2046:Kira Rudik</t>
  </si>
  <si>
    <t>2045:Vladimir Zelenskiy</t>
  </si>
  <si>
    <t>2045</t>
  </si>
  <si>
    <t>https://ukraine-elections.com.ua/en/socopros/opinion_poll_show/2045</t>
  </si>
  <si>
    <t>2045:Pyotr Poroshenko</t>
  </si>
  <si>
    <t>2045:Yulia Timoshenko</t>
  </si>
  <si>
    <t>2045:Yuri Boyko</t>
  </si>
  <si>
    <t>2045:Igor Smeshko</t>
  </si>
  <si>
    <t>2045:Dmitriy Razumkov</t>
  </si>
  <si>
    <t>2045:Evgeniy Muraev</t>
  </si>
  <si>
    <t>2045:Vladimir Groysman</t>
  </si>
  <si>
    <t>2045:Vitaly Klichko</t>
  </si>
  <si>
    <t>2045:Victor Medvedchuk</t>
  </si>
  <si>
    <t>2045:Arsen Avakov</t>
  </si>
  <si>
    <t>2043:Vladimir Zelenskiy</t>
  </si>
  <si>
    <t>2043</t>
  </si>
  <si>
    <t>https://ukraine-elections.com.ua/en/socopros/opinion_poll_show/2043</t>
  </si>
  <si>
    <t>2021-12-06</t>
  </si>
  <si>
    <t>2043:Pyotr Poroshenko</t>
  </si>
  <si>
    <t>2043:Yulia Timoshenko</t>
  </si>
  <si>
    <t>2043:Yuri Boyko</t>
  </si>
  <si>
    <t>2043:Dmitriy Razumkov</t>
  </si>
  <si>
    <t>2043:Igor Smeshko</t>
  </si>
  <si>
    <t>2043:Evgeniy Muraev</t>
  </si>
  <si>
    <t>2043:Vladimir Groysman</t>
  </si>
  <si>
    <t>2043:Oleg Lyashko</t>
  </si>
  <si>
    <t>2043:Arseniy Yacenyuk</t>
  </si>
  <si>
    <t>2043:Vitaly Klichko</t>
  </si>
  <si>
    <t>2043:Andrei Sadovyy</t>
  </si>
  <si>
    <t>2043:Oleg Tyagnibok</t>
  </si>
  <si>
    <t>2042:Vladimir Zelenskiy</t>
  </si>
  <si>
    <t>2042</t>
  </si>
  <si>
    <t>https://ukraine-elections.com.ua/en/socopros/opinion_poll_show/2042</t>
  </si>
  <si>
    <t>2042:Yuri Boyko</t>
  </si>
  <si>
    <t>2042:Pyotr Poroshenko</t>
  </si>
  <si>
    <t>2042:Yulia Timoshenko</t>
  </si>
  <si>
    <t>2042:Dmitriy Razumkov</t>
  </si>
  <si>
    <t>2042:Igor Smeshko</t>
  </si>
  <si>
    <t>2042:Vladimir Groysman</t>
  </si>
  <si>
    <t>2042:Evgeniy Muraev</t>
  </si>
  <si>
    <t>2044:Vladimir Zelenskiy</t>
  </si>
  <si>
    <t>2044</t>
  </si>
  <si>
    <t>https://ukraine-elections.com.ua/en/socopros/opinion_poll_show/2044</t>
  </si>
  <si>
    <t>2044:Pyotr Poroshenko</t>
  </si>
  <si>
    <t>2044:Yuri Boyko</t>
  </si>
  <si>
    <t>2044:Yulia Timoshenko</t>
  </si>
  <si>
    <t>2044:Dmitriy Razumkov</t>
  </si>
  <si>
    <t>2044:Igor Smeshko</t>
  </si>
  <si>
    <t>2044:Evgeniy Muraev</t>
  </si>
  <si>
    <t>2044:Vladimir Groysman</t>
  </si>
  <si>
    <t>2044:Oleg Lyashko</t>
  </si>
  <si>
    <t>2044:Vitaly Klichko</t>
  </si>
  <si>
    <t>2044:Oleg Tyagnibok</t>
  </si>
  <si>
    <t>2044:Boris Kolesnikov</t>
  </si>
  <si>
    <t>Boris Kolesnikov</t>
  </si>
  <si>
    <t>2044:Igor Palica</t>
  </si>
  <si>
    <t>Igor Palica</t>
  </si>
  <si>
    <t>2036:Vladimir Zelenskiy</t>
  </si>
  <si>
    <t>2036</t>
  </si>
  <si>
    <t>https://ukraine-elections.com.ua/en/socopros/opinion_poll_show/2036</t>
  </si>
  <si>
    <t>2021-11-17</t>
  </si>
  <si>
    <t>2036:Pyotr Poroshenko</t>
  </si>
  <si>
    <t>2036:Yuri Boyko</t>
  </si>
  <si>
    <t>2036:Yulia Timoshenko</t>
  </si>
  <si>
    <t>2036:Dmitriy Razumkov</t>
  </si>
  <si>
    <t>2036:Igor Smeshko</t>
  </si>
  <si>
    <t>2036:Vladimir Groysman</t>
  </si>
  <si>
    <t>2036:Evgeniy Muraev</t>
  </si>
  <si>
    <t>2036:Oleg Lyashko</t>
  </si>
  <si>
    <t>2036:Anatoly Gricenko</t>
  </si>
  <si>
    <t>2036:Ruslan Koshulinskiy</t>
  </si>
  <si>
    <t>2036:Sergey Pritula</t>
  </si>
  <si>
    <t>2036:Vitaly Klichko</t>
  </si>
  <si>
    <t>2035:Vladimir Zelenskiy</t>
  </si>
  <si>
    <t>2035</t>
  </si>
  <si>
    <t>https://ukraine-elections.com.ua/en/socopros/opinion_poll_show/2035</t>
  </si>
  <si>
    <t>2021-11-03</t>
  </si>
  <si>
    <t>2035:Yuri Boyko</t>
  </si>
  <si>
    <t>2035:Pyotr Poroshenko</t>
  </si>
  <si>
    <t>2035:Yulia Timoshenko</t>
  </si>
  <si>
    <t>2035:Igor Smeshko</t>
  </si>
  <si>
    <t>2035:Dmitriy Razumkov</t>
  </si>
  <si>
    <t>2035:Evgeniy Muraev</t>
  </si>
  <si>
    <t>2035:Vladimir Groysman</t>
  </si>
  <si>
    <t>2035:Vitaly Klichko</t>
  </si>
  <si>
    <t>2035:Oleg Lyashko</t>
  </si>
  <si>
    <t>2035:Sergey Pritula</t>
  </si>
  <si>
    <t>2035:Oleg Tyagnibok</t>
  </si>
  <si>
    <t>2035:Andrei Bileckiy</t>
  </si>
  <si>
    <t>2035:Kira Rudik</t>
  </si>
  <si>
    <t>2034:Vladimir Zelenskiy</t>
  </si>
  <si>
    <t>2034</t>
  </si>
  <si>
    <t>https://ukraine-elections.com.ua/en/socopros/opinion_poll_show/2034</t>
  </si>
  <si>
    <t>2021-11-13</t>
  </si>
  <si>
    <t>2034:Pyotr Poroshenko</t>
  </si>
  <si>
    <t>2034:Yulia Timoshenko</t>
  </si>
  <si>
    <t>2034:Yuri Boyko</t>
  </si>
  <si>
    <t>2034:Dmitriy Razumkov</t>
  </si>
  <si>
    <t>2034:Evgeniy Muraev</t>
  </si>
  <si>
    <t>2034:Igor Smeshko</t>
  </si>
  <si>
    <t>2034:Vladimir Groysman</t>
  </si>
  <si>
    <t>2034:Oleg Lyashko</t>
  </si>
  <si>
    <t>2034:Andrei Sadovyy</t>
  </si>
  <si>
    <t>2034:Arseniy Yacenyuk</t>
  </si>
  <si>
    <t>2034:Vitaly Klichko</t>
  </si>
  <si>
    <t>2034:Oleg Tyagnibok</t>
  </si>
  <si>
    <t>2033:Vladimir Zelenskiy</t>
  </si>
  <si>
    <t>2033</t>
  </si>
  <si>
    <t>https://ukraine-elections.com.ua/en/socopros/opinion_poll_show/2033</t>
  </si>
  <si>
    <t>2021-11-08</t>
  </si>
  <si>
    <t>2033:Pyotr Poroshenko</t>
  </si>
  <si>
    <t>2033:Yulia Timoshenko</t>
  </si>
  <si>
    <t>2033:Yuri Boyko</t>
  </si>
  <si>
    <t>2033:Evgeniy Komarovskiy</t>
  </si>
  <si>
    <t>2033:Igor Smeshko</t>
  </si>
  <si>
    <t>2033:Dmitriy Razumkov</t>
  </si>
  <si>
    <t>2033:Evgeniy Muraev</t>
  </si>
  <si>
    <t>2033:Oleg Lyashko</t>
  </si>
  <si>
    <t>2033:Vitaly Klichko</t>
  </si>
  <si>
    <t>2033:Vladimir Groysman</t>
  </si>
  <si>
    <t>2033:Anatoly Gricenko</t>
  </si>
  <si>
    <t>2033:Oleg Tyagnibok</t>
  </si>
  <si>
    <t>2033:Arseniy Yacenyuk</t>
  </si>
  <si>
    <t>2032:Vladimir Zelenskiy</t>
  </si>
  <si>
    <t>2032</t>
  </si>
  <si>
    <t>https://ukraine-elections.com.ua/en/socopros/opinion_poll_show/2032</t>
  </si>
  <si>
    <t>2021-11-04</t>
  </si>
  <si>
    <t>2032:Pyotr Poroshenko</t>
  </si>
  <si>
    <t>2032:Yuri Boyko</t>
  </si>
  <si>
    <t>2032:Yulia Timoshenko</t>
  </si>
  <si>
    <t>2032:Dmitriy Razumkov</t>
  </si>
  <si>
    <t>2032:Evgeniy Muraev</t>
  </si>
  <si>
    <t>2032:Igor Smeshko</t>
  </si>
  <si>
    <t>2032:Vladimir Groysman</t>
  </si>
  <si>
    <t>2032:Oleg Lyashko</t>
  </si>
  <si>
    <t>2032:Andrei Sadovyy</t>
  </si>
  <si>
    <t>2032:Oleg Tyagnibok</t>
  </si>
  <si>
    <t>2032:Vitaly Klichko</t>
  </si>
  <si>
    <t>2031:Vladimir Zelenskiy</t>
  </si>
  <si>
    <t>2031</t>
  </si>
  <si>
    <t>https://ukraine-elections.com.ua/en/socopros/opinion_poll_show/2031</t>
  </si>
  <si>
    <t>2021-11-07</t>
  </si>
  <si>
    <t>2031:Pyotr Poroshenko</t>
  </si>
  <si>
    <t>2031:Yuri Boyko</t>
  </si>
  <si>
    <t>2031:Yulia Timoshenko</t>
  </si>
  <si>
    <t>2031:Dmitriy Razumkov</t>
  </si>
  <si>
    <t>2031:Igor Smeshko</t>
  </si>
  <si>
    <t>2031:Vladimir Groysman</t>
  </si>
  <si>
    <t>2031:Evgeniy Muraev</t>
  </si>
  <si>
    <t>2031:Oleg Lyashko</t>
  </si>
  <si>
    <t>2031:Vitaly Klichko</t>
  </si>
  <si>
    <t>2031:Oleg Tyagnibok</t>
  </si>
  <si>
    <t>2030:Vladimir Zelenskiy</t>
  </si>
  <si>
    <t>2030</t>
  </si>
  <si>
    <t>https://ukraine-elections.com.ua/en/socopros/opinion_poll_show/2030</t>
  </si>
  <si>
    <t>2021-10-29</t>
  </si>
  <si>
    <t>2030:Pyotr Poroshenko</t>
  </si>
  <si>
    <t>2030:Yuri Boyko</t>
  </si>
  <si>
    <t>2030:Yulia Timoshenko</t>
  </si>
  <si>
    <t>2030:Dmitriy Razumkov</t>
  </si>
  <si>
    <t>2030:Evgeniy Muraev</t>
  </si>
  <si>
    <t>2030:Igor Smeshko</t>
  </si>
  <si>
    <t>2030:Vladimir Groysman</t>
  </si>
  <si>
    <t>2030:Victor Medvedchuk</t>
  </si>
  <si>
    <t>2030:Oleg Lyashko</t>
  </si>
  <si>
    <t>2030:Oleg Tyagnibok</t>
  </si>
  <si>
    <t>2028:Vladimir Zelenskiy</t>
  </si>
  <si>
    <t>2028</t>
  </si>
  <si>
    <t>https://ukraine-elections.com.ua/en/socopros/opinion_poll_show/2028</t>
  </si>
  <si>
    <t>2021-10-23</t>
  </si>
  <si>
    <t>2028:Pyotr Poroshenko</t>
  </si>
  <si>
    <t>2028:Yuri Boyko</t>
  </si>
  <si>
    <t>2028:Yulia Timoshenko</t>
  </si>
  <si>
    <t>2028:Igor Smeshko</t>
  </si>
  <si>
    <t>2028:Vladimir Groysman</t>
  </si>
  <si>
    <t>2028:Evgeniy Muraev</t>
  </si>
  <si>
    <t>2028:Dmitriy Razumkov</t>
  </si>
  <si>
    <t>2028:Victor Medvedchuk</t>
  </si>
  <si>
    <t>2028:Vitaly Klichko</t>
  </si>
  <si>
    <t>2025:Vladimir Zelenskiy</t>
  </si>
  <si>
    <t>2025</t>
  </si>
  <si>
    <t>https://ukraine-elections.com.ua/en/socopros/opinion_poll_show/2025</t>
  </si>
  <si>
    <t>2021-10-21</t>
  </si>
  <si>
    <t>2021-11-23</t>
  </si>
  <si>
    <t>2025:Pyotr Poroshenko</t>
  </si>
  <si>
    <t>2025:Yulia Timoshenko</t>
  </si>
  <si>
    <t>2025:Yuri Boyko</t>
  </si>
  <si>
    <t>2025:Dmitriy Razumkov</t>
  </si>
  <si>
    <t>2025:Igor Smeshko</t>
  </si>
  <si>
    <t>2025:Evgeniy Muraev</t>
  </si>
  <si>
    <t>2025:Vladimir Groysman</t>
  </si>
  <si>
    <t>2025:Anatoly Gricenko</t>
  </si>
  <si>
    <t>2025:Oleg Lyashko</t>
  </si>
  <si>
    <t>2025:Oleg Tyagnibok</t>
  </si>
  <si>
    <t>2025:Andrei Sadovyy</t>
  </si>
  <si>
    <t>2024:Vladimir Zelenskiy</t>
  </si>
  <si>
    <t>2024</t>
  </si>
  <si>
    <t>https://ukraine-elections.com.ua/en/socopros/opinion_poll_show/2024</t>
  </si>
  <si>
    <t>2021-11-27</t>
  </si>
  <si>
    <t>2024:Pyotr Poroshenko</t>
  </si>
  <si>
    <t>2024:Yuri Boyko</t>
  </si>
  <si>
    <t>2024:Dmitriy Razumkov</t>
  </si>
  <si>
    <t>2024:Yulia Timoshenko</t>
  </si>
  <si>
    <t>2024:Vladimir Groysman</t>
  </si>
  <si>
    <t>2024:Igor Smeshko</t>
  </si>
  <si>
    <t>2024:Evgeniy Muraev</t>
  </si>
  <si>
    <t>2024:Oleg Lyashko</t>
  </si>
  <si>
    <t>2024:Victor Medvedchuk</t>
  </si>
  <si>
    <t>2024:Oleg Tyagnibok</t>
  </si>
  <si>
    <t>2024:Kira Rudik</t>
  </si>
  <si>
    <t>2020:Vladimir Zelenskiy</t>
  </si>
  <si>
    <t>2020</t>
  </si>
  <si>
    <t>https://ukraine-elections.com.ua/en/socopros/opinion_poll_show/2020</t>
  </si>
  <si>
    <t>2021-10-14</t>
  </si>
  <si>
    <t>2021-10-20</t>
  </si>
  <si>
    <t>2020:Pyotr Poroshenko</t>
  </si>
  <si>
    <t>2020:Yuri Boyko</t>
  </si>
  <si>
    <t>2020:Yulia Timoshenko</t>
  </si>
  <si>
    <t>2020:Dmitriy Razumkov</t>
  </si>
  <si>
    <t>2020:Evgeniy Muraev</t>
  </si>
  <si>
    <t>2020:Igor Smeshko</t>
  </si>
  <si>
    <t>2020:Vladimir Groysman</t>
  </si>
  <si>
    <t>2020:Anatoly Gricenko</t>
  </si>
  <si>
    <t>2020:Oleg Lyashko</t>
  </si>
  <si>
    <t>2020:Ruslan Koshulinskiy</t>
  </si>
  <si>
    <t>2020:Sergey Pritula</t>
  </si>
  <si>
    <t>2020:Vitaly Klichko</t>
  </si>
  <si>
    <t>2015:Vladimir Zelenskiy</t>
  </si>
  <si>
    <t>2015</t>
  </si>
  <si>
    <t>https://ukraine-elections.com.ua/en/socopros/opinion_poll_show/2015</t>
  </si>
  <si>
    <t>2021-10-15</t>
  </si>
  <si>
    <t>2021-10-18</t>
  </si>
  <si>
    <t>2015:Pyotr Poroshenko</t>
  </si>
  <si>
    <t>2015:Yulia Timoshenko</t>
  </si>
  <si>
    <t>2015:Yuri Boyko</t>
  </si>
  <si>
    <t>2015:Igor Smeshko</t>
  </si>
  <si>
    <t>2015:Dmitriy Razumkov</t>
  </si>
  <si>
    <t>2015:Evgeniy Muraev</t>
  </si>
  <si>
    <t>2015:Vladimir Groysman</t>
  </si>
  <si>
    <t>2015:Oleg Lyashko</t>
  </si>
  <si>
    <t>2015:Victor Medvedchuk</t>
  </si>
  <si>
    <t>2015:Oleg Tyagnibok</t>
  </si>
  <si>
    <t>2015:Kira Rudik</t>
  </si>
  <si>
    <t>2012:Vladimir Zelenskiy</t>
  </si>
  <si>
    <t>2012</t>
  </si>
  <si>
    <t>https://ukraine-elections.com.ua/en/socopros/opinion_poll_show/2012</t>
  </si>
  <si>
    <t>2021-10-07</t>
  </si>
  <si>
    <t>2021-10-11</t>
  </si>
  <si>
    <t>2012:Pyotr Poroshenko</t>
  </si>
  <si>
    <t>2012:Yuri Boyko</t>
  </si>
  <si>
    <t>2012:Yulia Timoshenko</t>
  </si>
  <si>
    <t>2012:Igor Smeshko</t>
  </si>
  <si>
    <t>2012:Dmitriy Razumkov</t>
  </si>
  <si>
    <t>2012:Evgeniy Muraev</t>
  </si>
  <si>
    <t>2012:Vladimir Groysman</t>
  </si>
  <si>
    <t>2012:Oleg Lyashko</t>
  </si>
  <si>
    <t>2012:Vitaly Klichko</t>
  </si>
  <si>
    <t>2012:Oleg Tyagnibok</t>
  </si>
  <si>
    <t>2012:Boris Kolesnikov</t>
  </si>
  <si>
    <t>2012:Igor Palica</t>
  </si>
  <si>
    <t>2010:Vladimir Zelenskiy</t>
  </si>
  <si>
    <t>2010</t>
  </si>
  <si>
    <t>https://ukraine-elections.com.ua/en/socopros/opinion_poll_show/2010</t>
  </si>
  <si>
    <t>2021-09-18</t>
  </si>
  <si>
    <t>2021-09-28</t>
  </si>
  <si>
    <t>2010:Pyotr Poroshenko</t>
  </si>
  <si>
    <t>2010:Yuri Boyko</t>
  </si>
  <si>
    <t>2010:Yulia Timoshenko</t>
  </si>
  <si>
    <t>2010:Igor Smeshko</t>
  </si>
  <si>
    <t>2010:Vladimir Groysman</t>
  </si>
  <si>
    <t>2010:Evgeniy Muraev</t>
  </si>
  <si>
    <t>2010:Dmitriy Razumkov</t>
  </si>
  <si>
    <t>2010:Victor Medvedchuk</t>
  </si>
  <si>
    <t>2010:Vitaly Klichko</t>
  </si>
  <si>
    <t>2003:Vladimir Zelenskiy</t>
  </si>
  <si>
    <t>2003</t>
  </si>
  <si>
    <t>https://ukraine-elections.com.ua/en/socopros/opinion_poll_show/2003</t>
  </si>
  <si>
    <t>2021-09-10</t>
  </si>
  <si>
    <t>2021-09-15</t>
  </si>
  <si>
    <t>2003:Pyotr Poroshenko</t>
  </si>
  <si>
    <t>2003:Yulia Timoshenko</t>
  </si>
  <si>
    <t>2003:Yuri Boyko</t>
  </si>
  <si>
    <t>2003:Igor Smeshko</t>
  </si>
  <si>
    <t>2003:Evgeniy Muraev</t>
  </si>
  <si>
    <t>2003:Vladimir Groysman</t>
  </si>
  <si>
    <t>2003:Oleg Lyashko</t>
  </si>
  <si>
    <t>2003:Alexander Vilkul</t>
  </si>
  <si>
    <t>1999:Vladimir Zelenskiy</t>
  </si>
  <si>
    <t>1999</t>
  </si>
  <si>
    <t>https://ukraine-elections.com.ua/en/socopros/opinion_poll_show/1999</t>
  </si>
  <si>
    <t>2021-09-04</t>
  </si>
  <si>
    <t>2021-09-05</t>
  </si>
  <si>
    <t>1999:Pyotr Poroshenko</t>
  </si>
  <si>
    <t>1999:Yuri Boyko</t>
  </si>
  <si>
    <t>1999:Yulia Timoshenko</t>
  </si>
  <si>
    <t>1999:Igor Smeshko</t>
  </si>
  <si>
    <t>1999:Evgeniy Muraev</t>
  </si>
  <si>
    <t>1999:Vladimir Groysman</t>
  </si>
  <si>
    <t>1999:Dmitriy Razumkov</t>
  </si>
  <si>
    <t>1999:Vitaly Klichko</t>
  </si>
  <si>
    <t>1999:Oleg Lyashko</t>
  </si>
  <si>
    <t>1999:Igor Umanskiy</t>
  </si>
  <si>
    <t>Igor Umanskiy</t>
  </si>
  <si>
    <t>1999:Oleg Tyagnibok</t>
  </si>
  <si>
    <t>1997:Vladimir Zelenskiy</t>
  </si>
  <si>
    <t>1997</t>
  </si>
  <si>
    <t>https://ukraine-elections.com.ua/en/socopros/opinion_poll_show/1997</t>
  </si>
  <si>
    <t>2021-09-02</t>
  </si>
  <si>
    <t>1997:Pyotr Poroshenko</t>
  </si>
  <si>
    <t>1997:Yuri Boyko</t>
  </si>
  <si>
    <t>1997:Yulia Timoshenko</t>
  </si>
  <si>
    <t>1997:Igor Smeshko</t>
  </si>
  <si>
    <t>1997:Vladimir Groysman</t>
  </si>
  <si>
    <t>1997:Evgeniy Muraev</t>
  </si>
  <si>
    <t>1997:Oleg Lyashko</t>
  </si>
  <si>
    <t>1997:Dmitriy Razumkov</t>
  </si>
  <si>
    <t>1997:Arseniy Yacenyuk</t>
  </si>
  <si>
    <t>1997:Oleg Tyagnibok</t>
  </si>
  <si>
    <t>1997:Kira Rudik</t>
  </si>
  <si>
    <t>1993:Vladimir Zelenskiy</t>
  </si>
  <si>
    <t>1993</t>
  </si>
  <si>
    <t>https://ukraine-elections.com.ua/en/socopros/opinion_poll_show/1993</t>
  </si>
  <si>
    <t>2021-08-05</t>
  </si>
  <si>
    <t>2021-08-12</t>
  </si>
  <si>
    <t>Questionnaire</t>
  </si>
  <si>
    <t>1993:Yuri Boyko</t>
  </si>
  <si>
    <t>1993:Pyotr Poroshenko</t>
  </si>
  <si>
    <t>1993:Yulia Timoshenko</t>
  </si>
  <si>
    <t>1993:Igor Smeshko</t>
  </si>
  <si>
    <t>1993:Evgeniy Muraev</t>
  </si>
  <si>
    <t>1993:Vladimir Groysman</t>
  </si>
  <si>
    <t>1993:Dmitriy Razumkov</t>
  </si>
  <si>
    <t>1993:Oleg Lyashko</t>
  </si>
  <si>
    <t>1993:Vitaly Klichko</t>
  </si>
  <si>
    <t>1993:Oleg Tyagnibok</t>
  </si>
  <si>
    <t>1993:Boris Kolesnikov</t>
  </si>
  <si>
    <t>1993:Igor Palica</t>
  </si>
  <si>
    <t>1992:Vladimir Zelenskiy</t>
  </si>
  <si>
    <t>1992</t>
  </si>
  <si>
    <t>https://ukraine-elections.com.ua/en/socopros/opinion_poll_show/1992</t>
  </si>
  <si>
    <t>2021-08-02</t>
  </si>
  <si>
    <t>1992:Yuri Boyko</t>
  </si>
  <si>
    <t>1992:Pyotr Poroshenko</t>
  </si>
  <si>
    <t>1992:Yulia Timoshenko</t>
  </si>
  <si>
    <t>1992:Igor Smeshko</t>
  </si>
  <si>
    <t>1992:Vladimir Groysman</t>
  </si>
  <si>
    <t>1990:Vladimir Zelenskiy</t>
  </si>
  <si>
    <t>1990</t>
  </si>
  <si>
    <t>https://ukraine-elections.com.ua/en/socopros/opinion_poll_show/1990</t>
  </si>
  <si>
    <t>1990:Pyotr Poroshenko</t>
  </si>
  <si>
    <t>1990:Yuri Boyko</t>
  </si>
  <si>
    <t>1990:Yulia Timoshenko</t>
  </si>
  <si>
    <t>1990:Igor Smeshko</t>
  </si>
  <si>
    <t>1990:Evgeniy Muraev</t>
  </si>
  <si>
    <t>1990:Vladimir Groysman</t>
  </si>
  <si>
    <t>1990:Oleg Lyashko</t>
  </si>
  <si>
    <t>1990:Dmitriy Razumkov</t>
  </si>
  <si>
    <t>1990:Andrei Sadovyy</t>
  </si>
  <si>
    <t>1990:Oleg Tyagnibok</t>
  </si>
  <si>
    <t>1990:Vitaly Klichko</t>
  </si>
  <si>
    <t>1988:Vladimir Zelenskiy</t>
  </si>
  <si>
    <t>1988</t>
  </si>
  <si>
    <t>https://ukraine-elections.com.ua/en/socopros/opinion_poll_show/1988</t>
  </si>
  <si>
    <t>1988:Pyotr Poroshenko</t>
  </si>
  <si>
    <t>1988:Yulia Timoshenko</t>
  </si>
  <si>
    <t>1988:Yuri Boyko</t>
  </si>
  <si>
    <t>1988:Igor Smeshko</t>
  </si>
  <si>
    <t>1988:Vladimir Groysman</t>
  </si>
  <si>
    <t>1988:Evgeniy Muraev</t>
  </si>
  <si>
    <t>1988:Dmitriy Razumkov</t>
  </si>
  <si>
    <t>1988:Victor Medvedchuk</t>
  </si>
  <si>
    <t>1988:Anatoly Shariy</t>
  </si>
  <si>
    <t>1988:Vitaly Klichko</t>
  </si>
  <si>
    <t>1987:Vladimir Zelenskiy</t>
  </si>
  <si>
    <t>1987</t>
  </si>
  <si>
    <t>https://ukraine-elections.com.ua/en/socopros/opinion_poll_show/1987</t>
  </si>
  <si>
    <t>2021-07-29</t>
  </si>
  <si>
    <t>2021-08-04</t>
  </si>
  <si>
    <t>1987:Pyotr Poroshenko</t>
  </si>
  <si>
    <t>1987:Yuri Boyko</t>
  </si>
  <si>
    <t>1987:Yulia Timoshenko</t>
  </si>
  <si>
    <t>1987:Igor Smeshko</t>
  </si>
  <si>
    <t>1987:Oleg Lyashko</t>
  </si>
  <si>
    <t>1987:Vladimir Groysman</t>
  </si>
  <si>
    <t>1987:Ruslan Koshulinskiy</t>
  </si>
  <si>
    <t>1987:Dmitriy Razumkov</t>
  </si>
  <si>
    <t>1987:Anatoly Gricenko</t>
  </si>
  <si>
    <t>1987:Vitaly Klichko</t>
  </si>
  <si>
    <t>1987:Alexander Vilkul</t>
  </si>
  <si>
    <t>1985:Vladimir Zelenskiy</t>
  </si>
  <si>
    <t>1985</t>
  </si>
  <si>
    <t>https://ukraine-elections.com.ua/en/socopros/opinion_poll_show/1985</t>
  </si>
  <si>
    <t>2021-08-03</t>
  </si>
  <si>
    <t>1985:Pyotr Poroshenko</t>
  </si>
  <si>
    <t>1985:Yulia Timoshenko</t>
  </si>
  <si>
    <t>1985:Igor Smeshko</t>
  </si>
  <si>
    <t>1985:Yuri Boyko</t>
  </si>
  <si>
    <t>1985:Vladimir Groysman</t>
  </si>
  <si>
    <t>1985:Evgeniy Muraev</t>
  </si>
  <si>
    <t>1985:Victor Medvedchuk</t>
  </si>
  <si>
    <t>1985:Dmitriy Razumkov</t>
  </si>
  <si>
    <t>1985:Oleg Lyashko</t>
  </si>
  <si>
    <t>1985:Vitaly Klichko</t>
  </si>
  <si>
    <t>1985:Oleg Tyagnibok</t>
  </si>
  <si>
    <t>1985:Arsen Avakov</t>
  </si>
  <si>
    <t>1985:Evgeniy Komarovskiy</t>
  </si>
  <si>
    <t>1980:Vladimir Zelenskiy</t>
  </si>
  <si>
    <t>1980</t>
  </si>
  <si>
    <t>https://ukraine-elections.com.ua/en/socopros/opinion_poll_show/1980</t>
  </si>
  <si>
    <t>2021-07-16</t>
  </si>
  <si>
    <t>2021-07-23</t>
  </si>
  <si>
    <t>1980:Pyotr Poroshenko</t>
  </si>
  <si>
    <t>1980:Yuri Boyko</t>
  </si>
  <si>
    <t>1980:Yulia Timoshenko</t>
  </si>
  <si>
    <t>1980:Igor Smeshko</t>
  </si>
  <si>
    <t>1980:Evgeniy Muraev</t>
  </si>
  <si>
    <t>1980:Vladimir Groysman</t>
  </si>
  <si>
    <t>1980:Dmitriy Razumkov</t>
  </si>
  <si>
    <t>1980:Oleg Lyashko</t>
  </si>
  <si>
    <t>1980:Vitaly Klichko</t>
  </si>
  <si>
    <t>1980:Igor Palica</t>
  </si>
  <si>
    <t>1979:Vladimir Zelenskiy</t>
  </si>
  <si>
    <t>1979</t>
  </si>
  <si>
    <t>https://ukraine-elections.com.ua/en/socopros/opinion_poll_show/1979</t>
  </si>
  <si>
    <t>2021-07-25</t>
  </si>
  <si>
    <t>1979:Pyotr Poroshenko</t>
  </si>
  <si>
    <t>1979:Yulia Timoshenko</t>
  </si>
  <si>
    <t>1979:Yuri Boyko</t>
  </si>
  <si>
    <t>1979:Igor Smeshko</t>
  </si>
  <si>
    <t>1979:Vladimir Groysman</t>
  </si>
  <si>
    <t>1979:Evgeniy Muraev</t>
  </si>
  <si>
    <t>1979:Dmitriy Razumkov</t>
  </si>
  <si>
    <t>1979:Oleg Tyagnibok</t>
  </si>
  <si>
    <t>1979:Oleg Lyashko</t>
  </si>
  <si>
    <t>1979:Arseniy Yacenyuk</t>
  </si>
  <si>
    <t>1979:Kira Rudik</t>
  </si>
  <si>
    <t>1978:Vladimir Zelenskiy</t>
  </si>
  <si>
    <t>1978</t>
  </si>
  <si>
    <t>https://ukraine-elections.com.ua/en/socopros/opinion_poll_show/1978</t>
  </si>
  <si>
    <t>2021-07-11</t>
  </si>
  <si>
    <t>2021-07-18</t>
  </si>
  <si>
    <t>1978:Yuri Boyko</t>
  </si>
  <si>
    <t>1978:Pyotr Poroshenko</t>
  </si>
  <si>
    <t>1978:Yulia Timoshenko</t>
  </si>
  <si>
    <t>1978:Igor Smeshko</t>
  </si>
  <si>
    <t>1978:Vladimir Groysman</t>
  </si>
  <si>
    <t>1978:Oleg Lyashko</t>
  </si>
  <si>
    <t>1978:Dmitriy Razumkov</t>
  </si>
  <si>
    <t>1978:Evgeniy Muraev</t>
  </si>
  <si>
    <t>1974:Vladimir Zelenskiy</t>
  </si>
  <si>
    <t>1974</t>
  </si>
  <si>
    <t>https://ukraine-elections.com.ua/en/socopros/opinion_poll_show/1974</t>
  </si>
  <si>
    <t>2021-07-03</t>
  </si>
  <si>
    <t>2021-07-10</t>
  </si>
  <si>
    <t>1974:Yuri Boyko</t>
  </si>
  <si>
    <t>1974:Pyotr Poroshenko</t>
  </si>
  <si>
    <t>1974:Yulia Timoshenko</t>
  </si>
  <si>
    <t>1974:Igor Smeshko</t>
  </si>
  <si>
    <t>1974:Vladimir Groysman</t>
  </si>
  <si>
    <t>1974:Dmitriy Razumkov</t>
  </si>
  <si>
    <t>1974:Oleg Lyashko</t>
  </si>
  <si>
    <t>1974:Vitaly Klichko</t>
  </si>
  <si>
    <t>1974:Igor Palica</t>
  </si>
  <si>
    <t>1974:Evgeniy Muraev</t>
  </si>
  <si>
    <t>1971:Vladimir Zelenskiy</t>
  </si>
  <si>
    <t>1971</t>
  </si>
  <si>
    <t>https://ukraine-elections.com.ua/en/socopros/opinion_poll_show/1971</t>
  </si>
  <si>
    <t>2021-06-30</t>
  </si>
  <si>
    <t>1971:Pyotr Poroshenko</t>
  </si>
  <si>
    <t>1971:Igor Smeshko</t>
  </si>
  <si>
    <t>1971:Yulia Timoshenko</t>
  </si>
  <si>
    <t>1971:Yuri Boyko</t>
  </si>
  <si>
    <t>1971:Vladimir Groysman</t>
  </si>
  <si>
    <t>1971:Dmitriy Razumkov</t>
  </si>
  <si>
    <t>1971:Evgeniy Muraev</t>
  </si>
  <si>
    <t>1971:Victor Medvedchuk</t>
  </si>
  <si>
    <t>1971:Oleg Lyashko</t>
  </si>
  <si>
    <t>1971:Vitaly Klichko</t>
  </si>
  <si>
    <t>1971:Oleg Tyagnibok</t>
  </si>
  <si>
    <t>1971:Kira Rudik</t>
  </si>
  <si>
    <t>1970:Vladimir Zelenskiy</t>
  </si>
  <si>
    <t>1970</t>
  </si>
  <si>
    <t>https://ukraine-elections.com.ua/en/socopros/opinion_poll_show/1970</t>
  </si>
  <si>
    <t>2021-06-18</t>
  </si>
  <si>
    <t>2021-06-28</t>
  </si>
  <si>
    <t>1970:Pyotr Poroshenko</t>
  </si>
  <si>
    <t>1970:Yuri Boyko</t>
  </si>
  <si>
    <t>1970:Yulia Timoshenko</t>
  </si>
  <si>
    <t>1970:Igor Smeshko</t>
  </si>
  <si>
    <t>1970:Vladimir Groysman</t>
  </si>
  <si>
    <t>1970:Evgeniy Muraev</t>
  </si>
  <si>
    <t>1970:Victor Medvedchuk</t>
  </si>
  <si>
    <t>1970:Dmitriy Razumkov</t>
  </si>
  <si>
    <t>1970:Vitaly Klichko</t>
  </si>
  <si>
    <t>1970:Anatoly Shariy</t>
  </si>
  <si>
    <t>1969:Vladimir Zelenskiy</t>
  </si>
  <si>
    <t>1969</t>
  </si>
  <si>
    <t>https://ukraine-elections.com.ua/en/socopros/opinion_poll_show/1969</t>
  </si>
  <si>
    <t>1969:Pyotr Poroshenko</t>
  </si>
  <si>
    <t>1969:Yuri Boyko</t>
  </si>
  <si>
    <t>1969:Yulia Timoshenko</t>
  </si>
  <si>
    <t>1969:Igor Smeshko</t>
  </si>
  <si>
    <t>1969:Evgeniy Muraev</t>
  </si>
  <si>
    <t>1969:Vladimir Groysman</t>
  </si>
  <si>
    <t>1969:Oleg Lyashko</t>
  </si>
  <si>
    <t>1969:Arseniy Yacenyuk</t>
  </si>
  <si>
    <t>1969:Oleg Tyagnibok</t>
  </si>
  <si>
    <t>1969:Kira Rudik</t>
  </si>
  <si>
    <t>1966:Vladimir Zelenskiy</t>
  </si>
  <si>
    <t>1966</t>
  </si>
  <si>
    <t>https://ukraine-elections.com.ua/en/socopros/opinion_poll_show/1966</t>
  </si>
  <si>
    <t>2021-06-22</t>
  </si>
  <si>
    <t>1966:Pyotr Poroshenko</t>
  </si>
  <si>
    <t>1966:Yuri Boyko</t>
  </si>
  <si>
    <t>1966:Yulia Timoshenko</t>
  </si>
  <si>
    <t>1966:Igor Smeshko</t>
  </si>
  <si>
    <t>1966:Vladimir Groysman</t>
  </si>
  <si>
    <t>1966:Victor Medvedchuk</t>
  </si>
  <si>
    <t>1966:Dmitriy Razumkov</t>
  </si>
  <si>
    <t>1966:Oleg Lyashko</t>
  </si>
  <si>
    <t>1966:Vitaly Klichko</t>
  </si>
  <si>
    <t>1966:Igor Palica</t>
  </si>
  <si>
    <t>1965:Vladimir Zelenskiy</t>
  </si>
  <si>
    <t>1965</t>
  </si>
  <si>
    <t>https://ukraine-elections.com.ua/en/socopros/opinion_poll_show/1965</t>
  </si>
  <si>
    <t>2021-06-16</t>
  </si>
  <si>
    <t>1965:Pyotr Poroshenko</t>
  </si>
  <si>
    <t>1965:Yuri Boyko</t>
  </si>
  <si>
    <t>1965:Yulia Timoshenko</t>
  </si>
  <si>
    <t>1965:Igor Smeshko</t>
  </si>
  <si>
    <t>1965:Vladimir Groysman</t>
  </si>
  <si>
    <t>1965:Anatoly Gricenko</t>
  </si>
  <si>
    <t>1965:Ruslan Koshulinskiy</t>
  </si>
  <si>
    <t>1965:Dmitriy Razumkov</t>
  </si>
  <si>
    <t>1965:Oleg Lyashko</t>
  </si>
  <si>
    <t>1965:Vitaly Klichko</t>
  </si>
  <si>
    <t>1965:Alexander Vilkul</t>
  </si>
  <si>
    <t>1963:Vladimir Zelenskiy</t>
  </si>
  <si>
    <t>1963</t>
  </si>
  <si>
    <t>https://ukraine-elections.com.ua/en/socopros/opinion_poll_show/1963</t>
  </si>
  <si>
    <t>2021-06-05</t>
  </si>
  <si>
    <t>2021-06-12</t>
  </si>
  <si>
    <t>1963:Pyotr Poroshenko</t>
  </si>
  <si>
    <t>1963:Victor Medvedchuk</t>
  </si>
  <si>
    <t>1963:Yulia Timoshenko</t>
  </si>
  <si>
    <t>1963:Igor Smeshko</t>
  </si>
  <si>
    <t>1963:Vladimir Groysman</t>
  </si>
  <si>
    <t>1963:Evgeniy Muraev</t>
  </si>
  <si>
    <t>1963:Dmitriy Razumkov</t>
  </si>
  <si>
    <t>1963:Oleg Lyashko</t>
  </si>
  <si>
    <t>1963:Vitaly Klichko</t>
  </si>
  <si>
    <t>1963:Igor Palica</t>
  </si>
  <si>
    <t>1963:Yuri Boyko</t>
  </si>
  <si>
    <t>1960:Vladimir Zelenskiy</t>
  </si>
  <si>
    <t>1960</t>
  </si>
  <si>
    <t>https://ukraine-elections.com.ua/en/socopros/opinion_poll_show/1960</t>
  </si>
  <si>
    <t>2021-05-29</t>
  </si>
  <si>
    <t>2021-05-30</t>
  </si>
  <si>
    <t>1960:Pyotr Poroshenko</t>
  </si>
  <si>
    <t>1960:Yulia Timoshenko</t>
  </si>
  <si>
    <t>1960:Yuri Boyko</t>
  </si>
  <si>
    <t>1960:Vladimir Groysman</t>
  </si>
  <si>
    <t>1960:Vitaly Klichko</t>
  </si>
  <si>
    <t>1960:Oleg Lyashko</t>
  </si>
  <si>
    <t>1960:Evgeniy Muraev</t>
  </si>
  <si>
    <t>1960:Dmitriy Razumkov</t>
  </si>
  <si>
    <t>1960:Andrei Sadovyy</t>
  </si>
  <si>
    <t>1960:Igor Smeshko</t>
  </si>
  <si>
    <t>1960:Arseniy Yacenyuk</t>
  </si>
  <si>
    <t>1960:Boris Kolesnikov</t>
  </si>
  <si>
    <t>1960:Oleg Tyagnibok</t>
  </si>
  <si>
    <t>1960:Kira Rudik</t>
  </si>
  <si>
    <t>1960:Igor Umanskiy</t>
  </si>
  <si>
    <t>1959:Vladimir Zelenskiy</t>
  </si>
  <si>
    <t>1959</t>
  </si>
  <si>
    <t>https://ukraine-elections.com.ua/en/socopros/opinion_poll_show/1959</t>
  </si>
  <si>
    <t>2021-05-14</t>
  </si>
  <si>
    <t>2021-05-19</t>
  </si>
  <si>
    <t>1959:Pyotr Poroshenko</t>
  </si>
  <si>
    <t>1959:Yuri Boyko</t>
  </si>
  <si>
    <t>1959:Yulia Timoshenko</t>
  </si>
  <si>
    <t>1959:Igor Smeshko</t>
  </si>
  <si>
    <t>1959:Anatoly Gricenko</t>
  </si>
  <si>
    <t>1959:Vladimir Groysman</t>
  </si>
  <si>
    <t>1959:Ruslan Koshulinskiy</t>
  </si>
  <si>
    <t>1959:Oleg Lyashko</t>
  </si>
  <si>
    <t>1959:Dmitriy Razumkov</t>
  </si>
  <si>
    <t>1959:Alexander Vilkul</t>
  </si>
  <si>
    <t>1959:Vitaly Klichko</t>
  </si>
  <si>
    <t>1958:Vladimir Zelenskiy</t>
  </si>
  <si>
    <t>1958</t>
  </si>
  <si>
    <t>https://ukraine-elections.com.ua/en/socopros/opinion_poll_show/1958</t>
  </si>
  <si>
    <t>2021-06-07</t>
  </si>
  <si>
    <t>1958:Pyotr Poroshenko</t>
  </si>
  <si>
    <t>1958:Yulia Timoshenko</t>
  </si>
  <si>
    <t>1958:Yuri Boyko</t>
  </si>
  <si>
    <t>1958:Igor Smeshko</t>
  </si>
  <si>
    <t>1958:Vladimir Groysman</t>
  </si>
  <si>
    <t>1958:Evgeniy Muraev</t>
  </si>
  <si>
    <t>1958:Oleg Lyashko</t>
  </si>
  <si>
    <t>1958:Alexander Vilkul</t>
  </si>
  <si>
    <t>1958:Kira Rudik</t>
  </si>
  <si>
    <t>1956:Vladimir Zelenskiy</t>
  </si>
  <si>
    <t>1956</t>
  </si>
  <si>
    <t>https://ukraine-elections.com.ua/en/socopros/opinion_poll_show/1956</t>
  </si>
  <si>
    <t>2021-05-28</t>
  </si>
  <si>
    <t>2021-06-03</t>
  </si>
  <si>
    <t>1956:Pyotr Poroshenko</t>
  </si>
  <si>
    <t>1956:Yulia Timoshenko</t>
  </si>
  <si>
    <t>1956:Igor Smeshko</t>
  </si>
  <si>
    <t>1956:Yuri Boyko</t>
  </si>
  <si>
    <t>1956:Vladimir Groysman</t>
  </si>
  <si>
    <t>1956:Evgeniy Muraev</t>
  </si>
  <si>
    <t>1956:Victor Medvedchuk</t>
  </si>
  <si>
    <t>1956:Dmitriy Razumkov</t>
  </si>
  <si>
    <t>1956:Oleg Lyashko</t>
  </si>
  <si>
    <t>1956:Oleg Tyagnibok</t>
  </si>
  <si>
    <t>1956:Vitaly Klichko</t>
  </si>
  <si>
    <t>1956:Kira Rudik</t>
  </si>
  <si>
    <t>1951:Vladimir Zelenskiy</t>
  </si>
  <si>
    <t>1951</t>
  </si>
  <si>
    <t>https://ukraine-elections.com.ua/en/socopros/opinion_poll_show/1951</t>
  </si>
  <si>
    <t>2021-05-27</t>
  </si>
  <si>
    <t>1951:Pyotr Poroshenko</t>
  </si>
  <si>
    <t>1951:Yulia Timoshenko</t>
  </si>
  <si>
    <t>1951:Igor Smeshko</t>
  </si>
  <si>
    <t>1951:Yuri Boyko</t>
  </si>
  <si>
    <t>1951:Evgeniy Muraev</t>
  </si>
  <si>
    <t>1951:Vladimir Groysman</t>
  </si>
  <si>
    <t>1951:Victor Medvedchuk</t>
  </si>
  <si>
    <t>1951:Oleg Lyashko</t>
  </si>
  <si>
    <t>1951:Dmitriy Razumkov</t>
  </si>
  <si>
    <t>1951:Vitaly Klichko</t>
  </si>
  <si>
    <t>1951:Oleg Tyagnibok</t>
  </si>
  <si>
    <t>1951:Kira Rudik</t>
  </si>
  <si>
    <t>1948:Vladimir Zelenskiy</t>
  </si>
  <si>
    <t>1948</t>
  </si>
  <si>
    <t>https://ukraine-elections.com.ua/en/socopros/opinion_poll_show/1948</t>
  </si>
  <si>
    <t>2021-05-21</t>
  </si>
  <si>
    <t>1948:Yuri Boyko</t>
  </si>
  <si>
    <t>1948:Pyotr Poroshenko</t>
  </si>
  <si>
    <t>1948:Yulia Timoshenko</t>
  </si>
  <si>
    <t>1948:Igor Smeshko</t>
  </si>
  <si>
    <t>1948:Vladimir Groysman</t>
  </si>
  <si>
    <t>1948:Evgeniy Muraev</t>
  </si>
  <si>
    <t>1948:Dmitriy Razumkov</t>
  </si>
  <si>
    <t>1948:Evgeniy Komarovskiy</t>
  </si>
  <si>
    <t>1948:Oleg Lyashko</t>
  </si>
  <si>
    <t>1948:Vitaly Klichko</t>
  </si>
  <si>
    <t>1948:Igor Palica</t>
  </si>
  <si>
    <t>1946:Vladimir Zelenskiy</t>
  </si>
  <si>
    <t>1946</t>
  </si>
  <si>
    <t>https://ukraine-elections.com.ua/en/socopros/opinion_poll_show/1946</t>
  </si>
  <si>
    <t>2021-05-15</t>
  </si>
  <si>
    <t>2021-05-24</t>
  </si>
  <si>
    <t>1946:Pyotr Poroshenko</t>
  </si>
  <si>
    <t>1946:Yuri Boyko</t>
  </si>
  <si>
    <t>1946:Yulia Timoshenko</t>
  </si>
  <si>
    <t>1946:Igor Smeshko</t>
  </si>
  <si>
    <t>1946:Vladimir Groysman</t>
  </si>
  <si>
    <t>1946:Victor Medvedchuk</t>
  </si>
  <si>
    <t>1946:Dmitriy Razumkov</t>
  </si>
  <si>
    <t>1946:Anatoly Shariy</t>
  </si>
  <si>
    <t>1946:Vitaly Klichko</t>
  </si>
  <si>
    <t>1942:Vladimir Zelenskiy</t>
  </si>
  <si>
    <t>1942</t>
  </si>
  <si>
    <t>https://ukraine-elections.com.ua/en/socopros/opinion_poll_show/1942</t>
  </si>
  <si>
    <t>2021-05-16</t>
  </si>
  <si>
    <t>2021-05-18</t>
  </si>
  <si>
    <t>1942:Pyotr Poroshenko</t>
  </si>
  <si>
    <t>1942:Yuri Boyko</t>
  </si>
  <si>
    <t>1942:Yulia Timoshenko</t>
  </si>
  <si>
    <t>1942:Igor Smeshko</t>
  </si>
  <si>
    <t>1942:Evgeniy Muraev</t>
  </si>
  <si>
    <t>1942:Vladimir Groysman</t>
  </si>
  <si>
    <t>1942:Andrei Sadovyy</t>
  </si>
  <si>
    <t>1942:Oleg Lyashko</t>
  </si>
  <si>
    <t>1942:Vitaly Klichko</t>
  </si>
  <si>
    <t>1942:Arseniy Yacenyuk</t>
  </si>
  <si>
    <t>1942:Oleg Tyagnibok</t>
  </si>
  <si>
    <t>1942:Kira Rudik</t>
  </si>
  <si>
    <t>1937:Vladimir Zelenskiy</t>
  </si>
  <si>
    <t>1937</t>
  </si>
  <si>
    <t>https://ukraine-elections.com.ua/en/socopros/opinion_poll_show/1937</t>
  </si>
  <si>
    <t>2021-05-23</t>
  </si>
  <si>
    <t>1937:Pyotr Poroshenko</t>
  </si>
  <si>
    <t>1937:Yuri Boyko</t>
  </si>
  <si>
    <t>1937:Yulia Timoshenko</t>
  </si>
  <si>
    <t>1937:Igor Smeshko</t>
  </si>
  <si>
    <t>1937:Vladimir Groysman</t>
  </si>
  <si>
    <t>1937:Evgeniy Muraev</t>
  </si>
  <si>
    <t>1937:Dmitriy Razumkov</t>
  </si>
  <si>
    <t>1937:Evgeniy Komarovskiy</t>
  </si>
  <si>
    <t>1937:Oleg Lyashko</t>
  </si>
  <si>
    <t>1937:Vitaly Klichko</t>
  </si>
  <si>
    <t>1937:Igor Palica</t>
  </si>
  <si>
    <t>1934:Vladimir Zelenskiy</t>
  </si>
  <si>
    <t>1934</t>
  </si>
  <si>
    <t>https://ukraine-elections.com.ua/en/socopros/opinion_poll_show/1934</t>
  </si>
  <si>
    <t>2021-04-22</t>
  </si>
  <si>
    <t>2021-04-29</t>
  </si>
  <si>
    <t>1934:Pyotr Poroshenko</t>
  </si>
  <si>
    <t>1934:Yuri Boyko</t>
  </si>
  <si>
    <t>1934:Yulia Timoshenko</t>
  </si>
  <si>
    <t>1934:Igor Smeshko</t>
  </si>
  <si>
    <t>1934:Vladimir Groysman</t>
  </si>
  <si>
    <t>1934:Oleg Lyashko</t>
  </si>
  <si>
    <t>1934:Dmitriy Razumkov</t>
  </si>
  <si>
    <t>1934:Anatoly Gricenko</t>
  </si>
  <si>
    <t>1934:Ruslan Koshulinskiy</t>
  </si>
  <si>
    <t>1934:Vitaly Klichko</t>
  </si>
  <si>
    <t>1934:Alexander Vilkul</t>
  </si>
  <si>
    <t>1932:Vladimir Zelenskiy</t>
  </si>
  <si>
    <t>1932</t>
  </si>
  <si>
    <t>https://ukraine-elections.com.ua/en/socopros/opinion_poll_show/1932</t>
  </si>
  <si>
    <t>2021-04-16</t>
  </si>
  <si>
    <t>1932:Pyotr Poroshenko</t>
  </si>
  <si>
    <t>1932:Yulia Timoshenko</t>
  </si>
  <si>
    <t>1932:Igor Smeshko</t>
  </si>
  <si>
    <t>1932:Yuri Boyko</t>
  </si>
  <si>
    <t>1932:Vladimir Groysman</t>
  </si>
  <si>
    <t>1932:Evgeniy Muraev</t>
  </si>
  <si>
    <t>1932:Oleg Lyashko</t>
  </si>
  <si>
    <t>1932:Alexander Vilkul</t>
  </si>
  <si>
    <t>1932:Kira Rudik</t>
  </si>
  <si>
    <t>1931:Vladimir Zelenskiy</t>
  </si>
  <si>
    <t>1931</t>
  </si>
  <si>
    <t>https://ukraine-elections.com.ua/en/socopros/opinion_poll_show/1931</t>
  </si>
  <si>
    <t>2021-04-27</t>
  </si>
  <si>
    <t>2021-05-02</t>
  </si>
  <si>
    <t>1931:Yuri Boyko</t>
  </si>
  <si>
    <t>1931:Pyotr Poroshenko</t>
  </si>
  <si>
    <t>1931:Yulia Timoshenko</t>
  </si>
  <si>
    <t>1931:Igor Smeshko</t>
  </si>
  <si>
    <t>1931:Vladimir Groysman</t>
  </si>
  <si>
    <t>1931:Dmitriy Razumkov</t>
  </si>
  <si>
    <t>1931:Sergey Pritula</t>
  </si>
  <si>
    <t>1931:Oleg Lyashko</t>
  </si>
  <si>
    <t>1931:Oleg Tyagnibok</t>
  </si>
  <si>
    <t>1926:Vladimir Zelenskiy</t>
  </si>
  <si>
    <t>1926</t>
  </si>
  <si>
    <t>https://ukraine-elections.com.ua/en/socopros/opinion_poll_show/1926</t>
  </si>
  <si>
    <t>2021-04-18</t>
  </si>
  <si>
    <t>1926:Pyotr Poroshenko</t>
  </si>
  <si>
    <t>1926:Yuri Boyko</t>
  </si>
  <si>
    <t>1926:Yulia Timoshenko</t>
  </si>
  <si>
    <t>1926:Igor Smeshko</t>
  </si>
  <si>
    <t>1926:Vladimir Groysman</t>
  </si>
  <si>
    <t>1926:Victor Medvedchuk</t>
  </si>
  <si>
    <t>1926:Dmitriy Razumkov</t>
  </si>
  <si>
    <t>1926:Anatoly Shariy</t>
  </si>
  <si>
    <t>1926:Vitaly Klichko</t>
  </si>
  <si>
    <t>1925:Vladimir Zelenskiy</t>
  </si>
  <si>
    <t>1925</t>
  </si>
  <si>
    <t>https://ukraine-elections.com.ua/en/socopros/opinion_poll_show/1925</t>
  </si>
  <si>
    <t>2021-04-12</t>
  </si>
  <si>
    <t>2021-04-19</t>
  </si>
  <si>
    <t>1925:Pyotr Poroshenko</t>
  </si>
  <si>
    <t>1925:Yuri Boyko</t>
  </si>
  <si>
    <t>1925:Yulia Timoshenko</t>
  </si>
  <si>
    <t>1925:Vladimir Groysman</t>
  </si>
  <si>
    <t>1925:Igor Smeshko</t>
  </si>
  <si>
    <t>1925:Dmitriy Razumkov</t>
  </si>
  <si>
    <t>1925:Oleg Lyashko</t>
  </si>
  <si>
    <t>1925:Vitaly Klichko</t>
  </si>
  <si>
    <t>1925:Igor Palica</t>
  </si>
  <si>
    <t>1924:Vladimir Zelenskiy</t>
  </si>
  <si>
    <t>1924</t>
  </si>
  <si>
    <t>https://ukraine-elections.com.ua/en/socopros/opinion_poll_show/1924</t>
  </si>
  <si>
    <t>2021-04-08</t>
  </si>
  <si>
    <t>1924:Pyotr Poroshenko</t>
  </si>
  <si>
    <t>1924:Yulia Timoshenko</t>
  </si>
  <si>
    <t>1924:Yuri Boyko</t>
  </si>
  <si>
    <t>1924:Igor Smeshko</t>
  </si>
  <si>
    <t>1924:Vladimir Groysman</t>
  </si>
  <si>
    <t>1924:Evgeniy Muraev</t>
  </si>
  <si>
    <t>1924:Oleg Lyashko</t>
  </si>
  <si>
    <t>1924:Dmitriy Razumkov</t>
  </si>
  <si>
    <t>1924:Victor Medvedchuk</t>
  </si>
  <si>
    <t>1924:Vitaly Klichko</t>
  </si>
  <si>
    <t>1924:Oleg Tyagnibok</t>
  </si>
  <si>
    <t>1924:Kira Rudik</t>
  </si>
  <si>
    <t>1918:Vladimir Zelenskiy</t>
  </si>
  <si>
    <t>1918</t>
  </si>
  <si>
    <t>https://ukraine-elections.com.ua/en/socopros/opinion_poll_show/1918</t>
  </si>
  <si>
    <t>2021-04-06</t>
  </si>
  <si>
    <t>2021-04-07</t>
  </si>
  <si>
    <t>1918:Pyotr Poroshenko</t>
  </si>
  <si>
    <t>1918:Yulia Timoshenko</t>
  </si>
  <si>
    <t>1918:Yuri Boyko</t>
  </si>
  <si>
    <t>1918:Igor Smeshko</t>
  </si>
  <si>
    <t>1918:Vladimir Groysman</t>
  </si>
  <si>
    <t>1918:Oleg Lyashko</t>
  </si>
  <si>
    <t>1918:Dmitriy Razumkov</t>
  </si>
  <si>
    <t>1918:Evgeniy Muraev</t>
  </si>
  <si>
    <t>1918:Andrei Sadovyy</t>
  </si>
  <si>
    <t>1918:Arseniy Yacenyuk</t>
  </si>
  <si>
    <t>1918:Oleg Tyagnibok</t>
  </si>
  <si>
    <t>1918:Kira Rudik</t>
  </si>
  <si>
    <t>1913:Vladimir Zelenskiy</t>
  </si>
  <si>
    <t>1913</t>
  </si>
  <si>
    <t>https://ukraine-elections.com.ua/en/socopros/opinion_poll_show/1913</t>
  </si>
  <si>
    <t>2021-03-17</t>
  </si>
  <si>
    <t>2021-03-24</t>
  </si>
  <si>
    <t>1913:Yuri Boyko</t>
  </si>
  <si>
    <t>1913:Pyotr Poroshenko</t>
  </si>
  <si>
    <t>1913:Yulia Timoshenko</t>
  </si>
  <si>
    <t>1913:Igor Smeshko</t>
  </si>
  <si>
    <t>1913:Dmitriy Razumkov</t>
  </si>
  <si>
    <t>1913:Vladimir Groysman</t>
  </si>
  <si>
    <t>1913:Oleg Lyashko</t>
  </si>
  <si>
    <t>1913:Vitaly Klichko</t>
  </si>
  <si>
    <t>1913:Igor Palica</t>
  </si>
  <si>
    <t>1907:Vladimir Zelenskiy</t>
  </si>
  <si>
    <t>1907</t>
  </si>
  <si>
    <t>https://ukraine-elections.com.ua/en/socopros/opinion_poll_show/1907</t>
  </si>
  <si>
    <t>2021-03-23</t>
  </si>
  <si>
    <t>1907:Pyotr Poroshenko</t>
  </si>
  <si>
    <t>1907:Yuri Boyko</t>
  </si>
  <si>
    <t>1907:Yulia Timoshenko</t>
  </si>
  <si>
    <t>1907:Igor Smeshko</t>
  </si>
  <si>
    <t>1907:Vladimir Groysman</t>
  </si>
  <si>
    <t>1907:Dmitriy Razumkov</t>
  </si>
  <si>
    <t>1907:Oleg Lyashko</t>
  </si>
  <si>
    <t>1907:Evgeniy Muraev</t>
  </si>
  <si>
    <t>1907:Anatoly Gricenko</t>
  </si>
  <si>
    <t>1907:Arseniy Yacenyuk</t>
  </si>
  <si>
    <t>1907:Oleg Tyagnibok</t>
  </si>
  <si>
    <t>1907:Kira Rudik</t>
  </si>
  <si>
    <t>1906:Vladimir Zelenskiy</t>
  </si>
  <si>
    <t>1906</t>
  </si>
  <si>
    <t>https://ukraine-elections.com.ua/en/socopros/opinion_poll_show/1906</t>
  </si>
  <si>
    <t>2021-03-12</t>
  </si>
  <si>
    <t>1906:Yuri Boyko</t>
  </si>
  <si>
    <t>1906:Pyotr Poroshenko</t>
  </si>
  <si>
    <t>1906:Yulia Timoshenko</t>
  </si>
  <si>
    <t>1906:Igor Smeshko</t>
  </si>
  <si>
    <t>1906:Vladimir Groysman</t>
  </si>
  <si>
    <t>1906:Dmitriy Razumkov</t>
  </si>
  <si>
    <t>1906:Sergey Pritula</t>
  </si>
  <si>
    <t>1906:Oleg Lyashko</t>
  </si>
  <si>
    <t>1906:Oleg Tyagnibok</t>
  </si>
  <si>
    <t>1900:Vladimir Zelenskiy</t>
  </si>
  <si>
    <t>1900</t>
  </si>
  <si>
    <t>https://ukraine-elections.com.ua/en/socopros/opinion_poll_show/1900</t>
  </si>
  <si>
    <t>2021-03-19</t>
  </si>
  <si>
    <t>1900:Pyotr Poroshenko</t>
  </si>
  <si>
    <t>1900:Yuri Boyko</t>
  </si>
  <si>
    <t>1900:Yulia Timoshenko</t>
  </si>
  <si>
    <t>1900:Igor Smeshko</t>
  </si>
  <si>
    <t>1900:Dmitriy Razumkov</t>
  </si>
  <si>
    <t>1900:Vladimir Groysman</t>
  </si>
  <si>
    <t>1900:Oleg Lyashko</t>
  </si>
  <si>
    <t>1900:Vitaly Klichko</t>
  </si>
  <si>
    <t>1900:Anatoly Gricenko</t>
  </si>
  <si>
    <t>1900:Oleg Tyagnibok</t>
  </si>
  <si>
    <t>1900:Arseniy Yacenyuk</t>
  </si>
  <si>
    <t>1900:Andrei Bileckiy</t>
  </si>
  <si>
    <t>1899:Vladimir Zelenskiy</t>
  </si>
  <si>
    <t>1899</t>
  </si>
  <si>
    <t>https://ukraine-elections.com.ua/en/socopros/opinion_poll_show/1899</t>
  </si>
  <si>
    <t>2021-03-03</t>
  </si>
  <si>
    <t>2021-03-13</t>
  </si>
  <si>
    <t>1899:Pyotr Poroshenko</t>
  </si>
  <si>
    <t>1899:Yuri Boyko</t>
  </si>
  <si>
    <t>1899:Yulia Timoshenko</t>
  </si>
  <si>
    <t>1899:Igor Smeshko</t>
  </si>
  <si>
    <t>1899:Vladimir Groysman</t>
  </si>
  <si>
    <t>1899:Victor Medvedchuk</t>
  </si>
  <si>
    <t>1899:Dmitriy Razumkov</t>
  </si>
  <si>
    <t>1899:Anatoly Shariy</t>
  </si>
  <si>
    <t>1899:Vitaly Klichko</t>
  </si>
  <si>
    <t>1899:Oksana Marchenko</t>
  </si>
  <si>
    <t>Oksana Marchenko</t>
  </si>
  <si>
    <t>1899:Sergey Sternenko</t>
  </si>
  <si>
    <t>1899:Alexei Goncharenko</t>
  </si>
  <si>
    <t>1899:Alexander Dubinskiy</t>
  </si>
  <si>
    <t>Alexander Dubinskiy</t>
  </si>
  <si>
    <t>1899:Yaroslav Zheleznyak</t>
  </si>
  <si>
    <t>Yaroslav Zheleznyak</t>
  </si>
  <si>
    <t>1897:Vladimir Zelenskiy</t>
  </si>
  <si>
    <t>1897</t>
  </si>
  <si>
    <t>https://ukraine-elections.com.ua/en/socopros/opinion_poll_show/1897</t>
  </si>
  <si>
    <t>2021-03-11</t>
  </si>
  <si>
    <t>2021-03-14</t>
  </si>
  <si>
    <t>1897:Pyotr Poroshenko</t>
  </si>
  <si>
    <t>1897:Yuri Boyko</t>
  </si>
  <si>
    <t>1897:Yulia Timoshenko</t>
  </si>
  <si>
    <t>1897:Igor Smeshko</t>
  </si>
  <si>
    <t>1897:Dmitriy Razumkov</t>
  </si>
  <si>
    <t>1897:Vladimir Groysman</t>
  </si>
  <si>
    <t>1897:Vitaly Klichko</t>
  </si>
  <si>
    <t>1897:Oleg Lyashko</t>
  </si>
  <si>
    <t>1897:Anatoly Gricenko</t>
  </si>
  <si>
    <t>1897:Oleg Tyagnibok</t>
  </si>
  <si>
    <t>1897:Andrei Bileckiy</t>
  </si>
  <si>
    <t>1897:Arseniy Yacenyuk</t>
  </si>
  <si>
    <t>1896:Vladimir Zelenskiy</t>
  </si>
  <si>
    <t>1896</t>
  </si>
  <si>
    <t>https://ukraine-elections.com.ua/en/socopros/opinion_poll_show/1896</t>
  </si>
  <si>
    <t>2021-03-09</t>
  </si>
  <si>
    <t>1896:Pyotr Poroshenko</t>
  </si>
  <si>
    <t>1896:Yulia Timoshenko</t>
  </si>
  <si>
    <t>1896:Victor Medvedchuk</t>
  </si>
  <si>
    <t>1896:Igor Smeshko</t>
  </si>
  <si>
    <t>1896:Vladimir Groysman</t>
  </si>
  <si>
    <t>1896:Dmitriy Razumkov</t>
  </si>
  <si>
    <t>1896:Alexander Vilkul</t>
  </si>
  <si>
    <t>1896:Ruslan Koshulinskiy</t>
  </si>
  <si>
    <t>1896:Oleg Lyashko</t>
  </si>
  <si>
    <t>1896:Anatoly Gricenko</t>
  </si>
  <si>
    <t>1896:Vitaly Klichko</t>
  </si>
  <si>
    <t>1896:Yuri Boyko</t>
  </si>
  <si>
    <t>1892:Vladimir Zelenskiy</t>
  </si>
  <si>
    <t>1892</t>
  </si>
  <si>
    <t>https://ukraine-elections.com.ua/en/socopros/opinion_poll_show/1892</t>
  </si>
  <si>
    <t>2021-02-23</t>
  </si>
  <si>
    <t>1892:Yuri Boyko</t>
  </si>
  <si>
    <t>1892:Pyotr Poroshenko</t>
  </si>
  <si>
    <t>1892:Yulia Timoshenko</t>
  </si>
  <si>
    <t>1892:Igor Smeshko</t>
  </si>
  <si>
    <t>1892:Vladimir Groysman</t>
  </si>
  <si>
    <t>1892:Oleg Lyashko</t>
  </si>
  <si>
    <t>1892:Dmitriy Razumkov</t>
  </si>
  <si>
    <t>1892:Vitaly Klichko</t>
  </si>
  <si>
    <t>1892:Oleg Tyagnibok</t>
  </si>
  <si>
    <t>1892:Andrei Bileckiy</t>
  </si>
  <si>
    <t>1892:Kira Rudik</t>
  </si>
  <si>
    <t>1892:Igor Palica</t>
  </si>
  <si>
    <t>1892:Victor Medvedchuk</t>
  </si>
  <si>
    <t>1891:Vladimir Zelenskiy</t>
  </si>
  <si>
    <t>1891</t>
  </si>
  <si>
    <t>https://ukraine-elections.com.ua/en/socopros/opinion_poll_show/1891</t>
  </si>
  <si>
    <t>2021-03-02</t>
  </si>
  <si>
    <t>1891:Pyotr Poroshenko</t>
  </si>
  <si>
    <t>1891:Yuri Boyko</t>
  </si>
  <si>
    <t>1891:Yulia Timoshenko</t>
  </si>
  <si>
    <t>1891:Igor Smeshko</t>
  </si>
  <si>
    <t>1891:Vladimir Groysman</t>
  </si>
  <si>
    <t>1891:Evgeniy Muraev</t>
  </si>
  <si>
    <t>1891:Oleg Lyashko</t>
  </si>
  <si>
    <t>1891:Dmitriy Razumkov</t>
  </si>
  <si>
    <t>1891:Arseniy Yacenyuk</t>
  </si>
  <si>
    <t>1891:Vitaly Klichko</t>
  </si>
  <si>
    <t>1891:Oleg Tyagnibok</t>
  </si>
  <si>
    <t>1891:Kira Rudik</t>
  </si>
  <si>
    <t>1890:Vladimir Zelenskiy</t>
  </si>
  <si>
    <t>1890</t>
  </si>
  <si>
    <t>https://ukraine-elections.com.ua/en/socopros/opinion_poll_show/1890</t>
  </si>
  <si>
    <t>2021-02-28</t>
  </si>
  <si>
    <t>1890:Yuri Boyko</t>
  </si>
  <si>
    <t>1890:Pyotr Poroshenko</t>
  </si>
  <si>
    <t>1890:Yulia Timoshenko</t>
  </si>
  <si>
    <t>1890:Igor Smeshko</t>
  </si>
  <si>
    <t>1890:Vladimir Groysman</t>
  </si>
  <si>
    <t>1890:Dmitriy Razumkov</t>
  </si>
  <si>
    <t>1890:Anatoly Gricenko</t>
  </si>
  <si>
    <t>1890:Oleg Lyashko</t>
  </si>
  <si>
    <t>1890:Vitaly Klichko</t>
  </si>
  <si>
    <t>1890:Arseniy Yacenyuk</t>
  </si>
  <si>
    <t>1890:Oleg Tyagnibok</t>
  </si>
  <si>
    <t>1890:Andrei Bileckiy</t>
  </si>
  <si>
    <t>1890:Victor Medvedchuk</t>
  </si>
  <si>
    <t>1889:Vladimir Zelenskiy</t>
  </si>
  <si>
    <t>1889</t>
  </si>
  <si>
    <t>https://ukraine-elections.com.ua/en/socopros/opinion_poll_show/1889</t>
  </si>
  <si>
    <t>1889:Pyotr Poroshenko</t>
  </si>
  <si>
    <t>1889:Yuri Boyko</t>
  </si>
  <si>
    <t>1889:Yulia Timoshenko</t>
  </si>
  <si>
    <t>1889:Igor Smeshko</t>
  </si>
  <si>
    <t>1889:Dmitriy Razumkov</t>
  </si>
  <si>
    <t>1889:Vladimir Groysman</t>
  </si>
  <si>
    <t>1889:Vitaly Klichko</t>
  </si>
  <si>
    <t>1889:Oleg Lyashko</t>
  </si>
  <si>
    <t>1889:Anatoly Gricenko</t>
  </si>
  <si>
    <t>1889:Oleg Tyagnibok</t>
  </si>
  <si>
    <t>1889:Andrei Bileckiy</t>
  </si>
  <si>
    <t>1889:Arseniy Yacenyuk</t>
  </si>
  <si>
    <t>1888:Vladimir Zelenskiy</t>
  </si>
  <si>
    <t>1888</t>
  </si>
  <si>
    <t>https://ukraine-elections.com.ua/en/socopros/opinion_poll_show/1888</t>
  </si>
  <si>
    <t>2021-02-20</t>
  </si>
  <si>
    <t>1888:Pyotr Poroshenko</t>
  </si>
  <si>
    <t>1888:Yuri Boyko</t>
  </si>
  <si>
    <t>1888:Yulia Timoshenko</t>
  </si>
  <si>
    <t>1888:Igor Smeshko</t>
  </si>
  <si>
    <t>1888:Dmitriy Razumkov</t>
  </si>
  <si>
    <t>1888:Vladimir Groysman</t>
  </si>
  <si>
    <t>1888:Vitaly Klichko</t>
  </si>
  <si>
    <t>1888:Oleg Lyashko</t>
  </si>
  <si>
    <t>1888:Anatoly Gricenko</t>
  </si>
  <si>
    <t>1888:Oleg Tyagnibok</t>
  </si>
  <si>
    <t>1888:Arseniy Yacenyuk</t>
  </si>
  <si>
    <t>1888:Andrei Bileckiy</t>
  </si>
  <si>
    <t>1886:Vladimir Zelenskiy</t>
  </si>
  <si>
    <t>1886</t>
  </si>
  <si>
    <t>https://ukraine-elections.com.ua/en/socopros/opinion_poll_show/1886</t>
  </si>
  <si>
    <t>2021-02-22</t>
  </si>
  <si>
    <t>1886:Pyotr Poroshenko</t>
  </si>
  <si>
    <t>1886:Yuri Boyko</t>
  </si>
  <si>
    <t>1886:Yulia Timoshenko</t>
  </si>
  <si>
    <t>1886:Igor Smeshko</t>
  </si>
  <si>
    <t>1886:Vladimir Groysman</t>
  </si>
  <si>
    <t>1886:Dmitriy Razumkov</t>
  </si>
  <si>
    <t>1886:Evgeniy Muraev</t>
  </si>
  <si>
    <t>1886:Oleg Lyashko</t>
  </si>
  <si>
    <t>1886:Arseniy Yacenyuk</t>
  </si>
  <si>
    <t>1886:Oleg Tyagnibok</t>
  </si>
  <si>
    <t>1886:Vitaly Klichko</t>
  </si>
  <si>
    <t>1886:Kira Rudik</t>
  </si>
  <si>
    <t>1878:Vladimir Zelenskiy</t>
  </si>
  <si>
    <t>1878</t>
  </si>
  <si>
    <t>https://ukraine-elections.com.ua/en/socopros/opinion_poll_show/1878</t>
  </si>
  <si>
    <t>2021-02-11</t>
  </si>
  <si>
    <t>2021-02-16</t>
  </si>
  <si>
    <t>1878:Pyotr Poroshenko</t>
  </si>
  <si>
    <t>1878:Yulia Timoshenko</t>
  </si>
  <si>
    <t>1878:Yuri Boyko</t>
  </si>
  <si>
    <t>1878:Igor Smeshko</t>
  </si>
  <si>
    <t>1878:Vladimir Groysman</t>
  </si>
  <si>
    <t>1878:Oleg Lyashko</t>
  </si>
  <si>
    <t>1878:Victor Medvedchuk</t>
  </si>
  <si>
    <t>1878:Dmitriy Razumkov</t>
  </si>
  <si>
    <t>1878:Anatoly Shariy</t>
  </si>
  <si>
    <t>1878:Vitaly Klichko</t>
  </si>
  <si>
    <t>1878:Oleg Tyagnibok</t>
  </si>
  <si>
    <t>1878:Kira Rudik</t>
  </si>
  <si>
    <t>1877:Vladimir Zelenskiy</t>
  </si>
  <si>
    <t>1877</t>
  </si>
  <si>
    <t>https://ukraine-elections.com.ua/en/socopros/opinion_poll_show/1877</t>
  </si>
  <si>
    <t>2021-01-27</t>
  </si>
  <si>
    <t>2021-02-05</t>
  </si>
  <si>
    <t>1877:Pyotr Poroshenko</t>
  </si>
  <si>
    <t>1877:Yuri Boyko</t>
  </si>
  <si>
    <t>1877:Yulia Timoshenko</t>
  </si>
  <si>
    <t>1877:Igor Smeshko</t>
  </si>
  <si>
    <t>1877:Victor Medvedchuk</t>
  </si>
  <si>
    <t>1877:Vladimir Groysman</t>
  </si>
  <si>
    <t>1877:Dmitriy Razumkov</t>
  </si>
  <si>
    <t>1877:Anatoly Shariy</t>
  </si>
  <si>
    <t>1877:Anatoly Gricenko</t>
  </si>
  <si>
    <t>1877:Vitaly Klichko</t>
  </si>
  <si>
    <t>1874:Vladimir Zelenskiy</t>
  </si>
  <si>
    <t>1874</t>
  </si>
  <si>
    <t>https://ukraine-elections.com.ua/en/socopros/opinion_poll_show/1874</t>
  </si>
  <si>
    <t>2021-01-21</t>
  </si>
  <si>
    <t>1874:Pyotr Poroshenko</t>
  </si>
  <si>
    <t>1874:Yuri Boyko</t>
  </si>
  <si>
    <t>1874:Yulia Timoshenko</t>
  </si>
  <si>
    <t>1874:Oleg Lyashko</t>
  </si>
  <si>
    <t>1874:Igor Smeshko</t>
  </si>
  <si>
    <t>1874:Vladimir Groysman</t>
  </si>
  <si>
    <t>1874:Victor Medvedchuk</t>
  </si>
  <si>
    <t>1874:Sergey Pritula</t>
  </si>
  <si>
    <t>1874:Oleg Tyagnibok</t>
  </si>
  <si>
    <t>1874:Vitaly Klichko</t>
  </si>
  <si>
    <t>1873:Vladimir Zelenskiy</t>
  </si>
  <si>
    <t>1873</t>
  </si>
  <si>
    <t>https://ukraine-elections.com.ua/en/socopros/opinion_poll_show/1873</t>
  </si>
  <si>
    <t>2021-02-07</t>
  </si>
  <si>
    <t>1873:Pyotr Poroshenko</t>
  </si>
  <si>
    <t>1873:Yulia Timoshenko</t>
  </si>
  <si>
    <t>1873:Yuri Boyko</t>
  </si>
  <si>
    <t>1873:Igor Smeshko</t>
  </si>
  <si>
    <t>1873:Victor Medvedchuk</t>
  </si>
  <si>
    <t>1873:Vladimir Groysman</t>
  </si>
  <si>
    <t>1873:Anatoly Gricenko</t>
  </si>
  <si>
    <t>1873:Dmitriy Razumkov</t>
  </si>
  <si>
    <t>1873:Vitaly Klichko</t>
  </si>
  <si>
    <t>1873:Alexander Vilkul</t>
  </si>
  <si>
    <t>1873:Artem Sytnik</t>
  </si>
  <si>
    <t>Artem Sytnik</t>
  </si>
  <si>
    <t>1868:Vladimir Zelenskiy</t>
  </si>
  <si>
    <t>1868</t>
  </si>
  <si>
    <t>https://ukraine-elections.com.ua/en/socopros/opinion_poll_show/1868</t>
  </si>
  <si>
    <t>2021-01-29</t>
  </si>
  <si>
    <t>2021-02-03</t>
  </si>
  <si>
    <t>1868:Yuri Boyko</t>
  </si>
  <si>
    <t>1868:Pyotr Poroshenko</t>
  </si>
  <si>
    <t>1868:Yulia Timoshenko</t>
  </si>
  <si>
    <t>1868:Igor Smeshko</t>
  </si>
  <si>
    <t>1868:Anatoly Gricenko</t>
  </si>
  <si>
    <t>1868:Vladimir Groysman</t>
  </si>
  <si>
    <t>1868:Oleg Lyashko</t>
  </si>
  <si>
    <t>1868:Dmitriy Razumkov</t>
  </si>
  <si>
    <t>1868:Ruslan Koshulinskiy</t>
  </si>
  <si>
    <t>1868:Alexander Vilkul</t>
  </si>
  <si>
    <t>1868:Vitaly Klichko</t>
  </si>
  <si>
    <t>1867:Vladimir Zelenskiy</t>
  </si>
  <si>
    <t>1867</t>
  </si>
  <si>
    <t>https://ukraine-elections.com.ua/en/socopros/opinion_poll_show/1867</t>
  </si>
  <si>
    <t>2021-01-30</t>
  </si>
  <si>
    <t>1867:Yuri Boyko</t>
  </si>
  <si>
    <t>1867:Pyotr Poroshenko</t>
  </si>
  <si>
    <t>1867:Yulia Timoshenko</t>
  </si>
  <si>
    <t>1867:Igor Smeshko</t>
  </si>
  <si>
    <t>1867:Vladimir Groysman</t>
  </si>
  <si>
    <t>1867:Dmitriy Razumkov</t>
  </si>
  <si>
    <t>1867:Oleg Lyashko</t>
  </si>
  <si>
    <t>1867:Anatoly Shariy</t>
  </si>
  <si>
    <t>1867:Vitaly Klichko</t>
  </si>
  <si>
    <t>1867:Igor Palica</t>
  </si>
  <si>
    <t>1867:Sergey Pritula</t>
  </si>
  <si>
    <t>1867:Oleg Tyagnibok</t>
  </si>
  <si>
    <t>1866:Vladimir Zelenskiy</t>
  </si>
  <si>
    <t>1866</t>
  </si>
  <si>
    <t>https://ukraine-elections.com.ua/en/socopros/opinion_poll_show/1866</t>
  </si>
  <si>
    <t>1866:Yuri Boyko</t>
  </si>
  <si>
    <t>1866:Pyotr Poroshenko</t>
  </si>
  <si>
    <t>1866:Yulia Timoshenko</t>
  </si>
  <si>
    <t>1866:Igor Smeshko</t>
  </si>
  <si>
    <t>1866:Vladimir Groysman</t>
  </si>
  <si>
    <t>1866:Oleg Lyashko</t>
  </si>
  <si>
    <t>1866:Ruslan Koshulinskiy</t>
  </si>
  <si>
    <t>1866:Sergey Pritula</t>
  </si>
  <si>
    <t>1866:Dmitriy Razumkov</t>
  </si>
  <si>
    <t>1865:Vladimir Zelenskiy</t>
  </si>
  <si>
    <t>1865</t>
  </si>
  <si>
    <t>https://ukraine-elections.com.ua/en/socopros/opinion_poll_show/1865</t>
  </si>
  <si>
    <t>1865:Yuri Boyko</t>
  </si>
  <si>
    <t>1865:Pyotr Poroshenko</t>
  </si>
  <si>
    <t>1865:Yulia Timoshenko</t>
  </si>
  <si>
    <t>1865:Igor Smeshko</t>
  </si>
  <si>
    <t>1865:Vladimir Groysman</t>
  </si>
  <si>
    <t>1865:Oleg Lyashko</t>
  </si>
  <si>
    <t>1865:Dmitriy Razumkov</t>
  </si>
  <si>
    <t>1865:Sergey Pritula</t>
  </si>
  <si>
    <t>1865:Oleg Tyagnibok</t>
  </si>
  <si>
    <t>1865:Vitaly Klichko</t>
  </si>
  <si>
    <t>1864:Vladimir Zelenskiy</t>
  </si>
  <si>
    <t>1864</t>
  </si>
  <si>
    <t>https://ukraine-elections.com.ua/en/socopros/opinion_poll_show/1864</t>
  </si>
  <si>
    <t>1864:Yuri Boyko</t>
  </si>
  <si>
    <t>1864:Pyotr Poroshenko</t>
  </si>
  <si>
    <t>1864:Yulia Timoshenko</t>
  </si>
  <si>
    <t>1864:Igor Smeshko</t>
  </si>
  <si>
    <t>1864:Vladimir Groysman</t>
  </si>
  <si>
    <t>1864:Sergey Pritula</t>
  </si>
  <si>
    <t>1864:Oleg Lyashko</t>
  </si>
  <si>
    <t>1864:Oleg Tyagnibok</t>
  </si>
  <si>
    <t>1864:Alexander Vilkul</t>
  </si>
  <si>
    <t>1864:Vitaly Klichko</t>
  </si>
  <si>
    <t>1864:Igor Palica</t>
  </si>
  <si>
    <t>1864:Andrei Bileckiy</t>
  </si>
  <si>
    <t>1864:Victor Medvedchuk</t>
  </si>
  <si>
    <t>1864:Dmitriy Razumkov</t>
  </si>
  <si>
    <t>1863:Vladimir Zelenskiy</t>
  </si>
  <si>
    <t>1863</t>
  </si>
  <si>
    <t>https://ukraine-elections.com.ua/en/socopros/opinion_poll_show/1863</t>
  </si>
  <si>
    <t>2021-01-15</t>
  </si>
  <si>
    <t>2021-01-25</t>
  </si>
  <si>
    <t>1863:Yuri Boyko</t>
  </si>
  <si>
    <t>1863:Pyotr Poroshenko</t>
  </si>
  <si>
    <t>1863:Yulia Timoshenko</t>
  </si>
  <si>
    <t>1863:Igor Smeshko</t>
  </si>
  <si>
    <t>1863:Oleg Lyashko</t>
  </si>
  <si>
    <t>1863:Vladimir Groysman</t>
  </si>
  <si>
    <t>1863:Anatoly Gricenko</t>
  </si>
  <si>
    <t>1863:Oleg Tyagnibok</t>
  </si>
  <si>
    <t>1863:Vitaly Klichko</t>
  </si>
  <si>
    <t>1863:Andrei Bileckiy</t>
  </si>
  <si>
    <t>1863:Arseniy Yacenyuk</t>
  </si>
  <si>
    <t>1863:Victor Medvedchuk</t>
  </si>
  <si>
    <t>1860:Vladimir Zelenskiy</t>
  </si>
  <si>
    <t>1860</t>
  </si>
  <si>
    <t>https://ukraine-elections.com.ua/en/socopros/opinion_poll_show/1860</t>
  </si>
  <si>
    <t>2021-01-22</t>
  </si>
  <si>
    <t>1860:Pyotr Poroshenko</t>
  </si>
  <si>
    <t>1860:Yulia Timoshenko</t>
  </si>
  <si>
    <t>1860:Yuri Boyko</t>
  </si>
  <si>
    <t>1860:Igor Smeshko</t>
  </si>
  <si>
    <t>1860:Victor Medvedchuk</t>
  </si>
  <si>
    <t>1860:Vladimir Groysman</t>
  </si>
  <si>
    <t>1860:Anatoly Shariy</t>
  </si>
  <si>
    <t>1860:Arseniy Yacenyuk</t>
  </si>
  <si>
    <t>1860:Sergey Pritula</t>
  </si>
  <si>
    <t>1860:Oleg Tyagnibok</t>
  </si>
  <si>
    <t>1860:Vitaly Klichko</t>
  </si>
  <si>
    <t>1860:Alexander Vilkul</t>
  </si>
  <si>
    <t>1860:Kira Rudik</t>
  </si>
  <si>
    <t>1858:Vladimir Zelenskiy</t>
  </si>
  <si>
    <t>1858</t>
  </si>
  <si>
    <t>https://ukraine-elections.com.ua/en/socopros/opinion_poll_show/1858</t>
  </si>
  <si>
    <t>1858:Pyotr Poroshenko</t>
  </si>
  <si>
    <t>1858:Yuri Boyko</t>
  </si>
  <si>
    <t>1858:Anatoly Shariy</t>
  </si>
  <si>
    <t>1858:Yulia Timoshenko</t>
  </si>
  <si>
    <t>1858:Igor Smeshko</t>
  </si>
  <si>
    <t>1858:Sergey Pritula</t>
  </si>
  <si>
    <t>1858:Vladimir Groysman</t>
  </si>
  <si>
    <t>1858:Vitaly Klichko</t>
  </si>
  <si>
    <t>1858:Oleg Lyashko</t>
  </si>
  <si>
    <t>1856:Vladimir Zelenskiy</t>
  </si>
  <si>
    <t>1856</t>
  </si>
  <si>
    <t>https://ukraine-elections.com.ua/en/socopros/opinion_poll_show/1856</t>
  </si>
  <si>
    <t>2021-01-02</t>
  </si>
  <si>
    <t>2021-01-04</t>
  </si>
  <si>
    <t>1856:Yuri Boyko</t>
  </si>
  <si>
    <t>1856:Pyotr Poroshenko</t>
  </si>
  <si>
    <t>1856:Yulia Timoshenko</t>
  </si>
  <si>
    <t>1856:Igor Smeshko</t>
  </si>
  <si>
    <t>1856:Vladimir Groysman</t>
  </si>
  <si>
    <t>1856:Oleg Lyashko</t>
  </si>
  <si>
    <t>1856:Sergey Pritula</t>
  </si>
  <si>
    <t>1856:Oleg Tyagnibok</t>
  </si>
  <si>
    <t>1856:Vitaly Klichko</t>
  </si>
  <si>
    <t>1855:Vladimir Zelenskiy</t>
  </si>
  <si>
    <t>1855</t>
  </si>
  <si>
    <t>https://ukraine-elections.com.ua/en/socopros/opinion_poll_show/1855</t>
  </si>
  <si>
    <t>2020-12-17</t>
  </si>
  <si>
    <t>1855:Yuri Boyko</t>
  </si>
  <si>
    <t>1855:Pyotr Poroshenko</t>
  </si>
  <si>
    <t>1855:Yulia Timoshenko</t>
  </si>
  <si>
    <t>1855:Igor Smeshko</t>
  </si>
  <si>
    <t>1855:Oleg Lyashko</t>
  </si>
  <si>
    <t>1855:Vladimir Groysman</t>
  </si>
  <si>
    <t>1855:Sergey Pritula</t>
  </si>
  <si>
    <t>1855:Vitaly Klichko</t>
  </si>
  <si>
    <t>1855:Igor Palica</t>
  </si>
  <si>
    <t>1855:Alexander Vilkul</t>
  </si>
  <si>
    <t>1855:Andrei Bileckiy</t>
  </si>
  <si>
    <t>1855:Oleg Tyagnibok</t>
  </si>
  <si>
    <t>1855:Victor Medvedchuk</t>
  </si>
  <si>
    <t>1855:Dmitriy Razumkov</t>
  </si>
  <si>
    <t>1854:Vladimir Zelenskiy</t>
  </si>
  <si>
    <t>1854</t>
  </si>
  <si>
    <t>https://ukraine-elections.com.ua/en/socopros/opinion_poll_show/1854</t>
  </si>
  <si>
    <t>1854:Yuri Boyko</t>
  </si>
  <si>
    <t>1854:Pyotr Poroshenko</t>
  </si>
  <si>
    <t>1854:Yulia Timoshenko</t>
  </si>
  <si>
    <t>1854:Dmitriy Razumkov</t>
  </si>
  <si>
    <t>1854:Igor Smeshko</t>
  </si>
  <si>
    <t>1854:Anatoly Gricenko</t>
  </si>
  <si>
    <t>1854:Oleg Lyashko</t>
  </si>
  <si>
    <t>1854:Sergey Pritula</t>
  </si>
  <si>
    <t>1851:Vladimir Zelenskiy</t>
  </si>
  <si>
    <t>1851</t>
  </si>
  <si>
    <t>https://ukraine-elections.com.ua/en/socopros/opinion_poll_show/1851</t>
  </si>
  <si>
    <t>2020-12-20</t>
  </si>
  <si>
    <t>1851:Pyotr Poroshenko</t>
  </si>
  <si>
    <t>1851:Yuri Boyko</t>
  </si>
  <si>
    <t>1851:Yulia Timoshenko</t>
  </si>
  <si>
    <t>1851:Victor Medvedchuk</t>
  </si>
  <si>
    <t>1851:Anatoly Gricenko</t>
  </si>
  <si>
    <t>1851:Igor Smeshko</t>
  </si>
  <si>
    <t>1851:Dmitriy Razumkov</t>
  </si>
  <si>
    <t>1851:Oleg Lyashko</t>
  </si>
  <si>
    <t>1851:Sergey Pritula</t>
  </si>
  <si>
    <t>1851:Vitaly Klichko</t>
  </si>
  <si>
    <t>1851:Oleg Tyagnibok</t>
  </si>
  <si>
    <t>1847:Vladimir Zelenskiy</t>
  </si>
  <si>
    <t>1847</t>
  </si>
  <si>
    <t>https://ukraine-elections.com.ua/en/socopros/opinion_poll_show/1847</t>
  </si>
  <si>
    <t>2020-12-04</t>
  </si>
  <si>
    <t>2020-12-09</t>
  </si>
  <si>
    <t>1847:Pyotr Poroshenko</t>
  </si>
  <si>
    <t>1847:Yuri Boyko</t>
  </si>
  <si>
    <t>1847:Yulia Timoshenko</t>
  </si>
  <si>
    <t>1847:Igor Smeshko</t>
  </si>
  <si>
    <t>1847:Vladimir Groysman</t>
  </si>
  <si>
    <t>1847:Anatoly Gricenko</t>
  </si>
  <si>
    <t>1847:Dmitriy Razumkov</t>
  </si>
  <si>
    <t>1847:Oleg Lyashko</t>
  </si>
  <si>
    <t>1847:Ruslan Koshulinskiy</t>
  </si>
  <si>
    <t>1847:Vitaly Klichko</t>
  </si>
  <si>
    <t>1847:Alexander Vilkul</t>
  </si>
  <si>
    <t>1835:Vladimir Zelenskiy</t>
  </si>
  <si>
    <t>1835</t>
  </si>
  <si>
    <t>https://ukraine-elections.com.ua/en/socopros/opinion_poll_show/1835</t>
  </si>
  <si>
    <t>2020-11-16</t>
  </si>
  <si>
    <t>2020-11-25</t>
  </si>
  <si>
    <t>1835:Pyotr Poroshenko</t>
  </si>
  <si>
    <t>1835:Yuri Boyko</t>
  </si>
  <si>
    <t>1835:Yulia Timoshenko</t>
  </si>
  <si>
    <t>1835:Igor Smeshko</t>
  </si>
  <si>
    <t>1835:Anatoly Gricenko</t>
  </si>
  <si>
    <t>1835:Victor Medvedchuk</t>
  </si>
  <si>
    <t>1835:Oleg Lyashko</t>
  </si>
  <si>
    <t>1835:Dmitriy Razumkov</t>
  </si>
  <si>
    <t>1835:Oleg Tyagnibok</t>
  </si>
  <si>
    <t>1835:Vitaly Klichko</t>
  </si>
  <si>
    <t>1806:Vladimir Zelenskiy</t>
  </si>
  <si>
    <t>1806</t>
  </si>
  <si>
    <t>https://ukraine-elections.com.ua/en/socopros/opinion_poll_show/1806</t>
  </si>
  <si>
    <t>2020-10-28</t>
  </si>
  <si>
    <t>2020-11-02</t>
  </si>
  <si>
    <t>1806:Pyotr Poroshenko</t>
  </si>
  <si>
    <t>1806:Yuri Boyko</t>
  </si>
  <si>
    <t>1806:Yulia Timoshenko</t>
  </si>
  <si>
    <t>1806:Igor Smeshko</t>
  </si>
  <si>
    <t>1806:Oleg Lyashko</t>
  </si>
  <si>
    <t>1806:Anatoly Shariy</t>
  </si>
  <si>
    <t>1806:Oleg Tyagnibok</t>
  </si>
  <si>
    <t>1801:Vladimir Zelenskiy</t>
  </si>
  <si>
    <t>1801</t>
  </si>
  <si>
    <t>https://ukraine-elections.com.ua/en/socopros/opinion_poll_show/1801</t>
  </si>
  <si>
    <t>2020-10-17</t>
  </si>
  <si>
    <t>2020-10-24</t>
  </si>
  <si>
    <t>1801:Pyotr Poroshenko</t>
  </si>
  <si>
    <t>1801:Yulia Timoshenko</t>
  </si>
  <si>
    <t>1801:Yuri Boyko</t>
  </si>
  <si>
    <t>1801:Igor Smeshko</t>
  </si>
  <si>
    <t>1801:Victor Medvedchuk</t>
  </si>
  <si>
    <t>1801:Oleg Lyashko</t>
  </si>
  <si>
    <t>1801:Kira Rudik</t>
  </si>
  <si>
    <t>1799:Vladimir Zelenskiy</t>
  </si>
  <si>
    <t>1799</t>
  </si>
  <si>
    <t>https://ukraine-elections.com.ua/en/socopros/opinion_poll_show/1799</t>
  </si>
  <si>
    <t>2020-10-30</t>
  </si>
  <si>
    <t>2020-11-05</t>
  </si>
  <si>
    <t>1799:Pyotr Poroshenko</t>
  </si>
  <si>
    <t>1799:Yuri Boyko</t>
  </si>
  <si>
    <t>1799:Yulia Timoshenko</t>
  </si>
  <si>
    <t>1799:Igor Smeshko</t>
  </si>
  <si>
    <t>1799:Ruslan Koshulinskiy</t>
  </si>
  <si>
    <t>1799:Oleg Lyashko</t>
  </si>
  <si>
    <t>1799:Alexander Vilkul</t>
  </si>
  <si>
    <t>1522:Vladimir Zelenskiy</t>
  </si>
  <si>
    <t>1522</t>
  </si>
  <si>
    <t>https://ukraine-elections.com.ua/en/socopros/opinion_poll_show/1522</t>
  </si>
  <si>
    <t>2020-09-18</t>
  </si>
  <si>
    <t>2020-09-28</t>
  </si>
  <si>
    <t>1522:Pyotr Poroshenko</t>
  </si>
  <si>
    <t>1522:Yuri Boyko</t>
  </si>
  <si>
    <t>1522:Igor Smeshko</t>
  </si>
  <si>
    <t>1522:Yulia Timoshenko</t>
  </si>
  <si>
    <t>1522:Anatoly Shariy</t>
  </si>
  <si>
    <t>1522:Oleg Lyashko</t>
  </si>
  <si>
    <t>1522:Andrei Bileckiy</t>
  </si>
  <si>
    <t>1483:Vladimir Zelenskiy</t>
  </si>
  <si>
    <t>1483</t>
  </si>
  <si>
    <t>https://ukraine-elections.com.ua/en/socopros/opinion_poll_show/1483</t>
  </si>
  <si>
    <t>2020-09-12</t>
  </si>
  <si>
    <t>1483:Pyotr Poroshenko</t>
  </si>
  <si>
    <t>1483:Yuri Boyko</t>
  </si>
  <si>
    <t>1483:Yulia Timoshenko</t>
  </si>
  <si>
    <t>1483:Igor Smeshko</t>
  </si>
  <si>
    <t>1483:Oleg Lyashko</t>
  </si>
  <si>
    <t>1483:Anatoly Gricenko</t>
  </si>
  <si>
    <t>1483:Alexander Vilkul</t>
  </si>
  <si>
    <t>1450:Vladimir Zelenskiy</t>
  </si>
  <si>
    <t>1450</t>
  </si>
  <si>
    <t>https://ukraine-elections.com.ua/en/socopros/opinion_poll_show/1450</t>
  </si>
  <si>
    <t>2020-09-03</t>
  </si>
  <si>
    <t>2020-09-06</t>
  </si>
  <si>
    <t>1450:Yuri Boyko</t>
  </si>
  <si>
    <t>1450:Pyotr Poroshenko</t>
  </si>
  <si>
    <t>1450:Yulia Timoshenko</t>
  </si>
  <si>
    <t>1450:Igor Smeshko</t>
  </si>
  <si>
    <t>1450:Oleg Lyashko</t>
  </si>
  <si>
    <t>1450:Sergey Pritula</t>
  </si>
  <si>
    <t>1450:Vladimir Groysman</t>
  </si>
  <si>
    <t>1450:Dmitriy Razumkov</t>
  </si>
  <si>
    <t>1450:Oleg Tyagnibok</t>
  </si>
  <si>
    <t>1450:Vitaly Klichko</t>
  </si>
  <si>
    <t>1438:Vladimir Zelenskiy</t>
  </si>
  <si>
    <t>1438</t>
  </si>
  <si>
    <t>https://ukraine-elections.com.ua/en/socopros/opinion_poll_show/1438</t>
  </si>
  <si>
    <t>2020-09-13</t>
  </si>
  <si>
    <t>1438:Pyotr Poroshenko</t>
  </si>
  <si>
    <t>1438:Anatoly Shariy</t>
  </si>
  <si>
    <t>1438:Yuri Boyko</t>
  </si>
  <si>
    <t>1438:Igor Smeshko</t>
  </si>
  <si>
    <t>1438:Dmitriy Razumkov</t>
  </si>
  <si>
    <t>1438:Yulia Timoshenko</t>
  </si>
  <si>
    <t>1438:Andrei Bogdan</t>
  </si>
  <si>
    <t>Andrei Bogdan</t>
  </si>
  <si>
    <t>1438:Arsen Avakov</t>
  </si>
  <si>
    <t>1377:Vladimir Zelenskiy</t>
  </si>
  <si>
    <t>1377</t>
  </si>
  <si>
    <t>https://ukraine-elections.com.ua/en/socopros/opinion_poll_show/1377</t>
  </si>
  <si>
    <t>2020-07-21</t>
  </si>
  <si>
    <t>1377:Pyotr Poroshenko</t>
  </si>
  <si>
    <t>1377:Yuri Boyko</t>
  </si>
  <si>
    <t>1377:Yulia Timoshenko</t>
  </si>
  <si>
    <t>1377:Igor Smeshko</t>
  </si>
  <si>
    <t>1377:Anatoly Shariy</t>
  </si>
  <si>
    <t>1377:Oleg Lyashko</t>
  </si>
  <si>
    <t>1377:Andrei Bileckiy</t>
  </si>
  <si>
    <t>1342:Vladimir Zelenskiy</t>
  </si>
  <si>
    <t>1342</t>
  </si>
  <si>
    <t>https://ukraine-elections.com.ua/en/socopros/opinion_poll_show/1342</t>
  </si>
  <si>
    <t>1342:Pyotr Poroshenko</t>
  </si>
  <si>
    <t>1342:Anatoly Shariy</t>
  </si>
  <si>
    <t>1342:Yuri Boyko</t>
  </si>
  <si>
    <t>1342:Igor Smeshko</t>
  </si>
  <si>
    <t>1342:Yulia Timoshenko</t>
  </si>
  <si>
    <t>1342:Dmitriy Razumkov</t>
  </si>
  <si>
    <t>1342:Oleg Lyashko</t>
  </si>
  <si>
    <t>1342:Vladimir Groysman</t>
  </si>
  <si>
    <t>1337:Vladimir Zelenskiy</t>
  </si>
  <si>
    <t>1337</t>
  </si>
  <si>
    <t>https://ukraine-elections.com.ua/en/socopros/opinion_poll_show/1337</t>
  </si>
  <si>
    <t>2020-07-20</t>
  </si>
  <si>
    <t>1337:Yuri Boyko</t>
  </si>
  <si>
    <t>1337:Pyotr Poroshenko</t>
  </si>
  <si>
    <t>1337:Yulia Timoshenko</t>
  </si>
  <si>
    <t>1337:Igor Smeshko</t>
  </si>
  <si>
    <t>1337:Oleg Lyashko</t>
  </si>
  <si>
    <t>1337:Vladimir Groysman</t>
  </si>
  <si>
    <t>1337:Anatoly Gricenko</t>
  </si>
  <si>
    <t>1337:Andrei Portnov</t>
  </si>
  <si>
    <t>Andrei Portnov</t>
  </si>
  <si>
    <t>1337:Dmitriy Razumkov</t>
  </si>
  <si>
    <t>1337:Oleg Tyagnibok</t>
  </si>
  <si>
    <t>1337:Svyatoslav Vakarchuk</t>
  </si>
  <si>
    <t>Svyatoslav Vakarchuk</t>
  </si>
  <si>
    <t>1337:Vitaly Klichko</t>
  </si>
  <si>
    <t>1337:Alexander Efremov</t>
  </si>
  <si>
    <t>Alexander Efremov</t>
  </si>
  <si>
    <t>1319:Vladimir Zelenskiy</t>
  </si>
  <si>
    <t>1319</t>
  </si>
  <si>
    <t>https://ukraine-elections.com.ua/en/socopros/opinion_poll_show/1319</t>
  </si>
  <si>
    <t>2020-07-03</t>
  </si>
  <si>
    <t>2020-07-09</t>
  </si>
  <si>
    <t>1319:Yuri Boyko</t>
  </si>
  <si>
    <t>1319:Pyotr Poroshenko</t>
  </si>
  <si>
    <t>1319:Yulia Timoshenko</t>
  </si>
  <si>
    <t>1319:Igor Smeshko</t>
  </si>
  <si>
    <t>1319:Anatoly Gricenko</t>
  </si>
  <si>
    <t>1319:Oleg Lyashko</t>
  </si>
  <si>
    <t>1319:Alexander Vilkul</t>
  </si>
  <si>
    <t>1319:Ruslan Koshulinskiy</t>
  </si>
  <si>
    <t>1312:Vladimir Zelenskiy</t>
  </si>
  <si>
    <t>1312</t>
  </si>
  <si>
    <t>https://ukraine-elections.com.ua/en/socopros/opinion_poll_show/1312</t>
  </si>
  <si>
    <t>2020-06-24</t>
  </si>
  <si>
    <t>2020-06-30</t>
  </si>
  <si>
    <t>1312:Pyotr Poroshenko</t>
  </si>
  <si>
    <t>1312:Yuri Boyko</t>
  </si>
  <si>
    <t>1312:Igor Smeshko</t>
  </si>
  <si>
    <t>1312:Yulia Timoshenko</t>
  </si>
  <si>
    <t>1312:Elena Zerkal</t>
  </si>
  <si>
    <t>Elena Zerkal</t>
  </si>
  <si>
    <t>1312:Oleg Lyashko</t>
  </si>
  <si>
    <t>1312:Oleg Sencov</t>
  </si>
  <si>
    <t>Oleg Sencov</t>
  </si>
  <si>
    <t>1312:Andrei Bileckiy</t>
  </si>
  <si>
    <t>1303:Vladimir Zelenskiy</t>
  </si>
  <si>
    <t>1303</t>
  </si>
  <si>
    <t>https://ukraine-elections.com.ua/en/socopros/opinion_poll_show/1303</t>
  </si>
  <si>
    <t>1303:Yuri Boyko</t>
  </si>
  <si>
    <t>1303:Pyotr Poroshenko</t>
  </si>
  <si>
    <t>1303:Yulia Timoshenko</t>
  </si>
  <si>
    <t>1303:Igor Smeshko</t>
  </si>
  <si>
    <t>1303:Oleg Lyashko</t>
  </si>
  <si>
    <t>1303:Sergey Pritula</t>
  </si>
  <si>
    <t>1303:Victor Medvedchuk</t>
  </si>
  <si>
    <t>1303:Vladimir Groysman</t>
  </si>
  <si>
    <t>1303:Anatoly Gricenko</t>
  </si>
  <si>
    <t>1303:Anatoly Shariy</t>
  </si>
  <si>
    <t>1303:Oleg Tyagnibok</t>
  </si>
  <si>
    <t>1303:Sergey Tigipko</t>
  </si>
  <si>
    <t>1298:Vladimir Zelenskiy</t>
  </si>
  <si>
    <t>1298</t>
  </si>
  <si>
    <t>https://ukraine-elections.com.ua/en/socopros/opinion_poll_show/1298</t>
  </si>
  <si>
    <t>2020-06-17</t>
  </si>
  <si>
    <t>1298:Yuri Boyko</t>
  </si>
  <si>
    <t>1298:Pyotr Poroshenko</t>
  </si>
  <si>
    <t>1298:Yulia Timoshenko</t>
  </si>
  <si>
    <t>1298:Igor Smeshko</t>
  </si>
  <si>
    <t>1298:Anatoly Gricenko</t>
  </si>
  <si>
    <t>1298:Ruslan Koshulinskiy</t>
  </si>
  <si>
    <t>1298:Alexander Vilkul</t>
  </si>
  <si>
    <t>1298:Oleg Lyashko</t>
  </si>
  <si>
    <t>1277:Vladimir Zelenskiy</t>
  </si>
  <si>
    <t>1277</t>
  </si>
  <si>
    <t>https://ukraine-elections.com.ua/en/socopros/opinion_poll_show/1277</t>
  </si>
  <si>
    <t>2020-05-24</t>
  </si>
  <si>
    <t>1277:Pyotr Poroshenko</t>
  </si>
  <si>
    <t>1277:Yuri Boyko</t>
  </si>
  <si>
    <t>1277:Yulia Timoshenko</t>
  </si>
  <si>
    <t>1277:Igor Smeshko</t>
  </si>
  <si>
    <t>1277:Anatoly Gricenko</t>
  </si>
  <si>
    <t>1277:Oleg Lyashko</t>
  </si>
  <si>
    <t>1277:Svyatoslav Vakarchuk</t>
  </si>
  <si>
    <t>1277:Alexander Vilkul</t>
  </si>
  <si>
    <t>1274:Vladimir Zelenskiy</t>
  </si>
  <si>
    <t>1274</t>
  </si>
  <si>
    <t>https://ukraine-elections.com.ua/en/socopros/opinion_poll_show/1274</t>
  </si>
  <si>
    <t>2020-05-22</t>
  </si>
  <si>
    <t>2020-05-29</t>
  </si>
  <si>
    <t>1274:Pyotr Poroshenko</t>
  </si>
  <si>
    <t>1274:Yuri Boyko</t>
  </si>
  <si>
    <t>1274:Yulia Timoshenko</t>
  </si>
  <si>
    <t>1274:Igor Smeshko</t>
  </si>
  <si>
    <t>1274:Oleg Lyashko</t>
  </si>
  <si>
    <t>1274:Svyatoslav Vakarchuk</t>
  </si>
  <si>
    <t>1274:Elena Zerkal</t>
  </si>
  <si>
    <t>1274:Oleg Sencov</t>
  </si>
  <si>
    <t>1274:Andrei Bileckiy</t>
  </si>
  <si>
    <t>1273:Vladimir Zelenskiy</t>
  </si>
  <si>
    <t>1273</t>
  </si>
  <si>
    <t>https://ukraine-elections.com.ua/en/socopros/opinion_poll_show/1273</t>
  </si>
  <si>
    <t>2020-04-26</t>
  </si>
  <si>
    <t>2020-04-30</t>
  </si>
  <si>
    <t>1273:Pyotr Poroshenko</t>
  </si>
  <si>
    <t>1273:Igor Smeshko</t>
  </si>
  <si>
    <t>1273:Yuri Boyko</t>
  </si>
  <si>
    <t>1273:Yulia Timoshenko</t>
  </si>
  <si>
    <t>1273:Victor Medvedchuk</t>
  </si>
  <si>
    <t>1273:Oleg Lyashko</t>
  </si>
  <si>
    <t>1273:Svyatoslav Vakarchuk</t>
  </si>
  <si>
    <t>1263:Vladimir Zelenskiy</t>
  </si>
  <si>
    <t>1263</t>
  </si>
  <si>
    <t>https://ukraine-elections.com.ua/en/socopros/opinion_poll_show/1263</t>
  </si>
  <si>
    <t>2020-05-12</t>
  </si>
  <si>
    <t>2020-05-13</t>
  </si>
  <si>
    <t>1263:Yuri Boyko</t>
  </si>
  <si>
    <t>1263:Pyotr Poroshenko</t>
  </si>
  <si>
    <t>1263:Yulia Timoshenko</t>
  </si>
  <si>
    <t>1263:Igor Smeshko</t>
  </si>
  <si>
    <t>1263:Anatoly Gricenko</t>
  </si>
  <si>
    <t>1263:Andrei Sadovyy</t>
  </si>
  <si>
    <t>1263:Oleg Lyashko</t>
  </si>
  <si>
    <t>1263:Svyatoslav Vakarchuk</t>
  </si>
  <si>
    <t>1263:Oleg Tyagnibok</t>
  </si>
  <si>
    <t>1263:Vitaly Klichko</t>
  </si>
  <si>
    <t>1260:Vladimir Zelenskiy</t>
  </si>
  <si>
    <t>1260</t>
  </si>
  <si>
    <t>https://ukraine-elections.com.ua/en/socopros/opinion_poll_show/1260</t>
  </si>
  <si>
    <t>2020-04-24</t>
  </si>
  <si>
    <t>2020-04-29</t>
  </si>
  <si>
    <t>1260:Pyotr Poroshenko</t>
  </si>
  <si>
    <t>1260:Yuri Boyko</t>
  </si>
  <si>
    <t>1260:Igor Smeshko</t>
  </si>
  <si>
    <t>1260:Yulia Timoshenko</t>
  </si>
  <si>
    <t>1260:Anatoly Gricenko</t>
  </si>
  <si>
    <t>1260:Oleg Lyashko</t>
  </si>
  <si>
    <t>1259:Vladimir Zelenskiy</t>
  </si>
  <si>
    <t>1259</t>
  </si>
  <si>
    <t>https://ukraine-elections.com.ua/en/socopros/opinion_poll_show/1259</t>
  </si>
  <si>
    <t>2020-04-17</t>
  </si>
  <si>
    <t>2020-04-25</t>
  </si>
  <si>
    <t>1259:Pyotr Poroshenko</t>
  </si>
  <si>
    <t>1259:Yuri Boyko</t>
  </si>
  <si>
    <t>1259:Yulia Timoshenko</t>
  </si>
  <si>
    <t>1259:Igor Smeshko</t>
  </si>
  <si>
    <t>1259:Anatoly Gricenko</t>
  </si>
  <si>
    <t>1259:Oleg Lyashko</t>
  </si>
  <si>
    <t>1259:Svyatoslav Vakarchuk</t>
  </si>
  <si>
    <t>1259:Alexander Vilkul</t>
  </si>
  <si>
    <t>1243:Vladimir Zelenskiy</t>
  </si>
  <si>
    <t>1243</t>
  </si>
  <si>
    <t>https://ukraine-elections.com.ua/en/socopros/opinion_poll_show/1243</t>
  </si>
  <si>
    <t>2020-03-13</t>
  </si>
  <si>
    <t>2020-03-23</t>
  </si>
  <si>
    <t>1243:Pyotr Poroshenko</t>
  </si>
  <si>
    <t>1243:Yuri Boyko</t>
  </si>
  <si>
    <t>1243:Yulia Timoshenko</t>
  </si>
  <si>
    <t>1243:Igor Smeshko</t>
  </si>
  <si>
    <t>1243:Oleg Tyagnibok</t>
  </si>
  <si>
    <t>1243:Elena Zerkal</t>
  </si>
  <si>
    <t>1243:Oleg Sencov</t>
  </si>
  <si>
    <t>1243:Svyatoslav Vakarchuk</t>
  </si>
  <si>
    <t>1243:Andrei Bileckiy</t>
  </si>
  <si>
    <t>1236:Vladimir Zelenskiy</t>
  </si>
  <si>
    <t>1236</t>
  </si>
  <si>
    <t>https://ukraine-elections.com.ua/en/socopros/opinion_poll_show/1236</t>
  </si>
  <si>
    <t>2020-02-13</t>
  </si>
  <si>
    <t>2020-02-23</t>
  </si>
  <si>
    <t>1236:Yuri Boyko</t>
  </si>
  <si>
    <t>1236:Pyotr Poroshenko</t>
  </si>
  <si>
    <t>1236:Yulia Timoshenko</t>
  </si>
  <si>
    <t>1236:Igor Smeshko</t>
  </si>
  <si>
    <t>1236:Anatoly Gricenko</t>
  </si>
  <si>
    <t>1236:Alexander Vilkul</t>
  </si>
  <si>
    <t>1228:Vladimir Zelenskiy</t>
  </si>
  <si>
    <t>1228</t>
  </si>
  <si>
    <t>https://ukraine-elections.com.ua/en/socopros/opinion_poll_show/1228</t>
  </si>
  <si>
    <t>2020-02-08</t>
  </si>
  <si>
    <t>2020-02-18</t>
  </si>
  <si>
    <t>1228:Yuri Boyko</t>
  </si>
  <si>
    <t>1228:Pyotr Poroshenko</t>
  </si>
  <si>
    <t>1228:Yulia Timoshenko</t>
  </si>
  <si>
    <t>1228:Igor Smeshko</t>
  </si>
  <si>
    <t>1228:Oleg Lyashko</t>
  </si>
  <si>
    <t>1228:Anatoly Gricenko</t>
  </si>
  <si>
    <t>1228:Ruslan Koshulinskiy</t>
  </si>
  <si>
    <t>1228:Alexander Vilkul</t>
  </si>
  <si>
    <t>1228:Roman Bessmertnyy</t>
  </si>
  <si>
    <t>Roman Bessmertnyy</t>
  </si>
  <si>
    <t>1226:Vladimir Zelenskiy</t>
  </si>
  <si>
    <t>1226</t>
  </si>
  <si>
    <t>https://ukraine-elections.com.ua/en/socopros/opinion_poll_show/1226</t>
  </si>
  <si>
    <t>2020-02-17</t>
  </si>
  <si>
    <t>1226:Yuri Boyko</t>
  </si>
  <si>
    <t>1226:Pyotr Poroshenko</t>
  </si>
  <si>
    <t>1226:Yulia Timoshenko</t>
  </si>
  <si>
    <t>1226:Igor Smeshko</t>
  </si>
  <si>
    <t>1226:Anatoly Gricenko</t>
  </si>
  <si>
    <t>1226:Oleg Lyashko</t>
  </si>
  <si>
    <t>1226:Ruslan Koshulinskiy</t>
  </si>
  <si>
    <t>1226:Alexander Vilkul</t>
  </si>
  <si>
    <t>1226:Alexander Shevchenko</t>
  </si>
  <si>
    <t>Alexander Shevchenko</t>
  </si>
  <si>
    <t>1220:Vladimir Zelenskiy</t>
  </si>
  <si>
    <t>1220</t>
  </si>
  <si>
    <t>https://ukraine-elections.com.ua/en/socopros/opinion_poll_show/1220</t>
  </si>
  <si>
    <t>2020-02-10</t>
  </si>
  <si>
    <t>1220:Pyotr Poroshenko</t>
  </si>
  <si>
    <t>1220:Yuri Boyko</t>
  </si>
  <si>
    <t>1220:Yulia Timoshenko</t>
  </si>
  <si>
    <t>1220:Igor Smeshko</t>
  </si>
  <si>
    <t>1220:Oleg Lyashko</t>
  </si>
  <si>
    <t>1220:Svyatoslav Vakarchuk</t>
  </si>
  <si>
    <t>1220:Elena Zerkal</t>
  </si>
  <si>
    <t>1220:Oleg Sencov</t>
  </si>
  <si>
    <t>1220:Andrei Bileckiy</t>
  </si>
  <si>
    <t>1094:Vladimir Zelenskiy</t>
  </si>
  <si>
    <t>1094</t>
  </si>
  <si>
    <t>https://ukraine-elections.com.ua/en/socopros/opinion_poll_show/1094</t>
  </si>
  <si>
    <t>1094:Pyotr Poroshenko</t>
  </si>
  <si>
    <t>1093:Vladimir Zelenskiy</t>
  </si>
  <si>
    <t>1093</t>
  </si>
  <si>
    <t>https://ukraine-elections.com.ua/en/socopros/opinion_poll_show/1093</t>
  </si>
  <si>
    <t>Exit poll</t>
  </si>
  <si>
    <t>1093:Pyotr Poroshenko</t>
  </si>
  <si>
    <t>1092:Vladimir Zelenskiy</t>
  </si>
  <si>
    <t>1092</t>
  </si>
  <si>
    <t>https://ukraine-elections.com.ua/en/socopros/opinion_poll_show/1092</t>
  </si>
  <si>
    <t>1092:Pyotr Poroshenko</t>
  </si>
  <si>
    <t>1091:Vladimir Zelenskiy</t>
  </si>
  <si>
    <t>1091</t>
  </si>
  <si>
    <t>https://ukraine-elections.com.ua/en/socopros/opinion_poll_show/1091</t>
  </si>
  <si>
    <t>1091:Pyotr Poroshenko</t>
  </si>
  <si>
    <t>1090:Vladimir Zelenskiy</t>
  </si>
  <si>
    <t>1090</t>
  </si>
  <si>
    <t>https://ukraine-elections.com.ua/en/socopros/opinion_poll_show/1090</t>
  </si>
  <si>
    <t>2019-04-12</t>
  </si>
  <si>
    <t>1090:Pyotr Poroshenko</t>
  </si>
  <si>
    <t>1089:Vladimir Zelenskiy</t>
  </si>
  <si>
    <t>1089</t>
  </si>
  <si>
    <t>https://ukraine-elections.com.ua/en/socopros/opinion_poll_show/1089</t>
  </si>
  <si>
    <t>2019-04-09</t>
  </si>
  <si>
    <t>2019-04-14</t>
  </si>
  <si>
    <t>1089:Pyotr Poroshenko</t>
  </si>
  <si>
    <t>1087:Vladimir Zelenskiy</t>
  </si>
  <si>
    <t>1087</t>
  </si>
  <si>
    <t>https://ukraine-elections.com.ua/en/socopros/opinion_poll_show/1087</t>
  </si>
  <si>
    <t>2019-04-05</t>
  </si>
  <si>
    <t>2019-04-10</t>
  </si>
  <si>
    <t>1087:Pyotr Poroshenko</t>
  </si>
  <si>
    <t>1086:Vladimir Zelenskiy</t>
  </si>
  <si>
    <t>1086</t>
  </si>
  <si>
    <t>https://ukraine-elections.com.ua/en/socopros/opinion_poll_show/1086</t>
  </si>
  <si>
    <t>2019-03-31</t>
  </si>
  <si>
    <t>1086:Pyotr Poroshenko</t>
  </si>
  <si>
    <t>1085:Vladimir Zelenskiy</t>
  </si>
  <si>
    <t>1085</t>
  </si>
  <si>
    <t>https://ukraine-elections.com.ua/en/socopros/opinion_poll_show/1085</t>
  </si>
  <si>
    <t>1085:Pyotr Poroshenko</t>
  </si>
  <si>
    <t>1085:Yulia Timoshenko</t>
  </si>
  <si>
    <t>1085:Yuri Boyko</t>
  </si>
  <si>
    <t>1085:Anatoly Gricenko</t>
  </si>
  <si>
    <t>1085:Igor Smeshko</t>
  </si>
  <si>
    <t>1085:Oleg Lyashko</t>
  </si>
  <si>
    <t>1085:Alexander Vilkul</t>
  </si>
  <si>
    <t>1085:Yuri Timoshenko</t>
  </si>
  <si>
    <t>Yuri Timoshenko</t>
  </si>
  <si>
    <t>WEIGHTED AVERAGE FORMULA — UKRAINE PRESIDENTIAL POLLING AGGREGATOR</t>
  </si>
  <si>
    <t>FORMULA</t>
  </si>
  <si>
    <t>Step 1</t>
  </si>
  <si>
    <t>Precision weight (pᵢ)</t>
  </si>
  <si>
    <t>If MoEᵢ reported:  pᵢ = 1 / MoEᵢ²   |   If MoEᵢ missing, nᵢ known:  pᵢ = nᵢ / [Precision Denominator]   |   If both missing:  pᵢ = 1 / [Fallback MoE]²</t>
  </si>
  <si>
    <t>Step 2</t>
  </si>
  <si>
    <t>Method weight (mᵢ)</t>
  </si>
  <si>
    <t>mᵢ = lookup polling_method in Method Weights table (0.20 – 1.00)</t>
  </si>
  <si>
    <t>Step 3</t>
  </si>
  <si>
    <t>Observation weight (wᵢ)</t>
  </si>
  <si>
    <t>wᵢ  =  mᵢ  ×  pᵢ</t>
  </si>
  <si>
    <t>Step 4</t>
  </si>
  <si>
    <t>Monthly weighted average  ȳ_t,c</t>
  </si>
  <si>
    <t>ȳ_t,c  =  Σ(wᵢ × yᵢ,c) / Σ(wᵢ)     summed over all polls i in month t for candidate c</t>
  </si>
  <si>
    <t>METHOD WEIGHTS</t>
  </si>
  <si>
    <t>Polling Method</t>
  </si>
  <si>
    <t>Weight (mᵢ)</t>
  </si>
  <si>
    <t>Notes</t>
  </si>
  <si>
    <t>Overlaps with Personal interview face-to-face</t>
  </si>
  <si>
    <t>Overlaps with Phone Interview</t>
  </si>
  <si>
    <t>AMENDED: 0.75→0.60 (wartime coverage bias per Post-Soviet Affairs 2025)</t>
  </si>
  <si>
    <t>Highest quality</t>
  </si>
  <si>
    <t>Low quality — self-selection bias</t>
  </si>
  <si>
    <t>Overlaps with CAPI</t>
  </si>
  <si>
    <t>Overlaps with CATI</t>
  </si>
  <si>
    <t>Overlaps with CAWI</t>
  </si>
  <si>
    <t>Website online poll</t>
  </si>
  <si>
    <t>PRECISION PARAMETERS</t>
  </si>
  <si>
    <t>Parameter</t>
  </si>
  <si>
    <t>Value</t>
  </si>
  <si>
    <t>Description</t>
  </si>
  <si>
    <t>Precision Denominator (√ mode)</t>
  </si>
  <si>
    <t>Fallback MoE (pp)</t>
  </si>
  <si>
    <t>Default Method Weight</t>
  </si>
  <si>
    <t>N_CAP (sample size cap)</t>
  </si>
  <si>
    <t>NEW: cap n before sqrt. Prevents mega-polls dominating (FiftyPlusOne standard)</t>
  </si>
  <si>
    <t>DECAY_LAMBDA (recency)</t>
  </si>
  <si>
    <t>NEW: rᵢ=exp(−λ×Δdays from month end). λ=0.05 → half-life ≈14 days</t>
  </si>
  <si>
    <t>PRIOR_STRENGTH (shrinkage)</t>
  </si>
  <si>
    <t>REDUCED 0.15→0.10: less stickiness in sparse months. Autumn 2023 lag reduced by ~2pp in Telegram-only months. Trade-off: slightly more reactive to individual polls in data-rich months.</t>
  </si>
  <si>
    <t>BREAK_THRESHOLD (pp)</t>
  </si>
  <si>
    <t>NEW: if |raw_avg − prior| &gt; this threshold, skip Bayesian shrinkage entirely. Prevents pre-war Zelensky values (25%) contaminating post-invasion readings (81%). Also prevents shrinkage suppressing Zaluzhnyi's entry spike.</t>
  </si>
  <si>
    <t>MIN_BREAK_WEIGHT</t>
  </si>
  <si>
    <t>NEW: minimum combined obs_weight required to trigger break detection. A single Telegram poll (weight=0.14) cannot trigger a 26pp snap-back on its own. Only high-quality polls (e.g. CATI+F2F with weight≥0.30) can fire structural break logic.</t>
  </si>
  <si>
    <t>UNDECIDED_RATE_DEFAULT</t>
  </si>
  <si>
    <t>MAXIMUM undecided rate — applied to recent polls (2025+). Combined with UNDECIDED_MIN and BASE/END years for time-varying correction. See rows 33-35.</t>
  </si>
  <si>
    <t>UNDECIDED_RATE_MIN</t>
  </si>
  <si>
    <t>Minimum undecided rate for early 2022 wartime polls. NOTE: scope correction excluded entirely for CAWI, Telegram, and Website polls — these are non-probability samples where the undecided correction does not apply.</t>
  </si>
  <si>
    <t>UNDECIDED_BASE_YEAR</t>
  </si>
  <si>
    <t>Year at which minimum undecided rate applies. Polls published this year or earlier get UNDECIDED_MIN.</t>
  </si>
  <si>
    <t>UNDECIDED_END_YEAR</t>
  </si>
  <si>
    <t>Year at which maximum undecided rate applies. Polls published this year or later get UNDECIDED_RATE_DEFAULT.</t>
  </si>
  <si>
    <t>COMPARATIVE REVIEW vs SILVER BULLETIN / NYT / POLITICO — AMENDMENTS</t>
  </si>
  <si>
    <t>CHANGES FROM ORIGINAL FORMULA (highlighted cells = amended parameters)</t>
  </si>
  <si>
    <t>AMENDMENT 1 — Sample Size: Linear → Square Root with Cap (per Silver Bulletin / FiftyPlusOne)</t>
  </si>
  <si>
    <t>Rationale</t>
  </si>
  <si>
    <t>Both Silver Bulletin and FiftyPlusOne use sqrt(n) for sample size weight because additional respondents have diminishing statistical returns. MoE = 1.96×sqrt(p(1-p)/n) — the denominator already uses sqrt(n), so linear weighting by n over-rewards large-n polls. Critically, the Telegram "PolitiKum" channel (n=17,200) received 14.3× the linear weight of a typical 1,200-person poll but only 3.8× with sqrt — and that poll has the lowest method weight (0.20). After capping n at 5,000 (FiftyPlusOne standard), the ratio drops to 2.0× with sqrt.</t>
  </si>
  <si>
    <t>Old precision formula (MoE missing)</t>
  </si>
  <si>
    <t>pᵢ = nᵢ / 9604   [linear — overpowers large-n outliers]</t>
  </si>
  <si>
    <t>New precision formula (MoE missing)</t>
  </si>
  <si>
    <t>pᵢ = √(min(nᵢ, 5000)) / √9604   =   √(min(nᵢ, 5000)) / 98</t>
  </si>
  <si>
    <t>Precision denominator (B24)</t>
  </si>
  <si>
    <t>Changed: 9604 → 98   (now used as divisor after sqrt)</t>
  </si>
  <si>
    <t>New n-cap parameter (B27)</t>
  </si>
  <si>
    <t>NEW ROW: N_CAP = 5000   (cap before sqrt to limit mega-polls)</t>
  </si>
  <si>
    <t>Old formula (MoE present)</t>
  </si>
  <si>
    <t>pᵢ = 1 / MoEᵢ²</t>
  </si>
  <si>
    <t>New formula (MoE present)</t>
  </si>
  <si>
    <t>pᵢ = 1 / MoEᵢ   [sqrt equivalent: MoE already = 1.96/sqrt(n)]</t>
  </si>
  <si>
    <t>AMENDMENT 2 — Zone Flooding Prevention (per Silver Bulletin / FiftyPlusOne)</t>
  </si>
  <si>
    <t>Silver Bulletin: if a pollster releases multiple polls, individual polls are down-weighted so the firm cannot dominate the average. FiftyPlusOne: weight = sqrt(1/k) per poll when k polls from same pollster appear within a 14-day window. Ukraine context: this matters less than in the US (fewer pollsters, fewer polls) but RDI released 3 polls in June 2021; Rating released 3 in Nov 2021.</t>
  </si>
  <si>
    <t>New flood weight (fᵢ)</t>
  </si>
  <si>
    <t>fᵢ = √(1 / kᵢ)   where kᵢ = number of polls from same pollster in same year_month</t>
  </si>
  <si>
    <t>Updated obs_weight formula</t>
  </si>
  <si>
    <t>wᵢ = mᵢ × pᵢ × fᵢ   [Data col R now includes flood weight]</t>
  </si>
  <si>
    <t>Flood weight parameter (B28)</t>
  </si>
  <si>
    <t>NEW ROW: FLOOD_WINDOW = year_month   (group by calendar month)</t>
  </si>
  <si>
    <t>AMENDMENT 3 — Intra-Month Recency Weight (per Silver Bulletin time decay)</t>
  </si>
  <si>
    <t>Silver Bulletin uses local polynomial regression, weighting more recent polls more heavily. Within a monthly window, polls conducted later in the month are more informative than those from the start. In Ukraine, where opinion shifted sharply (e.g. Feb-Apr 2024, early 2025), a poll from day 28 is more informative than one from day 3 of the same month.</t>
  </si>
  <si>
    <t>New recency weight (rᵢ)</t>
  </si>
  <si>
    <t>rᵢ = exp(−λ × Δdᵢ)   where Δdᵢ = days before month-end fieldwork date, λ = 0.05 (half-life ~14 days). Polls from the last day of the month get rᵢ=1; a poll 14 days earlier gets rᵢ≈0.5.</t>
  </si>
  <si>
    <t>Lambda parameter (B29)</t>
  </si>
  <si>
    <t>NEW ROW: DECAY_LAMBDA = 0.05   (adjust to increase/decrease recency sensitivity)</t>
  </si>
  <si>
    <t>Updated obs_weight</t>
  </si>
  <si>
    <t>wᵢ = mᵢ × pᵢ × fᵢ × rᵢ</t>
  </si>
  <si>
    <t>Practical note</t>
  </si>
  <si>
    <t>Recency weight is computed in Data col S. With only 1-2 polls/month in recent Ukrainian data, rᵢ has minimal effect but becomes critical when multiple polls span the same month with different fieldwork dates.</t>
  </si>
  <si>
    <t>AMENDMENT 4 — Ukrainian Context: CAWI Weight Reduced (wartime coverage bias)</t>
  </si>
  <si>
    <t>Academic evidence</t>
  </si>
  <si>
    <t>Post-Soviet Affairs (2025): web (CAWI) studies in wartime Ukraine "cannot reach the oldest and most rural Ukrainians" and contain significantly more coverage bias than telephone samples on war-related variables. Rural and elderly populations are systematically excluded from web panels.</t>
  </si>
  <si>
    <t>Journal of Peace Research (2025)</t>
  </si>
  <si>
    <t>Under-coverage in wartime surveys is "significantly more pronounced" due to geographic clustering of violence. CAWI in Ukraine misses displaced populations more severely than CATI.</t>
  </si>
  <si>
    <t>CAWI weight: was → now</t>
  </si>
  <si>
    <t>CAWI: 0.75 → 0.60   (reduced by 0.15 to reflect wartime exclusion bias)</t>
  </si>
  <si>
    <t>CATI note</t>
  </si>
  <si>
    <t>CATI remains 0.90. PONARS (2023): most wartime Ukrainian polling is CATI — it is the most feasible method and captures older/rural respondents better than web panels.</t>
  </si>
  <si>
    <t>UPDATED PRECISION PARAMETERS (rows 24–29)</t>
  </si>
  <si>
    <t>CHANGED: was 9604. Now: pᵢ = √(min(nᵢ,N_CAP)) / 98  when MoE missing</t>
  </si>
  <si>
    <t>Unchanged. Applied when both MoE and n are missing.</t>
  </si>
  <si>
    <t>Unchanged. Applied when method not found in table.</t>
  </si>
  <si>
    <t>NEW: cap applied before sqrt to prevent mega-poll dominance (per FiftyPlusOne)</t>
  </si>
  <si>
    <t>NEW: intra-month recency decay. rᵢ = exp(−λ×Δdays). λ=0.05 → half-life ≈14 days</t>
  </si>
  <si>
    <t>FLOOD_WINDOW</t>
  </si>
  <si>
    <t>month</t>
  </si>
  <si>
    <t>NEW: zone-flooding window. fᵢ = √(1/k) where k = polls from same pollster in same month</t>
  </si>
  <si>
    <t>HOUSE EFFECT NOTES &amp; REMAINING LIMITATIONS</t>
  </si>
  <si>
    <t>Pollster / Issue</t>
  </si>
  <si>
    <t>Candidate / Effect</t>
  </si>
  <si>
    <t>Commentary</t>
  </si>
  <si>
    <t>Active Group (CAWI)</t>
  </si>
  <si>
    <t>Budanov 2025-26</t>
  </si>
  <si>
    <t>+3.2pp vs CATI/F2F average in same period. CAWI panels over-represent politically engaged, urban, younger Ukrainians who trend toward military-affiliated candidates. Formula applies 0.60 CAWI weight which partially corrects this but does not eliminate it. Monitor: if KIIS or Razumkov confirm Budanov &gt;10%, treat the Active Group readings as validated.</t>
  </si>
  <si>
    <t>Poroshenko 2025-26</t>
  </si>
  <si>
    <t>+2.5pp vs CATI/F2F average. Same mechanism. His true support may be 6-7% vs CAWI-implied 9%. The 0.60 method weight brings the monthly average closer to CATI estimates.</t>
  </si>
  <si>
    <t>Step-function appearance</t>
  </si>
  <si>
    <t>Visual limitation</t>
  </si>
  <si>
    <t>Our formula produces a flat horizontal average per calendar month, then a jump at month boundaries. Ukraine-elections.com.ua's EWMA produces a smooth curve. This cannot be fully fixed within Google Sheets formulas. Partial fix: the 3-month smoothed average (Avg sheet cols L-O) blends current month with ±1 adjacent months — use these columns in Datawrapper for a smoother line.</t>
  </si>
  <si>
    <t>Sparse months (9 gaps filled)</t>
  </si>
  <si>
    <t>Carry-forward fix</t>
  </si>
  <si>
    <t>Avg sheet now contains ALL 49 calendar months from Apr 2022 to Mar 2026, not just 66 publication-date months. This prevents carry-forward from skipping months (e.g. Jan 2025 was missing, breaking the Feb 2025 prior chain). Each empty month now correctly inherits the previous month's estimate.</t>
  </si>
  <si>
    <t>Zelenskiy_raw</t>
  </si>
  <si>
    <t>Zaluzhniy_raw</t>
  </si>
  <si>
    <t>Budanov_raw</t>
  </si>
  <si>
    <t>Poroshenko_raw</t>
  </si>
  <si>
    <t>Zelenskiy_avg</t>
  </si>
  <si>
    <t>Zaluzhniy_avg</t>
  </si>
  <si>
    <t>Budanov_avg</t>
  </si>
  <si>
    <t>Poroshenko_avg</t>
  </si>
  <si>
    <t>3-Month Smoothed Avg</t>
  </si>
  <si>
    <t>APPRCS</t>
  </si>
  <si>
    <t>APPU, ISPP NAES of Ukraine</t>
  </si>
  <si>
    <t>BDM</t>
  </si>
  <si>
    <t>BURI</t>
  </si>
  <si>
    <t>CPD</t>
  </si>
  <si>
    <t>Deminitiatives, KIIS</t>
  </si>
  <si>
    <t>Dragomanov CSR</t>
  </si>
  <si>
    <t>FIP</t>
  </si>
  <si>
    <t>GQR, Info Sapiens</t>
  </si>
  <si>
    <t>GfK Ukraine</t>
  </si>
  <si>
    <t>GfK Ukraine commissioned by Obozrevatel</t>
  </si>
  <si>
    <t>GfK Ukraine commissioned by TSN</t>
  </si>
  <si>
    <t>Gorshenin Institute</t>
  </si>
  <si>
    <t>IAF, Socioprognoz</t>
  </si>
  <si>
    <t>IAF, UISR, Social Monitoring</t>
  </si>
  <si>
    <t>ISOM, NewImage</t>
  </si>
  <si>
    <t>KIIS, Razumkov Centre, Rating</t>
  </si>
  <si>
    <t>KIIS, SOCIS, Razumkov Centre</t>
  </si>
  <si>
    <t>Korrespondent.net</t>
  </si>
  <si>
    <t>PCA "Perspective", Image-Control</t>
  </si>
  <si>
    <t>Power Matters, CPD</t>
  </si>
  <si>
    <t>Q&amp;Q Research</t>
  </si>
  <si>
    <t>RAND</t>
  </si>
  <si>
    <t>Rating, SOCIS, KIIS, Razumkov Centre</t>
  </si>
  <si>
    <t>Razumkov Centre, Deminitiatives, KIIS</t>
  </si>
  <si>
    <t>Razumkov Centre, Rating</t>
  </si>
  <si>
    <t>SOCIS, Janus</t>
  </si>
  <si>
    <t>SOCIS, KIIS, Rating, Razumkov Centre commissioned by CVU</t>
  </si>
  <si>
    <t>SOCIS, KIIS, Razumkov Centre</t>
  </si>
  <si>
    <t>SOCIS, Rating</t>
  </si>
  <si>
    <t>SOCIS, Rating commissioned by APU</t>
  </si>
  <si>
    <t>SOCIS, Rating, KIIS</t>
  </si>
  <si>
    <t>SOCIS, Rating, KIIS, Razumkov Centre</t>
  </si>
  <si>
    <t>Savik Shuster's Studio</t>
  </si>
  <si>
    <t>Seetarget</t>
  </si>
  <si>
    <t>Social Monitoring, UISR, IAF</t>
  </si>
  <si>
    <t>Social Monitoring, UISR, Info Sapiens, Rating</t>
  </si>
  <si>
    <t>Social Monitoring, UISR, KIIS, Rating</t>
  </si>
  <si>
    <t>Social Perspective</t>
  </si>
  <si>
    <t>SocioStream</t>
  </si>
  <si>
    <t>Sofia</t>
  </si>
  <si>
    <t>TNS commissioned by «ICTV», «1+1», TRK «Ukraine» and «Inter»</t>
  </si>
  <si>
    <t>TNS, Info Sapiens commissioned by 1+1</t>
  </si>
  <si>
    <t>UA policy</t>
  </si>
  <si>
    <t>UA policy, IMCO</t>
  </si>
  <si>
    <t>UIF</t>
  </si>
  <si>
    <t>UISPO</t>
  </si>
  <si>
    <t>UISR, Social Monitoring</t>
  </si>
  <si>
    <t>USP</t>
  </si>
  <si>
    <t>USS Research</t>
  </si>
  <si>
    <t>Ukraine Elections</t>
  </si>
  <si>
    <t>Z&amp;B Global</t>
  </si>
  <si>
    <t>bigmir)net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</si>
</sst>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yyyy\-mm\-dd"/>
    <numFmt numFmtId="166" formatCode="0.000"/>
  </numFmts>
  <fonts count="19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7030A0"/>
      <name val="Arial"/>
    </font>
    <font>
      <u/>
      <sz val="10.0"/>
      <color rgb="FF0000FF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2.0"/>
      <color rgb="FFFFFFFF"/>
      <name val="Arial"/>
    </font>
    <font/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1F3864"/>
      <name val="Arial"/>
    </font>
    <font>
      <sz val="10.0"/>
      <color rgb="FF595959"/>
      <name val="Arial"/>
    </font>
    <font>
      <b/>
      <sz val="10.0"/>
      <color rgb="FFC00000"/>
      <name val="Arial"/>
    </font>
    <font>
      <b/>
      <sz val="10.0"/>
      <color rgb="FF1F3864"/>
      <name val="Arial"/>
    </font>
    <font>
      <sz val="10.0"/>
      <color rgb="FFC00000"/>
      <name val="Arial"/>
    </font>
    <font>
      <sz val="9.0"/>
      <color theme="1"/>
      <name val="Arial"/>
    </font>
    <font>
      <b/>
      <sz val="10.0"/>
      <color rgb="FF7030A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7030A0"/>
        <bgColor rgb="FF7030A0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E0E0"/>
        <bgColor rgb="FFFFE0E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D5E8D4"/>
        <bgColor rgb="FFD5E8D4"/>
      </patternFill>
    </fill>
    <fill>
      <patternFill patternType="solid">
        <fgColor rgb="FF9933CC"/>
        <bgColor rgb="FF9933CC"/>
      </patternFill>
    </fill>
    <fill>
      <patternFill patternType="solid">
        <fgColor rgb="FFF5F5F5"/>
        <bgColor rgb="FFF5F5F5"/>
      </patternFill>
    </fill>
    <fill>
      <patternFill patternType="solid">
        <fgColor rgb="FFFFF5F5"/>
        <bgColor rgb="FFFFF5F5"/>
      </patternFill>
    </fill>
    <fill>
      <patternFill patternType="solid">
        <fgColor rgb="FFF3E5F5"/>
        <bgColor rgb="FFF3E5F5"/>
      </patternFill>
    </fill>
    <fill>
      <patternFill patternType="solid">
        <fgColor rgb="FFF0FFF0"/>
        <bgColor rgb="FFF0FFF0"/>
      </patternFill>
    </fill>
    <fill>
      <patternFill patternType="solid">
        <fgColor rgb="FFFAF0FE"/>
        <bgColor rgb="FFFAF0FE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2" numFmtId="0" xfId="0" applyAlignment="1" applyBorder="1" applyFill="1" applyFont="1">
      <alignment horizontal="center"/>
    </xf>
    <xf borderId="3" fillId="3" fontId="2" numFmtId="0" xfId="0" applyAlignment="1" applyBorder="1" applyFill="1" applyFont="1">
      <alignment horizontal="center"/>
    </xf>
    <xf borderId="4" fillId="3" fontId="2" numFmtId="0" xfId="0" applyAlignment="1" applyBorder="1" applyFont="1">
      <alignment horizontal="center"/>
    </xf>
    <xf borderId="5" fillId="3" fontId="2" numFmtId="0" xfId="0" applyAlignment="1" applyBorder="1" applyFont="1">
      <alignment horizontal="center"/>
    </xf>
    <xf quotePrefix="1" borderId="0" fillId="0" fontId="3" numFmtId="0" xfId="0" applyFont="1"/>
    <xf borderId="0" fillId="0" fontId="3" numFmtId="0" xfId="0" applyFont="1"/>
    <xf borderId="0" fillId="0" fontId="3" numFmtId="164" xfId="0" applyFont="1" applyNumberFormat="1"/>
    <xf borderId="0" fillId="0" fontId="3" numFmtId="2" xfId="0" applyFont="1" applyNumberFormat="1"/>
    <xf borderId="0" fillId="0" fontId="4" numFmtId="2" xfId="0" applyFont="1" applyNumberFormat="1"/>
    <xf borderId="5" fillId="4" fontId="2" numFmtId="0" xfId="0" applyAlignment="1" applyBorder="1" applyFill="1" applyFont="1">
      <alignment horizontal="center"/>
    </xf>
    <xf borderId="0" fillId="0" fontId="5" numFmtId="0" xfId="0" applyFont="1"/>
    <xf borderId="0" fillId="0" fontId="6" numFmtId="165" xfId="0" applyFont="1" applyNumberFormat="1"/>
    <xf borderId="0" fillId="0" fontId="7" numFmtId="0" xfId="0" applyFont="1"/>
    <xf borderId="0" fillId="0" fontId="6" numFmtId="166" xfId="0" applyFont="1" applyNumberFormat="1"/>
    <xf borderId="0" fillId="0" fontId="6" numFmtId="2" xfId="0" applyFont="1" applyNumberFormat="1"/>
    <xf borderId="6" fillId="2" fontId="8" numFmtId="0" xfId="0" applyAlignment="1" applyBorder="1" applyFont="1">
      <alignment horizontal="center" vertical="center"/>
    </xf>
    <xf borderId="7" fillId="0" fontId="9" numFmtId="0" xfId="0" applyBorder="1" applyFont="1"/>
    <xf borderId="8" fillId="0" fontId="9" numFmtId="0" xfId="0" applyBorder="1" applyFont="1"/>
    <xf borderId="6" fillId="4" fontId="10" numFmtId="0" xfId="0" applyAlignment="1" applyBorder="1" applyFont="1">
      <alignment horizontal="center" vertical="center"/>
    </xf>
    <xf borderId="5" fillId="5" fontId="11" numFmtId="0" xfId="0" applyAlignment="1" applyBorder="1" applyFill="1" applyFont="1">
      <alignment horizontal="center" vertical="center"/>
    </xf>
    <xf borderId="6" fillId="5" fontId="11" numFmtId="0" xfId="0" applyAlignment="1" applyBorder="1" applyFont="1">
      <alignment horizontal="left" vertical="center"/>
    </xf>
    <xf borderId="6" fillId="5" fontId="12" numFmtId="0" xfId="0" applyAlignment="1" applyBorder="1" applyFont="1">
      <alignment horizontal="left" shrinkToFit="0" vertical="center" wrapText="1"/>
    </xf>
    <xf borderId="5" fillId="4" fontId="2" numFmtId="0" xfId="0" applyAlignment="1" applyBorder="1" applyFont="1">
      <alignment horizontal="left" vertical="center"/>
    </xf>
    <xf borderId="5" fillId="4" fontId="2" numFmtId="0" xfId="0" applyAlignment="1" applyBorder="1" applyFont="1">
      <alignment horizontal="center" vertical="center"/>
    </xf>
    <xf borderId="6" fillId="4" fontId="2" numFmtId="0" xfId="0" applyAlignment="1" applyBorder="1" applyFont="1">
      <alignment horizontal="left" vertical="center"/>
    </xf>
    <xf borderId="5" fillId="6" fontId="6" numFmtId="0" xfId="0" applyAlignment="1" applyBorder="1" applyFill="1" applyFont="1">
      <alignment horizontal="left" vertical="center"/>
    </xf>
    <xf borderId="5" fillId="6" fontId="6" numFmtId="2" xfId="0" applyAlignment="1" applyBorder="1" applyFont="1" applyNumberFormat="1">
      <alignment horizontal="center" vertical="center"/>
    </xf>
    <xf borderId="6" fillId="6" fontId="13" numFmtId="0" xfId="0" applyAlignment="1" applyBorder="1" applyFont="1">
      <alignment horizontal="left" vertical="center"/>
    </xf>
    <xf borderId="5" fillId="7" fontId="6" numFmtId="0" xfId="0" applyAlignment="1" applyBorder="1" applyFill="1" applyFont="1">
      <alignment horizontal="left" vertical="center"/>
    </xf>
    <xf borderId="5" fillId="7" fontId="6" numFmtId="2" xfId="0" applyAlignment="1" applyBorder="1" applyFont="1" applyNumberFormat="1">
      <alignment horizontal="center" vertical="center"/>
    </xf>
    <xf borderId="6" fillId="7" fontId="13" numFmtId="0" xfId="0" applyAlignment="1" applyBorder="1" applyFont="1">
      <alignment horizontal="left" vertical="center"/>
    </xf>
    <xf borderId="5" fillId="8" fontId="14" numFmtId="2" xfId="0" applyAlignment="1" applyBorder="1" applyFill="1" applyFont="1" applyNumberFormat="1">
      <alignment horizontal="center" vertical="center"/>
    </xf>
    <xf borderId="5" fillId="9" fontId="11" numFmtId="0" xfId="0" applyAlignment="1" applyBorder="1" applyFill="1" applyFont="1">
      <alignment horizontal="left" vertical="center"/>
    </xf>
    <xf borderId="5" fillId="9" fontId="15" numFmtId="0" xfId="0" applyAlignment="1" applyBorder="1" applyFont="1">
      <alignment horizontal="center" vertical="center"/>
    </xf>
    <xf borderId="6" fillId="9" fontId="6" numFmtId="0" xfId="0" applyAlignment="1" applyBorder="1" applyFont="1">
      <alignment horizontal="left" shrinkToFit="0" vertical="center" wrapText="1"/>
    </xf>
    <xf borderId="6" fillId="10" fontId="11" numFmtId="0" xfId="0" applyAlignment="1" applyBorder="1" applyFill="1" applyFont="1">
      <alignment horizontal="left" vertical="center"/>
    </xf>
    <xf borderId="5" fillId="10" fontId="15" numFmtId="0" xfId="0" applyAlignment="1" applyBorder="1" applyFont="1">
      <alignment horizontal="center" vertical="center"/>
    </xf>
    <xf borderId="6" fillId="10" fontId="6" numFmtId="0" xfId="0" applyAlignment="1" applyBorder="1" applyFont="1">
      <alignment horizontal="left" shrinkToFit="0" vertical="center" wrapText="1"/>
    </xf>
    <xf borderId="6" fillId="11" fontId="11" numFmtId="0" xfId="0" applyAlignment="1" applyBorder="1" applyFill="1" applyFont="1">
      <alignment horizontal="left" vertical="center"/>
    </xf>
    <xf borderId="5" fillId="11" fontId="15" numFmtId="0" xfId="0" applyAlignment="1" applyBorder="1" applyFont="1">
      <alignment horizontal="center" vertical="center"/>
    </xf>
    <xf borderId="6" fillId="11" fontId="6" numFmtId="0" xfId="0" applyAlignment="1" applyBorder="1" applyFont="1">
      <alignment horizontal="left" shrinkToFit="0" vertical="center" wrapText="1"/>
    </xf>
    <xf borderId="6" fillId="12" fontId="11" numFmtId="0" xfId="0" applyAlignment="1" applyBorder="1" applyFill="1" applyFont="1">
      <alignment horizontal="left" vertical="center"/>
    </xf>
    <xf borderId="5" fillId="12" fontId="15" numFmtId="9" xfId="0" applyAlignment="1" applyBorder="1" applyFont="1" applyNumberFormat="1">
      <alignment horizontal="center" vertical="center"/>
    </xf>
    <xf borderId="6" fillId="12" fontId="6" numFmtId="0" xfId="0" applyAlignment="1" applyBorder="1" applyFont="1">
      <alignment horizontal="left" shrinkToFit="0" vertical="center" wrapText="1"/>
    </xf>
    <xf borderId="6" fillId="3" fontId="10" numFmtId="0" xfId="0" applyAlignment="1" applyBorder="1" applyFont="1">
      <alignment horizontal="center" vertical="center"/>
    </xf>
    <xf borderId="6" fillId="13" fontId="2" numFmtId="0" xfId="0" applyAlignment="1" applyBorder="1" applyFill="1" applyFont="1">
      <alignment horizontal="center" vertical="center"/>
    </xf>
    <xf borderId="6" fillId="4" fontId="2" numFmtId="0" xfId="0" applyAlignment="1" applyBorder="1" applyFont="1">
      <alignment horizontal="center" vertical="center"/>
    </xf>
    <xf borderId="6" fillId="14" fontId="6" numFmtId="0" xfId="0" applyAlignment="1" applyBorder="1" applyFill="1" applyFont="1">
      <alignment horizontal="left" vertical="center"/>
    </xf>
    <xf borderId="6" fillId="14" fontId="6" numFmtId="0" xfId="0" applyAlignment="1" applyBorder="1" applyFont="1">
      <alignment horizontal="left" shrinkToFit="0" vertical="center" wrapText="1"/>
    </xf>
    <xf borderId="6" fillId="5" fontId="15" numFmtId="0" xfId="0" applyAlignment="1" applyBorder="1" applyFont="1">
      <alignment horizontal="left" vertical="center"/>
    </xf>
    <xf borderId="6" fillId="15" fontId="6" numFmtId="0" xfId="0" applyAlignment="1" applyBorder="1" applyFill="1" applyFont="1">
      <alignment horizontal="left" vertical="center"/>
    </xf>
    <xf borderId="6" fillId="15" fontId="6" numFmtId="0" xfId="0" applyAlignment="1" applyBorder="1" applyFont="1">
      <alignment horizontal="left" shrinkToFit="0" vertical="center" wrapText="1"/>
    </xf>
    <xf borderId="6" fillId="8" fontId="14" numFmtId="0" xfId="0" applyAlignment="1" applyBorder="1" applyFont="1">
      <alignment horizontal="left" vertical="center"/>
    </xf>
    <xf borderId="6" fillId="8" fontId="16" numFmtId="0" xfId="0" applyAlignment="1" applyBorder="1" applyFont="1">
      <alignment horizontal="left" shrinkToFit="0" vertical="center" wrapText="1"/>
    </xf>
    <xf borderId="6" fillId="9" fontId="11" numFmtId="0" xfId="0" applyAlignment="1" applyBorder="1" applyFont="1">
      <alignment horizontal="left" vertical="center"/>
    </xf>
    <xf borderId="6" fillId="8" fontId="11" numFmtId="0" xfId="0" applyAlignment="1" applyBorder="1" applyFont="1">
      <alignment horizontal="left" vertical="center"/>
    </xf>
    <xf borderId="5" fillId="8" fontId="11" numFmtId="0" xfId="0" applyAlignment="1" applyBorder="1" applyFont="1">
      <alignment horizontal="left" vertical="center"/>
    </xf>
    <xf borderId="6" fillId="8" fontId="6" numFmtId="0" xfId="0" applyAlignment="1" applyBorder="1" applyFont="1">
      <alignment horizontal="left" shrinkToFit="0" vertical="center" wrapText="1"/>
    </xf>
    <xf borderId="5" fillId="10" fontId="11" numFmtId="0" xfId="0" applyAlignment="1" applyBorder="1" applyFont="1">
      <alignment horizontal="left" vertical="center"/>
    </xf>
    <xf borderId="5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vertical="center"/>
    </xf>
    <xf borderId="5" fillId="14" fontId="6" numFmtId="165" xfId="0" applyAlignment="1" applyBorder="1" applyFont="1" applyNumberFormat="1">
      <alignment horizontal="center" vertical="center"/>
    </xf>
    <xf borderId="5" fillId="14" fontId="17" numFmtId="2" xfId="0" applyBorder="1" applyFont="1" applyNumberFormat="1"/>
    <xf borderId="5" fillId="10" fontId="15" numFmtId="2" xfId="0" applyBorder="1" applyFont="1" applyNumberFormat="1"/>
    <xf borderId="5" fillId="16" fontId="18" numFmtId="2" xfId="0" applyBorder="1" applyFill="1" applyFont="1" applyNumberFormat="1"/>
    <xf borderId="5" fillId="7" fontId="6" numFmtId="165" xfId="0" applyAlignment="1" applyBorder="1" applyFont="1" applyNumberFormat="1">
      <alignment horizontal="center" vertical="center"/>
    </xf>
    <xf borderId="5" fillId="7" fontId="17" numFmtId="2" xfId="0" applyBorder="1" applyFont="1" applyNumberFormat="1"/>
    <xf borderId="5" fillId="17" fontId="15" numFmtId="2" xfId="0" applyBorder="1" applyFill="1" applyFont="1" applyNumberFormat="1"/>
    <xf borderId="5" fillId="18" fontId="18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ukraine-elections.com.ua/en/socopros/opinion_poll_show/2132" TargetMode="External"/><Relationship Id="rId391" Type="http://schemas.openxmlformats.org/officeDocument/2006/relationships/hyperlink" Target="https://ukraine-elections.com.ua/en/socopros/opinion_poll_show/2132" TargetMode="External"/><Relationship Id="rId390" Type="http://schemas.openxmlformats.org/officeDocument/2006/relationships/hyperlink" Target="https://ukraine-elections.com.ua/en/socopros/opinion_poll_show/2136" TargetMode="External"/><Relationship Id="rId1" Type="http://schemas.openxmlformats.org/officeDocument/2006/relationships/hyperlink" Target="https://ukraine-elections.com.ua/en/socopros/opinion_poll_show/2241" TargetMode="External"/><Relationship Id="rId2" Type="http://schemas.openxmlformats.org/officeDocument/2006/relationships/hyperlink" Target="https://ukraine-elections.com.ua/en/socopros/opinion_poll_show/2241" TargetMode="External"/><Relationship Id="rId3" Type="http://schemas.openxmlformats.org/officeDocument/2006/relationships/hyperlink" Target="https://ukraine-elections.com.ua/en/socopros/opinion_poll_show/2241" TargetMode="External"/><Relationship Id="rId4" Type="http://schemas.openxmlformats.org/officeDocument/2006/relationships/hyperlink" Target="https://ukraine-elections.com.ua/en/socopros/opinion_poll_show/2241" TargetMode="External"/><Relationship Id="rId2180" Type="http://schemas.openxmlformats.org/officeDocument/2006/relationships/hyperlink" Target="https://ukraine-elections.com.ua/en/socopros/opinion_poll_show/1263" TargetMode="External"/><Relationship Id="rId2181" Type="http://schemas.openxmlformats.org/officeDocument/2006/relationships/hyperlink" Target="https://ukraine-elections.com.ua/en/socopros/opinion_poll_show/1263" TargetMode="External"/><Relationship Id="rId2182" Type="http://schemas.openxmlformats.org/officeDocument/2006/relationships/hyperlink" Target="https://ukraine-elections.com.ua/en/socopros/opinion_poll_show/1263" TargetMode="External"/><Relationship Id="rId2183" Type="http://schemas.openxmlformats.org/officeDocument/2006/relationships/hyperlink" Target="https://ukraine-elections.com.ua/en/socopros/opinion_poll_show/1263" TargetMode="External"/><Relationship Id="rId9" Type="http://schemas.openxmlformats.org/officeDocument/2006/relationships/hyperlink" Target="https://ukraine-elections.com.ua/en/socopros/opinion_poll_show/2241" TargetMode="External"/><Relationship Id="rId385" Type="http://schemas.openxmlformats.org/officeDocument/2006/relationships/hyperlink" Target="https://ukraine-elections.com.ua/en/socopros/opinion_poll_show/2136" TargetMode="External"/><Relationship Id="rId2184" Type="http://schemas.openxmlformats.org/officeDocument/2006/relationships/hyperlink" Target="https://ukraine-elections.com.ua/en/socopros/opinion_poll_show/1263" TargetMode="External"/><Relationship Id="rId384" Type="http://schemas.openxmlformats.org/officeDocument/2006/relationships/hyperlink" Target="https://ukraine-elections.com.ua/en/socopros/opinion_poll_show/2136" TargetMode="External"/><Relationship Id="rId2185" Type="http://schemas.openxmlformats.org/officeDocument/2006/relationships/hyperlink" Target="https://ukraine-elections.com.ua/en/socopros/opinion_poll_show/1263" TargetMode="External"/><Relationship Id="rId383" Type="http://schemas.openxmlformats.org/officeDocument/2006/relationships/hyperlink" Target="https://ukraine-elections.com.ua/en/socopros/opinion_poll_show/2136" TargetMode="External"/><Relationship Id="rId2186" Type="http://schemas.openxmlformats.org/officeDocument/2006/relationships/hyperlink" Target="https://ukraine-elections.com.ua/en/socopros/opinion_poll_show/1263" TargetMode="External"/><Relationship Id="rId382" Type="http://schemas.openxmlformats.org/officeDocument/2006/relationships/hyperlink" Target="https://ukraine-elections.com.ua/en/socopros/opinion_poll_show/2136" TargetMode="External"/><Relationship Id="rId2187" Type="http://schemas.openxmlformats.org/officeDocument/2006/relationships/hyperlink" Target="https://ukraine-elections.com.ua/en/socopros/opinion_poll_show/1263" TargetMode="External"/><Relationship Id="rId5" Type="http://schemas.openxmlformats.org/officeDocument/2006/relationships/hyperlink" Target="https://ukraine-elections.com.ua/en/socopros/opinion_poll_show/2241" TargetMode="External"/><Relationship Id="rId389" Type="http://schemas.openxmlformats.org/officeDocument/2006/relationships/hyperlink" Target="https://ukraine-elections.com.ua/en/socopros/opinion_poll_show/2136" TargetMode="External"/><Relationship Id="rId2188" Type="http://schemas.openxmlformats.org/officeDocument/2006/relationships/hyperlink" Target="https://ukraine-elections.com.ua/en/socopros/opinion_poll_show/1263" TargetMode="External"/><Relationship Id="rId6" Type="http://schemas.openxmlformats.org/officeDocument/2006/relationships/hyperlink" Target="https://ukraine-elections.com.ua/en/socopros/opinion_poll_show/2241" TargetMode="External"/><Relationship Id="rId388" Type="http://schemas.openxmlformats.org/officeDocument/2006/relationships/hyperlink" Target="https://ukraine-elections.com.ua/en/socopros/opinion_poll_show/2136" TargetMode="External"/><Relationship Id="rId2189" Type="http://schemas.openxmlformats.org/officeDocument/2006/relationships/hyperlink" Target="https://ukraine-elections.com.ua/en/socopros/opinion_poll_show/1260" TargetMode="External"/><Relationship Id="rId7" Type="http://schemas.openxmlformats.org/officeDocument/2006/relationships/hyperlink" Target="https://ukraine-elections.com.ua/en/socopros/opinion_poll_show/2241" TargetMode="External"/><Relationship Id="rId387" Type="http://schemas.openxmlformats.org/officeDocument/2006/relationships/hyperlink" Target="https://ukraine-elections.com.ua/en/socopros/opinion_poll_show/2136" TargetMode="External"/><Relationship Id="rId8" Type="http://schemas.openxmlformats.org/officeDocument/2006/relationships/hyperlink" Target="https://ukraine-elections.com.ua/en/socopros/opinion_poll_show/2241" TargetMode="External"/><Relationship Id="rId386" Type="http://schemas.openxmlformats.org/officeDocument/2006/relationships/hyperlink" Target="https://ukraine-elections.com.ua/en/socopros/opinion_poll_show/2136" TargetMode="External"/><Relationship Id="rId381" Type="http://schemas.openxmlformats.org/officeDocument/2006/relationships/hyperlink" Target="https://ukraine-elections.com.ua/en/socopros/opinion_poll_show/2136" TargetMode="External"/><Relationship Id="rId380" Type="http://schemas.openxmlformats.org/officeDocument/2006/relationships/hyperlink" Target="https://ukraine-elections.com.ua/en/socopros/opinion_poll_show/2136" TargetMode="External"/><Relationship Id="rId379" Type="http://schemas.openxmlformats.org/officeDocument/2006/relationships/hyperlink" Target="https://ukraine-elections.com.ua/en/socopros/opinion_poll_show/2141" TargetMode="External"/><Relationship Id="rId2170" Type="http://schemas.openxmlformats.org/officeDocument/2006/relationships/hyperlink" Target="https://ukraine-elections.com.ua/en/socopros/opinion_poll_show/1273" TargetMode="External"/><Relationship Id="rId2171" Type="http://schemas.openxmlformats.org/officeDocument/2006/relationships/hyperlink" Target="https://ukraine-elections.com.ua/en/socopros/opinion_poll_show/1273" TargetMode="External"/><Relationship Id="rId2172" Type="http://schemas.openxmlformats.org/officeDocument/2006/relationships/hyperlink" Target="https://ukraine-elections.com.ua/en/socopros/opinion_poll_show/1273" TargetMode="External"/><Relationship Id="rId374" Type="http://schemas.openxmlformats.org/officeDocument/2006/relationships/hyperlink" Target="https://ukraine-elections.com.ua/en/socopros/opinion_poll_show/2141" TargetMode="External"/><Relationship Id="rId2173" Type="http://schemas.openxmlformats.org/officeDocument/2006/relationships/hyperlink" Target="https://ukraine-elections.com.ua/en/socopros/opinion_poll_show/1273" TargetMode="External"/><Relationship Id="rId373" Type="http://schemas.openxmlformats.org/officeDocument/2006/relationships/hyperlink" Target="https://ukraine-elections.com.ua/en/socopros/opinion_poll_show/2141" TargetMode="External"/><Relationship Id="rId2174" Type="http://schemas.openxmlformats.org/officeDocument/2006/relationships/hyperlink" Target="https://ukraine-elections.com.ua/en/socopros/opinion_poll_show/1273" TargetMode="External"/><Relationship Id="rId372" Type="http://schemas.openxmlformats.org/officeDocument/2006/relationships/hyperlink" Target="https://ukraine-elections.com.ua/en/socopros/opinion_poll_show/2141" TargetMode="External"/><Relationship Id="rId2175" Type="http://schemas.openxmlformats.org/officeDocument/2006/relationships/hyperlink" Target="https://ukraine-elections.com.ua/en/socopros/opinion_poll_show/1273" TargetMode="External"/><Relationship Id="rId371" Type="http://schemas.openxmlformats.org/officeDocument/2006/relationships/hyperlink" Target="https://ukraine-elections.com.ua/en/socopros/opinion_poll_show/2141" TargetMode="External"/><Relationship Id="rId2176" Type="http://schemas.openxmlformats.org/officeDocument/2006/relationships/hyperlink" Target="https://ukraine-elections.com.ua/en/socopros/opinion_poll_show/1273" TargetMode="External"/><Relationship Id="rId378" Type="http://schemas.openxmlformats.org/officeDocument/2006/relationships/hyperlink" Target="https://ukraine-elections.com.ua/en/socopros/opinion_poll_show/2141" TargetMode="External"/><Relationship Id="rId2177" Type="http://schemas.openxmlformats.org/officeDocument/2006/relationships/hyperlink" Target="https://ukraine-elections.com.ua/en/socopros/opinion_poll_show/1273" TargetMode="External"/><Relationship Id="rId377" Type="http://schemas.openxmlformats.org/officeDocument/2006/relationships/hyperlink" Target="https://ukraine-elections.com.ua/en/socopros/opinion_poll_show/2141" TargetMode="External"/><Relationship Id="rId2178" Type="http://schemas.openxmlformats.org/officeDocument/2006/relationships/hyperlink" Target="https://ukraine-elections.com.ua/en/socopros/opinion_poll_show/1263" TargetMode="External"/><Relationship Id="rId376" Type="http://schemas.openxmlformats.org/officeDocument/2006/relationships/hyperlink" Target="https://ukraine-elections.com.ua/en/socopros/opinion_poll_show/2141" TargetMode="External"/><Relationship Id="rId2179" Type="http://schemas.openxmlformats.org/officeDocument/2006/relationships/hyperlink" Target="https://ukraine-elections.com.ua/en/socopros/opinion_poll_show/1263" TargetMode="External"/><Relationship Id="rId375" Type="http://schemas.openxmlformats.org/officeDocument/2006/relationships/hyperlink" Target="https://ukraine-elections.com.ua/en/socopros/opinion_poll_show/2141" TargetMode="External"/><Relationship Id="rId2190" Type="http://schemas.openxmlformats.org/officeDocument/2006/relationships/hyperlink" Target="https://ukraine-elections.com.ua/en/socopros/opinion_poll_show/1260" TargetMode="External"/><Relationship Id="rId2191" Type="http://schemas.openxmlformats.org/officeDocument/2006/relationships/hyperlink" Target="https://ukraine-elections.com.ua/en/socopros/opinion_poll_show/1260" TargetMode="External"/><Relationship Id="rId2192" Type="http://schemas.openxmlformats.org/officeDocument/2006/relationships/hyperlink" Target="https://ukraine-elections.com.ua/en/socopros/opinion_poll_show/1260" TargetMode="External"/><Relationship Id="rId2193" Type="http://schemas.openxmlformats.org/officeDocument/2006/relationships/hyperlink" Target="https://ukraine-elections.com.ua/en/socopros/opinion_poll_show/1260" TargetMode="External"/><Relationship Id="rId2194" Type="http://schemas.openxmlformats.org/officeDocument/2006/relationships/hyperlink" Target="https://ukraine-elections.com.ua/en/socopros/opinion_poll_show/1260" TargetMode="External"/><Relationship Id="rId396" Type="http://schemas.openxmlformats.org/officeDocument/2006/relationships/hyperlink" Target="https://ukraine-elections.com.ua/en/socopros/opinion_poll_show/2132" TargetMode="External"/><Relationship Id="rId2195" Type="http://schemas.openxmlformats.org/officeDocument/2006/relationships/hyperlink" Target="https://ukraine-elections.com.ua/en/socopros/opinion_poll_show/1260" TargetMode="External"/><Relationship Id="rId395" Type="http://schemas.openxmlformats.org/officeDocument/2006/relationships/hyperlink" Target="https://ukraine-elections.com.ua/en/socopros/opinion_poll_show/2132" TargetMode="External"/><Relationship Id="rId2196" Type="http://schemas.openxmlformats.org/officeDocument/2006/relationships/hyperlink" Target="https://ukraine-elections.com.ua/en/socopros/opinion_poll_show/1259" TargetMode="External"/><Relationship Id="rId394" Type="http://schemas.openxmlformats.org/officeDocument/2006/relationships/hyperlink" Target="https://ukraine-elections.com.ua/en/socopros/opinion_poll_show/2132" TargetMode="External"/><Relationship Id="rId2197" Type="http://schemas.openxmlformats.org/officeDocument/2006/relationships/hyperlink" Target="https://ukraine-elections.com.ua/en/socopros/opinion_poll_show/1259" TargetMode="External"/><Relationship Id="rId393" Type="http://schemas.openxmlformats.org/officeDocument/2006/relationships/hyperlink" Target="https://ukraine-elections.com.ua/en/socopros/opinion_poll_show/2132" TargetMode="External"/><Relationship Id="rId2198" Type="http://schemas.openxmlformats.org/officeDocument/2006/relationships/hyperlink" Target="https://ukraine-elections.com.ua/en/socopros/opinion_poll_show/1259" TargetMode="External"/><Relationship Id="rId2199" Type="http://schemas.openxmlformats.org/officeDocument/2006/relationships/hyperlink" Target="https://ukraine-elections.com.ua/en/socopros/opinion_poll_show/1259" TargetMode="External"/><Relationship Id="rId399" Type="http://schemas.openxmlformats.org/officeDocument/2006/relationships/hyperlink" Target="https://ukraine-elections.com.ua/en/socopros/opinion_poll_show/2125" TargetMode="External"/><Relationship Id="rId398" Type="http://schemas.openxmlformats.org/officeDocument/2006/relationships/hyperlink" Target="https://ukraine-elections.com.ua/en/socopros/opinion_poll_show/2125" TargetMode="External"/><Relationship Id="rId397" Type="http://schemas.openxmlformats.org/officeDocument/2006/relationships/hyperlink" Target="https://ukraine-elections.com.ua/en/socopros/opinion_poll_show/2132" TargetMode="External"/><Relationship Id="rId1730" Type="http://schemas.openxmlformats.org/officeDocument/2006/relationships/hyperlink" Target="https://ukraine-elections.com.ua/en/socopros/opinion_poll_show/1890" TargetMode="External"/><Relationship Id="rId1731" Type="http://schemas.openxmlformats.org/officeDocument/2006/relationships/hyperlink" Target="https://ukraine-elections.com.ua/en/socopros/opinion_poll_show/1890" TargetMode="External"/><Relationship Id="rId1732" Type="http://schemas.openxmlformats.org/officeDocument/2006/relationships/hyperlink" Target="https://ukraine-elections.com.ua/en/socopros/opinion_poll_show/1889" TargetMode="External"/><Relationship Id="rId1733" Type="http://schemas.openxmlformats.org/officeDocument/2006/relationships/hyperlink" Target="https://ukraine-elections.com.ua/en/socopros/opinion_poll_show/1889" TargetMode="External"/><Relationship Id="rId1734" Type="http://schemas.openxmlformats.org/officeDocument/2006/relationships/hyperlink" Target="https://ukraine-elections.com.ua/en/socopros/opinion_poll_show/1889" TargetMode="External"/><Relationship Id="rId1735" Type="http://schemas.openxmlformats.org/officeDocument/2006/relationships/hyperlink" Target="https://ukraine-elections.com.ua/en/socopros/opinion_poll_show/1889" TargetMode="External"/><Relationship Id="rId1736" Type="http://schemas.openxmlformats.org/officeDocument/2006/relationships/hyperlink" Target="https://ukraine-elections.com.ua/en/socopros/opinion_poll_show/1889" TargetMode="External"/><Relationship Id="rId1737" Type="http://schemas.openxmlformats.org/officeDocument/2006/relationships/hyperlink" Target="https://ukraine-elections.com.ua/en/socopros/opinion_poll_show/1889" TargetMode="External"/><Relationship Id="rId1738" Type="http://schemas.openxmlformats.org/officeDocument/2006/relationships/hyperlink" Target="https://ukraine-elections.com.ua/en/socopros/opinion_poll_show/1889" TargetMode="External"/><Relationship Id="rId1739" Type="http://schemas.openxmlformats.org/officeDocument/2006/relationships/hyperlink" Target="https://ukraine-elections.com.ua/en/socopros/opinion_poll_show/1889" TargetMode="External"/><Relationship Id="rId1720" Type="http://schemas.openxmlformats.org/officeDocument/2006/relationships/hyperlink" Target="https://ukraine-elections.com.ua/en/socopros/opinion_poll_show/1890" TargetMode="External"/><Relationship Id="rId1721" Type="http://schemas.openxmlformats.org/officeDocument/2006/relationships/hyperlink" Target="https://ukraine-elections.com.ua/en/socopros/opinion_poll_show/1890" TargetMode="External"/><Relationship Id="rId1722" Type="http://schemas.openxmlformats.org/officeDocument/2006/relationships/hyperlink" Target="https://ukraine-elections.com.ua/en/socopros/opinion_poll_show/1890" TargetMode="External"/><Relationship Id="rId1723" Type="http://schemas.openxmlformats.org/officeDocument/2006/relationships/hyperlink" Target="https://ukraine-elections.com.ua/en/socopros/opinion_poll_show/1890" TargetMode="External"/><Relationship Id="rId1724" Type="http://schemas.openxmlformats.org/officeDocument/2006/relationships/hyperlink" Target="https://ukraine-elections.com.ua/en/socopros/opinion_poll_show/1890" TargetMode="External"/><Relationship Id="rId1725" Type="http://schemas.openxmlformats.org/officeDocument/2006/relationships/hyperlink" Target="https://ukraine-elections.com.ua/en/socopros/opinion_poll_show/1890" TargetMode="External"/><Relationship Id="rId1726" Type="http://schemas.openxmlformats.org/officeDocument/2006/relationships/hyperlink" Target="https://ukraine-elections.com.ua/en/socopros/opinion_poll_show/1890" TargetMode="External"/><Relationship Id="rId1727" Type="http://schemas.openxmlformats.org/officeDocument/2006/relationships/hyperlink" Target="https://ukraine-elections.com.ua/en/socopros/opinion_poll_show/1890" TargetMode="External"/><Relationship Id="rId1728" Type="http://schemas.openxmlformats.org/officeDocument/2006/relationships/hyperlink" Target="https://ukraine-elections.com.ua/en/socopros/opinion_poll_show/1890" TargetMode="External"/><Relationship Id="rId1729" Type="http://schemas.openxmlformats.org/officeDocument/2006/relationships/hyperlink" Target="https://ukraine-elections.com.ua/en/socopros/opinion_poll_show/1890" TargetMode="External"/><Relationship Id="rId1752" Type="http://schemas.openxmlformats.org/officeDocument/2006/relationships/hyperlink" Target="https://ukraine-elections.com.ua/en/socopros/opinion_poll_show/1888" TargetMode="External"/><Relationship Id="rId1753" Type="http://schemas.openxmlformats.org/officeDocument/2006/relationships/hyperlink" Target="https://ukraine-elections.com.ua/en/socopros/opinion_poll_show/1888" TargetMode="External"/><Relationship Id="rId1754" Type="http://schemas.openxmlformats.org/officeDocument/2006/relationships/hyperlink" Target="https://ukraine-elections.com.ua/en/socopros/opinion_poll_show/1888" TargetMode="External"/><Relationship Id="rId1755" Type="http://schemas.openxmlformats.org/officeDocument/2006/relationships/hyperlink" Target="https://ukraine-elections.com.ua/en/socopros/opinion_poll_show/1888" TargetMode="External"/><Relationship Id="rId1756" Type="http://schemas.openxmlformats.org/officeDocument/2006/relationships/hyperlink" Target="https://ukraine-elections.com.ua/en/socopros/opinion_poll_show/1888" TargetMode="External"/><Relationship Id="rId1757" Type="http://schemas.openxmlformats.org/officeDocument/2006/relationships/hyperlink" Target="https://ukraine-elections.com.ua/en/socopros/opinion_poll_show/1888" TargetMode="External"/><Relationship Id="rId1758" Type="http://schemas.openxmlformats.org/officeDocument/2006/relationships/hyperlink" Target="https://ukraine-elections.com.ua/en/socopros/opinion_poll_show/1886" TargetMode="External"/><Relationship Id="rId1759" Type="http://schemas.openxmlformats.org/officeDocument/2006/relationships/hyperlink" Target="https://ukraine-elections.com.ua/en/socopros/opinion_poll_show/1886" TargetMode="External"/><Relationship Id="rId808" Type="http://schemas.openxmlformats.org/officeDocument/2006/relationships/hyperlink" Target="https://ukraine-elections.com.ua/en/socopros/opinion_poll_show/2058" TargetMode="External"/><Relationship Id="rId807" Type="http://schemas.openxmlformats.org/officeDocument/2006/relationships/hyperlink" Target="https://ukraine-elections.com.ua/en/socopros/opinion_poll_show/2058" TargetMode="External"/><Relationship Id="rId806" Type="http://schemas.openxmlformats.org/officeDocument/2006/relationships/hyperlink" Target="https://ukraine-elections.com.ua/en/socopros/opinion_poll_show/2058" TargetMode="External"/><Relationship Id="rId805" Type="http://schemas.openxmlformats.org/officeDocument/2006/relationships/hyperlink" Target="https://ukraine-elections.com.ua/en/socopros/opinion_poll_show/2058" TargetMode="External"/><Relationship Id="rId809" Type="http://schemas.openxmlformats.org/officeDocument/2006/relationships/hyperlink" Target="https://ukraine-elections.com.ua/en/socopros/opinion_poll_show/2058" TargetMode="External"/><Relationship Id="rId800" Type="http://schemas.openxmlformats.org/officeDocument/2006/relationships/hyperlink" Target="https://ukraine-elections.com.ua/en/socopros/opinion_poll_show/2058" TargetMode="External"/><Relationship Id="rId804" Type="http://schemas.openxmlformats.org/officeDocument/2006/relationships/hyperlink" Target="https://ukraine-elections.com.ua/en/socopros/opinion_poll_show/2058" TargetMode="External"/><Relationship Id="rId803" Type="http://schemas.openxmlformats.org/officeDocument/2006/relationships/hyperlink" Target="https://ukraine-elections.com.ua/en/socopros/opinion_poll_show/2058" TargetMode="External"/><Relationship Id="rId802" Type="http://schemas.openxmlformats.org/officeDocument/2006/relationships/hyperlink" Target="https://ukraine-elections.com.ua/en/socopros/opinion_poll_show/2058" TargetMode="External"/><Relationship Id="rId801" Type="http://schemas.openxmlformats.org/officeDocument/2006/relationships/hyperlink" Target="https://ukraine-elections.com.ua/en/socopros/opinion_poll_show/2058" TargetMode="External"/><Relationship Id="rId1750" Type="http://schemas.openxmlformats.org/officeDocument/2006/relationships/hyperlink" Target="https://ukraine-elections.com.ua/en/socopros/opinion_poll_show/1888" TargetMode="External"/><Relationship Id="rId1751" Type="http://schemas.openxmlformats.org/officeDocument/2006/relationships/hyperlink" Target="https://ukraine-elections.com.ua/en/socopros/opinion_poll_show/1888" TargetMode="External"/><Relationship Id="rId1741" Type="http://schemas.openxmlformats.org/officeDocument/2006/relationships/hyperlink" Target="https://ukraine-elections.com.ua/en/socopros/opinion_poll_show/1889" TargetMode="External"/><Relationship Id="rId1742" Type="http://schemas.openxmlformats.org/officeDocument/2006/relationships/hyperlink" Target="https://ukraine-elections.com.ua/en/socopros/opinion_poll_show/1889" TargetMode="External"/><Relationship Id="rId1743" Type="http://schemas.openxmlformats.org/officeDocument/2006/relationships/hyperlink" Target="https://ukraine-elections.com.ua/en/socopros/opinion_poll_show/1889" TargetMode="External"/><Relationship Id="rId1744" Type="http://schemas.openxmlformats.org/officeDocument/2006/relationships/hyperlink" Target="https://ukraine-elections.com.ua/en/socopros/opinion_poll_show/1889" TargetMode="External"/><Relationship Id="rId1745" Type="http://schemas.openxmlformats.org/officeDocument/2006/relationships/hyperlink" Target="https://ukraine-elections.com.ua/en/socopros/opinion_poll_show/1888" TargetMode="External"/><Relationship Id="rId1746" Type="http://schemas.openxmlformats.org/officeDocument/2006/relationships/hyperlink" Target="https://ukraine-elections.com.ua/en/socopros/opinion_poll_show/1888" TargetMode="External"/><Relationship Id="rId1747" Type="http://schemas.openxmlformats.org/officeDocument/2006/relationships/hyperlink" Target="https://ukraine-elections.com.ua/en/socopros/opinion_poll_show/1888" TargetMode="External"/><Relationship Id="rId1748" Type="http://schemas.openxmlformats.org/officeDocument/2006/relationships/hyperlink" Target="https://ukraine-elections.com.ua/en/socopros/opinion_poll_show/1888" TargetMode="External"/><Relationship Id="rId1749" Type="http://schemas.openxmlformats.org/officeDocument/2006/relationships/hyperlink" Target="https://ukraine-elections.com.ua/en/socopros/opinion_poll_show/1888" TargetMode="External"/><Relationship Id="rId1740" Type="http://schemas.openxmlformats.org/officeDocument/2006/relationships/hyperlink" Target="https://ukraine-elections.com.ua/en/socopros/opinion_poll_show/1889" TargetMode="External"/><Relationship Id="rId1710" Type="http://schemas.openxmlformats.org/officeDocument/2006/relationships/hyperlink" Target="https://ukraine-elections.com.ua/en/socopros/opinion_poll_show/1890" TargetMode="External"/><Relationship Id="rId1711" Type="http://schemas.openxmlformats.org/officeDocument/2006/relationships/hyperlink" Target="https://ukraine-elections.com.ua/en/socopros/opinion_poll_show/1890" TargetMode="External"/><Relationship Id="rId1712" Type="http://schemas.openxmlformats.org/officeDocument/2006/relationships/hyperlink" Target="https://ukraine-elections.com.ua/en/socopros/opinion_poll_show/1890" TargetMode="External"/><Relationship Id="rId1713" Type="http://schemas.openxmlformats.org/officeDocument/2006/relationships/hyperlink" Target="https://ukraine-elections.com.ua/en/socopros/opinion_poll_show/1890" TargetMode="External"/><Relationship Id="rId1714" Type="http://schemas.openxmlformats.org/officeDocument/2006/relationships/hyperlink" Target="https://ukraine-elections.com.ua/en/socopros/opinion_poll_show/1890" TargetMode="External"/><Relationship Id="rId1715" Type="http://schemas.openxmlformats.org/officeDocument/2006/relationships/hyperlink" Target="https://ukraine-elections.com.ua/en/socopros/opinion_poll_show/1890" TargetMode="External"/><Relationship Id="rId1716" Type="http://schemas.openxmlformats.org/officeDocument/2006/relationships/hyperlink" Target="https://ukraine-elections.com.ua/en/socopros/opinion_poll_show/1890" TargetMode="External"/><Relationship Id="rId1717" Type="http://schemas.openxmlformats.org/officeDocument/2006/relationships/hyperlink" Target="https://ukraine-elections.com.ua/en/socopros/opinion_poll_show/1890" TargetMode="External"/><Relationship Id="rId1718" Type="http://schemas.openxmlformats.org/officeDocument/2006/relationships/hyperlink" Target="https://ukraine-elections.com.ua/en/socopros/opinion_poll_show/1890" TargetMode="External"/><Relationship Id="rId1719" Type="http://schemas.openxmlformats.org/officeDocument/2006/relationships/hyperlink" Target="https://ukraine-elections.com.ua/en/socopros/opinion_poll_show/1890" TargetMode="External"/><Relationship Id="rId1700" Type="http://schemas.openxmlformats.org/officeDocument/2006/relationships/hyperlink" Target="https://ukraine-elections.com.ua/en/socopros/opinion_poll_show/1891" TargetMode="External"/><Relationship Id="rId1701" Type="http://schemas.openxmlformats.org/officeDocument/2006/relationships/hyperlink" Target="https://ukraine-elections.com.ua/en/socopros/opinion_poll_show/1891" TargetMode="External"/><Relationship Id="rId1702" Type="http://schemas.openxmlformats.org/officeDocument/2006/relationships/hyperlink" Target="https://ukraine-elections.com.ua/en/socopros/opinion_poll_show/1891" TargetMode="External"/><Relationship Id="rId1703" Type="http://schemas.openxmlformats.org/officeDocument/2006/relationships/hyperlink" Target="https://ukraine-elections.com.ua/en/socopros/opinion_poll_show/1891" TargetMode="External"/><Relationship Id="rId1704" Type="http://schemas.openxmlformats.org/officeDocument/2006/relationships/hyperlink" Target="https://ukraine-elections.com.ua/en/socopros/opinion_poll_show/1891" TargetMode="External"/><Relationship Id="rId1705" Type="http://schemas.openxmlformats.org/officeDocument/2006/relationships/hyperlink" Target="https://ukraine-elections.com.ua/en/socopros/opinion_poll_show/1891" TargetMode="External"/><Relationship Id="rId1706" Type="http://schemas.openxmlformats.org/officeDocument/2006/relationships/hyperlink" Target="https://ukraine-elections.com.ua/en/socopros/opinion_poll_show/1890" TargetMode="External"/><Relationship Id="rId1707" Type="http://schemas.openxmlformats.org/officeDocument/2006/relationships/hyperlink" Target="https://ukraine-elections.com.ua/en/socopros/opinion_poll_show/1890" TargetMode="External"/><Relationship Id="rId1708" Type="http://schemas.openxmlformats.org/officeDocument/2006/relationships/hyperlink" Target="https://ukraine-elections.com.ua/en/socopros/opinion_poll_show/1890" TargetMode="External"/><Relationship Id="rId1709" Type="http://schemas.openxmlformats.org/officeDocument/2006/relationships/hyperlink" Target="https://ukraine-elections.com.ua/en/socopros/opinion_poll_show/1890" TargetMode="External"/><Relationship Id="rId40" Type="http://schemas.openxmlformats.org/officeDocument/2006/relationships/hyperlink" Target="https://ukraine-elections.com.ua/en/socopros/opinion_poll_show/2232" TargetMode="External"/><Relationship Id="rId1334" Type="http://schemas.openxmlformats.org/officeDocument/2006/relationships/hyperlink" Target="https://ukraine-elections.com.ua/en/socopros/opinion_poll_show/1966" TargetMode="External"/><Relationship Id="rId1335" Type="http://schemas.openxmlformats.org/officeDocument/2006/relationships/hyperlink" Target="https://ukraine-elections.com.ua/en/socopros/opinion_poll_show/1966" TargetMode="External"/><Relationship Id="rId42" Type="http://schemas.openxmlformats.org/officeDocument/2006/relationships/hyperlink" Target="https://ukraine-elections.com.ua/en/socopros/opinion_poll_show/2228" TargetMode="External"/><Relationship Id="rId1336" Type="http://schemas.openxmlformats.org/officeDocument/2006/relationships/hyperlink" Target="https://ukraine-elections.com.ua/en/socopros/opinion_poll_show/1966" TargetMode="External"/><Relationship Id="rId41" Type="http://schemas.openxmlformats.org/officeDocument/2006/relationships/hyperlink" Target="https://ukraine-elections.com.ua/en/socopros/opinion_poll_show/2228" TargetMode="External"/><Relationship Id="rId1337" Type="http://schemas.openxmlformats.org/officeDocument/2006/relationships/hyperlink" Target="https://ukraine-elections.com.ua/en/socopros/opinion_poll_show/1966" TargetMode="External"/><Relationship Id="rId44" Type="http://schemas.openxmlformats.org/officeDocument/2006/relationships/hyperlink" Target="https://ukraine-elections.com.ua/en/socopros/opinion_poll_show/2228" TargetMode="External"/><Relationship Id="rId1338" Type="http://schemas.openxmlformats.org/officeDocument/2006/relationships/hyperlink" Target="https://ukraine-elections.com.ua/en/socopros/opinion_poll_show/1966" TargetMode="External"/><Relationship Id="rId43" Type="http://schemas.openxmlformats.org/officeDocument/2006/relationships/hyperlink" Target="https://ukraine-elections.com.ua/en/socopros/opinion_poll_show/2228" TargetMode="External"/><Relationship Id="rId1339" Type="http://schemas.openxmlformats.org/officeDocument/2006/relationships/hyperlink" Target="https://ukraine-elections.com.ua/en/socopros/opinion_poll_show/1966" TargetMode="External"/><Relationship Id="rId46" Type="http://schemas.openxmlformats.org/officeDocument/2006/relationships/hyperlink" Target="https://ukraine-elections.com.ua/en/socopros/opinion_poll_show/2228" TargetMode="External"/><Relationship Id="rId45" Type="http://schemas.openxmlformats.org/officeDocument/2006/relationships/hyperlink" Target="https://ukraine-elections.com.ua/en/socopros/opinion_poll_show/2228" TargetMode="External"/><Relationship Id="rId745" Type="http://schemas.openxmlformats.org/officeDocument/2006/relationships/hyperlink" Target="https://ukraine-elections.com.ua/en/socopros/opinion_poll_show/2073" TargetMode="External"/><Relationship Id="rId744" Type="http://schemas.openxmlformats.org/officeDocument/2006/relationships/hyperlink" Target="https://ukraine-elections.com.ua/en/socopros/opinion_poll_show/2073" TargetMode="External"/><Relationship Id="rId743" Type="http://schemas.openxmlformats.org/officeDocument/2006/relationships/hyperlink" Target="https://ukraine-elections.com.ua/en/socopros/opinion_poll_show/2073" TargetMode="External"/><Relationship Id="rId742" Type="http://schemas.openxmlformats.org/officeDocument/2006/relationships/hyperlink" Target="https://ukraine-elections.com.ua/en/socopros/opinion_poll_show/2073" TargetMode="External"/><Relationship Id="rId749" Type="http://schemas.openxmlformats.org/officeDocument/2006/relationships/hyperlink" Target="https://ukraine-elections.com.ua/en/socopros/opinion_poll_show/2072" TargetMode="External"/><Relationship Id="rId748" Type="http://schemas.openxmlformats.org/officeDocument/2006/relationships/hyperlink" Target="https://ukraine-elections.com.ua/en/socopros/opinion_poll_show/2072" TargetMode="External"/><Relationship Id="rId747" Type="http://schemas.openxmlformats.org/officeDocument/2006/relationships/hyperlink" Target="https://ukraine-elections.com.ua/en/socopros/opinion_poll_show/2072" TargetMode="External"/><Relationship Id="rId746" Type="http://schemas.openxmlformats.org/officeDocument/2006/relationships/hyperlink" Target="https://ukraine-elections.com.ua/en/socopros/opinion_poll_show/2072" TargetMode="External"/><Relationship Id="rId48" Type="http://schemas.openxmlformats.org/officeDocument/2006/relationships/hyperlink" Target="https://ukraine-elections.com.ua/en/socopros/opinion_poll_show/2228" TargetMode="External"/><Relationship Id="rId47" Type="http://schemas.openxmlformats.org/officeDocument/2006/relationships/hyperlink" Target="https://ukraine-elections.com.ua/en/socopros/opinion_poll_show/2228" TargetMode="External"/><Relationship Id="rId49" Type="http://schemas.openxmlformats.org/officeDocument/2006/relationships/hyperlink" Target="https://ukraine-elections.com.ua/en/socopros/opinion_poll_show/2228" TargetMode="External"/><Relationship Id="rId741" Type="http://schemas.openxmlformats.org/officeDocument/2006/relationships/hyperlink" Target="https://ukraine-elections.com.ua/en/socopros/opinion_poll_show/2073" TargetMode="External"/><Relationship Id="rId1330" Type="http://schemas.openxmlformats.org/officeDocument/2006/relationships/hyperlink" Target="https://ukraine-elections.com.ua/en/socopros/opinion_poll_show/1969" TargetMode="External"/><Relationship Id="rId740" Type="http://schemas.openxmlformats.org/officeDocument/2006/relationships/hyperlink" Target="https://ukraine-elections.com.ua/en/socopros/opinion_poll_show/2073" TargetMode="External"/><Relationship Id="rId1331" Type="http://schemas.openxmlformats.org/officeDocument/2006/relationships/hyperlink" Target="https://ukraine-elections.com.ua/en/socopros/opinion_poll_show/1969" TargetMode="External"/><Relationship Id="rId1332" Type="http://schemas.openxmlformats.org/officeDocument/2006/relationships/hyperlink" Target="https://ukraine-elections.com.ua/en/socopros/opinion_poll_show/1969" TargetMode="External"/><Relationship Id="rId1333" Type="http://schemas.openxmlformats.org/officeDocument/2006/relationships/hyperlink" Target="https://ukraine-elections.com.ua/en/socopros/opinion_poll_show/1969" TargetMode="External"/><Relationship Id="rId1323" Type="http://schemas.openxmlformats.org/officeDocument/2006/relationships/hyperlink" Target="https://ukraine-elections.com.ua/en/socopros/opinion_poll_show/1969" TargetMode="External"/><Relationship Id="rId1324" Type="http://schemas.openxmlformats.org/officeDocument/2006/relationships/hyperlink" Target="https://ukraine-elections.com.ua/en/socopros/opinion_poll_show/1969" TargetMode="External"/><Relationship Id="rId31" Type="http://schemas.openxmlformats.org/officeDocument/2006/relationships/hyperlink" Target="https://ukraine-elections.com.ua/en/socopros/opinion_poll_show/2232" TargetMode="External"/><Relationship Id="rId1325" Type="http://schemas.openxmlformats.org/officeDocument/2006/relationships/hyperlink" Target="https://ukraine-elections.com.ua/en/socopros/opinion_poll_show/1969" TargetMode="External"/><Relationship Id="rId30" Type="http://schemas.openxmlformats.org/officeDocument/2006/relationships/hyperlink" Target="https://ukraine-elections.com.ua/en/socopros/opinion_poll_show/2232" TargetMode="External"/><Relationship Id="rId1326" Type="http://schemas.openxmlformats.org/officeDocument/2006/relationships/hyperlink" Target="https://ukraine-elections.com.ua/en/socopros/opinion_poll_show/1969" TargetMode="External"/><Relationship Id="rId33" Type="http://schemas.openxmlformats.org/officeDocument/2006/relationships/hyperlink" Target="https://ukraine-elections.com.ua/en/socopros/opinion_poll_show/2232" TargetMode="External"/><Relationship Id="rId1327" Type="http://schemas.openxmlformats.org/officeDocument/2006/relationships/hyperlink" Target="https://ukraine-elections.com.ua/en/socopros/opinion_poll_show/1969" TargetMode="External"/><Relationship Id="rId32" Type="http://schemas.openxmlformats.org/officeDocument/2006/relationships/hyperlink" Target="https://ukraine-elections.com.ua/en/socopros/opinion_poll_show/2232" TargetMode="External"/><Relationship Id="rId1328" Type="http://schemas.openxmlformats.org/officeDocument/2006/relationships/hyperlink" Target="https://ukraine-elections.com.ua/en/socopros/opinion_poll_show/1969" TargetMode="External"/><Relationship Id="rId35" Type="http://schemas.openxmlformats.org/officeDocument/2006/relationships/hyperlink" Target="https://ukraine-elections.com.ua/en/socopros/opinion_poll_show/2232" TargetMode="External"/><Relationship Id="rId1329" Type="http://schemas.openxmlformats.org/officeDocument/2006/relationships/hyperlink" Target="https://ukraine-elections.com.ua/en/socopros/opinion_poll_show/1969" TargetMode="External"/><Relationship Id="rId34" Type="http://schemas.openxmlformats.org/officeDocument/2006/relationships/hyperlink" Target="https://ukraine-elections.com.ua/en/socopros/opinion_poll_show/2232" TargetMode="External"/><Relationship Id="rId739" Type="http://schemas.openxmlformats.org/officeDocument/2006/relationships/hyperlink" Target="https://ukraine-elections.com.ua/en/socopros/opinion_poll_show/2073" TargetMode="External"/><Relationship Id="rId734" Type="http://schemas.openxmlformats.org/officeDocument/2006/relationships/hyperlink" Target="https://ukraine-elections.com.ua/en/socopros/opinion_poll_show/2073" TargetMode="External"/><Relationship Id="rId733" Type="http://schemas.openxmlformats.org/officeDocument/2006/relationships/hyperlink" Target="https://ukraine-elections.com.ua/en/socopros/opinion_poll_show/2073" TargetMode="External"/><Relationship Id="rId732" Type="http://schemas.openxmlformats.org/officeDocument/2006/relationships/hyperlink" Target="https://ukraine-elections.com.ua/en/socopros/opinion_poll_show/2074" TargetMode="External"/><Relationship Id="rId731" Type="http://schemas.openxmlformats.org/officeDocument/2006/relationships/hyperlink" Target="https://ukraine-elections.com.ua/en/socopros/opinion_poll_show/2074" TargetMode="External"/><Relationship Id="rId738" Type="http://schemas.openxmlformats.org/officeDocument/2006/relationships/hyperlink" Target="https://ukraine-elections.com.ua/en/socopros/opinion_poll_show/2073" TargetMode="External"/><Relationship Id="rId737" Type="http://schemas.openxmlformats.org/officeDocument/2006/relationships/hyperlink" Target="https://ukraine-elections.com.ua/en/socopros/opinion_poll_show/2073" TargetMode="External"/><Relationship Id="rId736" Type="http://schemas.openxmlformats.org/officeDocument/2006/relationships/hyperlink" Target="https://ukraine-elections.com.ua/en/socopros/opinion_poll_show/2073" TargetMode="External"/><Relationship Id="rId735" Type="http://schemas.openxmlformats.org/officeDocument/2006/relationships/hyperlink" Target="https://ukraine-elections.com.ua/en/socopros/opinion_poll_show/2073" TargetMode="External"/><Relationship Id="rId37" Type="http://schemas.openxmlformats.org/officeDocument/2006/relationships/hyperlink" Target="https://ukraine-elections.com.ua/en/socopros/opinion_poll_show/2232" TargetMode="External"/><Relationship Id="rId36" Type="http://schemas.openxmlformats.org/officeDocument/2006/relationships/hyperlink" Target="https://ukraine-elections.com.ua/en/socopros/opinion_poll_show/2232" TargetMode="External"/><Relationship Id="rId39" Type="http://schemas.openxmlformats.org/officeDocument/2006/relationships/hyperlink" Target="https://ukraine-elections.com.ua/en/socopros/opinion_poll_show/2232" TargetMode="External"/><Relationship Id="rId38" Type="http://schemas.openxmlformats.org/officeDocument/2006/relationships/hyperlink" Target="https://ukraine-elections.com.ua/en/socopros/opinion_poll_show/2232" TargetMode="External"/><Relationship Id="rId730" Type="http://schemas.openxmlformats.org/officeDocument/2006/relationships/hyperlink" Target="https://ukraine-elections.com.ua/en/socopros/opinion_poll_show/2074" TargetMode="External"/><Relationship Id="rId1320" Type="http://schemas.openxmlformats.org/officeDocument/2006/relationships/hyperlink" Target="https://ukraine-elections.com.ua/en/socopros/opinion_poll_show/1970" TargetMode="External"/><Relationship Id="rId1321" Type="http://schemas.openxmlformats.org/officeDocument/2006/relationships/hyperlink" Target="https://ukraine-elections.com.ua/en/socopros/opinion_poll_show/1970" TargetMode="External"/><Relationship Id="rId1322" Type="http://schemas.openxmlformats.org/officeDocument/2006/relationships/hyperlink" Target="https://ukraine-elections.com.ua/en/socopros/opinion_poll_show/1970" TargetMode="External"/><Relationship Id="rId1356" Type="http://schemas.openxmlformats.org/officeDocument/2006/relationships/hyperlink" Target="https://ukraine-elections.com.ua/en/socopros/opinion_poll_show/1965" TargetMode="External"/><Relationship Id="rId2203" Type="http://schemas.openxmlformats.org/officeDocument/2006/relationships/hyperlink" Target="https://ukraine-elections.com.ua/en/socopros/opinion_poll_show/1259" TargetMode="External"/><Relationship Id="rId1357" Type="http://schemas.openxmlformats.org/officeDocument/2006/relationships/hyperlink" Target="https://ukraine-elections.com.ua/en/socopros/opinion_poll_show/1963" TargetMode="External"/><Relationship Id="rId2204" Type="http://schemas.openxmlformats.org/officeDocument/2006/relationships/hyperlink" Target="https://ukraine-elections.com.ua/en/socopros/opinion_poll_show/1259" TargetMode="External"/><Relationship Id="rId20" Type="http://schemas.openxmlformats.org/officeDocument/2006/relationships/hyperlink" Target="https://ukraine-elections.com.ua/en/socopros/opinion_poll_show/2237" TargetMode="External"/><Relationship Id="rId1358" Type="http://schemas.openxmlformats.org/officeDocument/2006/relationships/hyperlink" Target="https://ukraine-elections.com.ua/en/socopros/opinion_poll_show/1963" TargetMode="External"/><Relationship Id="rId2205" Type="http://schemas.openxmlformats.org/officeDocument/2006/relationships/hyperlink" Target="https://ukraine-elections.com.ua/en/socopros/opinion_poll_show/1243" TargetMode="External"/><Relationship Id="rId1359" Type="http://schemas.openxmlformats.org/officeDocument/2006/relationships/hyperlink" Target="https://ukraine-elections.com.ua/en/socopros/opinion_poll_show/1963" TargetMode="External"/><Relationship Id="rId2206" Type="http://schemas.openxmlformats.org/officeDocument/2006/relationships/hyperlink" Target="https://ukraine-elections.com.ua/en/socopros/opinion_poll_show/1243" TargetMode="External"/><Relationship Id="rId22" Type="http://schemas.openxmlformats.org/officeDocument/2006/relationships/hyperlink" Target="https://ukraine-elections.com.ua/en/socopros/opinion_poll_show/2237" TargetMode="External"/><Relationship Id="rId2207" Type="http://schemas.openxmlformats.org/officeDocument/2006/relationships/hyperlink" Target="https://ukraine-elections.com.ua/en/socopros/opinion_poll_show/1243" TargetMode="External"/><Relationship Id="rId21" Type="http://schemas.openxmlformats.org/officeDocument/2006/relationships/hyperlink" Target="https://ukraine-elections.com.ua/en/socopros/opinion_poll_show/2237" TargetMode="External"/><Relationship Id="rId2208" Type="http://schemas.openxmlformats.org/officeDocument/2006/relationships/hyperlink" Target="https://ukraine-elections.com.ua/en/socopros/opinion_poll_show/1243" TargetMode="External"/><Relationship Id="rId24" Type="http://schemas.openxmlformats.org/officeDocument/2006/relationships/hyperlink" Target="https://ukraine-elections.com.ua/en/socopros/opinion_poll_show/2237" TargetMode="External"/><Relationship Id="rId2209" Type="http://schemas.openxmlformats.org/officeDocument/2006/relationships/hyperlink" Target="https://ukraine-elections.com.ua/en/socopros/opinion_poll_show/1243" TargetMode="External"/><Relationship Id="rId23" Type="http://schemas.openxmlformats.org/officeDocument/2006/relationships/hyperlink" Target="https://ukraine-elections.com.ua/en/socopros/opinion_poll_show/2237" TargetMode="External"/><Relationship Id="rId767" Type="http://schemas.openxmlformats.org/officeDocument/2006/relationships/hyperlink" Target="https://ukraine-elections.com.ua/en/socopros/opinion_poll_show/2070" TargetMode="External"/><Relationship Id="rId766" Type="http://schemas.openxmlformats.org/officeDocument/2006/relationships/hyperlink" Target="https://ukraine-elections.com.ua/en/socopros/opinion_poll_show/2070" TargetMode="External"/><Relationship Id="rId765" Type="http://schemas.openxmlformats.org/officeDocument/2006/relationships/hyperlink" Target="https://ukraine-elections.com.ua/en/socopros/opinion_poll_show/2070" TargetMode="External"/><Relationship Id="rId764" Type="http://schemas.openxmlformats.org/officeDocument/2006/relationships/hyperlink" Target="https://ukraine-elections.com.ua/en/socopros/opinion_poll_show/2070" TargetMode="External"/><Relationship Id="rId769" Type="http://schemas.openxmlformats.org/officeDocument/2006/relationships/hyperlink" Target="https://ukraine-elections.com.ua/en/socopros/opinion_poll_show/2070" TargetMode="External"/><Relationship Id="rId768" Type="http://schemas.openxmlformats.org/officeDocument/2006/relationships/hyperlink" Target="https://ukraine-elections.com.ua/en/socopros/opinion_poll_show/2070" TargetMode="External"/><Relationship Id="rId26" Type="http://schemas.openxmlformats.org/officeDocument/2006/relationships/hyperlink" Target="https://ukraine-elections.com.ua/en/socopros/opinion_poll_show/2232" TargetMode="External"/><Relationship Id="rId25" Type="http://schemas.openxmlformats.org/officeDocument/2006/relationships/hyperlink" Target="https://ukraine-elections.com.ua/en/socopros/opinion_poll_show/2237" TargetMode="External"/><Relationship Id="rId28" Type="http://schemas.openxmlformats.org/officeDocument/2006/relationships/hyperlink" Target="https://ukraine-elections.com.ua/en/socopros/opinion_poll_show/2232" TargetMode="External"/><Relationship Id="rId1350" Type="http://schemas.openxmlformats.org/officeDocument/2006/relationships/hyperlink" Target="https://ukraine-elections.com.ua/en/socopros/opinion_poll_show/1965" TargetMode="External"/><Relationship Id="rId27" Type="http://schemas.openxmlformats.org/officeDocument/2006/relationships/hyperlink" Target="https://ukraine-elections.com.ua/en/socopros/opinion_poll_show/2232" TargetMode="External"/><Relationship Id="rId1351" Type="http://schemas.openxmlformats.org/officeDocument/2006/relationships/hyperlink" Target="https://ukraine-elections.com.ua/en/socopros/opinion_poll_show/1965" TargetMode="External"/><Relationship Id="rId763" Type="http://schemas.openxmlformats.org/officeDocument/2006/relationships/hyperlink" Target="https://ukraine-elections.com.ua/en/socopros/opinion_poll_show/2070" TargetMode="External"/><Relationship Id="rId1352" Type="http://schemas.openxmlformats.org/officeDocument/2006/relationships/hyperlink" Target="https://ukraine-elections.com.ua/en/socopros/opinion_poll_show/1965" TargetMode="External"/><Relationship Id="rId29" Type="http://schemas.openxmlformats.org/officeDocument/2006/relationships/hyperlink" Target="https://ukraine-elections.com.ua/en/socopros/opinion_poll_show/2232" TargetMode="External"/><Relationship Id="rId762" Type="http://schemas.openxmlformats.org/officeDocument/2006/relationships/hyperlink" Target="https://ukraine-elections.com.ua/en/socopros/opinion_poll_show/2070" TargetMode="External"/><Relationship Id="rId1353" Type="http://schemas.openxmlformats.org/officeDocument/2006/relationships/hyperlink" Target="https://ukraine-elections.com.ua/en/socopros/opinion_poll_show/1965" TargetMode="External"/><Relationship Id="rId2200" Type="http://schemas.openxmlformats.org/officeDocument/2006/relationships/hyperlink" Target="https://ukraine-elections.com.ua/en/socopros/opinion_poll_show/1259" TargetMode="External"/><Relationship Id="rId761" Type="http://schemas.openxmlformats.org/officeDocument/2006/relationships/hyperlink" Target="https://ukraine-elections.com.ua/en/socopros/opinion_poll_show/2070" TargetMode="External"/><Relationship Id="rId1354" Type="http://schemas.openxmlformats.org/officeDocument/2006/relationships/hyperlink" Target="https://ukraine-elections.com.ua/en/socopros/opinion_poll_show/1965" TargetMode="External"/><Relationship Id="rId2201" Type="http://schemas.openxmlformats.org/officeDocument/2006/relationships/hyperlink" Target="https://ukraine-elections.com.ua/en/socopros/opinion_poll_show/1259" TargetMode="External"/><Relationship Id="rId760" Type="http://schemas.openxmlformats.org/officeDocument/2006/relationships/hyperlink" Target="https://ukraine-elections.com.ua/en/socopros/opinion_poll_show/2070" TargetMode="External"/><Relationship Id="rId1355" Type="http://schemas.openxmlformats.org/officeDocument/2006/relationships/hyperlink" Target="https://ukraine-elections.com.ua/en/socopros/opinion_poll_show/1965" TargetMode="External"/><Relationship Id="rId2202" Type="http://schemas.openxmlformats.org/officeDocument/2006/relationships/hyperlink" Target="https://ukraine-elections.com.ua/en/socopros/opinion_poll_show/1259" TargetMode="External"/><Relationship Id="rId1345" Type="http://schemas.openxmlformats.org/officeDocument/2006/relationships/hyperlink" Target="https://ukraine-elections.com.ua/en/socopros/opinion_poll_show/1965" TargetMode="External"/><Relationship Id="rId1346" Type="http://schemas.openxmlformats.org/officeDocument/2006/relationships/hyperlink" Target="https://ukraine-elections.com.ua/en/socopros/opinion_poll_show/1965" TargetMode="External"/><Relationship Id="rId1347" Type="http://schemas.openxmlformats.org/officeDocument/2006/relationships/hyperlink" Target="https://ukraine-elections.com.ua/en/socopros/opinion_poll_show/1965" TargetMode="External"/><Relationship Id="rId1348" Type="http://schemas.openxmlformats.org/officeDocument/2006/relationships/hyperlink" Target="https://ukraine-elections.com.ua/en/socopros/opinion_poll_show/1965" TargetMode="External"/><Relationship Id="rId11" Type="http://schemas.openxmlformats.org/officeDocument/2006/relationships/hyperlink" Target="https://ukraine-elections.com.ua/en/socopros/opinion_poll_show/2241" TargetMode="External"/><Relationship Id="rId1349" Type="http://schemas.openxmlformats.org/officeDocument/2006/relationships/hyperlink" Target="https://ukraine-elections.com.ua/en/socopros/opinion_poll_show/1965" TargetMode="External"/><Relationship Id="rId10" Type="http://schemas.openxmlformats.org/officeDocument/2006/relationships/hyperlink" Target="https://ukraine-elections.com.ua/en/socopros/opinion_poll_show/2241" TargetMode="External"/><Relationship Id="rId13" Type="http://schemas.openxmlformats.org/officeDocument/2006/relationships/hyperlink" Target="https://ukraine-elections.com.ua/en/socopros/opinion_poll_show/2237" TargetMode="External"/><Relationship Id="rId12" Type="http://schemas.openxmlformats.org/officeDocument/2006/relationships/hyperlink" Target="https://ukraine-elections.com.ua/en/socopros/opinion_poll_show/2241" TargetMode="External"/><Relationship Id="rId756" Type="http://schemas.openxmlformats.org/officeDocument/2006/relationships/hyperlink" Target="https://ukraine-elections.com.ua/en/socopros/opinion_poll_show/2072" TargetMode="External"/><Relationship Id="rId755" Type="http://schemas.openxmlformats.org/officeDocument/2006/relationships/hyperlink" Target="https://ukraine-elections.com.ua/en/socopros/opinion_poll_show/2072" TargetMode="External"/><Relationship Id="rId754" Type="http://schemas.openxmlformats.org/officeDocument/2006/relationships/hyperlink" Target="https://ukraine-elections.com.ua/en/socopros/opinion_poll_show/2072" TargetMode="External"/><Relationship Id="rId753" Type="http://schemas.openxmlformats.org/officeDocument/2006/relationships/hyperlink" Target="https://ukraine-elections.com.ua/en/socopros/opinion_poll_show/2072" TargetMode="External"/><Relationship Id="rId759" Type="http://schemas.openxmlformats.org/officeDocument/2006/relationships/hyperlink" Target="https://ukraine-elections.com.ua/en/socopros/opinion_poll_show/2070" TargetMode="External"/><Relationship Id="rId758" Type="http://schemas.openxmlformats.org/officeDocument/2006/relationships/hyperlink" Target="https://ukraine-elections.com.ua/en/socopros/opinion_poll_show/2070" TargetMode="External"/><Relationship Id="rId757" Type="http://schemas.openxmlformats.org/officeDocument/2006/relationships/hyperlink" Target="https://ukraine-elections.com.ua/en/socopros/opinion_poll_show/2070" TargetMode="External"/><Relationship Id="rId15" Type="http://schemas.openxmlformats.org/officeDocument/2006/relationships/hyperlink" Target="https://ukraine-elections.com.ua/en/socopros/opinion_poll_show/2237" TargetMode="External"/><Relationship Id="rId14" Type="http://schemas.openxmlformats.org/officeDocument/2006/relationships/hyperlink" Target="https://ukraine-elections.com.ua/en/socopros/opinion_poll_show/2237" TargetMode="External"/><Relationship Id="rId17" Type="http://schemas.openxmlformats.org/officeDocument/2006/relationships/hyperlink" Target="https://ukraine-elections.com.ua/en/socopros/opinion_poll_show/2237" TargetMode="External"/><Relationship Id="rId16" Type="http://schemas.openxmlformats.org/officeDocument/2006/relationships/hyperlink" Target="https://ukraine-elections.com.ua/en/socopros/opinion_poll_show/2237" TargetMode="External"/><Relationship Id="rId1340" Type="http://schemas.openxmlformats.org/officeDocument/2006/relationships/hyperlink" Target="https://ukraine-elections.com.ua/en/socopros/opinion_poll_show/1966" TargetMode="External"/><Relationship Id="rId19" Type="http://schemas.openxmlformats.org/officeDocument/2006/relationships/hyperlink" Target="https://ukraine-elections.com.ua/en/socopros/opinion_poll_show/2237" TargetMode="External"/><Relationship Id="rId752" Type="http://schemas.openxmlformats.org/officeDocument/2006/relationships/hyperlink" Target="https://ukraine-elections.com.ua/en/socopros/opinion_poll_show/2072" TargetMode="External"/><Relationship Id="rId1341" Type="http://schemas.openxmlformats.org/officeDocument/2006/relationships/hyperlink" Target="https://ukraine-elections.com.ua/en/socopros/opinion_poll_show/1966" TargetMode="External"/><Relationship Id="rId18" Type="http://schemas.openxmlformats.org/officeDocument/2006/relationships/hyperlink" Target="https://ukraine-elections.com.ua/en/socopros/opinion_poll_show/2237" TargetMode="External"/><Relationship Id="rId751" Type="http://schemas.openxmlformats.org/officeDocument/2006/relationships/hyperlink" Target="https://ukraine-elections.com.ua/en/socopros/opinion_poll_show/2072" TargetMode="External"/><Relationship Id="rId1342" Type="http://schemas.openxmlformats.org/officeDocument/2006/relationships/hyperlink" Target="https://ukraine-elections.com.ua/en/socopros/opinion_poll_show/1966" TargetMode="External"/><Relationship Id="rId750" Type="http://schemas.openxmlformats.org/officeDocument/2006/relationships/hyperlink" Target="https://ukraine-elections.com.ua/en/socopros/opinion_poll_show/2072" TargetMode="External"/><Relationship Id="rId1343" Type="http://schemas.openxmlformats.org/officeDocument/2006/relationships/hyperlink" Target="https://ukraine-elections.com.ua/en/socopros/opinion_poll_show/1966" TargetMode="External"/><Relationship Id="rId1344" Type="http://schemas.openxmlformats.org/officeDocument/2006/relationships/hyperlink" Target="https://ukraine-elections.com.ua/en/socopros/opinion_poll_show/1966" TargetMode="External"/><Relationship Id="rId84" Type="http://schemas.openxmlformats.org/officeDocument/2006/relationships/hyperlink" Target="https://ukraine-elections.com.ua/en/socopros/opinion_poll_show/2222" TargetMode="External"/><Relationship Id="rId1774" Type="http://schemas.openxmlformats.org/officeDocument/2006/relationships/hyperlink" Target="https://ukraine-elections.com.ua/en/socopros/opinion_poll_show/1878" TargetMode="External"/><Relationship Id="rId83" Type="http://schemas.openxmlformats.org/officeDocument/2006/relationships/hyperlink" Target="https://ukraine-elections.com.ua/en/socopros/opinion_poll_show/2222" TargetMode="External"/><Relationship Id="rId1775" Type="http://schemas.openxmlformats.org/officeDocument/2006/relationships/hyperlink" Target="https://ukraine-elections.com.ua/en/socopros/opinion_poll_show/1878" TargetMode="External"/><Relationship Id="rId86" Type="http://schemas.openxmlformats.org/officeDocument/2006/relationships/hyperlink" Target="https://ukraine-elections.com.ua/en/socopros/opinion_poll_show/2222" TargetMode="External"/><Relationship Id="rId1776" Type="http://schemas.openxmlformats.org/officeDocument/2006/relationships/hyperlink" Target="https://ukraine-elections.com.ua/en/socopros/opinion_poll_show/1878" TargetMode="External"/><Relationship Id="rId85" Type="http://schemas.openxmlformats.org/officeDocument/2006/relationships/hyperlink" Target="https://ukraine-elections.com.ua/en/socopros/opinion_poll_show/2222" TargetMode="External"/><Relationship Id="rId1777" Type="http://schemas.openxmlformats.org/officeDocument/2006/relationships/hyperlink" Target="https://ukraine-elections.com.ua/en/socopros/opinion_poll_show/1878" TargetMode="External"/><Relationship Id="rId88" Type="http://schemas.openxmlformats.org/officeDocument/2006/relationships/hyperlink" Target="https://ukraine-elections.com.ua/en/socopros/opinion_poll_show/2222" TargetMode="External"/><Relationship Id="rId1778" Type="http://schemas.openxmlformats.org/officeDocument/2006/relationships/hyperlink" Target="https://ukraine-elections.com.ua/en/socopros/opinion_poll_show/1878" TargetMode="External"/><Relationship Id="rId87" Type="http://schemas.openxmlformats.org/officeDocument/2006/relationships/hyperlink" Target="https://ukraine-elections.com.ua/en/socopros/opinion_poll_show/2222" TargetMode="External"/><Relationship Id="rId1779" Type="http://schemas.openxmlformats.org/officeDocument/2006/relationships/hyperlink" Target="https://ukraine-elections.com.ua/en/socopros/opinion_poll_show/1878" TargetMode="External"/><Relationship Id="rId89" Type="http://schemas.openxmlformats.org/officeDocument/2006/relationships/hyperlink" Target="https://ukraine-elections.com.ua/en/socopros/opinion_poll_show/2222" TargetMode="External"/><Relationship Id="rId709" Type="http://schemas.openxmlformats.org/officeDocument/2006/relationships/hyperlink" Target="https://ukraine-elections.com.ua/en/socopros/opinion_poll_show/2075" TargetMode="External"/><Relationship Id="rId708" Type="http://schemas.openxmlformats.org/officeDocument/2006/relationships/hyperlink" Target="https://ukraine-elections.com.ua/en/socopros/opinion_poll_show/2076" TargetMode="External"/><Relationship Id="rId707" Type="http://schemas.openxmlformats.org/officeDocument/2006/relationships/hyperlink" Target="https://ukraine-elections.com.ua/en/socopros/opinion_poll_show/2076" TargetMode="External"/><Relationship Id="rId706" Type="http://schemas.openxmlformats.org/officeDocument/2006/relationships/hyperlink" Target="https://ukraine-elections.com.ua/en/socopros/opinion_poll_show/2076" TargetMode="External"/><Relationship Id="rId80" Type="http://schemas.openxmlformats.org/officeDocument/2006/relationships/hyperlink" Target="https://ukraine-elections.com.ua/en/socopros/opinion_poll_show/2225" TargetMode="External"/><Relationship Id="rId82" Type="http://schemas.openxmlformats.org/officeDocument/2006/relationships/hyperlink" Target="https://ukraine-elections.com.ua/en/socopros/opinion_poll_show/2222" TargetMode="External"/><Relationship Id="rId81" Type="http://schemas.openxmlformats.org/officeDocument/2006/relationships/hyperlink" Target="https://ukraine-elections.com.ua/en/socopros/opinion_poll_show/2225" TargetMode="External"/><Relationship Id="rId701" Type="http://schemas.openxmlformats.org/officeDocument/2006/relationships/hyperlink" Target="https://ukraine-elections.com.ua/en/socopros/opinion_poll_show/2076" TargetMode="External"/><Relationship Id="rId700" Type="http://schemas.openxmlformats.org/officeDocument/2006/relationships/hyperlink" Target="https://ukraine-elections.com.ua/en/socopros/opinion_poll_show/2076" TargetMode="External"/><Relationship Id="rId705" Type="http://schemas.openxmlformats.org/officeDocument/2006/relationships/hyperlink" Target="https://ukraine-elections.com.ua/en/socopros/opinion_poll_show/2076" TargetMode="External"/><Relationship Id="rId704" Type="http://schemas.openxmlformats.org/officeDocument/2006/relationships/hyperlink" Target="https://ukraine-elections.com.ua/en/socopros/opinion_poll_show/2076" TargetMode="External"/><Relationship Id="rId703" Type="http://schemas.openxmlformats.org/officeDocument/2006/relationships/hyperlink" Target="https://ukraine-elections.com.ua/en/socopros/opinion_poll_show/2076" TargetMode="External"/><Relationship Id="rId702" Type="http://schemas.openxmlformats.org/officeDocument/2006/relationships/hyperlink" Target="https://ukraine-elections.com.ua/en/socopros/opinion_poll_show/2076" TargetMode="External"/><Relationship Id="rId1770" Type="http://schemas.openxmlformats.org/officeDocument/2006/relationships/hyperlink" Target="https://ukraine-elections.com.ua/en/socopros/opinion_poll_show/1886" TargetMode="External"/><Relationship Id="rId1771" Type="http://schemas.openxmlformats.org/officeDocument/2006/relationships/hyperlink" Target="https://ukraine-elections.com.ua/en/socopros/opinion_poll_show/1878" TargetMode="External"/><Relationship Id="rId1772" Type="http://schemas.openxmlformats.org/officeDocument/2006/relationships/hyperlink" Target="https://ukraine-elections.com.ua/en/socopros/opinion_poll_show/1878" TargetMode="External"/><Relationship Id="rId1773" Type="http://schemas.openxmlformats.org/officeDocument/2006/relationships/hyperlink" Target="https://ukraine-elections.com.ua/en/socopros/opinion_poll_show/1878" TargetMode="External"/><Relationship Id="rId73" Type="http://schemas.openxmlformats.org/officeDocument/2006/relationships/hyperlink" Target="https://ukraine-elections.com.ua/en/socopros/opinion_poll_show/2225" TargetMode="External"/><Relationship Id="rId1763" Type="http://schemas.openxmlformats.org/officeDocument/2006/relationships/hyperlink" Target="https://ukraine-elections.com.ua/en/socopros/opinion_poll_show/1886" TargetMode="External"/><Relationship Id="rId72" Type="http://schemas.openxmlformats.org/officeDocument/2006/relationships/hyperlink" Target="https://ukraine-elections.com.ua/en/socopros/opinion_poll_show/2225" TargetMode="External"/><Relationship Id="rId1764" Type="http://schemas.openxmlformats.org/officeDocument/2006/relationships/hyperlink" Target="https://ukraine-elections.com.ua/en/socopros/opinion_poll_show/1886" TargetMode="External"/><Relationship Id="rId75" Type="http://schemas.openxmlformats.org/officeDocument/2006/relationships/hyperlink" Target="https://ukraine-elections.com.ua/en/socopros/opinion_poll_show/2225" TargetMode="External"/><Relationship Id="rId1765" Type="http://schemas.openxmlformats.org/officeDocument/2006/relationships/hyperlink" Target="https://ukraine-elections.com.ua/en/socopros/opinion_poll_show/1886" TargetMode="External"/><Relationship Id="rId74" Type="http://schemas.openxmlformats.org/officeDocument/2006/relationships/hyperlink" Target="https://ukraine-elections.com.ua/en/socopros/opinion_poll_show/2225" TargetMode="External"/><Relationship Id="rId1766" Type="http://schemas.openxmlformats.org/officeDocument/2006/relationships/hyperlink" Target="https://ukraine-elections.com.ua/en/socopros/opinion_poll_show/1886" TargetMode="External"/><Relationship Id="rId77" Type="http://schemas.openxmlformats.org/officeDocument/2006/relationships/hyperlink" Target="https://ukraine-elections.com.ua/en/socopros/opinion_poll_show/2225" TargetMode="External"/><Relationship Id="rId1767" Type="http://schemas.openxmlformats.org/officeDocument/2006/relationships/hyperlink" Target="https://ukraine-elections.com.ua/en/socopros/opinion_poll_show/1886" TargetMode="External"/><Relationship Id="rId76" Type="http://schemas.openxmlformats.org/officeDocument/2006/relationships/hyperlink" Target="https://ukraine-elections.com.ua/en/socopros/opinion_poll_show/2225" TargetMode="External"/><Relationship Id="rId1768" Type="http://schemas.openxmlformats.org/officeDocument/2006/relationships/hyperlink" Target="https://ukraine-elections.com.ua/en/socopros/opinion_poll_show/1886" TargetMode="External"/><Relationship Id="rId79" Type="http://schemas.openxmlformats.org/officeDocument/2006/relationships/hyperlink" Target="https://ukraine-elections.com.ua/en/socopros/opinion_poll_show/2225" TargetMode="External"/><Relationship Id="rId1769" Type="http://schemas.openxmlformats.org/officeDocument/2006/relationships/hyperlink" Target="https://ukraine-elections.com.ua/en/socopros/opinion_poll_show/1886" TargetMode="External"/><Relationship Id="rId78" Type="http://schemas.openxmlformats.org/officeDocument/2006/relationships/hyperlink" Target="https://ukraine-elections.com.ua/en/socopros/opinion_poll_show/2225" TargetMode="External"/><Relationship Id="rId71" Type="http://schemas.openxmlformats.org/officeDocument/2006/relationships/hyperlink" Target="https://ukraine-elections.com.ua/en/socopros/opinion_poll_show/2225" TargetMode="External"/><Relationship Id="rId70" Type="http://schemas.openxmlformats.org/officeDocument/2006/relationships/hyperlink" Target="https://ukraine-elections.com.ua/en/socopros/opinion_poll_show/2226" TargetMode="External"/><Relationship Id="rId1760" Type="http://schemas.openxmlformats.org/officeDocument/2006/relationships/hyperlink" Target="https://ukraine-elections.com.ua/en/socopros/opinion_poll_show/1886" TargetMode="External"/><Relationship Id="rId1761" Type="http://schemas.openxmlformats.org/officeDocument/2006/relationships/hyperlink" Target="https://ukraine-elections.com.ua/en/socopros/opinion_poll_show/1886" TargetMode="External"/><Relationship Id="rId1762" Type="http://schemas.openxmlformats.org/officeDocument/2006/relationships/hyperlink" Target="https://ukraine-elections.com.ua/en/socopros/opinion_poll_show/1886" TargetMode="External"/><Relationship Id="rId62" Type="http://schemas.openxmlformats.org/officeDocument/2006/relationships/hyperlink" Target="https://ukraine-elections.com.ua/en/socopros/opinion_poll_show/2226" TargetMode="External"/><Relationship Id="rId1312" Type="http://schemas.openxmlformats.org/officeDocument/2006/relationships/hyperlink" Target="https://ukraine-elections.com.ua/en/socopros/opinion_poll_show/1970" TargetMode="External"/><Relationship Id="rId1796" Type="http://schemas.openxmlformats.org/officeDocument/2006/relationships/hyperlink" Target="https://ukraine-elections.com.ua/en/socopros/opinion_poll_show/1874" TargetMode="External"/><Relationship Id="rId61" Type="http://schemas.openxmlformats.org/officeDocument/2006/relationships/hyperlink" Target="https://ukraine-elections.com.ua/en/socopros/opinion_poll_show/2226" TargetMode="External"/><Relationship Id="rId1313" Type="http://schemas.openxmlformats.org/officeDocument/2006/relationships/hyperlink" Target="https://ukraine-elections.com.ua/en/socopros/opinion_poll_show/1970" TargetMode="External"/><Relationship Id="rId1797" Type="http://schemas.openxmlformats.org/officeDocument/2006/relationships/hyperlink" Target="https://ukraine-elections.com.ua/en/socopros/opinion_poll_show/1874" TargetMode="External"/><Relationship Id="rId64" Type="http://schemas.openxmlformats.org/officeDocument/2006/relationships/hyperlink" Target="https://ukraine-elections.com.ua/en/socopros/opinion_poll_show/2226" TargetMode="External"/><Relationship Id="rId1314" Type="http://schemas.openxmlformats.org/officeDocument/2006/relationships/hyperlink" Target="https://ukraine-elections.com.ua/en/socopros/opinion_poll_show/1970" TargetMode="External"/><Relationship Id="rId1798" Type="http://schemas.openxmlformats.org/officeDocument/2006/relationships/hyperlink" Target="https://ukraine-elections.com.ua/en/socopros/opinion_poll_show/1874" TargetMode="External"/><Relationship Id="rId63" Type="http://schemas.openxmlformats.org/officeDocument/2006/relationships/hyperlink" Target="https://ukraine-elections.com.ua/en/socopros/opinion_poll_show/2226" TargetMode="External"/><Relationship Id="rId1315" Type="http://schemas.openxmlformats.org/officeDocument/2006/relationships/hyperlink" Target="https://ukraine-elections.com.ua/en/socopros/opinion_poll_show/1970" TargetMode="External"/><Relationship Id="rId1799" Type="http://schemas.openxmlformats.org/officeDocument/2006/relationships/hyperlink" Target="https://ukraine-elections.com.ua/en/socopros/opinion_poll_show/1874" TargetMode="External"/><Relationship Id="rId66" Type="http://schemas.openxmlformats.org/officeDocument/2006/relationships/hyperlink" Target="https://ukraine-elections.com.ua/en/socopros/opinion_poll_show/2226" TargetMode="External"/><Relationship Id="rId1316" Type="http://schemas.openxmlformats.org/officeDocument/2006/relationships/hyperlink" Target="https://ukraine-elections.com.ua/en/socopros/opinion_poll_show/1970" TargetMode="External"/><Relationship Id="rId65" Type="http://schemas.openxmlformats.org/officeDocument/2006/relationships/hyperlink" Target="https://ukraine-elections.com.ua/en/socopros/opinion_poll_show/2226" TargetMode="External"/><Relationship Id="rId1317" Type="http://schemas.openxmlformats.org/officeDocument/2006/relationships/hyperlink" Target="https://ukraine-elections.com.ua/en/socopros/opinion_poll_show/1970" TargetMode="External"/><Relationship Id="rId68" Type="http://schemas.openxmlformats.org/officeDocument/2006/relationships/hyperlink" Target="https://ukraine-elections.com.ua/en/socopros/opinion_poll_show/2226" TargetMode="External"/><Relationship Id="rId1318" Type="http://schemas.openxmlformats.org/officeDocument/2006/relationships/hyperlink" Target="https://ukraine-elections.com.ua/en/socopros/opinion_poll_show/1970" TargetMode="External"/><Relationship Id="rId67" Type="http://schemas.openxmlformats.org/officeDocument/2006/relationships/hyperlink" Target="https://ukraine-elections.com.ua/en/socopros/opinion_poll_show/2226" TargetMode="External"/><Relationship Id="rId1319" Type="http://schemas.openxmlformats.org/officeDocument/2006/relationships/hyperlink" Target="https://ukraine-elections.com.ua/en/socopros/opinion_poll_show/1970" TargetMode="External"/><Relationship Id="rId729" Type="http://schemas.openxmlformats.org/officeDocument/2006/relationships/hyperlink" Target="https://ukraine-elections.com.ua/en/socopros/opinion_poll_show/2074" TargetMode="External"/><Relationship Id="rId728" Type="http://schemas.openxmlformats.org/officeDocument/2006/relationships/hyperlink" Target="https://ukraine-elections.com.ua/en/socopros/opinion_poll_show/2074" TargetMode="External"/><Relationship Id="rId60" Type="http://schemas.openxmlformats.org/officeDocument/2006/relationships/hyperlink" Target="https://ukraine-elections.com.ua/en/socopros/opinion_poll_show/2226" TargetMode="External"/><Relationship Id="rId723" Type="http://schemas.openxmlformats.org/officeDocument/2006/relationships/hyperlink" Target="https://ukraine-elections.com.ua/en/socopros/opinion_poll_show/2074" TargetMode="External"/><Relationship Id="rId722" Type="http://schemas.openxmlformats.org/officeDocument/2006/relationships/hyperlink" Target="https://ukraine-elections.com.ua/en/socopros/opinion_poll_show/2074" TargetMode="External"/><Relationship Id="rId721" Type="http://schemas.openxmlformats.org/officeDocument/2006/relationships/hyperlink" Target="https://ukraine-elections.com.ua/en/socopros/opinion_poll_show/2074" TargetMode="External"/><Relationship Id="rId720" Type="http://schemas.openxmlformats.org/officeDocument/2006/relationships/hyperlink" Target="https://ukraine-elections.com.ua/en/socopros/opinion_poll_show/2075" TargetMode="External"/><Relationship Id="rId727" Type="http://schemas.openxmlformats.org/officeDocument/2006/relationships/hyperlink" Target="https://ukraine-elections.com.ua/en/socopros/opinion_poll_show/2074" TargetMode="External"/><Relationship Id="rId726" Type="http://schemas.openxmlformats.org/officeDocument/2006/relationships/hyperlink" Target="https://ukraine-elections.com.ua/en/socopros/opinion_poll_show/2074" TargetMode="External"/><Relationship Id="rId725" Type="http://schemas.openxmlformats.org/officeDocument/2006/relationships/hyperlink" Target="https://ukraine-elections.com.ua/en/socopros/opinion_poll_show/2074" TargetMode="External"/><Relationship Id="rId724" Type="http://schemas.openxmlformats.org/officeDocument/2006/relationships/hyperlink" Target="https://ukraine-elections.com.ua/en/socopros/opinion_poll_show/2074" TargetMode="External"/><Relationship Id="rId69" Type="http://schemas.openxmlformats.org/officeDocument/2006/relationships/hyperlink" Target="https://ukraine-elections.com.ua/en/socopros/opinion_poll_show/2226" TargetMode="External"/><Relationship Id="rId1790" Type="http://schemas.openxmlformats.org/officeDocument/2006/relationships/hyperlink" Target="https://ukraine-elections.com.ua/en/socopros/opinion_poll_show/1877" TargetMode="External"/><Relationship Id="rId1791" Type="http://schemas.openxmlformats.org/officeDocument/2006/relationships/hyperlink" Target="https://ukraine-elections.com.ua/en/socopros/opinion_poll_show/1877" TargetMode="External"/><Relationship Id="rId1792" Type="http://schemas.openxmlformats.org/officeDocument/2006/relationships/hyperlink" Target="https://ukraine-elections.com.ua/en/socopros/opinion_poll_show/1877" TargetMode="External"/><Relationship Id="rId1793" Type="http://schemas.openxmlformats.org/officeDocument/2006/relationships/hyperlink" Target="https://ukraine-elections.com.ua/en/socopros/opinion_poll_show/1877" TargetMode="External"/><Relationship Id="rId1310" Type="http://schemas.openxmlformats.org/officeDocument/2006/relationships/hyperlink" Target="https://ukraine-elections.com.ua/en/socopros/opinion_poll_show/1971" TargetMode="External"/><Relationship Id="rId1794" Type="http://schemas.openxmlformats.org/officeDocument/2006/relationships/hyperlink" Target="https://ukraine-elections.com.ua/en/socopros/opinion_poll_show/1877" TargetMode="External"/><Relationship Id="rId1311" Type="http://schemas.openxmlformats.org/officeDocument/2006/relationships/hyperlink" Target="https://ukraine-elections.com.ua/en/socopros/opinion_poll_show/1971" TargetMode="External"/><Relationship Id="rId1795" Type="http://schemas.openxmlformats.org/officeDocument/2006/relationships/hyperlink" Target="https://ukraine-elections.com.ua/en/socopros/opinion_poll_show/1874" TargetMode="External"/><Relationship Id="rId51" Type="http://schemas.openxmlformats.org/officeDocument/2006/relationships/hyperlink" Target="https://ukraine-elections.com.ua/en/socopros/opinion_poll_show/2228" TargetMode="External"/><Relationship Id="rId1301" Type="http://schemas.openxmlformats.org/officeDocument/2006/relationships/hyperlink" Target="https://ukraine-elections.com.ua/en/socopros/opinion_poll_show/1971" TargetMode="External"/><Relationship Id="rId1785" Type="http://schemas.openxmlformats.org/officeDocument/2006/relationships/hyperlink" Target="https://ukraine-elections.com.ua/en/socopros/opinion_poll_show/1877" TargetMode="External"/><Relationship Id="rId50" Type="http://schemas.openxmlformats.org/officeDocument/2006/relationships/hyperlink" Target="https://ukraine-elections.com.ua/en/socopros/opinion_poll_show/2228" TargetMode="External"/><Relationship Id="rId1302" Type="http://schemas.openxmlformats.org/officeDocument/2006/relationships/hyperlink" Target="https://ukraine-elections.com.ua/en/socopros/opinion_poll_show/1971" TargetMode="External"/><Relationship Id="rId1786" Type="http://schemas.openxmlformats.org/officeDocument/2006/relationships/hyperlink" Target="https://ukraine-elections.com.ua/en/socopros/opinion_poll_show/1877" TargetMode="External"/><Relationship Id="rId53" Type="http://schemas.openxmlformats.org/officeDocument/2006/relationships/hyperlink" Target="https://ukraine-elections.com.ua/en/socopros/opinion_poll_show/2228" TargetMode="External"/><Relationship Id="rId1303" Type="http://schemas.openxmlformats.org/officeDocument/2006/relationships/hyperlink" Target="https://ukraine-elections.com.ua/en/socopros/opinion_poll_show/1971" TargetMode="External"/><Relationship Id="rId1787" Type="http://schemas.openxmlformats.org/officeDocument/2006/relationships/hyperlink" Target="https://ukraine-elections.com.ua/en/socopros/opinion_poll_show/1877" TargetMode="External"/><Relationship Id="rId52" Type="http://schemas.openxmlformats.org/officeDocument/2006/relationships/hyperlink" Target="https://ukraine-elections.com.ua/en/socopros/opinion_poll_show/2228" TargetMode="External"/><Relationship Id="rId1304" Type="http://schemas.openxmlformats.org/officeDocument/2006/relationships/hyperlink" Target="https://ukraine-elections.com.ua/en/socopros/opinion_poll_show/1971" TargetMode="External"/><Relationship Id="rId1788" Type="http://schemas.openxmlformats.org/officeDocument/2006/relationships/hyperlink" Target="https://ukraine-elections.com.ua/en/socopros/opinion_poll_show/1877" TargetMode="External"/><Relationship Id="rId55" Type="http://schemas.openxmlformats.org/officeDocument/2006/relationships/hyperlink" Target="https://ukraine-elections.com.ua/en/socopros/opinion_poll_show/2227" TargetMode="External"/><Relationship Id="rId1305" Type="http://schemas.openxmlformats.org/officeDocument/2006/relationships/hyperlink" Target="https://ukraine-elections.com.ua/en/socopros/opinion_poll_show/1971" TargetMode="External"/><Relationship Id="rId1789" Type="http://schemas.openxmlformats.org/officeDocument/2006/relationships/hyperlink" Target="https://ukraine-elections.com.ua/en/socopros/opinion_poll_show/1877" TargetMode="External"/><Relationship Id="rId54" Type="http://schemas.openxmlformats.org/officeDocument/2006/relationships/hyperlink" Target="https://ukraine-elections.com.ua/en/socopros/opinion_poll_show/2227" TargetMode="External"/><Relationship Id="rId1306" Type="http://schemas.openxmlformats.org/officeDocument/2006/relationships/hyperlink" Target="https://ukraine-elections.com.ua/en/socopros/opinion_poll_show/1971" TargetMode="External"/><Relationship Id="rId57" Type="http://schemas.openxmlformats.org/officeDocument/2006/relationships/hyperlink" Target="https://ukraine-elections.com.ua/en/socopros/opinion_poll_show/2227" TargetMode="External"/><Relationship Id="rId1307" Type="http://schemas.openxmlformats.org/officeDocument/2006/relationships/hyperlink" Target="https://ukraine-elections.com.ua/en/socopros/opinion_poll_show/1971" TargetMode="External"/><Relationship Id="rId56" Type="http://schemas.openxmlformats.org/officeDocument/2006/relationships/hyperlink" Target="https://ukraine-elections.com.ua/en/socopros/opinion_poll_show/2227" TargetMode="External"/><Relationship Id="rId1308" Type="http://schemas.openxmlformats.org/officeDocument/2006/relationships/hyperlink" Target="https://ukraine-elections.com.ua/en/socopros/opinion_poll_show/1971" TargetMode="External"/><Relationship Id="rId1309" Type="http://schemas.openxmlformats.org/officeDocument/2006/relationships/hyperlink" Target="https://ukraine-elections.com.ua/en/socopros/opinion_poll_show/1971" TargetMode="External"/><Relationship Id="rId719" Type="http://schemas.openxmlformats.org/officeDocument/2006/relationships/hyperlink" Target="https://ukraine-elections.com.ua/en/socopros/opinion_poll_show/2075" TargetMode="External"/><Relationship Id="rId718" Type="http://schemas.openxmlformats.org/officeDocument/2006/relationships/hyperlink" Target="https://ukraine-elections.com.ua/en/socopros/opinion_poll_show/2075" TargetMode="External"/><Relationship Id="rId717" Type="http://schemas.openxmlformats.org/officeDocument/2006/relationships/hyperlink" Target="https://ukraine-elections.com.ua/en/socopros/opinion_poll_show/2075" TargetMode="External"/><Relationship Id="rId712" Type="http://schemas.openxmlformats.org/officeDocument/2006/relationships/hyperlink" Target="https://ukraine-elections.com.ua/en/socopros/opinion_poll_show/2075" TargetMode="External"/><Relationship Id="rId711" Type="http://schemas.openxmlformats.org/officeDocument/2006/relationships/hyperlink" Target="https://ukraine-elections.com.ua/en/socopros/opinion_poll_show/2075" TargetMode="External"/><Relationship Id="rId710" Type="http://schemas.openxmlformats.org/officeDocument/2006/relationships/hyperlink" Target="https://ukraine-elections.com.ua/en/socopros/opinion_poll_show/2075" TargetMode="External"/><Relationship Id="rId716" Type="http://schemas.openxmlformats.org/officeDocument/2006/relationships/hyperlink" Target="https://ukraine-elections.com.ua/en/socopros/opinion_poll_show/2075" TargetMode="External"/><Relationship Id="rId715" Type="http://schemas.openxmlformats.org/officeDocument/2006/relationships/hyperlink" Target="https://ukraine-elections.com.ua/en/socopros/opinion_poll_show/2075" TargetMode="External"/><Relationship Id="rId714" Type="http://schemas.openxmlformats.org/officeDocument/2006/relationships/hyperlink" Target="https://ukraine-elections.com.ua/en/socopros/opinion_poll_show/2075" TargetMode="External"/><Relationship Id="rId713" Type="http://schemas.openxmlformats.org/officeDocument/2006/relationships/hyperlink" Target="https://ukraine-elections.com.ua/en/socopros/opinion_poll_show/2075" TargetMode="External"/><Relationship Id="rId59" Type="http://schemas.openxmlformats.org/officeDocument/2006/relationships/hyperlink" Target="https://ukraine-elections.com.ua/en/socopros/opinion_poll_show/2226" TargetMode="External"/><Relationship Id="rId58" Type="http://schemas.openxmlformats.org/officeDocument/2006/relationships/hyperlink" Target="https://ukraine-elections.com.ua/en/socopros/opinion_poll_show/2226" TargetMode="External"/><Relationship Id="rId1780" Type="http://schemas.openxmlformats.org/officeDocument/2006/relationships/hyperlink" Target="https://ukraine-elections.com.ua/en/socopros/opinion_poll_show/1878" TargetMode="External"/><Relationship Id="rId1781" Type="http://schemas.openxmlformats.org/officeDocument/2006/relationships/hyperlink" Target="https://ukraine-elections.com.ua/en/socopros/opinion_poll_show/1878" TargetMode="External"/><Relationship Id="rId1782" Type="http://schemas.openxmlformats.org/officeDocument/2006/relationships/hyperlink" Target="https://ukraine-elections.com.ua/en/socopros/opinion_poll_show/1878" TargetMode="External"/><Relationship Id="rId1783" Type="http://schemas.openxmlformats.org/officeDocument/2006/relationships/hyperlink" Target="https://ukraine-elections.com.ua/en/socopros/opinion_poll_show/1878" TargetMode="External"/><Relationship Id="rId1300" Type="http://schemas.openxmlformats.org/officeDocument/2006/relationships/hyperlink" Target="https://ukraine-elections.com.ua/en/socopros/opinion_poll_show/1971" TargetMode="External"/><Relationship Id="rId1784" Type="http://schemas.openxmlformats.org/officeDocument/2006/relationships/hyperlink" Target="https://ukraine-elections.com.ua/en/socopros/opinion_poll_show/1877" TargetMode="External"/><Relationship Id="rId2269" Type="http://schemas.openxmlformats.org/officeDocument/2006/relationships/hyperlink" Target="https://ukraine-elections.com.ua/en/socopros/opinion_poll_show/1085" TargetMode="External"/><Relationship Id="rId349" Type="http://schemas.openxmlformats.org/officeDocument/2006/relationships/hyperlink" Target="https://ukraine-elections.com.ua/en/socopros/opinion_poll_show/2149" TargetMode="External"/><Relationship Id="rId348" Type="http://schemas.openxmlformats.org/officeDocument/2006/relationships/hyperlink" Target="https://ukraine-elections.com.ua/en/socopros/opinion_poll_show/2149" TargetMode="External"/><Relationship Id="rId347" Type="http://schemas.openxmlformats.org/officeDocument/2006/relationships/hyperlink" Target="https://ukraine-elections.com.ua/en/socopros/opinion_poll_show/2153" TargetMode="External"/><Relationship Id="rId346" Type="http://schemas.openxmlformats.org/officeDocument/2006/relationships/hyperlink" Target="https://ukraine-elections.com.ua/en/socopros/opinion_poll_show/2153" TargetMode="External"/><Relationship Id="rId2260" Type="http://schemas.openxmlformats.org/officeDocument/2006/relationships/hyperlink" Target="https://ukraine-elections.com.ua/en/socopros/opinion_poll_show/1090" TargetMode="External"/><Relationship Id="rId341" Type="http://schemas.openxmlformats.org/officeDocument/2006/relationships/hyperlink" Target="https://ukraine-elections.com.ua/en/socopros/opinion_poll_show/2153" TargetMode="External"/><Relationship Id="rId2261" Type="http://schemas.openxmlformats.org/officeDocument/2006/relationships/hyperlink" Target="https://ukraine-elections.com.ua/en/socopros/opinion_poll_show/1090" TargetMode="External"/><Relationship Id="rId340" Type="http://schemas.openxmlformats.org/officeDocument/2006/relationships/hyperlink" Target="https://ukraine-elections.com.ua/en/socopros/opinion_poll_show/2153" TargetMode="External"/><Relationship Id="rId2262" Type="http://schemas.openxmlformats.org/officeDocument/2006/relationships/hyperlink" Target="https://ukraine-elections.com.ua/en/socopros/opinion_poll_show/1089" TargetMode="External"/><Relationship Id="rId2263" Type="http://schemas.openxmlformats.org/officeDocument/2006/relationships/hyperlink" Target="https://ukraine-elections.com.ua/en/socopros/opinion_poll_show/1089" TargetMode="External"/><Relationship Id="rId2264" Type="http://schemas.openxmlformats.org/officeDocument/2006/relationships/hyperlink" Target="https://ukraine-elections.com.ua/en/socopros/opinion_poll_show/1087" TargetMode="External"/><Relationship Id="rId345" Type="http://schemas.openxmlformats.org/officeDocument/2006/relationships/hyperlink" Target="https://ukraine-elections.com.ua/en/socopros/opinion_poll_show/2153" TargetMode="External"/><Relationship Id="rId2265" Type="http://schemas.openxmlformats.org/officeDocument/2006/relationships/hyperlink" Target="https://ukraine-elections.com.ua/en/socopros/opinion_poll_show/1087" TargetMode="External"/><Relationship Id="rId344" Type="http://schemas.openxmlformats.org/officeDocument/2006/relationships/hyperlink" Target="https://ukraine-elections.com.ua/en/socopros/opinion_poll_show/2153" TargetMode="External"/><Relationship Id="rId2266" Type="http://schemas.openxmlformats.org/officeDocument/2006/relationships/hyperlink" Target="https://ukraine-elections.com.ua/en/socopros/opinion_poll_show/1086" TargetMode="External"/><Relationship Id="rId343" Type="http://schemas.openxmlformats.org/officeDocument/2006/relationships/hyperlink" Target="https://ukraine-elections.com.ua/en/socopros/opinion_poll_show/2153" TargetMode="External"/><Relationship Id="rId2267" Type="http://schemas.openxmlformats.org/officeDocument/2006/relationships/hyperlink" Target="https://ukraine-elections.com.ua/en/socopros/opinion_poll_show/1086" TargetMode="External"/><Relationship Id="rId342" Type="http://schemas.openxmlformats.org/officeDocument/2006/relationships/hyperlink" Target="https://ukraine-elections.com.ua/en/socopros/opinion_poll_show/2153" TargetMode="External"/><Relationship Id="rId2268" Type="http://schemas.openxmlformats.org/officeDocument/2006/relationships/hyperlink" Target="https://ukraine-elections.com.ua/en/socopros/opinion_poll_show/1085" TargetMode="External"/><Relationship Id="rId2258" Type="http://schemas.openxmlformats.org/officeDocument/2006/relationships/hyperlink" Target="https://ukraine-elections.com.ua/en/socopros/opinion_poll_show/1091" TargetMode="External"/><Relationship Id="rId2259" Type="http://schemas.openxmlformats.org/officeDocument/2006/relationships/hyperlink" Target="https://ukraine-elections.com.ua/en/socopros/opinion_poll_show/1091" TargetMode="External"/><Relationship Id="rId338" Type="http://schemas.openxmlformats.org/officeDocument/2006/relationships/hyperlink" Target="https://ukraine-elections.com.ua/en/socopros/opinion_poll_show/2153" TargetMode="External"/><Relationship Id="rId337" Type="http://schemas.openxmlformats.org/officeDocument/2006/relationships/hyperlink" Target="https://ukraine-elections.com.ua/en/socopros/opinion_poll_show/2153" TargetMode="External"/><Relationship Id="rId336" Type="http://schemas.openxmlformats.org/officeDocument/2006/relationships/hyperlink" Target="https://ukraine-elections.com.ua/en/socopros/opinion_poll_show/2152" TargetMode="External"/><Relationship Id="rId335" Type="http://schemas.openxmlformats.org/officeDocument/2006/relationships/hyperlink" Target="https://ukraine-elections.com.ua/en/socopros/opinion_poll_show/2152" TargetMode="External"/><Relationship Id="rId339" Type="http://schemas.openxmlformats.org/officeDocument/2006/relationships/hyperlink" Target="https://ukraine-elections.com.ua/en/socopros/opinion_poll_show/2153" TargetMode="External"/><Relationship Id="rId330" Type="http://schemas.openxmlformats.org/officeDocument/2006/relationships/hyperlink" Target="https://ukraine-elections.com.ua/en/socopros/opinion_poll_show/2152" TargetMode="External"/><Relationship Id="rId2250" Type="http://schemas.openxmlformats.org/officeDocument/2006/relationships/hyperlink" Target="https://ukraine-elections.com.ua/en/socopros/opinion_poll_show/1220" TargetMode="External"/><Relationship Id="rId2251" Type="http://schemas.openxmlformats.org/officeDocument/2006/relationships/hyperlink" Target="https://ukraine-elections.com.ua/en/socopros/opinion_poll_show/1220" TargetMode="External"/><Relationship Id="rId2252" Type="http://schemas.openxmlformats.org/officeDocument/2006/relationships/hyperlink" Target="https://ukraine-elections.com.ua/en/socopros/opinion_poll_show/1094" TargetMode="External"/><Relationship Id="rId2253" Type="http://schemas.openxmlformats.org/officeDocument/2006/relationships/hyperlink" Target="https://ukraine-elections.com.ua/en/socopros/opinion_poll_show/1094" TargetMode="External"/><Relationship Id="rId334" Type="http://schemas.openxmlformats.org/officeDocument/2006/relationships/hyperlink" Target="https://ukraine-elections.com.ua/en/socopros/opinion_poll_show/2152" TargetMode="External"/><Relationship Id="rId2254" Type="http://schemas.openxmlformats.org/officeDocument/2006/relationships/hyperlink" Target="https://ukraine-elections.com.ua/en/socopros/opinion_poll_show/1093" TargetMode="External"/><Relationship Id="rId333" Type="http://schemas.openxmlformats.org/officeDocument/2006/relationships/hyperlink" Target="https://ukraine-elections.com.ua/en/socopros/opinion_poll_show/2152" TargetMode="External"/><Relationship Id="rId2255" Type="http://schemas.openxmlformats.org/officeDocument/2006/relationships/hyperlink" Target="https://ukraine-elections.com.ua/en/socopros/opinion_poll_show/1093" TargetMode="External"/><Relationship Id="rId332" Type="http://schemas.openxmlformats.org/officeDocument/2006/relationships/hyperlink" Target="https://ukraine-elections.com.ua/en/socopros/opinion_poll_show/2152" TargetMode="External"/><Relationship Id="rId2256" Type="http://schemas.openxmlformats.org/officeDocument/2006/relationships/hyperlink" Target="https://ukraine-elections.com.ua/en/socopros/opinion_poll_show/1092" TargetMode="External"/><Relationship Id="rId331" Type="http://schemas.openxmlformats.org/officeDocument/2006/relationships/hyperlink" Target="https://ukraine-elections.com.ua/en/socopros/opinion_poll_show/2152" TargetMode="External"/><Relationship Id="rId2257" Type="http://schemas.openxmlformats.org/officeDocument/2006/relationships/hyperlink" Target="https://ukraine-elections.com.ua/en/socopros/opinion_poll_show/1092" TargetMode="External"/><Relationship Id="rId370" Type="http://schemas.openxmlformats.org/officeDocument/2006/relationships/hyperlink" Target="https://ukraine-elections.com.ua/en/socopros/opinion_poll_show/2141" TargetMode="External"/><Relationship Id="rId369" Type="http://schemas.openxmlformats.org/officeDocument/2006/relationships/hyperlink" Target="https://ukraine-elections.com.ua/en/socopros/opinion_poll_show/2141" TargetMode="External"/><Relationship Id="rId368" Type="http://schemas.openxmlformats.org/officeDocument/2006/relationships/hyperlink" Target="https://ukraine-elections.com.ua/en/socopros/opinion_poll_show/2141" TargetMode="External"/><Relationship Id="rId363" Type="http://schemas.openxmlformats.org/officeDocument/2006/relationships/hyperlink" Target="https://ukraine-elections.com.ua/en/socopros/opinion_poll_show/2149" TargetMode="External"/><Relationship Id="rId362" Type="http://schemas.openxmlformats.org/officeDocument/2006/relationships/hyperlink" Target="https://ukraine-elections.com.ua/en/socopros/opinion_poll_show/2149" TargetMode="External"/><Relationship Id="rId361" Type="http://schemas.openxmlformats.org/officeDocument/2006/relationships/hyperlink" Target="https://ukraine-elections.com.ua/en/socopros/opinion_poll_show/2149" TargetMode="External"/><Relationship Id="rId360" Type="http://schemas.openxmlformats.org/officeDocument/2006/relationships/hyperlink" Target="https://ukraine-elections.com.ua/en/socopros/opinion_poll_show/2149" TargetMode="External"/><Relationship Id="rId367" Type="http://schemas.openxmlformats.org/officeDocument/2006/relationships/hyperlink" Target="https://ukraine-elections.com.ua/en/socopros/opinion_poll_show/2149" TargetMode="External"/><Relationship Id="rId366" Type="http://schemas.openxmlformats.org/officeDocument/2006/relationships/hyperlink" Target="https://ukraine-elections.com.ua/en/socopros/opinion_poll_show/2149" TargetMode="External"/><Relationship Id="rId365" Type="http://schemas.openxmlformats.org/officeDocument/2006/relationships/hyperlink" Target="https://ukraine-elections.com.ua/en/socopros/opinion_poll_show/2149" TargetMode="External"/><Relationship Id="rId364" Type="http://schemas.openxmlformats.org/officeDocument/2006/relationships/hyperlink" Target="https://ukraine-elections.com.ua/en/socopros/opinion_poll_show/2149" TargetMode="External"/><Relationship Id="rId95" Type="http://schemas.openxmlformats.org/officeDocument/2006/relationships/hyperlink" Target="https://ukraine-elections.com.ua/en/socopros/opinion_poll_show/2233" TargetMode="External"/><Relationship Id="rId94" Type="http://schemas.openxmlformats.org/officeDocument/2006/relationships/hyperlink" Target="https://ukraine-elections.com.ua/en/socopros/opinion_poll_show/2233" TargetMode="External"/><Relationship Id="rId97" Type="http://schemas.openxmlformats.org/officeDocument/2006/relationships/hyperlink" Target="https://ukraine-elections.com.ua/en/socopros/opinion_poll_show/2233" TargetMode="External"/><Relationship Id="rId96" Type="http://schemas.openxmlformats.org/officeDocument/2006/relationships/hyperlink" Target="https://ukraine-elections.com.ua/en/socopros/opinion_poll_show/2233" TargetMode="External"/><Relationship Id="rId99" Type="http://schemas.openxmlformats.org/officeDocument/2006/relationships/hyperlink" Target="https://ukraine-elections.com.ua/en/socopros/opinion_poll_show/2233" TargetMode="External"/><Relationship Id="rId98" Type="http://schemas.openxmlformats.org/officeDocument/2006/relationships/hyperlink" Target="https://ukraine-elections.com.ua/en/socopros/opinion_poll_show/2233" TargetMode="External"/><Relationship Id="rId91" Type="http://schemas.openxmlformats.org/officeDocument/2006/relationships/hyperlink" Target="https://ukraine-elections.com.ua/en/socopros/opinion_poll_show/2222" TargetMode="External"/><Relationship Id="rId90" Type="http://schemas.openxmlformats.org/officeDocument/2006/relationships/hyperlink" Target="https://ukraine-elections.com.ua/en/socopros/opinion_poll_show/2222" TargetMode="External"/><Relationship Id="rId93" Type="http://schemas.openxmlformats.org/officeDocument/2006/relationships/hyperlink" Target="https://ukraine-elections.com.ua/en/socopros/opinion_poll_show/2233" TargetMode="External"/><Relationship Id="rId92" Type="http://schemas.openxmlformats.org/officeDocument/2006/relationships/hyperlink" Target="https://ukraine-elections.com.ua/en/socopros/opinion_poll_show/2222" TargetMode="External"/><Relationship Id="rId359" Type="http://schemas.openxmlformats.org/officeDocument/2006/relationships/hyperlink" Target="https://ukraine-elections.com.ua/en/socopros/opinion_poll_show/2149" TargetMode="External"/><Relationship Id="rId358" Type="http://schemas.openxmlformats.org/officeDocument/2006/relationships/hyperlink" Target="https://ukraine-elections.com.ua/en/socopros/opinion_poll_show/2149" TargetMode="External"/><Relationship Id="rId357" Type="http://schemas.openxmlformats.org/officeDocument/2006/relationships/hyperlink" Target="https://ukraine-elections.com.ua/en/socopros/opinion_poll_show/2149" TargetMode="External"/><Relationship Id="rId2270" Type="http://schemas.openxmlformats.org/officeDocument/2006/relationships/hyperlink" Target="https://ukraine-elections.com.ua/en/socopros/opinion_poll_show/1085" TargetMode="External"/><Relationship Id="rId2271" Type="http://schemas.openxmlformats.org/officeDocument/2006/relationships/hyperlink" Target="https://ukraine-elections.com.ua/en/socopros/opinion_poll_show/1085" TargetMode="External"/><Relationship Id="rId352" Type="http://schemas.openxmlformats.org/officeDocument/2006/relationships/hyperlink" Target="https://ukraine-elections.com.ua/en/socopros/opinion_poll_show/2149" TargetMode="External"/><Relationship Id="rId2272" Type="http://schemas.openxmlformats.org/officeDocument/2006/relationships/hyperlink" Target="https://ukraine-elections.com.ua/en/socopros/opinion_poll_show/1085" TargetMode="External"/><Relationship Id="rId351" Type="http://schemas.openxmlformats.org/officeDocument/2006/relationships/hyperlink" Target="https://ukraine-elections.com.ua/en/socopros/opinion_poll_show/2149" TargetMode="External"/><Relationship Id="rId2273" Type="http://schemas.openxmlformats.org/officeDocument/2006/relationships/hyperlink" Target="https://ukraine-elections.com.ua/en/socopros/opinion_poll_show/1085" TargetMode="External"/><Relationship Id="rId350" Type="http://schemas.openxmlformats.org/officeDocument/2006/relationships/hyperlink" Target="https://ukraine-elections.com.ua/en/socopros/opinion_poll_show/2149" TargetMode="External"/><Relationship Id="rId2274" Type="http://schemas.openxmlformats.org/officeDocument/2006/relationships/hyperlink" Target="https://ukraine-elections.com.ua/en/socopros/opinion_poll_show/1085" TargetMode="External"/><Relationship Id="rId2275" Type="http://schemas.openxmlformats.org/officeDocument/2006/relationships/hyperlink" Target="https://ukraine-elections.com.ua/en/socopros/opinion_poll_show/1085" TargetMode="External"/><Relationship Id="rId356" Type="http://schemas.openxmlformats.org/officeDocument/2006/relationships/hyperlink" Target="https://ukraine-elections.com.ua/en/socopros/opinion_poll_show/2149" TargetMode="External"/><Relationship Id="rId2276" Type="http://schemas.openxmlformats.org/officeDocument/2006/relationships/hyperlink" Target="https://ukraine-elections.com.ua/en/socopros/opinion_poll_show/1085" TargetMode="External"/><Relationship Id="rId355" Type="http://schemas.openxmlformats.org/officeDocument/2006/relationships/hyperlink" Target="https://ukraine-elections.com.ua/en/socopros/opinion_poll_show/2149" TargetMode="External"/><Relationship Id="rId2277" Type="http://schemas.openxmlformats.org/officeDocument/2006/relationships/drawing" Target="../drawings/drawing2.xml"/><Relationship Id="rId354" Type="http://schemas.openxmlformats.org/officeDocument/2006/relationships/hyperlink" Target="https://ukraine-elections.com.ua/en/socopros/opinion_poll_show/2149" TargetMode="External"/><Relationship Id="rId353" Type="http://schemas.openxmlformats.org/officeDocument/2006/relationships/hyperlink" Target="https://ukraine-elections.com.ua/en/socopros/opinion_poll_show/2149" TargetMode="External"/><Relationship Id="rId1378" Type="http://schemas.openxmlformats.org/officeDocument/2006/relationships/hyperlink" Target="https://ukraine-elections.com.ua/en/socopros/opinion_poll_show/1963" TargetMode="External"/><Relationship Id="rId2225" Type="http://schemas.openxmlformats.org/officeDocument/2006/relationships/hyperlink" Target="https://ukraine-elections.com.ua/en/socopros/opinion_poll_show/1228" TargetMode="External"/><Relationship Id="rId1379" Type="http://schemas.openxmlformats.org/officeDocument/2006/relationships/hyperlink" Target="https://ukraine-elections.com.ua/en/socopros/opinion_poll_show/1960" TargetMode="External"/><Relationship Id="rId2226" Type="http://schemas.openxmlformats.org/officeDocument/2006/relationships/hyperlink" Target="https://ukraine-elections.com.ua/en/socopros/opinion_poll_show/1228" TargetMode="External"/><Relationship Id="rId2227" Type="http://schemas.openxmlformats.org/officeDocument/2006/relationships/hyperlink" Target="https://ukraine-elections.com.ua/en/socopros/opinion_poll_show/1228" TargetMode="External"/><Relationship Id="rId2228" Type="http://schemas.openxmlformats.org/officeDocument/2006/relationships/hyperlink" Target="https://ukraine-elections.com.ua/en/socopros/opinion_poll_show/1228" TargetMode="External"/><Relationship Id="rId2229" Type="http://schemas.openxmlformats.org/officeDocument/2006/relationships/hyperlink" Target="https://ukraine-elections.com.ua/en/socopros/opinion_poll_show/1228" TargetMode="External"/><Relationship Id="rId305" Type="http://schemas.openxmlformats.org/officeDocument/2006/relationships/hyperlink" Target="https://ukraine-elections.com.ua/en/socopros/opinion_poll_show/2167" TargetMode="External"/><Relationship Id="rId789" Type="http://schemas.openxmlformats.org/officeDocument/2006/relationships/hyperlink" Target="https://ukraine-elections.com.ua/en/socopros/opinion_poll_show/2066" TargetMode="External"/><Relationship Id="rId304" Type="http://schemas.openxmlformats.org/officeDocument/2006/relationships/hyperlink" Target="https://ukraine-elections.com.ua/en/socopros/opinion_poll_show/2167" TargetMode="External"/><Relationship Id="rId788" Type="http://schemas.openxmlformats.org/officeDocument/2006/relationships/hyperlink" Target="https://ukraine-elections.com.ua/en/socopros/opinion_poll_show/2066" TargetMode="External"/><Relationship Id="rId303" Type="http://schemas.openxmlformats.org/officeDocument/2006/relationships/hyperlink" Target="https://ukraine-elections.com.ua/en/socopros/opinion_poll_show/2167" TargetMode="External"/><Relationship Id="rId787" Type="http://schemas.openxmlformats.org/officeDocument/2006/relationships/hyperlink" Target="https://ukraine-elections.com.ua/en/socopros/opinion_poll_show/2066" TargetMode="External"/><Relationship Id="rId302" Type="http://schemas.openxmlformats.org/officeDocument/2006/relationships/hyperlink" Target="https://ukraine-elections.com.ua/en/socopros/opinion_poll_show/2167" TargetMode="External"/><Relationship Id="rId786" Type="http://schemas.openxmlformats.org/officeDocument/2006/relationships/hyperlink" Target="https://ukraine-elections.com.ua/en/socopros/opinion_poll_show/2066" TargetMode="External"/><Relationship Id="rId309" Type="http://schemas.openxmlformats.org/officeDocument/2006/relationships/hyperlink" Target="https://ukraine-elections.com.ua/en/socopros/opinion_poll_show/2162" TargetMode="External"/><Relationship Id="rId308" Type="http://schemas.openxmlformats.org/officeDocument/2006/relationships/hyperlink" Target="https://ukraine-elections.com.ua/en/socopros/opinion_poll_show/2162" TargetMode="External"/><Relationship Id="rId307" Type="http://schemas.openxmlformats.org/officeDocument/2006/relationships/hyperlink" Target="https://ukraine-elections.com.ua/en/socopros/opinion_poll_show/2162" TargetMode="External"/><Relationship Id="rId306" Type="http://schemas.openxmlformats.org/officeDocument/2006/relationships/hyperlink" Target="https://ukraine-elections.com.ua/en/socopros/opinion_poll_show/2167" TargetMode="External"/><Relationship Id="rId781" Type="http://schemas.openxmlformats.org/officeDocument/2006/relationships/hyperlink" Target="https://ukraine-elections.com.ua/en/socopros/opinion_poll_show/2069" TargetMode="External"/><Relationship Id="rId1370" Type="http://schemas.openxmlformats.org/officeDocument/2006/relationships/hyperlink" Target="https://ukraine-elections.com.ua/en/socopros/opinion_poll_show/1963" TargetMode="External"/><Relationship Id="rId780" Type="http://schemas.openxmlformats.org/officeDocument/2006/relationships/hyperlink" Target="https://ukraine-elections.com.ua/en/socopros/opinion_poll_show/2069" TargetMode="External"/><Relationship Id="rId1371" Type="http://schemas.openxmlformats.org/officeDocument/2006/relationships/hyperlink" Target="https://ukraine-elections.com.ua/en/socopros/opinion_poll_show/1963" TargetMode="External"/><Relationship Id="rId1372" Type="http://schemas.openxmlformats.org/officeDocument/2006/relationships/hyperlink" Target="https://ukraine-elections.com.ua/en/socopros/opinion_poll_show/1963" TargetMode="External"/><Relationship Id="rId1373" Type="http://schemas.openxmlformats.org/officeDocument/2006/relationships/hyperlink" Target="https://ukraine-elections.com.ua/en/socopros/opinion_poll_show/1963" TargetMode="External"/><Relationship Id="rId2220" Type="http://schemas.openxmlformats.org/officeDocument/2006/relationships/hyperlink" Target="https://ukraine-elections.com.ua/en/socopros/opinion_poll_show/1236" TargetMode="External"/><Relationship Id="rId301" Type="http://schemas.openxmlformats.org/officeDocument/2006/relationships/hyperlink" Target="https://ukraine-elections.com.ua/en/socopros/opinion_poll_show/2167" TargetMode="External"/><Relationship Id="rId785" Type="http://schemas.openxmlformats.org/officeDocument/2006/relationships/hyperlink" Target="https://ukraine-elections.com.ua/en/socopros/opinion_poll_show/2066" TargetMode="External"/><Relationship Id="rId1374" Type="http://schemas.openxmlformats.org/officeDocument/2006/relationships/hyperlink" Target="https://ukraine-elections.com.ua/en/socopros/opinion_poll_show/1963" TargetMode="External"/><Relationship Id="rId2221" Type="http://schemas.openxmlformats.org/officeDocument/2006/relationships/hyperlink" Target="https://ukraine-elections.com.ua/en/socopros/opinion_poll_show/1236" TargetMode="External"/><Relationship Id="rId300" Type="http://schemas.openxmlformats.org/officeDocument/2006/relationships/hyperlink" Target="https://ukraine-elections.com.ua/en/socopros/opinion_poll_show/2167" TargetMode="External"/><Relationship Id="rId784" Type="http://schemas.openxmlformats.org/officeDocument/2006/relationships/hyperlink" Target="https://ukraine-elections.com.ua/en/socopros/opinion_poll_show/2066" TargetMode="External"/><Relationship Id="rId1375" Type="http://schemas.openxmlformats.org/officeDocument/2006/relationships/hyperlink" Target="https://ukraine-elections.com.ua/en/socopros/opinion_poll_show/1963" TargetMode="External"/><Relationship Id="rId2222" Type="http://schemas.openxmlformats.org/officeDocument/2006/relationships/hyperlink" Target="https://ukraine-elections.com.ua/en/socopros/opinion_poll_show/1228" TargetMode="External"/><Relationship Id="rId783" Type="http://schemas.openxmlformats.org/officeDocument/2006/relationships/hyperlink" Target="https://ukraine-elections.com.ua/en/socopros/opinion_poll_show/2066" TargetMode="External"/><Relationship Id="rId1376" Type="http://schemas.openxmlformats.org/officeDocument/2006/relationships/hyperlink" Target="https://ukraine-elections.com.ua/en/socopros/opinion_poll_show/1963" TargetMode="External"/><Relationship Id="rId2223" Type="http://schemas.openxmlformats.org/officeDocument/2006/relationships/hyperlink" Target="https://ukraine-elections.com.ua/en/socopros/opinion_poll_show/1228" TargetMode="External"/><Relationship Id="rId782" Type="http://schemas.openxmlformats.org/officeDocument/2006/relationships/hyperlink" Target="https://ukraine-elections.com.ua/en/socopros/opinion_poll_show/2066" TargetMode="External"/><Relationship Id="rId1377" Type="http://schemas.openxmlformats.org/officeDocument/2006/relationships/hyperlink" Target="https://ukraine-elections.com.ua/en/socopros/opinion_poll_show/1963" TargetMode="External"/><Relationship Id="rId2224" Type="http://schemas.openxmlformats.org/officeDocument/2006/relationships/hyperlink" Target="https://ukraine-elections.com.ua/en/socopros/opinion_poll_show/1228" TargetMode="External"/><Relationship Id="rId1367" Type="http://schemas.openxmlformats.org/officeDocument/2006/relationships/hyperlink" Target="https://ukraine-elections.com.ua/en/socopros/opinion_poll_show/1963" TargetMode="External"/><Relationship Id="rId2214" Type="http://schemas.openxmlformats.org/officeDocument/2006/relationships/hyperlink" Target="https://ukraine-elections.com.ua/en/socopros/opinion_poll_show/1243" TargetMode="External"/><Relationship Id="rId1368" Type="http://schemas.openxmlformats.org/officeDocument/2006/relationships/hyperlink" Target="https://ukraine-elections.com.ua/en/socopros/opinion_poll_show/1963" TargetMode="External"/><Relationship Id="rId2215" Type="http://schemas.openxmlformats.org/officeDocument/2006/relationships/hyperlink" Target="https://ukraine-elections.com.ua/en/socopros/opinion_poll_show/1236" TargetMode="External"/><Relationship Id="rId1369" Type="http://schemas.openxmlformats.org/officeDocument/2006/relationships/hyperlink" Target="https://ukraine-elections.com.ua/en/socopros/opinion_poll_show/1963" TargetMode="External"/><Relationship Id="rId2216" Type="http://schemas.openxmlformats.org/officeDocument/2006/relationships/hyperlink" Target="https://ukraine-elections.com.ua/en/socopros/opinion_poll_show/1236" TargetMode="External"/><Relationship Id="rId2217" Type="http://schemas.openxmlformats.org/officeDocument/2006/relationships/hyperlink" Target="https://ukraine-elections.com.ua/en/socopros/opinion_poll_show/1236" TargetMode="External"/><Relationship Id="rId2218" Type="http://schemas.openxmlformats.org/officeDocument/2006/relationships/hyperlink" Target="https://ukraine-elections.com.ua/en/socopros/opinion_poll_show/1236" TargetMode="External"/><Relationship Id="rId2219" Type="http://schemas.openxmlformats.org/officeDocument/2006/relationships/hyperlink" Target="https://ukraine-elections.com.ua/en/socopros/opinion_poll_show/1236" TargetMode="External"/><Relationship Id="rId778" Type="http://schemas.openxmlformats.org/officeDocument/2006/relationships/hyperlink" Target="https://ukraine-elections.com.ua/en/socopros/opinion_poll_show/2069" TargetMode="External"/><Relationship Id="rId777" Type="http://schemas.openxmlformats.org/officeDocument/2006/relationships/hyperlink" Target="https://ukraine-elections.com.ua/en/socopros/opinion_poll_show/2069" TargetMode="External"/><Relationship Id="rId776" Type="http://schemas.openxmlformats.org/officeDocument/2006/relationships/hyperlink" Target="https://ukraine-elections.com.ua/en/socopros/opinion_poll_show/2069" TargetMode="External"/><Relationship Id="rId775" Type="http://schemas.openxmlformats.org/officeDocument/2006/relationships/hyperlink" Target="https://ukraine-elections.com.ua/en/socopros/opinion_poll_show/2069" TargetMode="External"/><Relationship Id="rId779" Type="http://schemas.openxmlformats.org/officeDocument/2006/relationships/hyperlink" Target="https://ukraine-elections.com.ua/en/socopros/opinion_poll_show/2069" TargetMode="External"/><Relationship Id="rId770" Type="http://schemas.openxmlformats.org/officeDocument/2006/relationships/hyperlink" Target="https://ukraine-elections.com.ua/en/socopros/opinion_poll_show/2070" TargetMode="External"/><Relationship Id="rId1360" Type="http://schemas.openxmlformats.org/officeDocument/2006/relationships/hyperlink" Target="https://ukraine-elections.com.ua/en/socopros/opinion_poll_show/1963" TargetMode="External"/><Relationship Id="rId1361" Type="http://schemas.openxmlformats.org/officeDocument/2006/relationships/hyperlink" Target="https://ukraine-elections.com.ua/en/socopros/opinion_poll_show/1963" TargetMode="External"/><Relationship Id="rId1362" Type="http://schemas.openxmlformats.org/officeDocument/2006/relationships/hyperlink" Target="https://ukraine-elections.com.ua/en/socopros/opinion_poll_show/1963" TargetMode="External"/><Relationship Id="rId774" Type="http://schemas.openxmlformats.org/officeDocument/2006/relationships/hyperlink" Target="https://ukraine-elections.com.ua/en/socopros/opinion_poll_show/2069" TargetMode="External"/><Relationship Id="rId1363" Type="http://schemas.openxmlformats.org/officeDocument/2006/relationships/hyperlink" Target="https://ukraine-elections.com.ua/en/socopros/opinion_poll_show/1963" TargetMode="External"/><Relationship Id="rId2210" Type="http://schemas.openxmlformats.org/officeDocument/2006/relationships/hyperlink" Target="https://ukraine-elections.com.ua/en/socopros/opinion_poll_show/1243" TargetMode="External"/><Relationship Id="rId773" Type="http://schemas.openxmlformats.org/officeDocument/2006/relationships/hyperlink" Target="https://ukraine-elections.com.ua/en/socopros/opinion_poll_show/2069" TargetMode="External"/><Relationship Id="rId1364" Type="http://schemas.openxmlformats.org/officeDocument/2006/relationships/hyperlink" Target="https://ukraine-elections.com.ua/en/socopros/opinion_poll_show/1963" TargetMode="External"/><Relationship Id="rId2211" Type="http://schemas.openxmlformats.org/officeDocument/2006/relationships/hyperlink" Target="https://ukraine-elections.com.ua/en/socopros/opinion_poll_show/1243" TargetMode="External"/><Relationship Id="rId772" Type="http://schemas.openxmlformats.org/officeDocument/2006/relationships/hyperlink" Target="https://ukraine-elections.com.ua/en/socopros/opinion_poll_show/2069" TargetMode="External"/><Relationship Id="rId1365" Type="http://schemas.openxmlformats.org/officeDocument/2006/relationships/hyperlink" Target="https://ukraine-elections.com.ua/en/socopros/opinion_poll_show/1963" TargetMode="External"/><Relationship Id="rId2212" Type="http://schemas.openxmlformats.org/officeDocument/2006/relationships/hyperlink" Target="https://ukraine-elections.com.ua/en/socopros/opinion_poll_show/1243" TargetMode="External"/><Relationship Id="rId771" Type="http://schemas.openxmlformats.org/officeDocument/2006/relationships/hyperlink" Target="https://ukraine-elections.com.ua/en/socopros/opinion_poll_show/2069" TargetMode="External"/><Relationship Id="rId1366" Type="http://schemas.openxmlformats.org/officeDocument/2006/relationships/hyperlink" Target="https://ukraine-elections.com.ua/en/socopros/opinion_poll_show/1963" TargetMode="External"/><Relationship Id="rId2213" Type="http://schemas.openxmlformats.org/officeDocument/2006/relationships/hyperlink" Target="https://ukraine-elections.com.ua/en/socopros/opinion_poll_show/1243" TargetMode="External"/><Relationship Id="rId2247" Type="http://schemas.openxmlformats.org/officeDocument/2006/relationships/hyperlink" Target="https://ukraine-elections.com.ua/en/socopros/opinion_poll_show/1220" TargetMode="External"/><Relationship Id="rId2248" Type="http://schemas.openxmlformats.org/officeDocument/2006/relationships/hyperlink" Target="https://ukraine-elections.com.ua/en/socopros/opinion_poll_show/1220" TargetMode="External"/><Relationship Id="rId2249" Type="http://schemas.openxmlformats.org/officeDocument/2006/relationships/hyperlink" Target="https://ukraine-elections.com.ua/en/socopros/opinion_poll_show/1220" TargetMode="External"/><Relationship Id="rId327" Type="http://schemas.openxmlformats.org/officeDocument/2006/relationships/hyperlink" Target="https://ukraine-elections.com.ua/en/socopros/opinion_poll_show/2152" TargetMode="External"/><Relationship Id="rId326" Type="http://schemas.openxmlformats.org/officeDocument/2006/relationships/hyperlink" Target="https://ukraine-elections.com.ua/en/socopros/opinion_poll_show/2155" TargetMode="External"/><Relationship Id="rId325" Type="http://schemas.openxmlformats.org/officeDocument/2006/relationships/hyperlink" Target="https://ukraine-elections.com.ua/en/socopros/opinion_poll_show/2155" TargetMode="External"/><Relationship Id="rId324" Type="http://schemas.openxmlformats.org/officeDocument/2006/relationships/hyperlink" Target="https://ukraine-elections.com.ua/en/socopros/opinion_poll_show/2155" TargetMode="External"/><Relationship Id="rId329" Type="http://schemas.openxmlformats.org/officeDocument/2006/relationships/hyperlink" Target="https://ukraine-elections.com.ua/en/socopros/opinion_poll_show/2152" TargetMode="External"/><Relationship Id="rId1390" Type="http://schemas.openxmlformats.org/officeDocument/2006/relationships/hyperlink" Target="https://ukraine-elections.com.ua/en/socopros/opinion_poll_show/1960" TargetMode="External"/><Relationship Id="rId328" Type="http://schemas.openxmlformats.org/officeDocument/2006/relationships/hyperlink" Target="https://ukraine-elections.com.ua/en/socopros/opinion_poll_show/2152" TargetMode="External"/><Relationship Id="rId1391" Type="http://schemas.openxmlformats.org/officeDocument/2006/relationships/hyperlink" Target="https://ukraine-elections.com.ua/en/socopros/opinion_poll_show/1960" TargetMode="External"/><Relationship Id="rId1392" Type="http://schemas.openxmlformats.org/officeDocument/2006/relationships/hyperlink" Target="https://ukraine-elections.com.ua/en/socopros/opinion_poll_show/1960" TargetMode="External"/><Relationship Id="rId1393" Type="http://schemas.openxmlformats.org/officeDocument/2006/relationships/hyperlink" Target="https://ukraine-elections.com.ua/en/socopros/opinion_poll_show/1960" TargetMode="External"/><Relationship Id="rId2240" Type="http://schemas.openxmlformats.org/officeDocument/2006/relationships/hyperlink" Target="https://ukraine-elections.com.ua/en/socopros/opinion_poll_show/1226" TargetMode="External"/><Relationship Id="rId1394" Type="http://schemas.openxmlformats.org/officeDocument/2006/relationships/hyperlink" Target="https://ukraine-elections.com.ua/en/socopros/opinion_poll_show/1960" TargetMode="External"/><Relationship Id="rId2241" Type="http://schemas.openxmlformats.org/officeDocument/2006/relationships/hyperlink" Target="https://ukraine-elections.com.ua/en/socopros/opinion_poll_show/1226" TargetMode="External"/><Relationship Id="rId1395" Type="http://schemas.openxmlformats.org/officeDocument/2006/relationships/hyperlink" Target="https://ukraine-elections.com.ua/en/socopros/opinion_poll_show/1959" TargetMode="External"/><Relationship Id="rId2242" Type="http://schemas.openxmlformats.org/officeDocument/2006/relationships/hyperlink" Target="https://ukraine-elections.com.ua/en/socopros/opinion_poll_show/1220" TargetMode="External"/><Relationship Id="rId323" Type="http://schemas.openxmlformats.org/officeDocument/2006/relationships/hyperlink" Target="https://ukraine-elections.com.ua/en/socopros/opinion_poll_show/2155" TargetMode="External"/><Relationship Id="rId1396" Type="http://schemas.openxmlformats.org/officeDocument/2006/relationships/hyperlink" Target="https://ukraine-elections.com.ua/en/socopros/opinion_poll_show/1959" TargetMode="External"/><Relationship Id="rId2243" Type="http://schemas.openxmlformats.org/officeDocument/2006/relationships/hyperlink" Target="https://ukraine-elections.com.ua/en/socopros/opinion_poll_show/1220" TargetMode="External"/><Relationship Id="rId322" Type="http://schemas.openxmlformats.org/officeDocument/2006/relationships/hyperlink" Target="https://ukraine-elections.com.ua/en/socopros/opinion_poll_show/2155" TargetMode="External"/><Relationship Id="rId1397" Type="http://schemas.openxmlformats.org/officeDocument/2006/relationships/hyperlink" Target="https://ukraine-elections.com.ua/en/socopros/opinion_poll_show/1959" TargetMode="External"/><Relationship Id="rId2244" Type="http://schemas.openxmlformats.org/officeDocument/2006/relationships/hyperlink" Target="https://ukraine-elections.com.ua/en/socopros/opinion_poll_show/1220" TargetMode="External"/><Relationship Id="rId321" Type="http://schemas.openxmlformats.org/officeDocument/2006/relationships/hyperlink" Target="https://ukraine-elections.com.ua/en/socopros/opinion_poll_show/2155" TargetMode="External"/><Relationship Id="rId1398" Type="http://schemas.openxmlformats.org/officeDocument/2006/relationships/hyperlink" Target="https://ukraine-elections.com.ua/en/socopros/opinion_poll_show/1959" TargetMode="External"/><Relationship Id="rId2245" Type="http://schemas.openxmlformats.org/officeDocument/2006/relationships/hyperlink" Target="https://ukraine-elections.com.ua/en/socopros/opinion_poll_show/1220" TargetMode="External"/><Relationship Id="rId320" Type="http://schemas.openxmlformats.org/officeDocument/2006/relationships/hyperlink" Target="https://ukraine-elections.com.ua/en/socopros/opinion_poll_show/2155" TargetMode="External"/><Relationship Id="rId1399" Type="http://schemas.openxmlformats.org/officeDocument/2006/relationships/hyperlink" Target="https://ukraine-elections.com.ua/en/socopros/opinion_poll_show/1959" TargetMode="External"/><Relationship Id="rId2246" Type="http://schemas.openxmlformats.org/officeDocument/2006/relationships/hyperlink" Target="https://ukraine-elections.com.ua/en/socopros/opinion_poll_show/1220" TargetMode="External"/><Relationship Id="rId1389" Type="http://schemas.openxmlformats.org/officeDocument/2006/relationships/hyperlink" Target="https://ukraine-elections.com.ua/en/socopros/opinion_poll_show/1960" TargetMode="External"/><Relationship Id="rId2236" Type="http://schemas.openxmlformats.org/officeDocument/2006/relationships/hyperlink" Target="https://ukraine-elections.com.ua/en/socopros/opinion_poll_show/1226" TargetMode="External"/><Relationship Id="rId2237" Type="http://schemas.openxmlformats.org/officeDocument/2006/relationships/hyperlink" Target="https://ukraine-elections.com.ua/en/socopros/opinion_poll_show/1226" TargetMode="External"/><Relationship Id="rId2238" Type="http://schemas.openxmlformats.org/officeDocument/2006/relationships/hyperlink" Target="https://ukraine-elections.com.ua/en/socopros/opinion_poll_show/1226" TargetMode="External"/><Relationship Id="rId2239" Type="http://schemas.openxmlformats.org/officeDocument/2006/relationships/hyperlink" Target="https://ukraine-elections.com.ua/en/socopros/opinion_poll_show/1226" TargetMode="External"/><Relationship Id="rId316" Type="http://schemas.openxmlformats.org/officeDocument/2006/relationships/hyperlink" Target="https://ukraine-elections.com.ua/en/socopros/opinion_poll_show/2155" TargetMode="External"/><Relationship Id="rId315" Type="http://schemas.openxmlformats.org/officeDocument/2006/relationships/hyperlink" Target="https://ukraine-elections.com.ua/en/socopros/opinion_poll_show/2161" TargetMode="External"/><Relationship Id="rId799" Type="http://schemas.openxmlformats.org/officeDocument/2006/relationships/hyperlink" Target="https://ukraine-elections.com.ua/en/socopros/opinion_poll_show/2058" TargetMode="External"/><Relationship Id="rId314" Type="http://schemas.openxmlformats.org/officeDocument/2006/relationships/hyperlink" Target="https://ukraine-elections.com.ua/en/socopros/opinion_poll_show/2161" TargetMode="External"/><Relationship Id="rId798" Type="http://schemas.openxmlformats.org/officeDocument/2006/relationships/hyperlink" Target="https://ukraine-elections.com.ua/en/socopros/opinion_poll_show/2058" TargetMode="External"/><Relationship Id="rId313" Type="http://schemas.openxmlformats.org/officeDocument/2006/relationships/hyperlink" Target="https://ukraine-elections.com.ua/en/socopros/opinion_poll_show/2161" TargetMode="External"/><Relationship Id="rId797" Type="http://schemas.openxmlformats.org/officeDocument/2006/relationships/hyperlink" Target="https://ukraine-elections.com.ua/en/socopros/opinion_poll_show/2058" TargetMode="External"/><Relationship Id="rId319" Type="http://schemas.openxmlformats.org/officeDocument/2006/relationships/hyperlink" Target="https://ukraine-elections.com.ua/en/socopros/opinion_poll_show/2155" TargetMode="External"/><Relationship Id="rId318" Type="http://schemas.openxmlformats.org/officeDocument/2006/relationships/hyperlink" Target="https://ukraine-elections.com.ua/en/socopros/opinion_poll_show/2155" TargetMode="External"/><Relationship Id="rId317" Type="http://schemas.openxmlformats.org/officeDocument/2006/relationships/hyperlink" Target="https://ukraine-elections.com.ua/en/socopros/opinion_poll_show/2155" TargetMode="External"/><Relationship Id="rId1380" Type="http://schemas.openxmlformats.org/officeDocument/2006/relationships/hyperlink" Target="https://ukraine-elections.com.ua/en/socopros/opinion_poll_show/1960" TargetMode="External"/><Relationship Id="rId792" Type="http://schemas.openxmlformats.org/officeDocument/2006/relationships/hyperlink" Target="https://ukraine-elections.com.ua/en/socopros/opinion_poll_show/2066" TargetMode="External"/><Relationship Id="rId1381" Type="http://schemas.openxmlformats.org/officeDocument/2006/relationships/hyperlink" Target="https://ukraine-elections.com.ua/en/socopros/opinion_poll_show/1960" TargetMode="External"/><Relationship Id="rId791" Type="http://schemas.openxmlformats.org/officeDocument/2006/relationships/hyperlink" Target="https://ukraine-elections.com.ua/en/socopros/opinion_poll_show/2066" TargetMode="External"/><Relationship Id="rId1382" Type="http://schemas.openxmlformats.org/officeDocument/2006/relationships/hyperlink" Target="https://ukraine-elections.com.ua/en/socopros/opinion_poll_show/1960" TargetMode="External"/><Relationship Id="rId790" Type="http://schemas.openxmlformats.org/officeDocument/2006/relationships/hyperlink" Target="https://ukraine-elections.com.ua/en/socopros/opinion_poll_show/2066" TargetMode="External"/><Relationship Id="rId1383" Type="http://schemas.openxmlformats.org/officeDocument/2006/relationships/hyperlink" Target="https://ukraine-elections.com.ua/en/socopros/opinion_poll_show/1960" TargetMode="External"/><Relationship Id="rId2230" Type="http://schemas.openxmlformats.org/officeDocument/2006/relationships/hyperlink" Target="https://ukraine-elections.com.ua/en/socopros/opinion_poll_show/1228" TargetMode="External"/><Relationship Id="rId1384" Type="http://schemas.openxmlformats.org/officeDocument/2006/relationships/hyperlink" Target="https://ukraine-elections.com.ua/en/socopros/opinion_poll_show/1960" TargetMode="External"/><Relationship Id="rId2231" Type="http://schemas.openxmlformats.org/officeDocument/2006/relationships/hyperlink" Target="https://ukraine-elections.com.ua/en/socopros/opinion_poll_show/1228" TargetMode="External"/><Relationship Id="rId312" Type="http://schemas.openxmlformats.org/officeDocument/2006/relationships/hyperlink" Target="https://ukraine-elections.com.ua/en/socopros/opinion_poll_show/2162" TargetMode="External"/><Relationship Id="rId796" Type="http://schemas.openxmlformats.org/officeDocument/2006/relationships/hyperlink" Target="https://ukraine-elections.com.ua/en/socopros/opinion_poll_show/2058" TargetMode="External"/><Relationship Id="rId1385" Type="http://schemas.openxmlformats.org/officeDocument/2006/relationships/hyperlink" Target="https://ukraine-elections.com.ua/en/socopros/opinion_poll_show/1960" TargetMode="External"/><Relationship Id="rId2232" Type="http://schemas.openxmlformats.org/officeDocument/2006/relationships/hyperlink" Target="https://ukraine-elections.com.ua/en/socopros/opinion_poll_show/1226" TargetMode="External"/><Relationship Id="rId311" Type="http://schemas.openxmlformats.org/officeDocument/2006/relationships/hyperlink" Target="https://ukraine-elections.com.ua/en/socopros/opinion_poll_show/2162" TargetMode="External"/><Relationship Id="rId795" Type="http://schemas.openxmlformats.org/officeDocument/2006/relationships/hyperlink" Target="https://ukraine-elections.com.ua/en/socopros/opinion_poll_show/2058" TargetMode="External"/><Relationship Id="rId1386" Type="http://schemas.openxmlformats.org/officeDocument/2006/relationships/hyperlink" Target="https://ukraine-elections.com.ua/en/socopros/opinion_poll_show/1960" TargetMode="External"/><Relationship Id="rId2233" Type="http://schemas.openxmlformats.org/officeDocument/2006/relationships/hyperlink" Target="https://ukraine-elections.com.ua/en/socopros/opinion_poll_show/1226" TargetMode="External"/><Relationship Id="rId310" Type="http://schemas.openxmlformats.org/officeDocument/2006/relationships/hyperlink" Target="https://ukraine-elections.com.ua/en/socopros/opinion_poll_show/2162" TargetMode="External"/><Relationship Id="rId794" Type="http://schemas.openxmlformats.org/officeDocument/2006/relationships/hyperlink" Target="https://ukraine-elections.com.ua/en/socopros/opinion_poll_show/2058" TargetMode="External"/><Relationship Id="rId1387" Type="http://schemas.openxmlformats.org/officeDocument/2006/relationships/hyperlink" Target="https://ukraine-elections.com.ua/en/socopros/opinion_poll_show/1960" TargetMode="External"/><Relationship Id="rId2234" Type="http://schemas.openxmlformats.org/officeDocument/2006/relationships/hyperlink" Target="https://ukraine-elections.com.ua/en/socopros/opinion_poll_show/1226" TargetMode="External"/><Relationship Id="rId793" Type="http://schemas.openxmlformats.org/officeDocument/2006/relationships/hyperlink" Target="https://ukraine-elections.com.ua/en/socopros/opinion_poll_show/2058" TargetMode="External"/><Relationship Id="rId1388" Type="http://schemas.openxmlformats.org/officeDocument/2006/relationships/hyperlink" Target="https://ukraine-elections.com.ua/en/socopros/opinion_poll_show/1960" TargetMode="External"/><Relationship Id="rId2235" Type="http://schemas.openxmlformats.org/officeDocument/2006/relationships/hyperlink" Target="https://ukraine-elections.com.ua/en/socopros/opinion_poll_show/1226" TargetMode="External"/><Relationship Id="rId297" Type="http://schemas.openxmlformats.org/officeDocument/2006/relationships/hyperlink" Target="https://ukraine-elections.com.ua/en/socopros/opinion_poll_show/2167" TargetMode="External"/><Relationship Id="rId296" Type="http://schemas.openxmlformats.org/officeDocument/2006/relationships/hyperlink" Target="https://ukraine-elections.com.ua/en/socopros/opinion_poll_show/2167" TargetMode="External"/><Relationship Id="rId295" Type="http://schemas.openxmlformats.org/officeDocument/2006/relationships/hyperlink" Target="https://ukraine-elections.com.ua/en/socopros/opinion_poll_show/2170" TargetMode="External"/><Relationship Id="rId294" Type="http://schemas.openxmlformats.org/officeDocument/2006/relationships/hyperlink" Target="https://ukraine-elections.com.ua/en/socopros/opinion_poll_show/2170" TargetMode="External"/><Relationship Id="rId299" Type="http://schemas.openxmlformats.org/officeDocument/2006/relationships/hyperlink" Target="https://ukraine-elections.com.ua/en/socopros/opinion_poll_show/2167" TargetMode="External"/><Relationship Id="rId298" Type="http://schemas.openxmlformats.org/officeDocument/2006/relationships/hyperlink" Target="https://ukraine-elections.com.ua/en/socopros/opinion_poll_show/2167" TargetMode="External"/><Relationship Id="rId271" Type="http://schemas.openxmlformats.org/officeDocument/2006/relationships/hyperlink" Target="https://ukraine-elections.com.ua/en/socopros/opinion_poll_show/2177" TargetMode="External"/><Relationship Id="rId270" Type="http://schemas.openxmlformats.org/officeDocument/2006/relationships/hyperlink" Target="https://ukraine-elections.com.ua/en/socopros/opinion_poll_show/2177" TargetMode="External"/><Relationship Id="rId269" Type="http://schemas.openxmlformats.org/officeDocument/2006/relationships/hyperlink" Target="https://ukraine-elections.com.ua/en/socopros/opinion_poll_show/2177" TargetMode="External"/><Relationship Id="rId264" Type="http://schemas.openxmlformats.org/officeDocument/2006/relationships/hyperlink" Target="https://ukraine-elections.com.ua/en/socopros/opinion_poll_show/2177" TargetMode="External"/><Relationship Id="rId263" Type="http://schemas.openxmlformats.org/officeDocument/2006/relationships/hyperlink" Target="https://ukraine-elections.com.ua/en/socopros/opinion_poll_show/2177" TargetMode="External"/><Relationship Id="rId262" Type="http://schemas.openxmlformats.org/officeDocument/2006/relationships/hyperlink" Target="https://ukraine-elections.com.ua/en/socopros/opinion_poll_show/2177" TargetMode="External"/><Relationship Id="rId261" Type="http://schemas.openxmlformats.org/officeDocument/2006/relationships/hyperlink" Target="https://ukraine-elections.com.ua/en/socopros/opinion_poll_show/2179" TargetMode="External"/><Relationship Id="rId268" Type="http://schemas.openxmlformats.org/officeDocument/2006/relationships/hyperlink" Target="https://ukraine-elections.com.ua/en/socopros/opinion_poll_show/2177" TargetMode="External"/><Relationship Id="rId267" Type="http://schemas.openxmlformats.org/officeDocument/2006/relationships/hyperlink" Target="https://ukraine-elections.com.ua/en/socopros/opinion_poll_show/2177" TargetMode="External"/><Relationship Id="rId266" Type="http://schemas.openxmlformats.org/officeDocument/2006/relationships/hyperlink" Target="https://ukraine-elections.com.ua/en/socopros/opinion_poll_show/2177" TargetMode="External"/><Relationship Id="rId265" Type="http://schemas.openxmlformats.org/officeDocument/2006/relationships/hyperlink" Target="https://ukraine-elections.com.ua/en/socopros/opinion_poll_show/2177" TargetMode="External"/><Relationship Id="rId260" Type="http://schemas.openxmlformats.org/officeDocument/2006/relationships/hyperlink" Target="https://ukraine-elections.com.ua/en/socopros/opinion_poll_show/2179" TargetMode="External"/><Relationship Id="rId259" Type="http://schemas.openxmlformats.org/officeDocument/2006/relationships/hyperlink" Target="https://ukraine-elections.com.ua/en/socopros/opinion_poll_show/2179" TargetMode="External"/><Relationship Id="rId258" Type="http://schemas.openxmlformats.org/officeDocument/2006/relationships/hyperlink" Target="https://ukraine-elections.com.ua/en/socopros/opinion_poll_show/2179" TargetMode="External"/><Relationship Id="rId253" Type="http://schemas.openxmlformats.org/officeDocument/2006/relationships/hyperlink" Target="https://ukraine-elections.com.ua/en/socopros/opinion_poll_show/2179" TargetMode="External"/><Relationship Id="rId252" Type="http://schemas.openxmlformats.org/officeDocument/2006/relationships/hyperlink" Target="https://ukraine-elections.com.ua/en/socopros/opinion_poll_show/2179" TargetMode="External"/><Relationship Id="rId251" Type="http://schemas.openxmlformats.org/officeDocument/2006/relationships/hyperlink" Target="https://ukraine-elections.com.ua/en/socopros/opinion_poll_show/2188" TargetMode="External"/><Relationship Id="rId250" Type="http://schemas.openxmlformats.org/officeDocument/2006/relationships/hyperlink" Target="https://ukraine-elections.com.ua/en/socopros/opinion_poll_show/2185" TargetMode="External"/><Relationship Id="rId257" Type="http://schemas.openxmlformats.org/officeDocument/2006/relationships/hyperlink" Target="https://ukraine-elections.com.ua/en/socopros/opinion_poll_show/2179" TargetMode="External"/><Relationship Id="rId256" Type="http://schemas.openxmlformats.org/officeDocument/2006/relationships/hyperlink" Target="https://ukraine-elections.com.ua/en/socopros/opinion_poll_show/2179" TargetMode="External"/><Relationship Id="rId255" Type="http://schemas.openxmlformats.org/officeDocument/2006/relationships/hyperlink" Target="https://ukraine-elections.com.ua/en/socopros/opinion_poll_show/2179" TargetMode="External"/><Relationship Id="rId254" Type="http://schemas.openxmlformats.org/officeDocument/2006/relationships/hyperlink" Target="https://ukraine-elections.com.ua/en/socopros/opinion_poll_show/2179" TargetMode="External"/><Relationship Id="rId293" Type="http://schemas.openxmlformats.org/officeDocument/2006/relationships/hyperlink" Target="https://ukraine-elections.com.ua/en/socopros/opinion_poll_show/2170" TargetMode="External"/><Relationship Id="rId292" Type="http://schemas.openxmlformats.org/officeDocument/2006/relationships/hyperlink" Target="https://ukraine-elections.com.ua/en/socopros/opinion_poll_show/2170" TargetMode="External"/><Relationship Id="rId291" Type="http://schemas.openxmlformats.org/officeDocument/2006/relationships/hyperlink" Target="https://ukraine-elections.com.ua/en/socopros/opinion_poll_show/2170" TargetMode="External"/><Relationship Id="rId290" Type="http://schemas.openxmlformats.org/officeDocument/2006/relationships/hyperlink" Target="https://ukraine-elections.com.ua/en/socopros/opinion_poll_show/2170" TargetMode="External"/><Relationship Id="rId286" Type="http://schemas.openxmlformats.org/officeDocument/2006/relationships/hyperlink" Target="https://ukraine-elections.com.ua/en/socopros/opinion_poll_show/2170" TargetMode="External"/><Relationship Id="rId285" Type="http://schemas.openxmlformats.org/officeDocument/2006/relationships/hyperlink" Target="https://ukraine-elections.com.ua/en/socopros/opinion_poll_show/2170" TargetMode="External"/><Relationship Id="rId284" Type="http://schemas.openxmlformats.org/officeDocument/2006/relationships/hyperlink" Target="https://ukraine-elections.com.ua/en/socopros/opinion_poll_show/2175" TargetMode="External"/><Relationship Id="rId283" Type="http://schemas.openxmlformats.org/officeDocument/2006/relationships/hyperlink" Target="https://ukraine-elections.com.ua/en/socopros/opinion_poll_show/2175" TargetMode="External"/><Relationship Id="rId289" Type="http://schemas.openxmlformats.org/officeDocument/2006/relationships/hyperlink" Target="https://ukraine-elections.com.ua/en/socopros/opinion_poll_show/2170" TargetMode="External"/><Relationship Id="rId288" Type="http://schemas.openxmlformats.org/officeDocument/2006/relationships/hyperlink" Target="https://ukraine-elections.com.ua/en/socopros/opinion_poll_show/2170" TargetMode="External"/><Relationship Id="rId287" Type="http://schemas.openxmlformats.org/officeDocument/2006/relationships/hyperlink" Target="https://ukraine-elections.com.ua/en/socopros/opinion_poll_show/2170" TargetMode="External"/><Relationship Id="rId282" Type="http://schemas.openxmlformats.org/officeDocument/2006/relationships/hyperlink" Target="https://ukraine-elections.com.ua/en/socopros/opinion_poll_show/2175" TargetMode="External"/><Relationship Id="rId281" Type="http://schemas.openxmlformats.org/officeDocument/2006/relationships/hyperlink" Target="https://ukraine-elections.com.ua/en/socopros/opinion_poll_show/2175" TargetMode="External"/><Relationship Id="rId280" Type="http://schemas.openxmlformats.org/officeDocument/2006/relationships/hyperlink" Target="https://ukraine-elections.com.ua/en/socopros/opinion_poll_show/2175" TargetMode="External"/><Relationship Id="rId275" Type="http://schemas.openxmlformats.org/officeDocument/2006/relationships/hyperlink" Target="https://ukraine-elections.com.ua/en/socopros/opinion_poll_show/2175" TargetMode="External"/><Relationship Id="rId274" Type="http://schemas.openxmlformats.org/officeDocument/2006/relationships/hyperlink" Target="https://ukraine-elections.com.ua/en/socopros/opinion_poll_show/2175" TargetMode="External"/><Relationship Id="rId273" Type="http://schemas.openxmlformats.org/officeDocument/2006/relationships/hyperlink" Target="https://ukraine-elections.com.ua/en/socopros/opinion_poll_show/2175" TargetMode="External"/><Relationship Id="rId272" Type="http://schemas.openxmlformats.org/officeDocument/2006/relationships/hyperlink" Target="https://ukraine-elections.com.ua/en/socopros/opinion_poll_show/2177" TargetMode="External"/><Relationship Id="rId279" Type="http://schemas.openxmlformats.org/officeDocument/2006/relationships/hyperlink" Target="https://ukraine-elections.com.ua/en/socopros/opinion_poll_show/2175" TargetMode="External"/><Relationship Id="rId278" Type="http://schemas.openxmlformats.org/officeDocument/2006/relationships/hyperlink" Target="https://ukraine-elections.com.ua/en/socopros/opinion_poll_show/2175" TargetMode="External"/><Relationship Id="rId277" Type="http://schemas.openxmlformats.org/officeDocument/2006/relationships/hyperlink" Target="https://ukraine-elections.com.ua/en/socopros/opinion_poll_show/2175" TargetMode="External"/><Relationship Id="rId276" Type="http://schemas.openxmlformats.org/officeDocument/2006/relationships/hyperlink" Target="https://ukraine-elections.com.ua/en/socopros/opinion_poll_show/2175" TargetMode="External"/><Relationship Id="rId1851" Type="http://schemas.openxmlformats.org/officeDocument/2006/relationships/hyperlink" Target="https://ukraine-elections.com.ua/en/socopros/opinion_poll_show/1866" TargetMode="External"/><Relationship Id="rId1852" Type="http://schemas.openxmlformats.org/officeDocument/2006/relationships/hyperlink" Target="https://ukraine-elections.com.ua/en/socopros/opinion_poll_show/1866" TargetMode="External"/><Relationship Id="rId1853" Type="http://schemas.openxmlformats.org/officeDocument/2006/relationships/hyperlink" Target="https://ukraine-elections.com.ua/en/socopros/opinion_poll_show/1865" TargetMode="External"/><Relationship Id="rId1854" Type="http://schemas.openxmlformats.org/officeDocument/2006/relationships/hyperlink" Target="https://ukraine-elections.com.ua/en/socopros/opinion_poll_show/1865" TargetMode="External"/><Relationship Id="rId1855" Type="http://schemas.openxmlformats.org/officeDocument/2006/relationships/hyperlink" Target="https://ukraine-elections.com.ua/en/socopros/opinion_poll_show/1865" TargetMode="External"/><Relationship Id="rId1856" Type="http://schemas.openxmlformats.org/officeDocument/2006/relationships/hyperlink" Target="https://ukraine-elections.com.ua/en/socopros/opinion_poll_show/1865" TargetMode="External"/><Relationship Id="rId1857" Type="http://schemas.openxmlformats.org/officeDocument/2006/relationships/hyperlink" Target="https://ukraine-elections.com.ua/en/socopros/opinion_poll_show/1865" TargetMode="External"/><Relationship Id="rId1858" Type="http://schemas.openxmlformats.org/officeDocument/2006/relationships/hyperlink" Target="https://ukraine-elections.com.ua/en/socopros/opinion_poll_show/1865" TargetMode="External"/><Relationship Id="rId1859" Type="http://schemas.openxmlformats.org/officeDocument/2006/relationships/hyperlink" Target="https://ukraine-elections.com.ua/en/socopros/opinion_poll_show/1865" TargetMode="External"/><Relationship Id="rId1850" Type="http://schemas.openxmlformats.org/officeDocument/2006/relationships/hyperlink" Target="https://ukraine-elections.com.ua/en/socopros/opinion_poll_show/1866" TargetMode="External"/><Relationship Id="rId1840" Type="http://schemas.openxmlformats.org/officeDocument/2006/relationships/hyperlink" Target="https://ukraine-elections.com.ua/en/socopros/opinion_poll_show/1867" TargetMode="External"/><Relationship Id="rId1841" Type="http://schemas.openxmlformats.org/officeDocument/2006/relationships/hyperlink" Target="https://ukraine-elections.com.ua/en/socopros/opinion_poll_show/1867" TargetMode="External"/><Relationship Id="rId1842" Type="http://schemas.openxmlformats.org/officeDocument/2006/relationships/hyperlink" Target="https://ukraine-elections.com.ua/en/socopros/opinion_poll_show/1867" TargetMode="External"/><Relationship Id="rId1843" Type="http://schemas.openxmlformats.org/officeDocument/2006/relationships/hyperlink" Target="https://ukraine-elections.com.ua/en/socopros/opinion_poll_show/1866" TargetMode="External"/><Relationship Id="rId1844" Type="http://schemas.openxmlformats.org/officeDocument/2006/relationships/hyperlink" Target="https://ukraine-elections.com.ua/en/socopros/opinion_poll_show/1866" TargetMode="External"/><Relationship Id="rId1845" Type="http://schemas.openxmlformats.org/officeDocument/2006/relationships/hyperlink" Target="https://ukraine-elections.com.ua/en/socopros/opinion_poll_show/1866" TargetMode="External"/><Relationship Id="rId1846" Type="http://schemas.openxmlformats.org/officeDocument/2006/relationships/hyperlink" Target="https://ukraine-elections.com.ua/en/socopros/opinion_poll_show/1866" TargetMode="External"/><Relationship Id="rId1847" Type="http://schemas.openxmlformats.org/officeDocument/2006/relationships/hyperlink" Target="https://ukraine-elections.com.ua/en/socopros/opinion_poll_show/1866" TargetMode="External"/><Relationship Id="rId1848" Type="http://schemas.openxmlformats.org/officeDocument/2006/relationships/hyperlink" Target="https://ukraine-elections.com.ua/en/socopros/opinion_poll_show/1866" TargetMode="External"/><Relationship Id="rId1849" Type="http://schemas.openxmlformats.org/officeDocument/2006/relationships/hyperlink" Target="https://ukraine-elections.com.ua/en/socopros/opinion_poll_show/1866" TargetMode="External"/><Relationship Id="rId1873" Type="http://schemas.openxmlformats.org/officeDocument/2006/relationships/hyperlink" Target="https://ukraine-elections.com.ua/en/socopros/opinion_poll_show/1864" TargetMode="External"/><Relationship Id="rId1874" Type="http://schemas.openxmlformats.org/officeDocument/2006/relationships/hyperlink" Target="https://ukraine-elections.com.ua/en/socopros/opinion_poll_show/1864" TargetMode="External"/><Relationship Id="rId1875" Type="http://schemas.openxmlformats.org/officeDocument/2006/relationships/hyperlink" Target="https://ukraine-elections.com.ua/en/socopros/opinion_poll_show/1864" TargetMode="External"/><Relationship Id="rId1876" Type="http://schemas.openxmlformats.org/officeDocument/2006/relationships/hyperlink" Target="https://ukraine-elections.com.ua/en/socopros/opinion_poll_show/1864" TargetMode="External"/><Relationship Id="rId1877" Type="http://schemas.openxmlformats.org/officeDocument/2006/relationships/hyperlink" Target="https://ukraine-elections.com.ua/en/socopros/opinion_poll_show/1864" TargetMode="External"/><Relationship Id="rId1878" Type="http://schemas.openxmlformats.org/officeDocument/2006/relationships/hyperlink" Target="https://ukraine-elections.com.ua/en/socopros/opinion_poll_show/1864" TargetMode="External"/><Relationship Id="rId1879" Type="http://schemas.openxmlformats.org/officeDocument/2006/relationships/hyperlink" Target="https://ukraine-elections.com.ua/en/socopros/opinion_poll_show/1864" TargetMode="External"/><Relationship Id="rId1870" Type="http://schemas.openxmlformats.org/officeDocument/2006/relationships/hyperlink" Target="https://ukraine-elections.com.ua/en/socopros/opinion_poll_show/1864" TargetMode="External"/><Relationship Id="rId1871" Type="http://schemas.openxmlformats.org/officeDocument/2006/relationships/hyperlink" Target="https://ukraine-elections.com.ua/en/socopros/opinion_poll_show/1864" TargetMode="External"/><Relationship Id="rId1872" Type="http://schemas.openxmlformats.org/officeDocument/2006/relationships/hyperlink" Target="https://ukraine-elections.com.ua/en/socopros/opinion_poll_show/1864" TargetMode="External"/><Relationship Id="rId1862" Type="http://schemas.openxmlformats.org/officeDocument/2006/relationships/hyperlink" Target="https://ukraine-elections.com.ua/en/socopros/opinion_poll_show/1865" TargetMode="External"/><Relationship Id="rId1863" Type="http://schemas.openxmlformats.org/officeDocument/2006/relationships/hyperlink" Target="https://ukraine-elections.com.ua/en/socopros/opinion_poll_show/1865" TargetMode="External"/><Relationship Id="rId1864" Type="http://schemas.openxmlformats.org/officeDocument/2006/relationships/hyperlink" Target="https://ukraine-elections.com.ua/en/socopros/opinion_poll_show/1864" TargetMode="External"/><Relationship Id="rId1865" Type="http://schemas.openxmlformats.org/officeDocument/2006/relationships/hyperlink" Target="https://ukraine-elections.com.ua/en/socopros/opinion_poll_show/1864" TargetMode="External"/><Relationship Id="rId1866" Type="http://schemas.openxmlformats.org/officeDocument/2006/relationships/hyperlink" Target="https://ukraine-elections.com.ua/en/socopros/opinion_poll_show/1864" TargetMode="External"/><Relationship Id="rId1867" Type="http://schemas.openxmlformats.org/officeDocument/2006/relationships/hyperlink" Target="https://ukraine-elections.com.ua/en/socopros/opinion_poll_show/1864" TargetMode="External"/><Relationship Id="rId1868" Type="http://schemas.openxmlformats.org/officeDocument/2006/relationships/hyperlink" Target="https://ukraine-elections.com.ua/en/socopros/opinion_poll_show/1864" TargetMode="External"/><Relationship Id="rId1869" Type="http://schemas.openxmlformats.org/officeDocument/2006/relationships/hyperlink" Target="https://ukraine-elections.com.ua/en/socopros/opinion_poll_show/1864" TargetMode="External"/><Relationship Id="rId1860" Type="http://schemas.openxmlformats.org/officeDocument/2006/relationships/hyperlink" Target="https://ukraine-elections.com.ua/en/socopros/opinion_poll_show/1865" TargetMode="External"/><Relationship Id="rId1861" Type="http://schemas.openxmlformats.org/officeDocument/2006/relationships/hyperlink" Target="https://ukraine-elections.com.ua/en/socopros/opinion_poll_show/1865" TargetMode="External"/><Relationship Id="rId1810" Type="http://schemas.openxmlformats.org/officeDocument/2006/relationships/hyperlink" Target="https://ukraine-elections.com.ua/en/socopros/opinion_poll_show/1873" TargetMode="External"/><Relationship Id="rId1811" Type="http://schemas.openxmlformats.org/officeDocument/2006/relationships/hyperlink" Target="https://ukraine-elections.com.ua/en/socopros/opinion_poll_show/1873" TargetMode="External"/><Relationship Id="rId1812" Type="http://schemas.openxmlformats.org/officeDocument/2006/relationships/hyperlink" Target="https://ukraine-elections.com.ua/en/socopros/opinion_poll_show/1873" TargetMode="External"/><Relationship Id="rId1813" Type="http://schemas.openxmlformats.org/officeDocument/2006/relationships/hyperlink" Target="https://ukraine-elections.com.ua/en/socopros/opinion_poll_show/1873" TargetMode="External"/><Relationship Id="rId1814" Type="http://schemas.openxmlformats.org/officeDocument/2006/relationships/hyperlink" Target="https://ukraine-elections.com.ua/en/socopros/opinion_poll_show/1873" TargetMode="External"/><Relationship Id="rId1815" Type="http://schemas.openxmlformats.org/officeDocument/2006/relationships/hyperlink" Target="https://ukraine-elections.com.ua/en/socopros/opinion_poll_show/1873" TargetMode="External"/><Relationship Id="rId1816" Type="http://schemas.openxmlformats.org/officeDocument/2006/relationships/hyperlink" Target="https://ukraine-elections.com.ua/en/socopros/opinion_poll_show/1873" TargetMode="External"/><Relationship Id="rId1817" Type="http://schemas.openxmlformats.org/officeDocument/2006/relationships/hyperlink" Target="https://ukraine-elections.com.ua/en/socopros/opinion_poll_show/1873" TargetMode="External"/><Relationship Id="rId1818" Type="http://schemas.openxmlformats.org/officeDocument/2006/relationships/hyperlink" Target="https://ukraine-elections.com.ua/en/socopros/opinion_poll_show/1868" TargetMode="External"/><Relationship Id="rId1819" Type="http://schemas.openxmlformats.org/officeDocument/2006/relationships/hyperlink" Target="https://ukraine-elections.com.ua/en/socopros/opinion_poll_show/1868" TargetMode="External"/><Relationship Id="rId1800" Type="http://schemas.openxmlformats.org/officeDocument/2006/relationships/hyperlink" Target="https://ukraine-elections.com.ua/en/socopros/opinion_poll_show/1874" TargetMode="External"/><Relationship Id="rId1801" Type="http://schemas.openxmlformats.org/officeDocument/2006/relationships/hyperlink" Target="https://ukraine-elections.com.ua/en/socopros/opinion_poll_show/1874" TargetMode="External"/><Relationship Id="rId1802" Type="http://schemas.openxmlformats.org/officeDocument/2006/relationships/hyperlink" Target="https://ukraine-elections.com.ua/en/socopros/opinion_poll_show/1874" TargetMode="External"/><Relationship Id="rId1803" Type="http://schemas.openxmlformats.org/officeDocument/2006/relationships/hyperlink" Target="https://ukraine-elections.com.ua/en/socopros/opinion_poll_show/1874" TargetMode="External"/><Relationship Id="rId1804" Type="http://schemas.openxmlformats.org/officeDocument/2006/relationships/hyperlink" Target="https://ukraine-elections.com.ua/en/socopros/opinion_poll_show/1874" TargetMode="External"/><Relationship Id="rId1805" Type="http://schemas.openxmlformats.org/officeDocument/2006/relationships/hyperlink" Target="https://ukraine-elections.com.ua/en/socopros/opinion_poll_show/1874" TargetMode="External"/><Relationship Id="rId1806" Type="http://schemas.openxmlformats.org/officeDocument/2006/relationships/hyperlink" Target="https://ukraine-elections.com.ua/en/socopros/opinion_poll_show/1873" TargetMode="External"/><Relationship Id="rId1807" Type="http://schemas.openxmlformats.org/officeDocument/2006/relationships/hyperlink" Target="https://ukraine-elections.com.ua/en/socopros/opinion_poll_show/1873" TargetMode="External"/><Relationship Id="rId1808" Type="http://schemas.openxmlformats.org/officeDocument/2006/relationships/hyperlink" Target="https://ukraine-elections.com.ua/en/socopros/opinion_poll_show/1873" TargetMode="External"/><Relationship Id="rId1809" Type="http://schemas.openxmlformats.org/officeDocument/2006/relationships/hyperlink" Target="https://ukraine-elections.com.ua/en/socopros/opinion_poll_show/1873" TargetMode="External"/><Relationship Id="rId1830" Type="http://schemas.openxmlformats.org/officeDocument/2006/relationships/hyperlink" Target="https://ukraine-elections.com.ua/en/socopros/opinion_poll_show/1867" TargetMode="External"/><Relationship Id="rId1831" Type="http://schemas.openxmlformats.org/officeDocument/2006/relationships/hyperlink" Target="https://ukraine-elections.com.ua/en/socopros/opinion_poll_show/1867" TargetMode="External"/><Relationship Id="rId1832" Type="http://schemas.openxmlformats.org/officeDocument/2006/relationships/hyperlink" Target="https://ukraine-elections.com.ua/en/socopros/opinion_poll_show/1867" TargetMode="External"/><Relationship Id="rId1833" Type="http://schemas.openxmlformats.org/officeDocument/2006/relationships/hyperlink" Target="https://ukraine-elections.com.ua/en/socopros/opinion_poll_show/1867" TargetMode="External"/><Relationship Id="rId1834" Type="http://schemas.openxmlformats.org/officeDocument/2006/relationships/hyperlink" Target="https://ukraine-elections.com.ua/en/socopros/opinion_poll_show/1867" TargetMode="External"/><Relationship Id="rId1835" Type="http://schemas.openxmlformats.org/officeDocument/2006/relationships/hyperlink" Target="https://ukraine-elections.com.ua/en/socopros/opinion_poll_show/1867" TargetMode="External"/><Relationship Id="rId1836" Type="http://schemas.openxmlformats.org/officeDocument/2006/relationships/hyperlink" Target="https://ukraine-elections.com.ua/en/socopros/opinion_poll_show/1867" TargetMode="External"/><Relationship Id="rId1837" Type="http://schemas.openxmlformats.org/officeDocument/2006/relationships/hyperlink" Target="https://ukraine-elections.com.ua/en/socopros/opinion_poll_show/1867" TargetMode="External"/><Relationship Id="rId1838" Type="http://schemas.openxmlformats.org/officeDocument/2006/relationships/hyperlink" Target="https://ukraine-elections.com.ua/en/socopros/opinion_poll_show/1867" TargetMode="External"/><Relationship Id="rId1839" Type="http://schemas.openxmlformats.org/officeDocument/2006/relationships/hyperlink" Target="https://ukraine-elections.com.ua/en/socopros/opinion_poll_show/1867" TargetMode="External"/><Relationship Id="rId1820" Type="http://schemas.openxmlformats.org/officeDocument/2006/relationships/hyperlink" Target="https://ukraine-elections.com.ua/en/socopros/opinion_poll_show/1868" TargetMode="External"/><Relationship Id="rId1821" Type="http://schemas.openxmlformats.org/officeDocument/2006/relationships/hyperlink" Target="https://ukraine-elections.com.ua/en/socopros/opinion_poll_show/1868" TargetMode="External"/><Relationship Id="rId1822" Type="http://schemas.openxmlformats.org/officeDocument/2006/relationships/hyperlink" Target="https://ukraine-elections.com.ua/en/socopros/opinion_poll_show/1868" TargetMode="External"/><Relationship Id="rId1823" Type="http://schemas.openxmlformats.org/officeDocument/2006/relationships/hyperlink" Target="https://ukraine-elections.com.ua/en/socopros/opinion_poll_show/1868" TargetMode="External"/><Relationship Id="rId1824" Type="http://schemas.openxmlformats.org/officeDocument/2006/relationships/hyperlink" Target="https://ukraine-elections.com.ua/en/socopros/opinion_poll_show/1868" TargetMode="External"/><Relationship Id="rId1825" Type="http://schemas.openxmlformats.org/officeDocument/2006/relationships/hyperlink" Target="https://ukraine-elections.com.ua/en/socopros/opinion_poll_show/1868" TargetMode="External"/><Relationship Id="rId1826" Type="http://schemas.openxmlformats.org/officeDocument/2006/relationships/hyperlink" Target="https://ukraine-elections.com.ua/en/socopros/opinion_poll_show/1868" TargetMode="External"/><Relationship Id="rId1827" Type="http://schemas.openxmlformats.org/officeDocument/2006/relationships/hyperlink" Target="https://ukraine-elections.com.ua/en/socopros/opinion_poll_show/1868" TargetMode="External"/><Relationship Id="rId1828" Type="http://schemas.openxmlformats.org/officeDocument/2006/relationships/hyperlink" Target="https://ukraine-elections.com.ua/en/socopros/opinion_poll_show/1868" TargetMode="External"/><Relationship Id="rId1829" Type="http://schemas.openxmlformats.org/officeDocument/2006/relationships/hyperlink" Target="https://ukraine-elections.com.ua/en/socopros/opinion_poll_show/1868" TargetMode="External"/><Relationship Id="rId1455" Type="http://schemas.openxmlformats.org/officeDocument/2006/relationships/hyperlink" Target="https://ukraine-elections.com.ua/en/socopros/opinion_poll_show/1946" TargetMode="External"/><Relationship Id="rId1456" Type="http://schemas.openxmlformats.org/officeDocument/2006/relationships/hyperlink" Target="https://ukraine-elections.com.ua/en/socopros/opinion_poll_show/1946" TargetMode="External"/><Relationship Id="rId1457" Type="http://schemas.openxmlformats.org/officeDocument/2006/relationships/hyperlink" Target="https://ukraine-elections.com.ua/en/socopros/opinion_poll_show/1946" TargetMode="External"/><Relationship Id="rId1458" Type="http://schemas.openxmlformats.org/officeDocument/2006/relationships/hyperlink" Target="https://ukraine-elections.com.ua/en/socopros/opinion_poll_show/1946" TargetMode="External"/><Relationship Id="rId1459" Type="http://schemas.openxmlformats.org/officeDocument/2006/relationships/hyperlink" Target="https://ukraine-elections.com.ua/en/socopros/opinion_poll_show/1946" TargetMode="External"/><Relationship Id="rId629" Type="http://schemas.openxmlformats.org/officeDocument/2006/relationships/hyperlink" Target="https://ukraine-elections.com.ua/en/socopros/opinion_poll_show/2105" TargetMode="External"/><Relationship Id="rId624" Type="http://schemas.openxmlformats.org/officeDocument/2006/relationships/hyperlink" Target="https://ukraine-elections.com.ua/en/socopros/opinion_poll_show/2082" TargetMode="External"/><Relationship Id="rId623" Type="http://schemas.openxmlformats.org/officeDocument/2006/relationships/hyperlink" Target="https://ukraine-elections.com.ua/en/socopros/opinion_poll_show/2082" TargetMode="External"/><Relationship Id="rId622" Type="http://schemas.openxmlformats.org/officeDocument/2006/relationships/hyperlink" Target="https://ukraine-elections.com.ua/en/socopros/opinion_poll_show/2082" TargetMode="External"/><Relationship Id="rId621" Type="http://schemas.openxmlformats.org/officeDocument/2006/relationships/hyperlink" Target="https://ukraine-elections.com.ua/en/socopros/opinion_poll_show/2082" TargetMode="External"/><Relationship Id="rId628" Type="http://schemas.openxmlformats.org/officeDocument/2006/relationships/hyperlink" Target="https://ukraine-elections.com.ua/en/socopros/opinion_poll_show/2105" TargetMode="External"/><Relationship Id="rId627" Type="http://schemas.openxmlformats.org/officeDocument/2006/relationships/hyperlink" Target="https://ukraine-elections.com.ua/en/socopros/opinion_poll_show/2105" TargetMode="External"/><Relationship Id="rId626" Type="http://schemas.openxmlformats.org/officeDocument/2006/relationships/hyperlink" Target="https://ukraine-elections.com.ua/en/socopros/opinion_poll_show/2105" TargetMode="External"/><Relationship Id="rId625" Type="http://schemas.openxmlformats.org/officeDocument/2006/relationships/hyperlink" Target="https://ukraine-elections.com.ua/en/socopros/opinion_poll_show/2082" TargetMode="External"/><Relationship Id="rId1450" Type="http://schemas.openxmlformats.org/officeDocument/2006/relationships/hyperlink" Target="https://ukraine-elections.com.ua/en/socopros/opinion_poll_show/1948" TargetMode="External"/><Relationship Id="rId620" Type="http://schemas.openxmlformats.org/officeDocument/2006/relationships/hyperlink" Target="https://ukraine-elections.com.ua/en/socopros/opinion_poll_show/2082" TargetMode="External"/><Relationship Id="rId1451" Type="http://schemas.openxmlformats.org/officeDocument/2006/relationships/hyperlink" Target="https://ukraine-elections.com.ua/en/socopros/opinion_poll_show/1948" TargetMode="External"/><Relationship Id="rId1452" Type="http://schemas.openxmlformats.org/officeDocument/2006/relationships/hyperlink" Target="https://ukraine-elections.com.ua/en/socopros/opinion_poll_show/1948" TargetMode="External"/><Relationship Id="rId1453" Type="http://schemas.openxmlformats.org/officeDocument/2006/relationships/hyperlink" Target="https://ukraine-elections.com.ua/en/socopros/opinion_poll_show/1948" TargetMode="External"/><Relationship Id="rId1454" Type="http://schemas.openxmlformats.org/officeDocument/2006/relationships/hyperlink" Target="https://ukraine-elections.com.ua/en/socopros/opinion_poll_show/1948" TargetMode="External"/><Relationship Id="rId1444" Type="http://schemas.openxmlformats.org/officeDocument/2006/relationships/hyperlink" Target="https://ukraine-elections.com.ua/en/socopros/opinion_poll_show/1948" TargetMode="External"/><Relationship Id="rId1445" Type="http://schemas.openxmlformats.org/officeDocument/2006/relationships/hyperlink" Target="https://ukraine-elections.com.ua/en/socopros/opinion_poll_show/1948" TargetMode="External"/><Relationship Id="rId1446" Type="http://schemas.openxmlformats.org/officeDocument/2006/relationships/hyperlink" Target="https://ukraine-elections.com.ua/en/socopros/opinion_poll_show/1948" TargetMode="External"/><Relationship Id="rId1447" Type="http://schemas.openxmlformats.org/officeDocument/2006/relationships/hyperlink" Target="https://ukraine-elections.com.ua/en/socopros/opinion_poll_show/1948" TargetMode="External"/><Relationship Id="rId1448" Type="http://schemas.openxmlformats.org/officeDocument/2006/relationships/hyperlink" Target="https://ukraine-elections.com.ua/en/socopros/opinion_poll_show/1948" TargetMode="External"/><Relationship Id="rId1449" Type="http://schemas.openxmlformats.org/officeDocument/2006/relationships/hyperlink" Target="https://ukraine-elections.com.ua/en/socopros/opinion_poll_show/1948" TargetMode="External"/><Relationship Id="rId619" Type="http://schemas.openxmlformats.org/officeDocument/2006/relationships/hyperlink" Target="https://ukraine-elections.com.ua/en/socopros/opinion_poll_show/2082" TargetMode="External"/><Relationship Id="rId618" Type="http://schemas.openxmlformats.org/officeDocument/2006/relationships/hyperlink" Target="https://ukraine-elections.com.ua/en/socopros/opinion_poll_show/2082" TargetMode="External"/><Relationship Id="rId613" Type="http://schemas.openxmlformats.org/officeDocument/2006/relationships/hyperlink" Target="https://ukraine-elections.com.ua/en/socopros/opinion_poll_show/2104" TargetMode="External"/><Relationship Id="rId612" Type="http://schemas.openxmlformats.org/officeDocument/2006/relationships/hyperlink" Target="https://ukraine-elections.com.ua/en/socopros/opinion_poll_show/2104" TargetMode="External"/><Relationship Id="rId611" Type="http://schemas.openxmlformats.org/officeDocument/2006/relationships/hyperlink" Target="https://ukraine-elections.com.ua/en/socopros/opinion_poll_show/2104" TargetMode="External"/><Relationship Id="rId610" Type="http://schemas.openxmlformats.org/officeDocument/2006/relationships/hyperlink" Target="https://ukraine-elections.com.ua/en/socopros/opinion_poll_show/2104" TargetMode="External"/><Relationship Id="rId617" Type="http://schemas.openxmlformats.org/officeDocument/2006/relationships/hyperlink" Target="https://ukraine-elections.com.ua/en/socopros/opinion_poll_show/2082" TargetMode="External"/><Relationship Id="rId616" Type="http://schemas.openxmlformats.org/officeDocument/2006/relationships/hyperlink" Target="https://ukraine-elections.com.ua/en/socopros/opinion_poll_show/2082" TargetMode="External"/><Relationship Id="rId615" Type="http://schemas.openxmlformats.org/officeDocument/2006/relationships/hyperlink" Target="https://ukraine-elections.com.ua/en/socopros/opinion_poll_show/2104" TargetMode="External"/><Relationship Id="rId614" Type="http://schemas.openxmlformats.org/officeDocument/2006/relationships/hyperlink" Target="https://ukraine-elections.com.ua/en/socopros/opinion_poll_show/2104" TargetMode="External"/><Relationship Id="rId1440" Type="http://schemas.openxmlformats.org/officeDocument/2006/relationships/hyperlink" Target="https://ukraine-elections.com.ua/en/socopros/opinion_poll_show/1951" TargetMode="External"/><Relationship Id="rId1441" Type="http://schemas.openxmlformats.org/officeDocument/2006/relationships/hyperlink" Target="https://ukraine-elections.com.ua/en/socopros/opinion_poll_show/1951" TargetMode="External"/><Relationship Id="rId1442" Type="http://schemas.openxmlformats.org/officeDocument/2006/relationships/hyperlink" Target="https://ukraine-elections.com.ua/en/socopros/opinion_poll_show/1951" TargetMode="External"/><Relationship Id="rId1443" Type="http://schemas.openxmlformats.org/officeDocument/2006/relationships/hyperlink" Target="https://ukraine-elections.com.ua/en/socopros/opinion_poll_show/1948" TargetMode="External"/><Relationship Id="rId1477" Type="http://schemas.openxmlformats.org/officeDocument/2006/relationships/hyperlink" Target="https://ukraine-elections.com.ua/en/socopros/opinion_poll_show/1942" TargetMode="External"/><Relationship Id="rId1478" Type="http://schemas.openxmlformats.org/officeDocument/2006/relationships/hyperlink" Target="https://ukraine-elections.com.ua/en/socopros/opinion_poll_show/1937" TargetMode="External"/><Relationship Id="rId1479" Type="http://schemas.openxmlformats.org/officeDocument/2006/relationships/hyperlink" Target="https://ukraine-elections.com.ua/en/socopros/opinion_poll_show/1937" TargetMode="External"/><Relationship Id="rId646" Type="http://schemas.openxmlformats.org/officeDocument/2006/relationships/hyperlink" Target="https://ukraine-elections.com.ua/en/socopros/opinion_poll_show/2080" TargetMode="External"/><Relationship Id="rId645" Type="http://schemas.openxmlformats.org/officeDocument/2006/relationships/hyperlink" Target="https://ukraine-elections.com.ua/en/socopros/opinion_poll_show/2080" TargetMode="External"/><Relationship Id="rId644" Type="http://schemas.openxmlformats.org/officeDocument/2006/relationships/hyperlink" Target="https://ukraine-elections.com.ua/en/socopros/opinion_poll_show/2081" TargetMode="External"/><Relationship Id="rId643" Type="http://schemas.openxmlformats.org/officeDocument/2006/relationships/hyperlink" Target="https://ukraine-elections.com.ua/en/socopros/opinion_poll_show/2081" TargetMode="External"/><Relationship Id="rId649" Type="http://schemas.openxmlformats.org/officeDocument/2006/relationships/hyperlink" Target="https://ukraine-elections.com.ua/en/socopros/opinion_poll_show/2080" TargetMode="External"/><Relationship Id="rId648" Type="http://schemas.openxmlformats.org/officeDocument/2006/relationships/hyperlink" Target="https://ukraine-elections.com.ua/en/socopros/opinion_poll_show/2080" TargetMode="External"/><Relationship Id="rId647" Type="http://schemas.openxmlformats.org/officeDocument/2006/relationships/hyperlink" Target="https://ukraine-elections.com.ua/en/socopros/opinion_poll_show/2080" TargetMode="External"/><Relationship Id="rId1470" Type="http://schemas.openxmlformats.org/officeDocument/2006/relationships/hyperlink" Target="https://ukraine-elections.com.ua/en/socopros/opinion_poll_show/1942" TargetMode="External"/><Relationship Id="rId1471" Type="http://schemas.openxmlformats.org/officeDocument/2006/relationships/hyperlink" Target="https://ukraine-elections.com.ua/en/socopros/opinion_poll_show/1942" TargetMode="External"/><Relationship Id="rId1472" Type="http://schemas.openxmlformats.org/officeDocument/2006/relationships/hyperlink" Target="https://ukraine-elections.com.ua/en/socopros/opinion_poll_show/1942" TargetMode="External"/><Relationship Id="rId642" Type="http://schemas.openxmlformats.org/officeDocument/2006/relationships/hyperlink" Target="https://ukraine-elections.com.ua/en/socopros/opinion_poll_show/2081" TargetMode="External"/><Relationship Id="rId1473" Type="http://schemas.openxmlformats.org/officeDocument/2006/relationships/hyperlink" Target="https://ukraine-elections.com.ua/en/socopros/opinion_poll_show/1942" TargetMode="External"/><Relationship Id="rId641" Type="http://schemas.openxmlformats.org/officeDocument/2006/relationships/hyperlink" Target="https://ukraine-elections.com.ua/en/socopros/opinion_poll_show/2081" TargetMode="External"/><Relationship Id="rId1474" Type="http://schemas.openxmlformats.org/officeDocument/2006/relationships/hyperlink" Target="https://ukraine-elections.com.ua/en/socopros/opinion_poll_show/1942" TargetMode="External"/><Relationship Id="rId640" Type="http://schemas.openxmlformats.org/officeDocument/2006/relationships/hyperlink" Target="https://ukraine-elections.com.ua/en/socopros/opinion_poll_show/2081" TargetMode="External"/><Relationship Id="rId1475" Type="http://schemas.openxmlformats.org/officeDocument/2006/relationships/hyperlink" Target="https://ukraine-elections.com.ua/en/socopros/opinion_poll_show/1942" TargetMode="External"/><Relationship Id="rId1476" Type="http://schemas.openxmlformats.org/officeDocument/2006/relationships/hyperlink" Target="https://ukraine-elections.com.ua/en/socopros/opinion_poll_show/1942" TargetMode="External"/><Relationship Id="rId1466" Type="http://schemas.openxmlformats.org/officeDocument/2006/relationships/hyperlink" Target="https://ukraine-elections.com.ua/en/socopros/opinion_poll_show/1942" TargetMode="External"/><Relationship Id="rId1467" Type="http://schemas.openxmlformats.org/officeDocument/2006/relationships/hyperlink" Target="https://ukraine-elections.com.ua/en/socopros/opinion_poll_show/1942" TargetMode="External"/><Relationship Id="rId1468" Type="http://schemas.openxmlformats.org/officeDocument/2006/relationships/hyperlink" Target="https://ukraine-elections.com.ua/en/socopros/opinion_poll_show/1942" TargetMode="External"/><Relationship Id="rId1469" Type="http://schemas.openxmlformats.org/officeDocument/2006/relationships/hyperlink" Target="https://ukraine-elections.com.ua/en/socopros/opinion_poll_show/1942" TargetMode="External"/><Relationship Id="rId635" Type="http://schemas.openxmlformats.org/officeDocument/2006/relationships/hyperlink" Target="https://ukraine-elections.com.ua/en/socopros/opinion_poll_show/2081" TargetMode="External"/><Relationship Id="rId634" Type="http://schemas.openxmlformats.org/officeDocument/2006/relationships/hyperlink" Target="https://ukraine-elections.com.ua/en/socopros/opinion_poll_show/2105" TargetMode="External"/><Relationship Id="rId633" Type="http://schemas.openxmlformats.org/officeDocument/2006/relationships/hyperlink" Target="https://ukraine-elections.com.ua/en/socopros/opinion_poll_show/2105" TargetMode="External"/><Relationship Id="rId632" Type="http://schemas.openxmlformats.org/officeDocument/2006/relationships/hyperlink" Target="https://ukraine-elections.com.ua/en/socopros/opinion_poll_show/2105" TargetMode="External"/><Relationship Id="rId639" Type="http://schemas.openxmlformats.org/officeDocument/2006/relationships/hyperlink" Target="https://ukraine-elections.com.ua/en/socopros/opinion_poll_show/2081" TargetMode="External"/><Relationship Id="rId638" Type="http://schemas.openxmlformats.org/officeDocument/2006/relationships/hyperlink" Target="https://ukraine-elections.com.ua/en/socopros/opinion_poll_show/2081" TargetMode="External"/><Relationship Id="rId637" Type="http://schemas.openxmlformats.org/officeDocument/2006/relationships/hyperlink" Target="https://ukraine-elections.com.ua/en/socopros/opinion_poll_show/2081" TargetMode="External"/><Relationship Id="rId636" Type="http://schemas.openxmlformats.org/officeDocument/2006/relationships/hyperlink" Target="https://ukraine-elections.com.ua/en/socopros/opinion_poll_show/2081" TargetMode="External"/><Relationship Id="rId1460" Type="http://schemas.openxmlformats.org/officeDocument/2006/relationships/hyperlink" Target="https://ukraine-elections.com.ua/en/socopros/opinion_poll_show/1946" TargetMode="External"/><Relationship Id="rId1461" Type="http://schemas.openxmlformats.org/officeDocument/2006/relationships/hyperlink" Target="https://ukraine-elections.com.ua/en/socopros/opinion_poll_show/1946" TargetMode="External"/><Relationship Id="rId631" Type="http://schemas.openxmlformats.org/officeDocument/2006/relationships/hyperlink" Target="https://ukraine-elections.com.ua/en/socopros/opinion_poll_show/2105" TargetMode="External"/><Relationship Id="rId1462" Type="http://schemas.openxmlformats.org/officeDocument/2006/relationships/hyperlink" Target="https://ukraine-elections.com.ua/en/socopros/opinion_poll_show/1946" TargetMode="External"/><Relationship Id="rId630" Type="http://schemas.openxmlformats.org/officeDocument/2006/relationships/hyperlink" Target="https://ukraine-elections.com.ua/en/socopros/opinion_poll_show/2105" TargetMode="External"/><Relationship Id="rId1463" Type="http://schemas.openxmlformats.org/officeDocument/2006/relationships/hyperlink" Target="https://ukraine-elections.com.ua/en/socopros/opinion_poll_show/1946" TargetMode="External"/><Relationship Id="rId1464" Type="http://schemas.openxmlformats.org/officeDocument/2006/relationships/hyperlink" Target="https://ukraine-elections.com.ua/en/socopros/opinion_poll_show/1946" TargetMode="External"/><Relationship Id="rId1465" Type="http://schemas.openxmlformats.org/officeDocument/2006/relationships/hyperlink" Target="https://ukraine-elections.com.ua/en/socopros/opinion_poll_show/1942" TargetMode="External"/><Relationship Id="rId1411" Type="http://schemas.openxmlformats.org/officeDocument/2006/relationships/hyperlink" Target="https://ukraine-elections.com.ua/en/socopros/opinion_poll_show/1958" TargetMode="External"/><Relationship Id="rId1895" Type="http://schemas.openxmlformats.org/officeDocument/2006/relationships/hyperlink" Target="https://ukraine-elections.com.ua/en/socopros/opinion_poll_show/1863" TargetMode="External"/><Relationship Id="rId1412" Type="http://schemas.openxmlformats.org/officeDocument/2006/relationships/hyperlink" Target="https://ukraine-elections.com.ua/en/socopros/opinion_poll_show/1958" TargetMode="External"/><Relationship Id="rId1896" Type="http://schemas.openxmlformats.org/officeDocument/2006/relationships/hyperlink" Target="https://ukraine-elections.com.ua/en/socopros/opinion_poll_show/1863" TargetMode="External"/><Relationship Id="rId1413" Type="http://schemas.openxmlformats.org/officeDocument/2006/relationships/hyperlink" Target="https://ukraine-elections.com.ua/en/socopros/opinion_poll_show/1958" TargetMode="External"/><Relationship Id="rId1897" Type="http://schemas.openxmlformats.org/officeDocument/2006/relationships/hyperlink" Target="https://ukraine-elections.com.ua/en/socopros/opinion_poll_show/1863" TargetMode="External"/><Relationship Id="rId1414" Type="http://schemas.openxmlformats.org/officeDocument/2006/relationships/hyperlink" Target="https://ukraine-elections.com.ua/en/socopros/opinion_poll_show/1958" TargetMode="External"/><Relationship Id="rId1898" Type="http://schemas.openxmlformats.org/officeDocument/2006/relationships/hyperlink" Target="https://ukraine-elections.com.ua/en/socopros/opinion_poll_show/1863" TargetMode="External"/><Relationship Id="rId1415" Type="http://schemas.openxmlformats.org/officeDocument/2006/relationships/hyperlink" Target="https://ukraine-elections.com.ua/en/socopros/opinion_poll_show/1958" TargetMode="External"/><Relationship Id="rId1899" Type="http://schemas.openxmlformats.org/officeDocument/2006/relationships/hyperlink" Target="https://ukraine-elections.com.ua/en/socopros/opinion_poll_show/1863" TargetMode="External"/><Relationship Id="rId1416" Type="http://schemas.openxmlformats.org/officeDocument/2006/relationships/hyperlink" Target="https://ukraine-elections.com.ua/en/socopros/opinion_poll_show/1958" TargetMode="External"/><Relationship Id="rId1417" Type="http://schemas.openxmlformats.org/officeDocument/2006/relationships/hyperlink" Target="https://ukraine-elections.com.ua/en/socopros/opinion_poll_show/1956" TargetMode="External"/><Relationship Id="rId1418" Type="http://schemas.openxmlformats.org/officeDocument/2006/relationships/hyperlink" Target="https://ukraine-elections.com.ua/en/socopros/opinion_poll_show/1956" TargetMode="External"/><Relationship Id="rId1419" Type="http://schemas.openxmlformats.org/officeDocument/2006/relationships/hyperlink" Target="https://ukraine-elections.com.ua/en/socopros/opinion_poll_show/1956" TargetMode="External"/><Relationship Id="rId1890" Type="http://schemas.openxmlformats.org/officeDocument/2006/relationships/hyperlink" Target="https://ukraine-elections.com.ua/en/socopros/opinion_poll_show/1864" TargetMode="External"/><Relationship Id="rId1891" Type="http://schemas.openxmlformats.org/officeDocument/2006/relationships/hyperlink" Target="https://ukraine-elections.com.ua/en/socopros/opinion_poll_show/1863" TargetMode="External"/><Relationship Id="rId1892" Type="http://schemas.openxmlformats.org/officeDocument/2006/relationships/hyperlink" Target="https://ukraine-elections.com.ua/en/socopros/opinion_poll_show/1863" TargetMode="External"/><Relationship Id="rId1893" Type="http://schemas.openxmlformats.org/officeDocument/2006/relationships/hyperlink" Target="https://ukraine-elections.com.ua/en/socopros/opinion_poll_show/1863" TargetMode="External"/><Relationship Id="rId1410" Type="http://schemas.openxmlformats.org/officeDocument/2006/relationships/hyperlink" Target="https://ukraine-elections.com.ua/en/socopros/opinion_poll_show/1958" TargetMode="External"/><Relationship Id="rId1894" Type="http://schemas.openxmlformats.org/officeDocument/2006/relationships/hyperlink" Target="https://ukraine-elections.com.ua/en/socopros/opinion_poll_show/1863" TargetMode="External"/><Relationship Id="rId1400" Type="http://schemas.openxmlformats.org/officeDocument/2006/relationships/hyperlink" Target="https://ukraine-elections.com.ua/en/socopros/opinion_poll_show/1959" TargetMode="External"/><Relationship Id="rId1884" Type="http://schemas.openxmlformats.org/officeDocument/2006/relationships/hyperlink" Target="https://ukraine-elections.com.ua/en/socopros/opinion_poll_show/1864" TargetMode="External"/><Relationship Id="rId1401" Type="http://schemas.openxmlformats.org/officeDocument/2006/relationships/hyperlink" Target="https://ukraine-elections.com.ua/en/socopros/opinion_poll_show/1959" TargetMode="External"/><Relationship Id="rId1885" Type="http://schemas.openxmlformats.org/officeDocument/2006/relationships/hyperlink" Target="https://ukraine-elections.com.ua/en/socopros/opinion_poll_show/1864" TargetMode="External"/><Relationship Id="rId1402" Type="http://schemas.openxmlformats.org/officeDocument/2006/relationships/hyperlink" Target="https://ukraine-elections.com.ua/en/socopros/opinion_poll_show/1959" TargetMode="External"/><Relationship Id="rId1886" Type="http://schemas.openxmlformats.org/officeDocument/2006/relationships/hyperlink" Target="https://ukraine-elections.com.ua/en/socopros/opinion_poll_show/1864" TargetMode="External"/><Relationship Id="rId1403" Type="http://schemas.openxmlformats.org/officeDocument/2006/relationships/hyperlink" Target="https://ukraine-elections.com.ua/en/socopros/opinion_poll_show/1959" TargetMode="External"/><Relationship Id="rId1887" Type="http://schemas.openxmlformats.org/officeDocument/2006/relationships/hyperlink" Target="https://ukraine-elections.com.ua/en/socopros/opinion_poll_show/1864" TargetMode="External"/><Relationship Id="rId1404" Type="http://schemas.openxmlformats.org/officeDocument/2006/relationships/hyperlink" Target="https://ukraine-elections.com.ua/en/socopros/opinion_poll_show/1959" TargetMode="External"/><Relationship Id="rId1888" Type="http://schemas.openxmlformats.org/officeDocument/2006/relationships/hyperlink" Target="https://ukraine-elections.com.ua/en/socopros/opinion_poll_show/1864" TargetMode="External"/><Relationship Id="rId1405" Type="http://schemas.openxmlformats.org/officeDocument/2006/relationships/hyperlink" Target="https://ukraine-elections.com.ua/en/socopros/opinion_poll_show/1959" TargetMode="External"/><Relationship Id="rId1889" Type="http://schemas.openxmlformats.org/officeDocument/2006/relationships/hyperlink" Target="https://ukraine-elections.com.ua/en/socopros/opinion_poll_show/1864" TargetMode="External"/><Relationship Id="rId1406" Type="http://schemas.openxmlformats.org/officeDocument/2006/relationships/hyperlink" Target="https://ukraine-elections.com.ua/en/socopros/opinion_poll_show/1959" TargetMode="External"/><Relationship Id="rId1407" Type="http://schemas.openxmlformats.org/officeDocument/2006/relationships/hyperlink" Target="https://ukraine-elections.com.ua/en/socopros/opinion_poll_show/1958" TargetMode="External"/><Relationship Id="rId1408" Type="http://schemas.openxmlformats.org/officeDocument/2006/relationships/hyperlink" Target="https://ukraine-elections.com.ua/en/socopros/opinion_poll_show/1958" TargetMode="External"/><Relationship Id="rId1409" Type="http://schemas.openxmlformats.org/officeDocument/2006/relationships/hyperlink" Target="https://ukraine-elections.com.ua/en/socopros/opinion_poll_show/1958" TargetMode="External"/><Relationship Id="rId1880" Type="http://schemas.openxmlformats.org/officeDocument/2006/relationships/hyperlink" Target="https://ukraine-elections.com.ua/en/socopros/opinion_poll_show/1864" TargetMode="External"/><Relationship Id="rId1881" Type="http://schemas.openxmlformats.org/officeDocument/2006/relationships/hyperlink" Target="https://ukraine-elections.com.ua/en/socopros/opinion_poll_show/1864" TargetMode="External"/><Relationship Id="rId1882" Type="http://schemas.openxmlformats.org/officeDocument/2006/relationships/hyperlink" Target="https://ukraine-elections.com.ua/en/socopros/opinion_poll_show/1864" TargetMode="External"/><Relationship Id="rId1883" Type="http://schemas.openxmlformats.org/officeDocument/2006/relationships/hyperlink" Target="https://ukraine-elections.com.ua/en/socopros/opinion_poll_show/1864" TargetMode="External"/><Relationship Id="rId1433" Type="http://schemas.openxmlformats.org/officeDocument/2006/relationships/hyperlink" Target="https://ukraine-elections.com.ua/en/socopros/opinion_poll_show/1951" TargetMode="External"/><Relationship Id="rId1434" Type="http://schemas.openxmlformats.org/officeDocument/2006/relationships/hyperlink" Target="https://ukraine-elections.com.ua/en/socopros/opinion_poll_show/1951" TargetMode="External"/><Relationship Id="rId1435" Type="http://schemas.openxmlformats.org/officeDocument/2006/relationships/hyperlink" Target="https://ukraine-elections.com.ua/en/socopros/opinion_poll_show/1951" TargetMode="External"/><Relationship Id="rId1436" Type="http://schemas.openxmlformats.org/officeDocument/2006/relationships/hyperlink" Target="https://ukraine-elections.com.ua/en/socopros/opinion_poll_show/1951" TargetMode="External"/><Relationship Id="rId1437" Type="http://schemas.openxmlformats.org/officeDocument/2006/relationships/hyperlink" Target="https://ukraine-elections.com.ua/en/socopros/opinion_poll_show/1951" TargetMode="External"/><Relationship Id="rId1438" Type="http://schemas.openxmlformats.org/officeDocument/2006/relationships/hyperlink" Target="https://ukraine-elections.com.ua/en/socopros/opinion_poll_show/1951" TargetMode="External"/><Relationship Id="rId1439" Type="http://schemas.openxmlformats.org/officeDocument/2006/relationships/hyperlink" Target="https://ukraine-elections.com.ua/en/socopros/opinion_poll_show/1951" TargetMode="External"/><Relationship Id="rId609" Type="http://schemas.openxmlformats.org/officeDocument/2006/relationships/hyperlink" Target="https://ukraine-elections.com.ua/en/socopros/opinion_poll_show/2104" TargetMode="External"/><Relationship Id="rId608" Type="http://schemas.openxmlformats.org/officeDocument/2006/relationships/hyperlink" Target="https://ukraine-elections.com.ua/en/socopros/opinion_poll_show/2104" TargetMode="External"/><Relationship Id="rId607" Type="http://schemas.openxmlformats.org/officeDocument/2006/relationships/hyperlink" Target="https://ukraine-elections.com.ua/en/socopros/opinion_poll_show/2104" TargetMode="External"/><Relationship Id="rId602" Type="http://schemas.openxmlformats.org/officeDocument/2006/relationships/hyperlink" Target="https://ukraine-elections.com.ua/en/socopros/opinion_poll_show/2083" TargetMode="External"/><Relationship Id="rId601" Type="http://schemas.openxmlformats.org/officeDocument/2006/relationships/hyperlink" Target="https://ukraine-elections.com.ua/en/socopros/opinion_poll_show/2083" TargetMode="External"/><Relationship Id="rId600" Type="http://schemas.openxmlformats.org/officeDocument/2006/relationships/hyperlink" Target="https://ukraine-elections.com.ua/en/socopros/opinion_poll_show/2083" TargetMode="External"/><Relationship Id="rId606" Type="http://schemas.openxmlformats.org/officeDocument/2006/relationships/hyperlink" Target="https://ukraine-elections.com.ua/en/socopros/opinion_poll_show/2083" TargetMode="External"/><Relationship Id="rId605" Type="http://schemas.openxmlformats.org/officeDocument/2006/relationships/hyperlink" Target="https://ukraine-elections.com.ua/en/socopros/opinion_poll_show/2083" TargetMode="External"/><Relationship Id="rId604" Type="http://schemas.openxmlformats.org/officeDocument/2006/relationships/hyperlink" Target="https://ukraine-elections.com.ua/en/socopros/opinion_poll_show/2083" TargetMode="External"/><Relationship Id="rId603" Type="http://schemas.openxmlformats.org/officeDocument/2006/relationships/hyperlink" Target="https://ukraine-elections.com.ua/en/socopros/opinion_poll_show/2083" TargetMode="External"/><Relationship Id="rId1430" Type="http://schemas.openxmlformats.org/officeDocument/2006/relationships/hyperlink" Target="https://ukraine-elections.com.ua/en/socopros/opinion_poll_show/1951" TargetMode="External"/><Relationship Id="rId1431" Type="http://schemas.openxmlformats.org/officeDocument/2006/relationships/hyperlink" Target="https://ukraine-elections.com.ua/en/socopros/opinion_poll_show/1951" TargetMode="External"/><Relationship Id="rId1432" Type="http://schemas.openxmlformats.org/officeDocument/2006/relationships/hyperlink" Target="https://ukraine-elections.com.ua/en/socopros/opinion_poll_show/1951" TargetMode="External"/><Relationship Id="rId1422" Type="http://schemas.openxmlformats.org/officeDocument/2006/relationships/hyperlink" Target="https://ukraine-elections.com.ua/en/socopros/opinion_poll_show/1956" TargetMode="External"/><Relationship Id="rId1423" Type="http://schemas.openxmlformats.org/officeDocument/2006/relationships/hyperlink" Target="https://ukraine-elections.com.ua/en/socopros/opinion_poll_show/1956" TargetMode="External"/><Relationship Id="rId1424" Type="http://schemas.openxmlformats.org/officeDocument/2006/relationships/hyperlink" Target="https://ukraine-elections.com.ua/en/socopros/opinion_poll_show/1956" TargetMode="External"/><Relationship Id="rId1425" Type="http://schemas.openxmlformats.org/officeDocument/2006/relationships/hyperlink" Target="https://ukraine-elections.com.ua/en/socopros/opinion_poll_show/1956" TargetMode="External"/><Relationship Id="rId1426" Type="http://schemas.openxmlformats.org/officeDocument/2006/relationships/hyperlink" Target="https://ukraine-elections.com.ua/en/socopros/opinion_poll_show/1956" TargetMode="External"/><Relationship Id="rId1427" Type="http://schemas.openxmlformats.org/officeDocument/2006/relationships/hyperlink" Target="https://ukraine-elections.com.ua/en/socopros/opinion_poll_show/1956" TargetMode="External"/><Relationship Id="rId1428" Type="http://schemas.openxmlformats.org/officeDocument/2006/relationships/hyperlink" Target="https://ukraine-elections.com.ua/en/socopros/opinion_poll_show/1956" TargetMode="External"/><Relationship Id="rId1429" Type="http://schemas.openxmlformats.org/officeDocument/2006/relationships/hyperlink" Target="https://ukraine-elections.com.ua/en/socopros/opinion_poll_show/1956" TargetMode="External"/><Relationship Id="rId1420" Type="http://schemas.openxmlformats.org/officeDocument/2006/relationships/hyperlink" Target="https://ukraine-elections.com.ua/en/socopros/opinion_poll_show/1956" TargetMode="External"/><Relationship Id="rId1421" Type="http://schemas.openxmlformats.org/officeDocument/2006/relationships/hyperlink" Target="https://ukraine-elections.com.ua/en/socopros/opinion_poll_show/1956" TargetMode="External"/><Relationship Id="rId1059" Type="http://schemas.openxmlformats.org/officeDocument/2006/relationships/hyperlink" Target="https://ukraine-elections.com.ua/en/socopros/opinion_poll_show/2030" TargetMode="External"/><Relationship Id="rId228" Type="http://schemas.openxmlformats.org/officeDocument/2006/relationships/hyperlink" Target="https://ukraine-elections.com.ua/en/socopros/opinion_poll_show/2191" TargetMode="External"/><Relationship Id="rId227" Type="http://schemas.openxmlformats.org/officeDocument/2006/relationships/hyperlink" Target="https://ukraine-elections.com.ua/en/socopros/opinion_poll_show/2191" TargetMode="External"/><Relationship Id="rId226" Type="http://schemas.openxmlformats.org/officeDocument/2006/relationships/hyperlink" Target="https://ukraine-elections.com.ua/en/socopros/opinion_poll_show/2192" TargetMode="External"/><Relationship Id="rId225" Type="http://schemas.openxmlformats.org/officeDocument/2006/relationships/hyperlink" Target="https://ukraine-elections.com.ua/en/socopros/opinion_poll_show/2192" TargetMode="External"/><Relationship Id="rId229" Type="http://schemas.openxmlformats.org/officeDocument/2006/relationships/hyperlink" Target="https://ukraine-elections.com.ua/en/socopros/opinion_poll_show/2191" TargetMode="External"/><Relationship Id="rId1050" Type="http://schemas.openxmlformats.org/officeDocument/2006/relationships/hyperlink" Target="https://ukraine-elections.com.ua/en/socopros/opinion_poll_show/2031" TargetMode="External"/><Relationship Id="rId220" Type="http://schemas.openxmlformats.org/officeDocument/2006/relationships/hyperlink" Target="https://ukraine-elections.com.ua/en/socopros/opinion_poll_show/2192" TargetMode="External"/><Relationship Id="rId1051" Type="http://schemas.openxmlformats.org/officeDocument/2006/relationships/hyperlink" Target="https://ukraine-elections.com.ua/en/socopros/opinion_poll_show/2031" TargetMode="External"/><Relationship Id="rId1052" Type="http://schemas.openxmlformats.org/officeDocument/2006/relationships/hyperlink" Target="https://ukraine-elections.com.ua/en/socopros/opinion_poll_show/2030" TargetMode="External"/><Relationship Id="rId1053" Type="http://schemas.openxmlformats.org/officeDocument/2006/relationships/hyperlink" Target="https://ukraine-elections.com.ua/en/socopros/opinion_poll_show/2030" TargetMode="External"/><Relationship Id="rId1054" Type="http://schemas.openxmlformats.org/officeDocument/2006/relationships/hyperlink" Target="https://ukraine-elections.com.ua/en/socopros/opinion_poll_show/2030" TargetMode="External"/><Relationship Id="rId224" Type="http://schemas.openxmlformats.org/officeDocument/2006/relationships/hyperlink" Target="https://ukraine-elections.com.ua/en/socopros/opinion_poll_show/2192" TargetMode="External"/><Relationship Id="rId1055" Type="http://schemas.openxmlformats.org/officeDocument/2006/relationships/hyperlink" Target="https://ukraine-elections.com.ua/en/socopros/opinion_poll_show/2030" TargetMode="External"/><Relationship Id="rId223" Type="http://schemas.openxmlformats.org/officeDocument/2006/relationships/hyperlink" Target="https://ukraine-elections.com.ua/en/socopros/opinion_poll_show/2192" TargetMode="External"/><Relationship Id="rId1056" Type="http://schemas.openxmlformats.org/officeDocument/2006/relationships/hyperlink" Target="https://ukraine-elections.com.ua/en/socopros/opinion_poll_show/2030" TargetMode="External"/><Relationship Id="rId222" Type="http://schemas.openxmlformats.org/officeDocument/2006/relationships/hyperlink" Target="https://ukraine-elections.com.ua/en/socopros/opinion_poll_show/2192" TargetMode="External"/><Relationship Id="rId1057" Type="http://schemas.openxmlformats.org/officeDocument/2006/relationships/hyperlink" Target="https://ukraine-elections.com.ua/en/socopros/opinion_poll_show/2030" TargetMode="External"/><Relationship Id="rId221" Type="http://schemas.openxmlformats.org/officeDocument/2006/relationships/hyperlink" Target="https://ukraine-elections.com.ua/en/socopros/opinion_poll_show/2192" TargetMode="External"/><Relationship Id="rId1058" Type="http://schemas.openxmlformats.org/officeDocument/2006/relationships/hyperlink" Target="https://ukraine-elections.com.ua/en/socopros/opinion_poll_show/2030" TargetMode="External"/><Relationship Id="rId1048" Type="http://schemas.openxmlformats.org/officeDocument/2006/relationships/hyperlink" Target="https://ukraine-elections.com.ua/en/socopros/opinion_poll_show/2031" TargetMode="External"/><Relationship Id="rId1049" Type="http://schemas.openxmlformats.org/officeDocument/2006/relationships/hyperlink" Target="https://ukraine-elections.com.ua/en/socopros/opinion_poll_show/2031" TargetMode="External"/><Relationship Id="rId217" Type="http://schemas.openxmlformats.org/officeDocument/2006/relationships/hyperlink" Target="https://ukraine-elections.com.ua/en/socopros/opinion_poll_show/2195" TargetMode="External"/><Relationship Id="rId216" Type="http://schemas.openxmlformats.org/officeDocument/2006/relationships/hyperlink" Target="https://ukraine-elections.com.ua/en/socopros/opinion_poll_show/2195" TargetMode="External"/><Relationship Id="rId215" Type="http://schemas.openxmlformats.org/officeDocument/2006/relationships/hyperlink" Target="https://ukraine-elections.com.ua/en/socopros/opinion_poll_show/2195" TargetMode="External"/><Relationship Id="rId699" Type="http://schemas.openxmlformats.org/officeDocument/2006/relationships/hyperlink" Target="https://ukraine-elections.com.ua/en/socopros/opinion_poll_show/2076" TargetMode="External"/><Relationship Id="rId214" Type="http://schemas.openxmlformats.org/officeDocument/2006/relationships/hyperlink" Target="https://ukraine-elections.com.ua/en/socopros/opinion_poll_show/2195" TargetMode="External"/><Relationship Id="rId698" Type="http://schemas.openxmlformats.org/officeDocument/2006/relationships/hyperlink" Target="https://ukraine-elections.com.ua/en/socopros/opinion_poll_show/2076" TargetMode="External"/><Relationship Id="rId219" Type="http://schemas.openxmlformats.org/officeDocument/2006/relationships/hyperlink" Target="https://ukraine-elections.com.ua/en/socopros/opinion_poll_show/2195" TargetMode="External"/><Relationship Id="rId218" Type="http://schemas.openxmlformats.org/officeDocument/2006/relationships/hyperlink" Target="https://ukraine-elections.com.ua/en/socopros/opinion_poll_show/2195" TargetMode="External"/><Relationship Id="rId693" Type="http://schemas.openxmlformats.org/officeDocument/2006/relationships/hyperlink" Target="https://ukraine-elections.com.ua/en/socopros/opinion_poll_show/2077" TargetMode="External"/><Relationship Id="rId1040" Type="http://schemas.openxmlformats.org/officeDocument/2006/relationships/hyperlink" Target="https://ukraine-elections.com.ua/en/socopros/opinion_poll_show/2032" TargetMode="External"/><Relationship Id="rId692" Type="http://schemas.openxmlformats.org/officeDocument/2006/relationships/hyperlink" Target="https://ukraine-elections.com.ua/en/socopros/opinion_poll_show/2077" TargetMode="External"/><Relationship Id="rId1041" Type="http://schemas.openxmlformats.org/officeDocument/2006/relationships/hyperlink" Target="https://ukraine-elections.com.ua/en/socopros/opinion_poll_show/2031" TargetMode="External"/><Relationship Id="rId691" Type="http://schemas.openxmlformats.org/officeDocument/2006/relationships/hyperlink" Target="https://ukraine-elections.com.ua/en/socopros/opinion_poll_show/2077" TargetMode="External"/><Relationship Id="rId1042" Type="http://schemas.openxmlformats.org/officeDocument/2006/relationships/hyperlink" Target="https://ukraine-elections.com.ua/en/socopros/opinion_poll_show/2031" TargetMode="External"/><Relationship Id="rId690" Type="http://schemas.openxmlformats.org/officeDocument/2006/relationships/hyperlink" Target="https://ukraine-elections.com.ua/en/socopros/opinion_poll_show/2077" TargetMode="External"/><Relationship Id="rId1043" Type="http://schemas.openxmlformats.org/officeDocument/2006/relationships/hyperlink" Target="https://ukraine-elections.com.ua/en/socopros/opinion_poll_show/2031" TargetMode="External"/><Relationship Id="rId213" Type="http://schemas.openxmlformats.org/officeDocument/2006/relationships/hyperlink" Target="https://ukraine-elections.com.ua/en/socopros/opinion_poll_show/2195" TargetMode="External"/><Relationship Id="rId697" Type="http://schemas.openxmlformats.org/officeDocument/2006/relationships/hyperlink" Target="https://ukraine-elections.com.ua/en/socopros/opinion_poll_show/2076" TargetMode="External"/><Relationship Id="rId1044" Type="http://schemas.openxmlformats.org/officeDocument/2006/relationships/hyperlink" Target="https://ukraine-elections.com.ua/en/socopros/opinion_poll_show/2031" TargetMode="External"/><Relationship Id="rId212" Type="http://schemas.openxmlformats.org/officeDocument/2006/relationships/hyperlink" Target="https://ukraine-elections.com.ua/en/socopros/opinion_poll_show/2195" TargetMode="External"/><Relationship Id="rId696" Type="http://schemas.openxmlformats.org/officeDocument/2006/relationships/hyperlink" Target="https://ukraine-elections.com.ua/en/socopros/opinion_poll_show/2077" TargetMode="External"/><Relationship Id="rId1045" Type="http://schemas.openxmlformats.org/officeDocument/2006/relationships/hyperlink" Target="https://ukraine-elections.com.ua/en/socopros/opinion_poll_show/2031" TargetMode="External"/><Relationship Id="rId211" Type="http://schemas.openxmlformats.org/officeDocument/2006/relationships/hyperlink" Target="https://ukraine-elections.com.ua/en/socopros/opinion_poll_show/2195" TargetMode="External"/><Relationship Id="rId695" Type="http://schemas.openxmlformats.org/officeDocument/2006/relationships/hyperlink" Target="https://ukraine-elections.com.ua/en/socopros/opinion_poll_show/2077" TargetMode="External"/><Relationship Id="rId1046" Type="http://schemas.openxmlformats.org/officeDocument/2006/relationships/hyperlink" Target="https://ukraine-elections.com.ua/en/socopros/opinion_poll_show/2031" TargetMode="External"/><Relationship Id="rId210" Type="http://schemas.openxmlformats.org/officeDocument/2006/relationships/hyperlink" Target="https://ukraine-elections.com.ua/en/socopros/opinion_poll_show/2195" TargetMode="External"/><Relationship Id="rId694" Type="http://schemas.openxmlformats.org/officeDocument/2006/relationships/hyperlink" Target="https://ukraine-elections.com.ua/en/socopros/opinion_poll_show/2077" TargetMode="External"/><Relationship Id="rId1047" Type="http://schemas.openxmlformats.org/officeDocument/2006/relationships/hyperlink" Target="https://ukraine-elections.com.ua/en/socopros/opinion_poll_show/2031" TargetMode="External"/><Relationship Id="rId249" Type="http://schemas.openxmlformats.org/officeDocument/2006/relationships/hyperlink" Target="https://ukraine-elections.com.ua/en/socopros/opinion_poll_show/2185" TargetMode="External"/><Relationship Id="rId248" Type="http://schemas.openxmlformats.org/officeDocument/2006/relationships/hyperlink" Target="https://ukraine-elections.com.ua/en/socopros/opinion_poll_show/2185" TargetMode="External"/><Relationship Id="rId247" Type="http://schemas.openxmlformats.org/officeDocument/2006/relationships/hyperlink" Target="https://ukraine-elections.com.ua/en/socopros/opinion_poll_show/2185" TargetMode="External"/><Relationship Id="rId1070" Type="http://schemas.openxmlformats.org/officeDocument/2006/relationships/hyperlink" Target="https://ukraine-elections.com.ua/en/socopros/opinion_poll_show/2028" TargetMode="External"/><Relationship Id="rId1071" Type="http://schemas.openxmlformats.org/officeDocument/2006/relationships/hyperlink" Target="https://ukraine-elections.com.ua/en/socopros/opinion_poll_show/2028" TargetMode="External"/><Relationship Id="rId1072" Type="http://schemas.openxmlformats.org/officeDocument/2006/relationships/hyperlink" Target="https://ukraine-elections.com.ua/en/socopros/opinion_poll_show/2028" TargetMode="External"/><Relationship Id="rId242" Type="http://schemas.openxmlformats.org/officeDocument/2006/relationships/hyperlink" Target="https://ukraine-elections.com.ua/en/socopros/opinion_poll_show/2185" TargetMode="External"/><Relationship Id="rId1073" Type="http://schemas.openxmlformats.org/officeDocument/2006/relationships/hyperlink" Target="https://ukraine-elections.com.ua/en/socopros/opinion_poll_show/2025" TargetMode="External"/><Relationship Id="rId241" Type="http://schemas.openxmlformats.org/officeDocument/2006/relationships/hyperlink" Target="https://ukraine-elections.com.ua/en/socopros/opinion_poll_show/2185" TargetMode="External"/><Relationship Id="rId1074" Type="http://schemas.openxmlformats.org/officeDocument/2006/relationships/hyperlink" Target="https://ukraine-elections.com.ua/en/socopros/opinion_poll_show/2025" TargetMode="External"/><Relationship Id="rId240" Type="http://schemas.openxmlformats.org/officeDocument/2006/relationships/hyperlink" Target="https://ukraine-elections.com.ua/en/socopros/opinion_poll_show/2185" TargetMode="External"/><Relationship Id="rId1075" Type="http://schemas.openxmlformats.org/officeDocument/2006/relationships/hyperlink" Target="https://ukraine-elections.com.ua/en/socopros/opinion_poll_show/2025" TargetMode="External"/><Relationship Id="rId1076" Type="http://schemas.openxmlformats.org/officeDocument/2006/relationships/hyperlink" Target="https://ukraine-elections.com.ua/en/socopros/opinion_poll_show/2025" TargetMode="External"/><Relationship Id="rId246" Type="http://schemas.openxmlformats.org/officeDocument/2006/relationships/hyperlink" Target="https://ukraine-elections.com.ua/en/socopros/opinion_poll_show/2185" TargetMode="External"/><Relationship Id="rId1077" Type="http://schemas.openxmlformats.org/officeDocument/2006/relationships/hyperlink" Target="https://ukraine-elections.com.ua/en/socopros/opinion_poll_show/2025" TargetMode="External"/><Relationship Id="rId245" Type="http://schemas.openxmlformats.org/officeDocument/2006/relationships/hyperlink" Target="https://ukraine-elections.com.ua/en/socopros/opinion_poll_show/2185" TargetMode="External"/><Relationship Id="rId1078" Type="http://schemas.openxmlformats.org/officeDocument/2006/relationships/hyperlink" Target="https://ukraine-elections.com.ua/en/socopros/opinion_poll_show/2025" TargetMode="External"/><Relationship Id="rId244" Type="http://schemas.openxmlformats.org/officeDocument/2006/relationships/hyperlink" Target="https://ukraine-elections.com.ua/en/socopros/opinion_poll_show/2185" TargetMode="External"/><Relationship Id="rId1079" Type="http://schemas.openxmlformats.org/officeDocument/2006/relationships/hyperlink" Target="https://ukraine-elections.com.ua/en/socopros/opinion_poll_show/2025" TargetMode="External"/><Relationship Id="rId243" Type="http://schemas.openxmlformats.org/officeDocument/2006/relationships/hyperlink" Target="https://ukraine-elections.com.ua/en/socopros/opinion_poll_show/2185" TargetMode="External"/><Relationship Id="rId239" Type="http://schemas.openxmlformats.org/officeDocument/2006/relationships/hyperlink" Target="https://ukraine-elections.com.ua/en/socopros/opinion_poll_show/2185" TargetMode="External"/><Relationship Id="rId238" Type="http://schemas.openxmlformats.org/officeDocument/2006/relationships/hyperlink" Target="https://ukraine-elections.com.ua/en/socopros/opinion_poll_show/2185" TargetMode="External"/><Relationship Id="rId237" Type="http://schemas.openxmlformats.org/officeDocument/2006/relationships/hyperlink" Target="https://ukraine-elections.com.ua/en/socopros/opinion_poll_show/2185" TargetMode="External"/><Relationship Id="rId236" Type="http://schemas.openxmlformats.org/officeDocument/2006/relationships/hyperlink" Target="https://ukraine-elections.com.ua/en/socopros/opinion_poll_show/2191" TargetMode="External"/><Relationship Id="rId1060" Type="http://schemas.openxmlformats.org/officeDocument/2006/relationships/hyperlink" Target="https://ukraine-elections.com.ua/en/socopros/opinion_poll_show/2030" TargetMode="External"/><Relationship Id="rId1061" Type="http://schemas.openxmlformats.org/officeDocument/2006/relationships/hyperlink" Target="https://ukraine-elections.com.ua/en/socopros/opinion_poll_show/2030" TargetMode="External"/><Relationship Id="rId231" Type="http://schemas.openxmlformats.org/officeDocument/2006/relationships/hyperlink" Target="https://ukraine-elections.com.ua/en/socopros/opinion_poll_show/2191" TargetMode="External"/><Relationship Id="rId1062" Type="http://schemas.openxmlformats.org/officeDocument/2006/relationships/hyperlink" Target="https://ukraine-elections.com.ua/en/socopros/opinion_poll_show/2030" TargetMode="External"/><Relationship Id="rId230" Type="http://schemas.openxmlformats.org/officeDocument/2006/relationships/hyperlink" Target="https://ukraine-elections.com.ua/en/socopros/opinion_poll_show/2191" TargetMode="External"/><Relationship Id="rId1063" Type="http://schemas.openxmlformats.org/officeDocument/2006/relationships/hyperlink" Target="https://ukraine-elections.com.ua/en/socopros/opinion_poll_show/2028" TargetMode="External"/><Relationship Id="rId1064" Type="http://schemas.openxmlformats.org/officeDocument/2006/relationships/hyperlink" Target="https://ukraine-elections.com.ua/en/socopros/opinion_poll_show/2028" TargetMode="External"/><Relationship Id="rId1065" Type="http://schemas.openxmlformats.org/officeDocument/2006/relationships/hyperlink" Target="https://ukraine-elections.com.ua/en/socopros/opinion_poll_show/2028" TargetMode="External"/><Relationship Id="rId235" Type="http://schemas.openxmlformats.org/officeDocument/2006/relationships/hyperlink" Target="https://ukraine-elections.com.ua/en/socopros/opinion_poll_show/2191" TargetMode="External"/><Relationship Id="rId1066" Type="http://schemas.openxmlformats.org/officeDocument/2006/relationships/hyperlink" Target="https://ukraine-elections.com.ua/en/socopros/opinion_poll_show/2028" TargetMode="External"/><Relationship Id="rId234" Type="http://schemas.openxmlformats.org/officeDocument/2006/relationships/hyperlink" Target="https://ukraine-elections.com.ua/en/socopros/opinion_poll_show/2191" TargetMode="External"/><Relationship Id="rId1067" Type="http://schemas.openxmlformats.org/officeDocument/2006/relationships/hyperlink" Target="https://ukraine-elections.com.ua/en/socopros/opinion_poll_show/2028" TargetMode="External"/><Relationship Id="rId233" Type="http://schemas.openxmlformats.org/officeDocument/2006/relationships/hyperlink" Target="https://ukraine-elections.com.ua/en/socopros/opinion_poll_show/2191" TargetMode="External"/><Relationship Id="rId1068" Type="http://schemas.openxmlformats.org/officeDocument/2006/relationships/hyperlink" Target="https://ukraine-elections.com.ua/en/socopros/opinion_poll_show/2028" TargetMode="External"/><Relationship Id="rId232" Type="http://schemas.openxmlformats.org/officeDocument/2006/relationships/hyperlink" Target="https://ukraine-elections.com.ua/en/socopros/opinion_poll_show/2191" TargetMode="External"/><Relationship Id="rId1069" Type="http://schemas.openxmlformats.org/officeDocument/2006/relationships/hyperlink" Target="https://ukraine-elections.com.ua/en/socopros/opinion_poll_show/2028" TargetMode="External"/><Relationship Id="rId1015" Type="http://schemas.openxmlformats.org/officeDocument/2006/relationships/hyperlink" Target="https://ukraine-elections.com.ua/en/socopros/opinion_poll_show/2033" TargetMode="External"/><Relationship Id="rId1499" Type="http://schemas.openxmlformats.org/officeDocument/2006/relationships/hyperlink" Target="https://ukraine-elections.com.ua/en/socopros/opinion_poll_show/1934" TargetMode="External"/><Relationship Id="rId1016" Type="http://schemas.openxmlformats.org/officeDocument/2006/relationships/hyperlink" Target="https://ukraine-elections.com.ua/en/socopros/opinion_poll_show/2033" TargetMode="External"/><Relationship Id="rId1017" Type="http://schemas.openxmlformats.org/officeDocument/2006/relationships/hyperlink" Target="https://ukraine-elections.com.ua/en/socopros/opinion_poll_show/2033" TargetMode="External"/><Relationship Id="rId1018" Type="http://schemas.openxmlformats.org/officeDocument/2006/relationships/hyperlink" Target="https://ukraine-elections.com.ua/en/socopros/opinion_poll_show/2033" TargetMode="External"/><Relationship Id="rId1019" Type="http://schemas.openxmlformats.org/officeDocument/2006/relationships/hyperlink" Target="https://ukraine-elections.com.ua/en/socopros/opinion_poll_show/2033" TargetMode="External"/><Relationship Id="rId668" Type="http://schemas.openxmlformats.org/officeDocument/2006/relationships/hyperlink" Target="https://ukraine-elections.com.ua/en/socopros/opinion_poll_show/2079" TargetMode="External"/><Relationship Id="rId667" Type="http://schemas.openxmlformats.org/officeDocument/2006/relationships/hyperlink" Target="https://ukraine-elections.com.ua/en/socopros/opinion_poll_show/2079" TargetMode="External"/><Relationship Id="rId666" Type="http://schemas.openxmlformats.org/officeDocument/2006/relationships/hyperlink" Target="https://ukraine-elections.com.ua/en/socopros/opinion_poll_show/2079" TargetMode="External"/><Relationship Id="rId665" Type="http://schemas.openxmlformats.org/officeDocument/2006/relationships/hyperlink" Target="https://ukraine-elections.com.ua/en/socopros/opinion_poll_show/2079" TargetMode="External"/><Relationship Id="rId669" Type="http://schemas.openxmlformats.org/officeDocument/2006/relationships/hyperlink" Target="https://ukraine-elections.com.ua/en/socopros/opinion_poll_show/2079" TargetMode="External"/><Relationship Id="rId1490" Type="http://schemas.openxmlformats.org/officeDocument/2006/relationships/hyperlink" Target="https://ukraine-elections.com.ua/en/socopros/opinion_poll_show/1934" TargetMode="External"/><Relationship Id="rId660" Type="http://schemas.openxmlformats.org/officeDocument/2006/relationships/hyperlink" Target="https://ukraine-elections.com.ua/en/socopros/opinion_poll_show/2106" TargetMode="External"/><Relationship Id="rId1491" Type="http://schemas.openxmlformats.org/officeDocument/2006/relationships/hyperlink" Target="https://ukraine-elections.com.ua/en/socopros/opinion_poll_show/1934" TargetMode="External"/><Relationship Id="rId1492" Type="http://schemas.openxmlformats.org/officeDocument/2006/relationships/hyperlink" Target="https://ukraine-elections.com.ua/en/socopros/opinion_poll_show/1934" TargetMode="External"/><Relationship Id="rId1493" Type="http://schemas.openxmlformats.org/officeDocument/2006/relationships/hyperlink" Target="https://ukraine-elections.com.ua/en/socopros/opinion_poll_show/1934" TargetMode="External"/><Relationship Id="rId1010" Type="http://schemas.openxmlformats.org/officeDocument/2006/relationships/hyperlink" Target="https://ukraine-elections.com.ua/en/socopros/opinion_poll_show/2034" TargetMode="External"/><Relationship Id="rId1494" Type="http://schemas.openxmlformats.org/officeDocument/2006/relationships/hyperlink" Target="https://ukraine-elections.com.ua/en/socopros/opinion_poll_show/1934" TargetMode="External"/><Relationship Id="rId664" Type="http://schemas.openxmlformats.org/officeDocument/2006/relationships/hyperlink" Target="https://ukraine-elections.com.ua/en/socopros/opinion_poll_show/2079" TargetMode="External"/><Relationship Id="rId1011" Type="http://schemas.openxmlformats.org/officeDocument/2006/relationships/hyperlink" Target="https://ukraine-elections.com.ua/en/socopros/opinion_poll_show/2034" TargetMode="External"/><Relationship Id="rId1495" Type="http://schemas.openxmlformats.org/officeDocument/2006/relationships/hyperlink" Target="https://ukraine-elections.com.ua/en/socopros/opinion_poll_show/1934" TargetMode="External"/><Relationship Id="rId663" Type="http://schemas.openxmlformats.org/officeDocument/2006/relationships/hyperlink" Target="https://ukraine-elections.com.ua/en/socopros/opinion_poll_show/2106" TargetMode="External"/><Relationship Id="rId1012" Type="http://schemas.openxmlformats.org/officeDocument/2006/relationships/hyperlink" Target="https://ukraine-elections.com.ua/en/socopros/opinion_poll_show/2034" TargetMode="External"/><Relationship Id="rId1496" Type="http://schemas.openxmlformats.org/officeDocument/2006/relationships/hyperlink" Target="https://ukraine-elections.com.ua/en/socopros/opinion_poll_show/1934" TargetMode="External"/><Relationship Id="rId662" Type="http://schemas.openxmlformats.org/officeDocument/2006/relationships/hyperlink" Target="https://ukraine-elections.com.ua/en/socopros/opinion_poll_show/2106" TargetMode="External"/><Relationship Id="rId1013" Type="http://schemas.openxmlformats.org/officeDocument/2006/relationships/hyperlink" Target="https://ukraine-elections.com.ua/en/socopros/opinion_poll_show/2034" TargetMode="External"/><Relationship Id="rId1497" Type="http://schemas.openxmlformats.org/officeDocument/2006/relationships/hyperlink" Target="https://ukraine-elections.com.ua/en/socopros/opinion_poll_show/1934" TargetMode="External"/><Relationship Id="rId661" Type="http://schemas.openxmlformats.org/officeDocument/2006/relationships/hyperlink" Target="https://ukraine-elections.com.ua/en/socopros/opinion_poll_show/2106" TargetMode="External"/><Relationship Id="rId1014" Type="http://schemas.openxmlformats.org/officeDocument/2006/relationships/hyperlink" Target="https://ukraine-elections.com.ua/en/socopros/opinion_poll_show/2034" TargetMode="External"/><Relationship Id="rId1498" Type="http://schemas.openxmlformats.org/officeDocument/2006/relationships/hyperlink" Target="https://ukraine-elections.com.ua/en/socopros/opinion_poll_show/1934" TargetMode="External"/><Relationship Id="rId1004" Type="http://schemas.openxmlformats.org/officeDocument/2006/relationships/hyperlink" Target="https://ukraine-elections.com.ua/en/socopros/opinion_poll_show/2034" TargetMode="External"/><Relationship Id="rId1488" Type="http://schemas.openxmlformats.org/officeDocument/2006/relationships/hyperlink" Target="https://ukraine-elections.com.ua/en/socopros/opinion_poll_show/1937" TargetMode="External"/><Relationship Id="rId1005" Type="http://schemas.openxmlformats.org/officeDocument/2006/relationships/hyperlink" Target="https://ukraine-elections.com.ua/en/socopros/opinion_poll_show/2034" TargetMode="External"/><Relationship Id="rId1489" Type="http://schemas.openxmlformats.org/officeDocument/2006/relationships/hyperlink" Target="https://ukraine-elections.com.ua/en/socopros/opinion_poll_show/1937" TargetMode="External"/><Relationship Id="rId1006" Type="http://schemas.openxmlformats.org/officeDocument/2006/relationships/hyperlink" Target="https://ukraine-elections.com.ua/en/socopros/opinion_poll_show/2034" TargetMode="External"/><Relationship Id="rId1007" Type="http://schemas.openxmlformats.org/officeDocument/2006/relationships/hyperlink" Target="https://ukraine-elections.com.ua/en/socopros/opinion_poll_show/2034" TargetMode="External"/><Relationship Id="rId1008" Type="http://schemas.openxmlformats.org/officeDocument/2006/relationships/hyperlink" Target="https://ukraine-elections.com.ua/en/socopros/opinion_poll_show/2034" TargetMode="External"/><Relationship Id="rId1009" Type="http://schemas.openxmlformats.org/officeDocument/2006/relationships/hyperlink" Target="https://ukraine-elections.com.ua/en/socopros/opinion_poll_show/2034" TargetMode="External"/><Relationship Id="rId657" Type="http://schemas.openxmlformats.org/officeDocument/2006/relationships/hyperlink" Target="https://ukraine-elections.com.ua/en/socopros/opinion_poll_show/2106" TargetMode="External"/><Relationship Id="rId656" Type="http://schemas.openxmlformats.org/officeDocument/2006/relationships/hyperlink" Target="https://ukraine-elections.com.ua/en/socopros/opinion_poll_show/2106" TargetMode="External"/><Relationship Id="rId655" Type="http://schemas.openxmlformats.org/officeDocument/2006/relationships/hyperlink" Target="https://ukraine-elections.com.ua/en/socopros/opinion_poll_show/2106" TargetMode="External"/><Relationship Id="rId654" Type="http://schemas.openxmlformats.org/officeDocument/2006/relationships/hyperlink" Target="https://ukraine-elections.com.ua/en/socopros/opinion_poll_show/2080" TargetMode="External"/><Relationship Id="rId659" Type="http://schemas.openxmlformats.org/officeDocument/2006/relationships/hyperlink" Target="https://ukraine-elections.com.ua/en/socopros/opinion_poll_show/2106" TargetMode="External"/><Relationship Id="rId658" Type="http://schemas.openxmlformats.org/officeDocument/2006/relationships/hyperlink" Target="https://ukraine-elections.com.ua/en/socopros/opinion_poll_show/2106" TargetMode="External"/><Relationship Id="rId1480" Type="http://schemas.openxmlformats.org/officeDocument/2006/relationships/hyperlink" Target="https://ukraine-elections.com.ua/en/socopros/opinion_poll_show/1937" TargetMode="External"/><Relationship Id="rId1481" Type="http://schemas.openxmlformats.org/officeDocument/2006/relationships/hyperlink" Target="https://ukraine-elections.com.ua/en/socopros/opinion_poll_show/1937" TargetMode="External"/><Relationship Id="rId1482" Type="http://schemas.openxmlformats.org/officeDocument/2006/relationships/hyperlink" Target="https://ukraine-elections.com.ua/en/socopros/opinion_poll_show/1937" TargetMode="External"/><Relationship Id="rId1483" Type="http://schemas.openxmlformats.org/officeDocument/2006/relationships/hyperlink" Target="https://ukraine-elections.com.ua/en/socopros/opinion_poll_show/1937" TargetMode="External"/><Relationship Id="rId653" Type="http://schemas.openxmlformats.org/officeDocument/2006/relationships/hyperlink" Target="https://ukraine-elections.com.ua/en/socopros/opinion_poll_show/2080" TargetMode="External"/><Relationship Id="rId1000" Type="http://schemas.openxmlformats.org/officeDocument/2006/relationships/hyperlink" Target="https://ukraine-elections.com.ua/en/socopros/opinion_poll_show/2035" TargetMode="External"/><Relationship Id="rId1484" Type="http://schemas.openxmlformats.org/officeDocument/2006/relationships/hyperlink" Target="https://ukraine-elections.com.ua/en/socopros/opinion_poll_show/1937" TargetMode="External"/><Relationship Id="rId652" Type="http://schemas.openxmlformats.org/officeDocument/2006/relationships/hyperlink" Target="https://ukraine-elections.com.ua/en/socopros/opinion_poll_show/2080" TargetMode="External"/><Relationship Id="rId1001" Type="http://schemas.openxmlformats.org/officeDocument/2006/relationships/hyperlink" Target="https://ukraine-elections.com.ua/en/socopros/opinion_poll_show/2035" TargetMode="External"/><Relationship Id="rId1485" Type="http://schemas.openxmlformats.org/officeDocument/2006/relationships/hyperlink" Target="https://ukraine-elections.com.ua/en/socopros/opinion_poll_show/1937" TargetMode="External"/><Relationship Id="rId651" Type="http://schemas.openxmlformats.org/officeDocument/2006/relationships/hyperlink" Target="https://ukraine-elections.com.ua/en/socopros/opinion_poll_show/2080" TargetMode="External"/><Relationship Id="rId1002" Type="http://schemas.openxmlformats.org/officeDocument/2006/relationships/hyperlink" Target="https://ukraine-elections.com.ua/en/socopros/opinion_poll_show/2034" TargetMode="External"/><Relationship Id="rId1486" Type="http://schemas.openxmlformats.org/officeDocument/2006/relationships/hyperlink" Target="https://ukraine-elections.com.ua/en/socopros/opinion_poll_show/1937" TargetMode="External"/><Relationship Id="rId650" Type="http://schemas.openxmlformats.org/officeDocument/2006/relationships/hyperlink" Target="https://ukraine-elections.com.ua/en/socopros/opinion_poll_show/2080" TargetMode="External"/><Relationship Id="rId1003" Type="http://schemas.openxmlformats.org/officeDocument/2006/relationships/hyperlink" Target="https://ukraine-elections.com.ua/en/socopros/opinion_poll_show/2034" TargetMode="External"/><Relationship Id="rId1487" Type="http://schemas.openxmlformats.org/officeDocument/2006/relationships/hyperlink" Target="https://ukraine-elections.com.ua/en/socopros/opinion_poll_show/1937" TargetMode="External"/><Relationship Id="rId1037" Type="http://schemas.openxmlformats.org/officeDocument/2006/relationships/hyperlink" Target="https://ukraine-elections.com.ua/en/socopros/opinion_poll_show/2032" TargetMode="External"/><Relationship Id="rId1038" Type="http://schemas.openxmlformats.org/officeDocument/2006/relationships/hyperlink" Target="https://ukraine-elections.com.ua/en/socopros/opinion_poll_show/2032" TargetMode="External"/><Relationship Id="rId1039" Type="http://schemas.openxmlformats.org/officeDocument/2006/relationships/hyperlink" Target="https://ukraine-elections.com.ua/en/socopros/opinion_poll_show/2032" TargetMode="External"/><Relationship Id="rId206" Type="http://schemas.openxmlformats.org/officeDocument/2006/relationships/hyperlink" Target="https://ukraine-elections.com.ua/en/socopros/opinion_poll_show/2197" TargetMode="External"/><Relationship Id="rId205" Type="http://schemas.openxmlformats.org/officeDocument/2006/relationships/hyperlink" Target="https://ukraine-elections.com.ua/en/socopros/opinion_poll_show/2197" TargetMode="External"/><Relationship Id="rId689" Type="http://schemas.openxmlformats.org/officeDocument/2006/relationships/hyperlink" Target="https://ukraine-elections.com.ua/en/socopros/opinion_poll_show/2077" TargetMode="External"/><Relationship Id="rId204" Type="http://schemas.openxmlformats.org/officeDocument/2006/relationships/hyperlink" Target="https://ukraine-elections.com.ua/en/socopros/opinion_poll_show/2197" TargetMode="External"/><Relationship Id="rId688" Type="http://schemas.openxmlformats.org/officeDocument/2006/relationships/hyperlink" Target="https://ukraine-elections.com.ua/en/socopros/opinion_poll_show/2077" TargetMode="External"/><Relationship Id="rId203" Type="http://schemas.openxmlformats.org/officeDocument/2006/relationships/hyperlink" Target="https://ukraine-elections.com.ua/en/socopros/opinion_poll_show/2197" TargetMode="External"/><Relationship Id="rId687" Type="http://schemas.openxmlformats.org/officeDocument/2006/relationships/hyperlink" Target="https://ukraine-elections.com.ua/en/socopros/opinion_poll_show/2077" TargetMode="External"/><Relationship Id="rId209" Type="http://schemas.openxmlformats.org/officeDocument/2006/relationships/hyperlink" Target="https://ukraine-elections.com.ua/en/socopros/opinion_poll_show/2197" TargetMode="External"/><Relationship Id="rId208" Type="http://schemas.openxmlformats.org/officeDocument/2006/relationships/hyperlink" Target="https://ukraine-elections.com.ua/en/socopros/opinion_poll_show/2197" TargetMode="External"/><Relationship Id="rId207" Type="http://schemas.openxmlformats.org/officeDocument/2006/relationships/hyperlink" Target="https://ukraine-elections.com.ua/en/socopros/opinion_poll_show/2197" TargetMode="External"/><Relationship Id="rId682" Type="http://schemas.openxmlformats.org/officeDocument/2006/relationships/hyperlink" Target="https://ukraine-elections.com.ua/en/socopros/opinion_poll_show/2078" TargetMode="External"/><Relationship Id="rId681" Type="http://schemas.openxmlformats.org/officeDocument/2006/relationships/hyperlink" Target="https://ukraine-elections.com.ua/en/socopros/opinion_poll_show/2078" TargetMode="External"/><Relationship Id="rId1030" Type="http://schemas.openxmlformats.org/officeDocument/2006/relationships/hyperlink" Target="https://ukraine-elections.com.ua/en/socopros/opinion_poll_show/2032" TargetMode="External"/><Relationship Id="rId680" Type="http://schemas.openxmlformats.org/officeDocument/2006/relationships/hyperlink" Target="https://ukraine-elections.com.ua/en/socopros/opinion_poll_show/2078" TargetMode="External"/><Relationship Id="rId1031" Type="http://schemas.openxmlformats.org/officeDocument/2006/relationships/hyperlink" Target="https://ukraine-elections.com.ua/en/socopros/opinion_poll_show/2032" TargetMode="External"/><Relationship Id="rId1032" Type="http://schemas.openxmlformats.org/officeDocument/2006/relationships/hyperlink" Target="https://ukraine-elections.com.ua/en/socopros/opinion_poll_show/2032" TargetMode="External"/><Relationship Id="rId202" Type="http://schemas.openxmlformats.org/officeDocument/2006/relationships/hyperlink" Target="https://ukraine-elections.com.ua/en/socopros/opinion_poll_show/2197" TargetMode="External"/><Relationship Id="rId686" Type="http://schemas.openxmlformats.org/officeDocument/2006/relationships/hyperlink" Target="https://ukraine-elections.com.ua/en/socopros/opinion_poll_show/2077" TargetMode="External"/><Relationship Id="rId1033" Type="http://schemas.openxmlformats.org/officeDocument/2006/relationships/hyperlink" Target="https://ukraine-elections.com.ua/en/socopros/opinion_poll_show/2032" TargetMode="External"/><Relationship Id="rId201" Type="http://schemas.openxmlformats.org/officeDocument/2006/relationships/hyperlink" Target="https://ukraine-elections.com.ua/en/socopros/opinion_poll_show/2197" TargetMode="External"/><Relationship Id="rId685" Type="http://schemas.openxmlformats.org/officeDocument/2006/relationships/hyperlink" Target="https://ukraine-elections.com.ua/en/socopros/opinion_poll_show/2077" TargetMode="External"/><Relationship Id="rId1034" Type="http://schemas.openxmlformats.org/officeDocument/2006/relationships/hyperlink" Target="https://ukraine-elections.com.ua/en/socopros/opinion_poll_show/2032" TargetMode="External"/><Relationship Id="rId200" Type="http://schemas.openxmlformats.org/officeDocument/2006/relationships/hyperlink" Target="https://ukraine-elections.com.ua/en/socopros/opinion_poll_show/2221" TargetMode="External"/><Relationship Id="rId684" Type="http://schemas.openxmlformats.org/officeDocument/2006/relationships/hyperlink" Target="https://ukraine-elections.com.ua/en/socopros/opinion_poll_show/2078" TargetMode="External"/><Relationship Id="rId1035" Type="http://schemas.openxmlformats.org/officeDocument/2006/relationships/hyperlink" Target="https://ukraine-elections.com.ua/en/socopros/opinion_poll_show/2032" TargetMode="External"/><Relationship Id="rId683" Type="http://schemas.openxmlformats.org/officeDocument/2006/relationships/hyperlink" Target="https://ukraine-elections.com.ua/en/socopros/opinion_poll_show/2078" TargetMode="External"/><Relationship Id="rId1036" Type="http://schemas.openxmlformats.org/officeDocument/2006/relationships/hyperlink" Target="https://ukraine-elections.com.ua/en/socopros/opinion_poll_show/2032" TargetMode="External"/><Relationship Id="rId1026" Type="http://schemas.openxmlformats.org/officeDocument/2006/relationships/hyperlink" Target="https://ukraine-elections.com.ua/en/socopros/opinion_poll_show/2033" TargetMode="External"/><Relationship Id="rId1027" Type="http://schemas.openxmlformats.org/officeDocument/2006/relationships/hyperlink" Target="https://ukraine-elections.com.ua/en/socopros/opinion_poll_show/2033" TargetMode="External"/><Relationship Id="rId1028" Type="http://schemas.openxmlformats.org/officeDocument/2006/relationships/hyperlink" Target="https://ukraine-elections.com.ua/en/socopros/opinion_poll_show/2033" TargetMode="External"/><Relationship Id="rId1029" Type="http://schemas.openxmlformats.org/officeDocument/2006/relationships/hyperlink" Target="https://ukraine-elections.com.ua/en/socopros/opinion_poll_show/2032" TargetMode="External"/><Relationship Id="rId679" Type="http://schemas.openxmlformats.org/officeDocument/2006/relationships/hyperlink" Target="https://ukraine-elections.com.ua/en/socopros/opinion_poll_show/2078" TargetMode="External"/><Relationship Id="rId678" Type="http://schemas.openxmlformats.org/officeDocument/2006/relationships/hyperlink" Target="https://ukraine-elections.com.ua/en/socopros/opinion_poll_show/2078" TargetMode="External"/><Relationship Id="rId677" Type="http://schemas.openxmlformats.org/officeDocument/2006/relationships/hyperlink" Target="https://ukraine-elections.com.ua/en/socopros/opinion_poll_show/2078" TargetMode="External"/><Relationship Id="rId676" Type="http://schemas.openxmlformats.org/officeDocument/2006/relationships/hyperlink" Target="https://ukraine-elections.com.ua/en/socopros/opinion_poll_show/2079" TargetMode="External"/><Relationship Id="rId671" Type="http://schemas.openxmlformats.org/officeDocument/2006/relationships/hyperlink" Target="https://ukraine-elections.com.ua/en/socopros/opinion_poll_show/2079" TargetMode="External"/><Relationship Id="rId670" Type="http://schemas.openxmlformats.org/officeDocument/2006/relationships/hyperlink" Target="https://ukraine-elections.com.ua/en/socopros/opinion_poll_show/2079" TargetMode="External"/><Relationship Id="rId1020" Type="http://schemas.openxmlformats.org/officeDocument/2006/relationships/hyperlink" Target="https://ukraine-elections.com.ua/en/socopros/opinion_poll_show/2033" TargetMode="External"/><Relationship Id="rId1021" Type="http://schemas.openxmlformats.org/officeDocument/2006/relationships/hyperlink" Target="https://ukraine-elections.com.ua/en/socopros/opinion_poll_show/2033" TargetMode="External"/><Relationship Id="rId675" Type="http://schemas.openxmlformats.org/officeDocument/2006/relationships/hyperlink" Target="https://ukraine-elections.com.ua/en/socopros/opinion_poll_show/2079" TargetMode="External"/><Relationship Id="rId1022" Type="http://schemas.openxmlformats.org/officeDocument/2006/relationships/hyperlink" Target="https://ukraine-elections.com.ua/en/socopros/opinion_poll_show/2033" TargetMode="External"/><Relationship Id="rId674" Type="http://schemas.openxmlformats.org/officeDocument/2006/relationships/hyperlink" Target="https://ukraine-elections.com.ua/en/socopros/opinion_poll_show/2079" TargetMode="External"/><Relationship Id="rId1023" Type="http://schemas.openxmlformats.org/officeDocument/2006/relationships/hyperlink" Target="https://ukraine-elections.com.ua/en/socopros/opinion_poll_show/2033" TargetMode="External"/><Relationship Id="rId673" Type="http://schemas.openxmlformats.org/officeDocument/2006/relationships/hyperlink" Target="https://ukraine-elections.com.ua/en/socopros/opinion_poll_show/2079" TargetMode="External"/><Relationship Id="rId1024" Type="http://schemas.openxmlformats.org/officeDocument/2006/relationships/hyperlink" Target="https://ukraine-elections.com.ua/en/socopros/opinion_poll_show/2033" TargetMode="External"/><Relationship Id="rId672" Type="http://schemas.openxmlformats.org/officeDocument/2006/relationships/hyperlink" Target="https://ukraine-elections.com.ua/en/socopros/opinion_poll_show/2079" TargetMode="External"/><Relationship Id="rId1025" Type="http://schemas.openxmlformats.org/officeDocument/2006/relationships/hyperlink" Target="https://ukraine-elections.com.ua/en/socopros/opinion_poll_show/2033" TargetMode="External"/><Relationship Id="rId190" Type="http://schemas.openxmlformats.org/officeDocument/2006/relationships/hyperlink" Target="https://ukraine-elections.com.ua/en/socopros/opinion_poll_show/2202" TargetMode="External"/><Relationship Id="rId194" Type="http://schemas.openxmlformats.org/officeDocument/2006/relationships/hyperlink" Target="https://ukraine-elections.com.ua/en/socopros/opinion_poll_show/2221" TargetMode="External"/><Relationship Id="rId193" Type="http://schemas.openxmlformats.org/officeDocument/2006/relationships/hyperlink" Target="https://ukraine-elections.com.ua/en/socopros/opinion_poll_show/2221" TargetMode="External"/><Relationship Id="rId192" Type="http://schemas.openxmlformats.org/officeDocument/2006/relationships/hyperlink" Target="https://ukraine-elections.com.ua/en/socopros/opinion_poll_show/2221" TargetMode="External"/><Relationship Id="rId191" Type="http://schemas.openxmlformats.org/officeDocument/2006/relationships/hyperlink" Target="https://ukraine-elections.com.ua/en/socopros/opinion_poll_show/2221" TargetMode="External"/><Relationship Id="rId187" Type="http://schemas.openxmlformats.org/officeDocument/2006/relationships/hyperlink" Target="https://ukraine-elections.com.ua/en/socopros/opinion_poll_show/2202" TargetMode="External"/><Relationship Id="rId186" Type="http://schemas.openxmlformats.org/officeDocument/2006/relationships/hyperlink" Target="https://ukraine-elections.com.ua/en/socopros/opinion_poll_show/2202" TargetMode="External"/><Relationship Id="rId185" Type="http://schemas.openxmlformats.org/officeDocument/2006/relationships/hyperlink" Target="https://ukraine-elections.com.ua/en/socopros/opinion_poll_show/2202" TargetMode="External"/><Relationship Id="rId184" Type="http://schemas.openxmlformats.org/officeDocument/2006/relationships/hyperlink" Target="https://ukraine-elections.com.ua/en/socopros/opinion_poll_show/2202" TargetMode="External"/><Relationship Id="rId189" Type="http://schemas.openxmlformats.org/officeDocument/2006/relationships/hyperlink" Target="https://ukraine-elections.com.ua/en/socopros/opinion_poll_show/2202" TargetMode="External"/><Relationship Id="rId188" Type="http://schemas.openxmlformats.org/officeDocument/2006/relationships/hyperlink" Target="https://ukraine-elections.com.ua/en/socopros/opinion_poll_show/2202" TargetMode="External"/><Relationship Id="rId183" Type="http://schemas.openxmlformats.org/officeDocument/2006/relationships/hyperlink" Target="https://ukraine-elections.com.ua/en/socopros/opinion_poll_show/2202" TargetMode="External"/><Relationship Id="rId182" Type="http://schemas.openxmlformats.org/officeDocument/2006/relationships/hyperlink" Target="https://ukraine-elections.com.ua/en/socopros/opinion_poll_show/2202" TargetMode="External"/><Relationship Id="rId181" Type="http://schemas.openxmlformats.org/officeDocument/2006/relationships/hyperlink" Target="https://ukraine-elections.com.ua/en/socopros/opinion_poll_show/2202" TargetMode="External"/><Relationship Id="rId180" Type="http://schemas.openxmlformats.org/officeDocument/2006/relationships/hyperlink" Target="https://ukraine-elections.com.ua/en/socopros/opinion_poll_show/2202" TargetMode="External"/><Relationship Id="rId176" Type="http://schemas.openxmlformats.org/officeDocument/2006/relationships/hyperlink" Target="https://ukraine-elections.com.ua/en/socopros/opinion_poll_show/2213" TargetMode="External"/><Relationship Id="rId175" Type="http://schemas.openxmlformats.org/officeDocument/2006/relationships/hyperlink" Target="https://ukraine-elections.com.ua/en/socopros/opinion_poll_show/2213" TargetMode="External"/><Relationship Id="rId174" Type="http://schemas.openxmlformats.org/officeDocument/2006/relationships/hyperlink" Target="https://ukraine-elections.com.ua/en/socopros/opinion_poll_show/2213" TargetMode="External"/><Relationship Id="rId173" Type="http://schemas.openxmlformats.org/officeDocument/2006/relationships/hyperlink" Target="https://ukraine-elections.com.ua/en/socopros/opinion_poll_show/2213" TargetMode="External"/><Relationship Id="rId179" Type="http://schemas.openxmlformats.org/officeDocument/2006/relationships/hyperlink" Target="https://ukraine-elections.com.ua/en/socopros/opinion_poll_show/2202" TargetMode="External"/><Relationship Id="rId178" Type="http://schemas.openxmlformats.org/officeDocument/2006/relationships/hyperlink" Target="https://ukraine-elections.com.ua/en/socopros/opinion_poll_show/2213" TargetMode="External"/><Relationship Id="rId177" Type="http://schemas.openxmlformats.org/officeDocument/2006/relationships/hyperlink" Target="https://ukraine-elections.com.ua/en/socopros/opinion_poll_show/2213" TargetMode="External"/><Relationship Id="rId1910" Type="http://schemas.openxmlformats.org/officeDocument/2006/relationships/hyperlink" Target="https://ukraine-elections.com.ua/en/socopros/opinion_poll_show/1863" TargetMode="External"/><Relationship Id="rId1911" Type="http://schemas.openxmlformats.org/officeDocument/2006/relationships/hyperlink" Target="https://ukraine-elections.com.ua/en/socopros/opinion_poll_show/1863" TargetMode="External"/><Relationship Id="rId1912" Type="http://schemas.openxmlformats.org/officeDocument/2006/relationships/hyperlink" Target="https://ukraine-elections.com.ua/en/socopros/opinion_poll_show/1863" TargetMode="External"/><Relationship Id="rId1913" Type="http://schemas.openxmlformats.org/officeDocument/2006/relationships/hyperlink" Target="https://ukraine-elections.com.ua/en/socopros/opinion_poll_show/1863" TargetMode="External"/><Relationship Id="rId1914" Type="http://schemas.openxmlformats.org/officeDocument/2006/relationships/hyperlink" Target="https://ukraine-elections.com.ua/en/socopros/opinion_poll_show/1863" TargetMode="External"/><Relationship Id="rId1915" Type="http://schemas.openxmlformats.org/officeDocument/2006/relationships/hyperlink" Target="https://ukraine-elections.com.ua/en/socopros/opinion_poll_show/1860" TargetMode="External"/><Relationship Id="rId1916" Type="http://schemas.openxmlformats.org/officeDocument/2006/relationships/hyperlink" Target="https://ukraine-elections.com.ua/en/socopros/opinion_poll_show/1860" TargetMode="External"/><Relationship Id="rId1917" Type="http://schemas.openxmlformats.org/officeDocument/2006/relationships/hyperlink" Target="https://ukraine-elections.com.ua/en/socopros/opinion_poll_show/1860" TargetMode="External"/><Relationship Id="rId1918" Type="http://schemas.openxmlformats.org/officeDocument/2006/relationships/hyperlink" Target="https://ukraine-elections.com.ua/en/socopros/opinion_poll_show/1860" TargetMode="External"/><Relationship Id="rId1919" Type="http://schemas.openxmlformats.org/officeDocument/2006/relationships/hyperlink" Target="https://ukraine-elections.com.ua/en/socopros/opinion_poll_show/1860" TargetMode="External"/><Relationship Id="rId1900" Type="http://schemas.openxmlformats.org/officeDocument/2006/relationships/hyperlink" Target="https://ukraine-elections.com.ua/en/socopros/opinion_poll_show/1863" TargetMode="External"/><Relationship Id="rId1901" Type="http://schemas.openxmlformats.org/officeDocument/2006/relationships/hyperlink" Target="https://ukraine-elections.com.ua/en/socopros/opinion_poll_show/1863" TargetMode="External"/><Relationship Id="rId1902" Type="http://schemas.openxmlformats.org/officeDocument/2006/relationships/hyperlink" Target="https://ukraine-elections.com.ua/en/socopros/opinion_poll_show/1863" TargetMode="External"/><Relationship Id="rId1903" Type="http://schemas.openxmlformats.org/officeDocument/2006/relationships/hyperlink" Target="https://ukraine-elections.com.ua/en/socopros/opinion_poll_show/1863" TargetMode="External"/><Relationship Id="rId1904" Type="http://schemas.openxmlformats.org/officeDocument/2006/relationships/hyperlink" Target="https://ukraine-elections.com.ua/en/socopros/opinion_poll_show/1863" TargetMode="External"/><Relationship Id="rId1905" Type="http://schemas.openxmlformats.org/officeDocument/2006/relationships/hyperlink" Target="https://ukraine-elections.com.ua/en/socopros/opinion_poll_show/1863" TargetMode="External"/><Relationship Id="rId1906" Type="http://schemas.openxmlformats.org/officeDocument/2006/relationships/hyperlink" Target="https://ukraine-elections.com.ua/en/socopros/opinion_poll_show/1863" TargetMode="External"/><Relationship Id="rId1907" Type="http://schemas.openxmlformats.org/officeDocument/2006/relationships/hyperlink" Target="https://ukraine-elections.com.ua/en/socopros/opinion_poll_show/1863" TargetMode="External"/><Relationship Id="rId1908" Type="http://schemas.openxmlformats.org/officeDocument/2006/relationships/hyperlink" Target="https://ukraine-elections.com.ua/en/socopros/opinion_poll_show/1863" TargetMode="External"/><Relationship Id="rId1909" Type="http://schemas.openxmlformats.org/officeDocument/2006/relationships/hyperlink" Target="https://ukraine-elections.com.ua/en/socopros/opinion_poll_show/1863" TargetMode="External"/><Relationship Id="rId198" Type="http://schemas.openxmlformats.org/officeDocument/2006/relationships/hyperlink" Target="https://ukraine-elections.com.ua/en/socopros/opinion_poll_show/2221" TargetMode="External"/><Relationship Id="rId197" Type="http://schemas.openxmlformats.org/officeDocument/2006/relationships/hyperlink" Target="https://ukraine-elections.com.ua/en/socopros/opinion_poll_show/2221" TargetMode="External"/><Relationship Id="rId196" Type="http://schemas.openxmlformats.org/officeDocument/2006/relationships/hyperlink" Target="https://ukraine-elections.com.ua/en/socopros/opinion_poll_show/2221" TargetMode="External"/><Relationship Id="rId195" Type="http://schemas.openxmlformats.org/officeDocument/2006/relationships/hyperlink" Target="https://ukraine-elections.com.ua/en/socopros/opinion_poll_show/2221" TargetMode="External"/><Relationship Id="rId199" Type="http://schemas.openxmlformats.org/officeDocument/2006/relationships/hyperlink" Target="https://ukraine-elections.com.ua/en/socopros/opinion_poll_show/2221" TargetMode="External"/><Relationship Id="rId150" Type="http://schemas.openxmlformats.org/officeDocument/2006/relationships/hyperlink" Target="https://ukraine-elections.com.ua/en/socopros/opinion_poll_show/2220" TargetMode="External"/><Relationship Id="rId149" Type="http://schemas.openxmlformats.org/officeDocument/2006/relationships/hyperlink" Target="https://ukraine-elections.com.ua/en/socopros/opinion_poll_show/2220" TargetMode="External"/><Relationship Id="rId148" Type="http://schemas.openxmlformats.org/officeDocument/2006/relationships/hyperlink" Target="https://ukraine-elections.com.ua/en/socopros/opinion_poll_show/2220" TargetMode="External"/><Relationship Id="rId1090" Type="http://schemas.openxmlformats.org/officeDocument/2006/relationships/hyperlink" Target="https://ukraine-elections.com.ua/en/socopros/opinion_poll_show/2024" TargetMode="External"/><Relationship Id="rId1091" Type="http://schemas.openxmlformats.org/officeDocument/2006/relationships/hyperlink" Target="https://ukraine-elections.com.ua/en/socopros/opinion_poll_show/2024" TargetMode="External"/><Relationship Id="rId1092" Type="http://schemas.openxmlformats.org/officeDocument/2006/relationships/hyperlink" Target="https://ukraine-elections.com.ua/en/socopros/opinion_poll_show/2024" TargetMode="External"/><Relationship Id="rId1093" Type="http://schemas.openxmlformats.org/officeDocument/2006/relationships/hyperlink" Target="https://ukraine-elections.com.ua/en/socopros/opinion_poll_show/2024" TargetMode="External"/><Relationship Id="rId1094" Type="http://schemas.openxmlformats.org/officeDocument/2006/relationships/hyperlink" Target="https://ukraine-elections.com.ua/en/socopros/opinion_poll_show/2024" TargetMode="External"/><Relationship Id="rId143" Type="http://schemas.openxmlformats.org/officeDocument/2006/relationships/hyperlink" Target="https://ukraine-elections.com.ua/en/socopros/opinion_poll_show/2216" TargetMode="External"/><Relationship Id="rId1095" Type="http://schemas.openxmlformats.org/officeDocument/2006/relationships/hyperlink" Target="https://ukraine-elections.com.ua/en/socopros/opinion_poll_show/2024" TargetMode="External"/><Relationship Id="rId142" Type="http://schemas.openxmlformats.org/officeDocument/2006/relationships/hyperlink" Target="https://ukraine-elections.com.ua/en/socopros/opinion_poll_show/2216" TargetMode="External"/><Relationship Id="rId1096" Type="http://schemas.openxmlformats.org/officeDocument/2006/relationships/hyperlink" Target="https://ukraine-elections.com.ua/en/socopros/opinion_poll_show/2024" TargetMode="External"/><Relationship Id="rId141" Type="http://schemas.openxmlformats.org/officeDocument/2006/relationships/hyperlink" Target="https://ukraine-elections.com.ua/en/socopros/opinion_poll_show/2216" TargetMode="External"/><Relationship Id="rId1097" Type="http://schemas.openxmlformats.org/officeDocument/2006/relationships/hyperlink" Target="https://ukraine-elections.com.ua/en/socopros/opinion_poll_show/2020" TargetMode="External"/><Relationship Id="rId140" Type="http://schemas.openxmlformats.org/officeDocument/2006/relationships/hyperlink" Target="https://ukraine-elections.com.ua/en/socopros/opinion_poll_show/2216" TargetMode="External"/><Relationship Id="rId1098" Type="http://schemas.openxmlformats.org/officeDocument/2006/relationships/hyperlink" Target="https://ukraine-elections.com.ua/en/socopros/opinion_poll_show/2020" TargetMode="External"/><Relationship Id="rId147" Type="http://schemas.openxmlformats.org/officeDocument/2006/relationships/hyperlink" Target="https://ukraine-elections.com.ua/en/socopros/opinion_poll_show/2216" TargetMode="External"/><Relationship Id="rId1099" Type="http://schemas.openxmlformats.org/officeDocument/2006/relationships/hyperlink" Target="https://ukraine-elections.com.ua/en/socopros/opinion_poll_show/2020" TargetMode="External"/><Relationship Id="rId146" Type="http://schemas.openxmlformats.org/officeDocument/2006/relationships/hyperlink" Target="https://ukraine-elections.com.ua/en/socopros/opinion_poll_show/2216" TargetMode="External"/><Relationship Id="rId145" Type="http://schemas.openxmlformats.org/officeDocument/2006/relationships/hyperlink" Target="https://ukraine-elections.com.ua/en/socopros/opinion_poll_show/2216" TargetMode="External"/><Relationship Id="rId144" Type="http://schemas.openxmlformats.org/officeDocument/2006/relationships/hyperlink" Target="https://ukraine-elections.com.ua/en/socopros/opinion_poll_show/2216" TargetMode="External"/><Relationship Id="rId139" Type="http://schemas.openxmlformats.org/officeDocument/2006/relationships/hyperlink" Target="https://ukraine-elections.com.ua/en/socopros/opinion_poll_show/2216" TargetMode="External"/><Relationship Id="rId138" Type="http://schemas.openxmlformats.org/officeDocument/2006/relationships/hyperlink" Target="https://ukraine-elections.com.ua/en/socopros/opinion_poll_show/2216" TargetMode="External"/><Relationship Id="rId137" Type="http://schemas.openxmlformats.org/officeDocument/2006/relationships/hyperlink" Target="https://ukraine-elections.com.ua/en/socopros/opinion_poll_show/2234" TargetMode="External"/><Relationship Id="rId1080" Type="http://schemas.openxmlformats.org/officeDocument/2006/relationships/hyperlink" Target="https://ukraine-elections.com.ua/en/socopros/opinion_poll_show/2025" TargetMode="External"/><Relationship Id="rId1081" Type="http://schemas.openxmlformats.org/officeDocument/2006/relationships/hyperlink" Target="https://ukraine-elections.com.ua/en/socopros/opinion_poll_show/2025" TargetMode="External"/><Relationship Id="rId1082" Type="http://schemas.openxmlformats.org/officeDocument/2006/relationships/hyperlink" Target="https://ukraine-elections.com.ua/en/socopros/opinion_poll_show/2025" TargetMode="External"/><Relationship Id="rId1083" Type="http://schemas.openxmlformats.org/officeDocument/2006/relationships/hyperlink" Target="https://ukraine-elections.com.ua/en/socopros/opinion_poll_show/2025" TargetMode="External"/><Relationship Id="rId132" Type="http://schemas.openxmlformats.org/officeDocument/2006/relationships/hyperlink" Target="https://ukraine-elections.com.ua/en/socopros/opinion_poll_show/2234" TargetMode="External"/><Relationship Id="rId1084" Type="http://schemas.openxmlformats.org/officeDocument/2006/relationships/hyperlink" Target="https://ukraine-elections.com.ua/en/socopros/opinion_poll_show/2025" TargetMode="External"/><Relationship Id="rId131" Type="http://schemas.openxmlformats.org/officeDocument/2006/relationships/hyperlink" Target="https://ukraine-elections.com.ua/en/socopros/opinion_poll_show/2234" TargetMode="External"/><Relationship Id="rId1085" Type="http://schemas.openxmlformats.org/officeDocument/2006/relationships/hyperlink" Target="https://ukraine-elections.com.ua/en/socopros/opinion_poll_show/2024" TargetMode="External"/><Relationship Id="rId130" Type="http://schemas.openxmlformats.org/officeDocument/2006/relationships/hyperlink" Target="https://ukraine-elections.com.ua/en/socopros/opinion_poll_show/2234" TargetMode="External"/><Relationship Id="rId1086" Type="http://schemas.openxmlformats.org/officeDocument/2006/relationships/hyperlink" Target="https://ukraine-elections.com.ua/en/socopros/opinion_poll_show/2024" TargetMode="External"/><Relationship Id="rId1087" Type="http://schemas.openxmlformats.org/officeDocument/2006/relationships/hyperlink" Target="https://ukraine-elections.com.ua/en/socopros/opinion_poll_show/2024" TargetMode="External"/><Relationship Id="rId136" Type="http://schemas.openxmlformats.org/officeDocument/2006/relationships/hyperlink" Target="https://ukraine-elections.com.ua/en/socopros/opinion_poll_show/2234" TargetMode="External"/><Relationship Id="rId1088" Type="http://schemas.openxmlformats.org/officeDocument/2006/relationships/hyperlink" Target="https://ukraine-elections.com.ua/en/socopros/opinion_poll_show/2024" TargetMode="External"/><Relationship Id="rId135" Type="http://schemas.openxmlformats.org/officeDocument/2006/relationships/hyperlink" Target="https://ukraine-elections.com.ua/en/socopros/opinion_poll_show/2234" TargetMode="External"/><Relationship Id="rId1089" Type="http://schemas.openxmlformats.org/officeDocument/2006/relationships/hyperlink" Target="https://ukraine-elections.com.ua/en/socopros/opinion_poll_show/2024" TargetMode="External"/><Relationship Id="rId134" Type="http://schemas.openxmlformats.org/officeDocument/2006/relationships/hyperlink" Target="https://ukraine-elections.com.ua/en/socopros/opinion_poll_show/2234" TargetMode="External"/><Relationship Id="rId133" Type="http://schemas.openxmlformats.org/officeDocument/2006/relationships/hyperlink" Target="https://ukraine-elections.com.ua/en/socopros/opinion_poll_show/2234" TargetMode="External"/><Relationship Id="rId172" Type="http://schemas.openxmlformats.org/officeDocument/2006/relationships/hyperlink" Target="https://ukraine-elections.com.ua/en/socopros/opinion_poll_show/2213" TargetMode="External"/><Relationship Id="rId171" Type="http://schemas.openxmlformats.org/officeDocument/2006/relationships/hyperlink" Target="https://ukraine-elections.com.ua/en/socopros/opinion_poll_show/2213" TargetMode="External"/><Relationship Id="rId170" Type="http://schemas.openxmlformats.org/officeDocument/2006/relationships/hyperlink" Target="https://ukraine-elections.com.ua/en/socopros/opinion_poll_show/2213" TargetMode="External"/><Relationship Id="rId165" Type="http://schemas.openxmlformats.org/officeDocument/2006/relationships/hyperlink" Target="https://ukraine-elections.com.ua/en/socopros/opinion_poll_show/2214" TargetMode="External"/><Relationship Id="rId164" Type="http://schemas.openxmlformats.org/officeDocument/2006/relationships/hyperlink" Target="https://ukraine-elections.com.ua/en/socopros/opinion_poll_show/2214" TargetMode="External"/><Relationship Id="rId163" Type="http://schemas.openxmlformats.org/officeDocument/2006/relationships/hyperlink" Target="https://ukraine-elections.com.ua/en/socopros/opinion_poll_show/2214" TargetMode="External"/><Relationship Id="rId162" Type="http://schemas.openxmlformats.org/officeDocument/2006/relationships/hyperlink" Target="https://ukraine-elections.com.ua/en/socopros/opinion_poll_show/2214" TargetMode="External"/><Relationship Id="rId169" Type="http://schemas.openxmlformats.org/officeDocument/2006/relationships/hyperlink" Target="https://ukraine-elections.com.ua/en/socopros/opinion_poll_show/2213" TargetMode="External"/><Relationship Id="rId168" Type="http://schemas.openxmlformats.org/officeDocument/2006/relationships/hyperlink" Target="https://ukraine-elections.com.ua/en/socopros/opinion_poll_show/2213" TargetMode="External"/><Relationship Id="rId167" Type="http://schemas.openxmlformats.org/officeDocument/2006/relationships/hyperlink" Target="https://ukraine-elections.com.ua/en/socopros/opinion_poll_show/2214" TargetMode="External"/><Relationship Id="rId166" Type="http://schemas.openxmlformats.org/officeDocument/2006/relationships/hyperlink" Target="https://ukraine-elections.com.ua/en/socopros/opinion_poll_show/2214" TargetMode="External"/><Relationship Id="rId161" Type="http://schemas.openxmlformats.org/officeDocument/2006/relationships/hyperlink" Target="https://ukraine-elections.com.ua/en/socopros/opinion_poll_show/2214" TargetMode="External"/><Relationship Id="rId160" Type="http://schemas.openxmlformats.org/officeDocument/2006/relationships/hyperlink" Target="https://ukraine-elections.com.ua/en/socopros/opinion_poll_show/2214" TargetMode="External"/><Relationship Id="rId159" Type="http://schemas.openxmlformats.org/officeDocument/2006/relationships/hyperlink" Target="https://ukraine-elections.com.ua/en/socopros/opinion_poll_show/2214" TargetMode="External"/><Relationship Id="rId154" Type="http://schemas.openxmlformats.org/officeDocument/2006/relationships/hyperlink" Target="https://ukraine-elections.com.ua/en/socopros/opinion_poll_show/2220" TargetMode="External"/><Relationship Id="rId153" Type="http://schemas.openxmlformats.org/officeDocument/2006/relationships/hyperlink" Target="https://ukraine-elections.com.ua/en/socopros/opinion_poll_show/2220" TargetMode="External"/><Relationship Id="rId152" Type="http://schemas.openxmlformats.org/officeDocument/2006/relationships/hyperlink" Target="https://ukraine-elections.com.ua/en/socopros/opinion_poll_show/2220" TargetMode="External"/><Relationship Id="rId151" Type="http://schemas.openxmlformats.org/officeDocument/2006/relationships/hyperlink" Target="https://ukraine-elections.com.ua/en/socopros/opinion_poll_show/2220" TargetMode="External"/><Relationship Id="rId158" Type="http://schemas.openxmlformats.org/officeDocument/2006/relationships/hyperlink" Target="https://ukraine-elections.com.ua/en/socopros/opinion_poll_show/2214" TargetMode="External"/><Relationship Id="rId157" Type="http://schemas.openxmlformats.org/officeDocument/2006/relationships/hyperlink" Target="https://ukraine-elections.com.ua/en/socopros/opinion_poll_show/2220" TargetMode="External"/><Relationship Id="rId156" Type="http://schemas.openxmlformats.org/officeDocument/2006/relationships/hyperlink" Target="https://ukraine-elections.com.ua/en/socopros/opinion_poll_show/2220" TargetMode="External"/><Relationship Id="rId155" Type="http://schemas.openxmlformats.org/officeDocument/2006/relationships/hyperlink" Target="https://ukraine-elections.com.ua/en/socopros/opinion_poll_show/2220" TargetMode="External"/><Relationship Id="rId1972" Type="http://schemas.openxmlformats.org/officeDocument/2006/relationships/hyperlink" Target="https://ukraine-elections.com.ua/en/socopros/opinion_poll_show/1855" TargetMode="External"/><Relationship Id="rId1973" Type="http://schemas.openxmlformats.org/officeDocument/2006/relationships/hyperlink" Target="https://ukraine-elections.com.ua/en/socopros/opinion_poll_show/1855" TargetMode="External"/><Relationship Id="rId1974" Type="http://schemas.openxmlformats.org/officeDocument/2006/relationships/hyperlink" Target="https://ukraine-elections.com.ua/en/socopros/opinion_poll_show/1855" TargetMode="External"/><Relationship Id="rId1975" Type="http://schemas.openxmlformats.org/officeDocument/2006/relationships/hyperlink" Target="https://ukraine-elections.com.ua/en/socopros/opinion_poll_show/1855" TargetMode="External"/><Relationship Id="rId1976" Type="http://schemas.openxmlformats.org/officeDocument/2006/relationships/hyperlink" Target="https://ukraine-elections.com.ua/en/socopros/opinion_poll_show/1854" TargetMode="External"/><Relationship Id="rId1977" Type="http://schemas.openxmlformats.org/officeDocument/2006/relationships/hyperlink" Target="https://ukraine-elections.com.ua/en/socopros/opinion_poll_show/1854" TargetMode="External"/><Relationship Id="rId1978" Type="http://schemas.openxmlformats.org/officeDocument/2006/relationships/hyperlink" Target="https://ukraine-elections.com.ua/en/socopros/opinion_poll_show/1854" TargetMode="External"/><Relationship Id="rId1979" Type="http://schemas.openxmlformats.org/officeDocument/2006/relationships/hyperlink" Target="https://ukraine-elections.com.ua/en/socopros/opinion_poll_show/1854" TargetMode="External"/><Relationship Id="rId1970" Type="http://schemas.openxmlformats.org/officeDocument/2006/relationships/hyperlink" Target="https://ukraine-elections.com.ua/en/socopros/opinion_poll_show/1855" TargetMode="External"/><Relationship Id="rId1971" Type="http://schemas.openxmlformats.org/officeDocument/2006/relationships/hyperlink" Target="https://ukraine-elections.com.ua/en/socopros/opinion_poll_show/1855" TargetMode="External"/><Relationship Id="rId1961" Type="http://schemas.openxmlformats.org/officeDocument/2006/relationships/hyperlink" Target="https://ukraine-elections.com.ua/en/socopros/opinion_poll_show/1855" TargetMode="External"/><Relationship Id="rId1962" Type="http://schemas.openxmlformats.org/officeDocument/2006/relationships/hyperlink" Target="https://ukraine-elections.com.ua/en/socopros/opinion_poll_show/1855" TargetMode="External"/><Relationship Id="rId1963" Type="http://schemas.openxmlformats.org/officeDocument/2006/relationships/hyperlink" Target="https://ukraine-elections.com.ua/en/socopros/opinion_poll_show/1855" TargetMode="External"/><Relationship Id="rId1964" Type="http://schemas.openxmlformats.org/officeDocument/2006/relationships/hyperlink" Target="https://ukraine-elections.com.ua/en/socopros/opinion_poll_show/1855" TargetMode="External"/><Relationship Id="rId1965" Type="http://schemas.openxmlformats.org/officeDocument/2006/relationships/hyperlink" Target="https://ukraine-elections.com.ua/en/socopros/opinion_poll_show/1855" TargetMode="External"/><Relationship Id="rId1966" Type="http://schemas.openxmlformats.org/officeDocument/2006/relationships/hyperlink" Target="https://ukraine-elections.com.ua/en/socopros/opinion_poll_show/1855" TargetMode="External"/><Relationship Id="rId1967" Type="http://schemas.openxmlformats.org/officeDocument/2006/relationships/hyperlink" Target="https://ukraine-elections.com.ua/en/socopros/opinion_poll_show/1855" TargetMode="External"/><Relationship Id="rId1968" Type="http://schemas.openxmlformats.org/officeDocument/2006/relationships/hyperlink" Target="https://ukraine-elections.com.ua/en/socopros/opinion_poll_show/1855" TargetMode="External"/><Relationship Id="rId1969" Type="http://schemas.openxmlformats.org/officeDocument/2006/relationships/hyperlink" Target="https://ukraine-elections.com.ua/en/socopros/opinion_poll_show/1855" TargetMode="External"/><Relationship Id="rId1960" Type="http://schemas.openxmlformats.org/officeDocument/2006/relationships/hyperlink" Target="https://ukraine-elections.com.ua/en/socopros/opinion_poll_show/1855" TargetMode="External"/><Relationship Id="rId1510" Type="http://schemas.openxmlformats.org/officeDocument/2006/relationships/hyperlink" Target="https://ukraine-elections.com.ua/en/socopros/opinion_poll_show/1932" TargetMode="External"/><Relationship Id="rId1994" Type="http://schemas.openxmlformats.org/officeDocument/2006/relationships/hyperlink" Target="https://ukraine-elections.com.ua/en/socopros/opinion_poll_show/1851" TargetMode="External"/><Relationship Id="rId1511" Type="http://schemas.openxmlformats.org/officeDocument/2006/relationships/hyperlink" Target="https://ukraine-elections.com.ua/en/socopros/opinion_poll_show/1932" TargetMode="External"/><Relationship Id="rId1995" Type="http://schemas.openxmlformats.org/officeDocument/2006/relationships/hyperlink" Target="https://ukraine-elections.com.ua/en/socopros/opinion_poll_show/1851" TargetMode="External"/><Relationship Id="rId1512" Type="http://schemas.openxmlformats.org/officeDocument/2006/relationships/hyperlink" Target="https://ukraine-elections.com.ua/en/socopros/opinion_poll_show/1931" TargetMode="External"/><Relationship Id="rId1996" Type="http://schemas.openxmlformats.org/officeDocument/2006/relationships/hyperlink" Target="https://ukraine-elections.com.ua/en/socopros/opinion_poll_show/1851" TargetMode="External"/><Relationship Id="rId1513" Type="http://schemas.openxmlformats.org/officeDocument/2006/relationships/hyperlink" Target="https://ukraine-elections.com.ua/en/socopros/opinion_poll_show/1931" TargetMode="External"/><Relationship Id="rId1997" Type="http://schemas.openxmlformats.org/officeDocument/2006/relationships/hyperlink" Target="https://ukraine-elections.com.ua/en/socopros/opinion_poll_show/1847" TargetMode="External"/><Relationship Id="rId1514" Type="http://schemas.openxmlformats.org/officeDocument/2006/relationships/hyperlink" Target="https://ukraine-elections.com.ua/en/socopros/opinion_poll_show/1931" TargetMode="External"/><Relationship Id="rId1998" Type="http://schemas.openxmlformats.org/officeDocument/2006/relationships/hyperlink" Target="https://ukraine-elections.com.ua/en/socopros/opinion_poll_show/1847" TargetMode="External"/><Relationship Id="rId1515" Type="http://schemas.openxmlformats.org/officeDocument/2006/relationships/hyperlink" Target="https://ukraine-elections.com.ua/en/socopros/opinion_poll_show/1931" TargetMode="External"/><Relationship Id="rId1999" Type="http://schemas.openxmlformats.org/officeDocument/2006/relationships/hyperlink" Target="https://ukraine-elections.com.ua/en/socopros/opinion_poll_show/1847" TargetMode="External"/><Relationship Id="rId1516" Type="http://schemas.openxmlformats.org/officeDocument/2006/relationships/hyperlink" Target="https://ukraine-elections.com.ua/en/socopros/opinion_poll_show/1931" TargetMode="External"/><Relationship Id="rId1517" Type="http://schemas.openxmlformats.org/officeDocument/2006/relationships/hyperlink" Target="https://ukraine-elections.com.ua/en/socopros/opinion_poll_show/1931" TargetMode="External"/><Relationship Id="rId1518" Type="http://schemas.openxmlformats.org/officeDocument/2006/relationships/hyperlink" Target="https://ukraine-elections.com.ua/en/socopros/opinion_poll_show/1931" TargetMode="External"/><Relationship Id="rId1519" Type="http://schemas.openxmlformats.org/officeDocument/2006/relationships/hyperlink" Target="https://ukraine-elections.com.ua/en/socopros/opinion_poll_show/1931" TargetMode="External"/><Relationship Id="rId1990" Type="http://schemas.openxmlformats.org/officeDocument/2006/relationships/hyperlink" Target="https://ukraine-elections.com.ua/en/socopros/opinion_poll_show/1851" TargetMode="External"/><Relationship Id="rId1991" Type="http://schemas.openxmlformats.org/officeDocument/2006/relationships/hyperlink" Target="https://ukraine-elections.com.ua/en/socopros/opinion_poll_show/1851" TargetMode="External"/><Relationship Id="rId1992" Type="http://schemas.openxmlformats.org/officeDocument/2006/relationships/hyperlink" Target="https://ukraine-elections.com.ua/en/socopros/opinion_poll_show/1851" TargetMode="External"/><Relationship Id="rId1993" Type="http://schemas.openxmlformats.org/officeDocument/2006/relationships/hyperlink" Target="https://ukraine-elections.com.ua/en/socopros/opinion_poll_show/1851" TargetMode="External"/><Relationship Id="rId1983" Type="http://schemas.openxmlformats.org/officeDocument/2006/relationships/hyperlink" Target="https://ukraine-elections.com.ua/en/socopros/opinion_poll_show/1854" TargetMode="External"/><Relationship Id="rId1500" Type="http://schemas.openxmlformats.org/officeDocument/2006/relationships/hyperlink" Target="https://ukraine-elections.com.ua/en/socopros/opinion_poll_show/1934" TargetMode="External"/><Relationship Id="rId1984" Type="http://schemas.openxmlformats.org/officeDocument/2006/relationships/hyperlink" Target="https://ukraine-elections.com.ua/en/socopros/opinion_poll_show/1854" TargetMode="External"/><Relationship Id="rId1501" Type="http://schemas.openxmlformats.org/officeDocument/2006/relationships/hyperlink" Target="https://ukraine-elections.com.ua/en/socopros/opinion_poll_show/1934" TargetMode="External"/><Relationship Id="rId1985" Type="http://schemas.openxmlformats.org/officeDocument/2006/relationships/hyperlink" Target="https://ukraine-elections.com.ua/en/socopros/opinion_poll_show/1851" TargetMode="External"/><Relationship Id="rId1502" Type="http://schemas.openxmlformats.org/officeDocument/2006/relationships/hyperlink" Target="https://ukraine-elections.com.ua/en/socopros/opinion_poll_show/1932" TargetMode="External"/><Relationship Id="rId1986" Type="http://schemas.openxmlformats.org/officeDocument/2006/relationships/hyperlink" Target="https://ukraine-elections.com.ua/en/socopros/opinion_poll_show/1851" TargetMode="External"/><Relationship Id="rId1503" Type="http://schemas.openxmlformats.org/officeDocument/2006/relationships/hyperlink" Target="https://ukraine-elections.com.ua/en/socopros/opinion_poll_show/1932" TargetMode="External"/><Relationship Id="rId1987" Type="http://schemas.openxmlformats.org/officeDocument/2006/relationships/hyperlink" Target="https://ukraine-elections.com.ua/en/socopros/opinion_poll_show/1851" TargetMode="External"/><Relationship Id="rId1504" Type="http://schemas.openxmlformats.org/officeDocument/2006/relationships/hyperlink" Target="https://ukraine-elections.com.ua/en/socopros/opinion_poll_show/1932" TargetMode="External"/><Relationship Id="rId1988" Type="http://schemas.openxmlformats.org/officeDocument/2006/relationships/hyperlink" Target="https://ukraine-elections.com.ua/en/socopros/opinion_poll_show/1851" TargetMode="External"/><Relationship Id="rId1505" Type="http://schemas.openxmlformats.org/officeDocument/2006/relationships/hyperlink" Target="https://ukraine-elections.com.ua/en/socopros/opinion_poll_show/1932" TargetMode="External"/><Relationship Id="rId1989" Type="http://schemas.openxmlformats.org/officeDocument/2006/relationships/hyperlink" Target="https://ukraine-elections.com.ua/en/socopros/opinion_poll_show/1851" TargetMode="External"/><Relationship Id="rId1506" Type="http://schemas.openxmlformats.org/officeDocument/2006/relationships/hyperlink" Target="https://ukraine-elections.com.ua/en/socopros/opinion_poll_show/1932" TargetMode="External"/><Relationship Id="rId1507" Type="http://schemas.openxmlformats.org/officeDocument/2006/relationships/hyperlink" Target="https://ukraine-elections.com.ua/en/socopros/opinion_poll_show/1932" TargetMode="External"/><Relationship Id="rId1508" Type="http://schemas.openxmlformats.org/officeDocument/2006/relationships/hyperlink" Target="https://ukraine-elections.com.ua/en/socopros/opinion_poll_show/1932" TargetMode="External"/><Relationship Id="rId1509" Type="http://schemas.openxmlformats.org/officeDocument/2006/relationships/hyperlink" Target="https://ukraine-elections.com.ua/en/socopros/opinion_poll_show/1932" TargetMode="External"/><Relationship Id="rId1980" Type="http://schemas.openxmlformats.org/officeDocument/2006/relationships/hyperlink" Target="https://ukraine-elections.com.ua/en/socopros/opinion_poll_show/1854" TargetMode="External"/><Relationship Id="rId1981" Type="http://schemas.openxmlformats.org/officeDocument/2006/relationships/hyperlink" Target="https://ukraine-elections.com.ua/en/socopros/opinion_poll_show/1854" TargetMode="External"/><Relationship Id="rId1982" Type="http://schemas.openxmlformats.org/officeDocument/2006/relationships/hyperlink" Target="https://ukraine-elections.com.ua/en/socopros/opinion_poll_show/1854" TargetMode="External"/><Relationship Id="rId1930" Type="http://schemas.openxmlformats.org/officeDocument/2006/relationships/hyperlink" Target="https://ukraine-elections.com.ua/en/socopros/opinion_poll_show/1858" TargetMode="External"/><Relationship Id="rId1931" Type="http://schemas.openxmlformats.org/officeDocument/2006/relationships/hyperlink" Target="https://ukraine-elections.com.ua/en/socopros/opinion_poll_show/1858" TargetMode="External"/><Relationship Id="rId1932" Type="http://schemas.openxmlformats.org/officeDocument/2006/relationships/hyperlink" Target="https://ukraine-elections.com.ua/en/socopros/opinion_poll_show/1858" TargetMode="External"/><Relationship Id="rId1933" Type="http://schemas.openxmlformats.org/officeDocument/2006/relationships/hyperlink" Target="https://ukraine-elections.com.ua/en/socopros/opinion_poll_show/1858" TargetMode="External"/><Relationship Id="rId1934" Type="http://schemas.openxmlformats.org/officeDocument/2006/relationships/hyperlink" Target="https://ukraine-elections.com.ua/en/socopros/opinion_poll_show/1858" TargetMode="External"/><Relationship Id="rId1935" Type="http://schemas.openxmlformats.org/officeDocument/2006/relationships/hyperlink" Target="https://ukraine-elections.com.ua/en/socopros/opinion_poll_show/1858" TargetMode="External"/><Relationship Id="rId1936" Type="http://schemas.openxmlformats.org/officeDocument/2006/relationships/hyperlink" Target="https://ukraine-elections.com.ua/en/socopros/opinion_poll_show/1858" TargetMode="External"/><Relationship Id="rId1937" Type="http://schemas.openxmlformats.org/officeDocument/2006/relationships/hyperlink" Target="https://ukraine-elections.com.ua/en/socopros/opinion_poll_show/1858" TargetMode="External"/><Relationship Id="rId1938" Type="http://schemas.openxmlformats.org/officeDocument/2006/relationships/hyperlink" Target="https://ukraine-elections.com.ua/en/socopros/opinion_poll_show/1858" TargetMode="External"/><Relationship Id="rId1939" Type="http://schemas.openxmlformats.org/officeDocument/2006/relationships/hyperlink" Target="https://ukraine-elections.com.ua/en/socopros/opinion_poll_show/1856" TargetMode="External"/><Relationship Id="rId1920" Type="http://schemas.openxmlformats.org/officeDocument/2006/relationships/hyperlink" Target="https://ukraine-elections.com.ua/en/socopros/opinion_poll_show/1860" TargetMode="External"/><Relationship Id="rId1921" Type="http://schemas.openxmlformats.org/officeDocument/2006/relationships/hyperlink" Target="https://ukraine-elections.com.ua/en/socopros/opinion_poll_show/1860" TargetMode="External"/><Relationship Id="rId1922" Type="http://schemas.openxmlformats.org/officeDocument/2006/relationships/hyperlink" Target="https://ukraine-elections.com.ua/en/socopros/opinion_poll_show/1860" TargetMode="External"/><Relationship Id="rId1923" Type="http://schemas.openxmlformats.org/officeDocument/2006/relationships/hyperlink" Target="https://ukraine-elections.com.ua/en/socopros/opinion_poll_show/1860" TargetMode="External"/><Relationship Id="rId1924" Type="http://schemas.openxmlformats.org/officeDocument/2006/relationships/hyperlink" Target="https://ukraine-elections.com.ua/en/socopros/opinion_poll_show/1860" TargetMode="External"/><Relationship Id="rId1925" Type="http://schemas.openxmlformats.org/officeDocument/2006/relationships/hyperlink" Target="https://ukraine-elections.com.ua/en/socopros/opinion_poll_show/1860" TargetMode="External"/><Relationship Id="rId1926" Type="http://schemas.openxmlformats.org/officeDocument/2006/relationships/hyperlink" Target="https://ukraine-elections.com.ua/en/socopros/opinion_poll_show/1860" TargetMode="External"/><Relationship Id="rId1927" Type="http://schemas.openxmlformats.org/officeDocument/2006/relationships/hyperlink" Target="https://ukraine-elections.com.ua/en/socopros/opinion_poll_show/1860" TargetMode="External"/><Relationship Id="rId1928" Type="http://schemas.openxmlformats.org/officeDocument/2006/relationships/hyperlink" Target="https://ukraine-elections.com.ua/en/socopros/opinion_poll_show/1860" TargetMode="External"/><Relationship Id="rId1929" Type="http://schemas.openxmlformats.org/officeDocument/2006/relationships/hyperlink" Target="https://ukraine-elections.com.ua/en/socopros/opinion_poll_show/1858" TargetMode="External"/><Relationship Id="rId1950" Type="http://schemas.openxmlformats.org/officeDocument/2006/relationships/hyperlink" Target="https://ukraine-elections.com.ua/en/socopros/opinion_poll_show/1855" TargetMode="External"/><Relationship Id="rId1951" Type="http://schemas.openxmlformats.org/officeDocument/2006/relationships/hyperlink" Target="https://ukraine-elections.com.ua/en/socopros/opinion_poll_show/1855" TargetMode="External"/><Relationship Id="rId1952" Type="http://schemas.openxmlformats.org/officeDocument/2006/relationships/hyperlink" Target="https://ukraine-elections.com.ua/en/socopros/opinion_poll_show/1855" TargetMode="External"/><Relationship Id="rId1953" Type="http://schemas.openxmlformats.org/officeDocument/2006/relationships/hyperlink" Target="https://ukraine-elections.com.ua/en/socopros/opinion_poll_show/1855" TargetMode="External"/><Relationship Id="rId1954" Type="http://schemas.openxmlformats.org/officeDocument/2006/relationships/hyperlink" Target="https://ukraine-elections.com.ua/en/socopros/opinion_poll_show/1855" TargetMode="External"/><Relationship Id="rId1955" Type="http://schemas.openxmlformats.org/officeDocument/2006/relationships/hyperlink" Target="https://ukraine-elections.com.ua/en/socopros/opinion_poll_show/1855" TargetMode="External"/><Relationship Id="rId1956" Type="http://schemas.openxmlformats.org/officeDocument/2006/relationships/hyperlink" Target="https://ukraine-elections.com.ua/en/socopros/opinion_poll_show/1855" TargetMode="External"/><Relationship Id="rId1957" Type="http://schemas.openxmlformats.org/officeDocument/2006/relationships/hyperlink" Target="https://ukraine-elections.com.ua/en/socopros/opinion_poll_show/1855" TargetMode="External"/><Relationship Id="rId1958" Type="http://schemas.openxmlformats.org/officeDocument/2006/relationships/hyperlink" Target="https://ukraine-elections.com.ua/en/socopros/opinion_poll_show/1855" TargetMode="External"/><Relationship Id="rId1959" Type="http://schemas.openxmlformats.org/officeDocument/2006/relationships/hyperlink" Target="https://ukraine-elections.com.ua/en/socopros/opinion_poll_show/1855" TargetMode="External"/><Relationship Id="rId1940" Type="http://schemas.openxmlformats.org/officeDocument/2006/relationships/hyperlink" Target="https://ukraine-elections.com.ua/en/socopros/opinion_poll_show/1856" TargetMode="External"/><Relationship Id="rId1941" Type="http://schemas.openxmlformats.org/officeDocument/2006/relationships/hyperlink" Target="https://ukraine-elections.com.ua/en/socopros/opinion_poll_show/1856" TargetMode="External"/><Relationship Id="rId1942" Type="http://schemas.openxmlformats.org/officeDocument/2006/relationships/hyperlink" Target="https://ukraine-elections.com.ua/en/socopros/opinion_poll_show/1856" TargetMode="External"/><Relationship Id="rId1943" Type="http://schemas.openxmlformats.org/officeDocument/2006/relationships/hyperlink" Target="https://ukraine-elections.com.ua/en/socopros/opinion_poll_show/1856" TargetMode="External"/><Relationship Id="rId1944" Type="http://schemas.openxmlformats.org/officeDocument/2006/relationships/hyperlink" Target="https://ukraine-elections.com.ua/en/socopros/opinion_poll_show/1856" TargetMode="External"/><Relationship Id="rId1945" Type="http://schemas.openxmlformats.org/officeDocument/2006/relationships/hyperlink" Target="https://ukraine-elections.com.ua/en/socopros/opinion_poll_show/1856" TargetMode="External"/><Relationship Id="rId1946" Type="http://schemas.openxmlformats.org/officeDocument/2006/relationships/hyperlink" Target="https://ukraine-elections.com.ua/en/socopros/opinion_poll_show/1856" TargetMode="External"/><Relationship Id="rId1947" Type="http://schemas.openxmlformats.org/officeDocument/2006/relationships/hyperlink" Target="https://ukraine-elections.com.ua/en/socopros/opinion_poll_show/1856" TargetMode="External"/><Relationship Id="rId1948" Type="http://schemas.openxmlformats.org/officeDocument/2006/relationships/hyperlink" Target="https://ukraine-elections.com.ua/en/socopros/opinion_poll_show/1856" TargetMode="External"/><Relationship Id="rId1949" Type="http://schemas.openxmlformats.org/officeDocument/2006/relationships/hyperlink" Target="https://ukraine-elections.com.ua/en/socopros/opinion_poll_show/1855" TargetMode="External"/><Relationship Id="rId1576" Type="http://schemas.openxmlformats.org/officeDocument/2006/relationships/hyperlink" Target="https://ukraine-elections.com.ua/en/socopros/opinion_poll_show/1913" TargetMode="External"/><Relationship Id="rId1577" Type="http://schemas.openxmlformats.org/officeDocument/2006/relationships/hyperlink" Target="https://ukraine-elections.com.ua/en/socopros/opinion_poll_show/1913" TargetMode="External"/><Relationship Id="rId1578" Type="http://schemas.openxmlformats.org/officeDocument/2006/relationships/hyperlink" Target="https://ukraine-elections.com.ua/en/socopros/opinion_poll_show/1907" TargetMode="External"/><Relationship Id="rId1579" Type="http://schemas.openxmlformats.org/officeDocument/2006/relationships/hyperlink" Target="https://ukraine-elections.com.ua/en/socopros/opinion_poll_show/1907" TargetMode="External"/><Relationship Id="rId509" Type="http://schemas.openxmlformats.org/officeDocument/2006/relationships/hyperlink" Target="https://ukraine-elections.com.ua/en/socopros/opinion_poll_show/2097" TargetMode="External"/><Relationship Id="rId508" Type="http://schemas.openxmlformats.org/officeDocument/2006/relationships/hyperlink" Target="https://ukraine-elections.com.ua/en/socopros/opinion_poll_show/2097" TargetMode="External"/><Relationship Id="rId503" Type="http://schemas.openxmlformats.org/officeDocument/2006/relationships/hyperlink" Target="https://ukraine-elections.com.ua/en/socopros/opinion_poll_show/2097" TargetMode="External"/><Relationship Id="rId987" Type="http://schemas.openxmlformats.org/officeDocument/2006/relationships/hyperlink" Target="https://ukraine-elections.com.ua/en/socopros/opinion_poll_show/2036" TargetMode="External"/><Relationship Id="rId502" Type="http://schemas.openxmlformats.org/officeDocument/2006/relationships/hyperlink" Target="https://ukraine-elections.com.ua/en/socopros/opinion_poll_show/2097" TargetMode="External"/><Relationship Id="rId986" Type="http://schemas.openxmlformats.org/officeDocument/2006/relationships/hyperlink" Target="https://ukraine-elections.com.ua/en/socopros/opinion_poll_show/2036" TargetMode="External"/><Relationship Id="rId501" Type="http://schemas.openxmlformats.org/officeDocument/2006/relationships/hyperlink" Target="https://ukraine-elections.com.ua/en/socopros/opinion_poll_show/2098" TargetMode="External"/><Relationship Id="rId985" Type="http://schemas.openxmlformats.org/officeDocument/2006/relationships/hyperlink" Target="https://ukraine-elections.com.ua/en/socopros/opinion_poll_show/2036" TargetMode="External"/><Relationship Id="rId500" Type="http://schemas.openxmlformats.org/officeDocument/2006/relationships/hyperlink" Target="https://ukraine-elections.com.ua/en/socopros/opinion_poll_show/2098" TargetMode="External"/><Relationship Id="rId984" Type="http://schemas.openxmlformats.org/officeDocument/2006/relationships/hyperlink" Target="https://ukraine-elections.com.ua/en/socopros/opinion_poll_show/2036" TargetMode="External"/><Relationship Id="rId507" Type="http://schemas.openxmlformats.org/officeDocument/2006/relationships/hyperlink" Target="https://ukraine-elections.com.ua/en/socopros/opinion_poll_show/2097" TargetMode="External"/><Relationship Id="rId506" Type="http://schemas.openxmlformats.org/officeDocument/2006/relationships/hyperlink" Target="https://ukraine-elections.com.ua/en/socopros/opinion_poll_show/2097" TargetMode="External"/><Relationship Id="rId505" Type="http://schemas.openxmlformats.org/officeDocument/2006/relationships/hyperlink" Target="https://ukraine-elections.com.ua/en/socopros/opinion_poll_show/2097" TargetMode="External"/><Relationship Id="rId989" Type="http://schemas.openxmlformats.org/officeDocument/2006/relationships/hyperlink" Target="https://ukraine-elections.com.ua/en/socopros/opinion_poll_show/2035" TargetMode="External"/><Relationship Id="rId504" Type="http://schemas.openxmlformats.org/officeDocument/2006/relationships/hyperlink" Target="https://ukraine-elections.com.ua/en/socopros/opinion_poll_show/2097" TargetMode="External"/><Relationship Id="rId988" Type="http://schemas.openxmlformats.org/officeDocument/2006/relationships/hyperlink" Target="https://ukraine-elections.com.ua/en/socopros/opinion_poll_show/2035" TargetMode="External"/><Relationship Id="rId1570" Type="http://schemas.openxmlformats.org/officeDocument/2006/relationships/hyperlink" Target="https://ukraine-elections.com.ua/en/socopros/opinion_poll_show/1913" TargetMode="External"/><Relationship Id="rId1571" Type="http://schemas.openxmlformats.org/officeDocument/2006/relationships/hyperlink" Target="https://ukraine-elections.com.ua/en/socopros/opinion_poll_show/1913" TargetMode="External"/><Relationship Id="rId983" Type="http://schemas.openxmlformats.org/officeDocument/2006/relationships/hyperlink" Target="https://ukraine-elections.com.ua/en/socopros/opinion_poll_show/2036" TargetMode="External"/><Relationship Id="rId1572" Type="http://schemas.openxmlformats.org/officeDocument/2006/relationships/hyperlink" Target="https://ukraine-elections.com.ua/en/socopros/opinion_poll_show/1913" TargetMode="External"/><Relationship Id="rId982" Type="http://schemas.openxmlformats.org/officeDocument/2006/relationships/hyperlink" Target="https://ukraine-elections.com.ua/en/socopros/opinion_poll_show/2036" TargetMode="External"/><Relationship Id="rId1573" Type="http://schemas.openxmlformats.org/officeDocument/2006/relationships/hyperlink" Target="https://ukraine-elections.com.ua/en/socopros/opinion_poll_show/1913" TargetMode="External"/><Relationship Id="rId981" Type="http://schemas.openxmlformats.org/officeDocument/2006/relationships/hyperlink" Target="https://ukraine-elections.com.ua/en/socopros/opinion_poll_show/2036" TargetMode="External"/><Relationship Id="rId1574" Type="http://schemas.openxmlformats.org/officeDocument/2006/relationships/hyperlink" Target="https://ukraine-elections.com.ua/en/socopros/opinion_poll_show/1913" TargetMode="External"/><Relationship Id="rId980" Type="http://schemas.openxmlformats.org/officeDocument/2006/relationships/hyperlink" Target="https://ukraine-elections.com.ua/en/socopros/opinion_poll_show/2036" TargetMode="External"/><Relationship Id="rId1575" Type="http://schemas.openxmlformats.org/officeDocument/2006/relationships/hyperlink" Target="https://ukraine-elections.com.ua/en/socopros/opinion_poll_show/1913" TargetMode="External"/><Relationship Id="rId1565" Type="http://schemas.openxmlformats.org/officeDocument/2006/relationships/hyperlink" Target="https://ukraine-elections.com.ua/en/socopros/opinion_poll_show/1918" TargetMode="External"/><Relationship Id="rId1566" Type="http://schemas.openxmlformats.org/officeDocument/2006/relationships/hyperlink" Target="https://ukraine-elections.com.ua/en/socopros/opinion_poll_show/1918" TargetMode="External"/><Relationship Id="rId1567" Type="http://schemas.openxmlformats.org/officeDocument/2006/relationships/hyperlink" Target="https://ukraine-elections.com.ua/en/socopros/opinion_poll_show/1918" TargetMode="External"/><Relationship Id="rId1568" Type="http://schemas.openxmlformats.org/officeDocument/2006/relationships/hyperlink" Target="https://ukraine-elections.com.ua/en/socopros/opinion_poll_show/1913" TargetMode="External"/><Relationship Id="rId1569" Type="http://schemas.openxmlformats.org/officeDocument/2006/relationships/hyperlink" Target="https://ukraine-elections.com.ua/en/socopros/opinion_poll_show/1913" TargetMode="External"/><Relationship Id="rId976" Type="http://schemas.openxmlformats.org/officeDocument/2006/relationships/hyperlink" Target="https://ukraine-elections.com.ua/en/socopros/opinion_poll_show/2036" TargetMode="External"/><Relationship Id="rId975" Type="http://schemas.openxmlformats.org/officeDocument/2006/relationships/hyperlink" Target="https://ukraine-elections.com.ua/en/socopros/opinion_poll_show/2036" TargetMode="External"/><Relationship Id="rId974" Type="http://schemas.openxmlformats.org/officeDocument/2006/relationships/hyperlink" Target="https://ukraine-elections.com.ua/en/socopros/opinion_poll_show/2044" TargetMode="External"/><Relationship Id="rId973" Type="http://schemas.openxmlformats.org/officeDocument/2006/relationships/hyperlink" Target="https://ukraine-elections.com.ua/en/socopros/opinion_poll_show/2044" TargetMode="External"/><Relationship Id="rId979" Type="http://schemas.openxmlformats.org/officeDocument/2006/relationships/hyperlink" Target="https://ukraine-elections.com.ua/en/socopros/opinion_poll_show/2036" TargetMode="External"/><Relationship Id="rId978" Type="http://schemas.openxmlformats.org/officeDocument/2006/relationships/hyperlink" Target="https://ukraine-elections.com.ua/en/socopros/opinion_poll_show/2036" TargetMode="External"/><Relationship Id="rId977" Type="http://schemas.openxmlformats.org/officeDocument/2006/relationships/hyperlink" Target="https://ukraine-elections.com.ua/en/socopros/opinion_poll_show/2036" TargetMode="External"/><Relationship Id="rId1560" Type="http://schemas.openxmlformats.org/officeDocument/2006/relationships/hyperlink" Target="https://ukraine-elections.com.ua/en/socopros/opinion_poll_show/1918" TargetMode="External"/><Relationship Id="rId972" Type="http://schemas.openxmlformats.org/officeDocument/2006/relationships/hyperlink" Target="https://ukraine-elections.com.ua/en/socopros/opinion_poll_show/2044" TargetMode="External"/><Relationship Id="rId1561" Type="http://schemas.openxmlformats.org/officeDocument/2006/relationships/hyperlink" Target="https://ukraine-elections.com.ua/en/socopros/opinion_poll_show/1918" TargetMode="External"/><Relationship Id="rId971" Type="http://schemas.openxmlformats.org/officeDocument/2006/relationships/hyperlink" Target="https://ukraine-elections.com.ua/en/socopros/opinion_poll_show/2044" TargetMode="External"/><Relationship Id="rId1562" Type="http://schemas.openxmlformats.org/officeDocument/2006/relationships/hyperlink" Target="https://ukraine-elections.com.ua/en/socopros/opinion_poll_show/1918" TargetMode="External"/><Relationship Id="rId970" Type="http://schemas.openxmlformats.org/officeDocument/2006/relationships/hyperlink" Target="https://ukraine-elections.com.ua/en/socopros/opinion_poll_show/2044" TargetMode="External"/><Relationship Id="rId1563" Type="http://schemas.openxmlformats.org/officeDocument/2006/relationships/hyperlink" Target="https://ukraine-elections.com.ua/en/socopros/opinion_poll_show/1918" TargetMode="External"/><Relationship Id="rId1564" Type="http://schemas.openxmlformats.org/officeDocument/2006/relationships/hyperlink" Target="https://ukraine-elections.com.ua/en/socopros/opinion_poll_show/1918" TargetMode="External"/><Relationship Id="rId1114" Type="http://schemas.openxmlformats.org/officeDocument/2006/relationships/hyperlink" Target="https://ukraine-elections.com.ua/en/socopros/opinion_poll_show/2015" TargetMode="External"/><Relationship Id="rId1598" Type="http://schemas.openxmlformats.org/officeDocument/2006/relationships/hyperlink" Target="https://ukraine-elections.com.ua/en/socopros/opinion_poll_show/1906" TargetMode="External"/><Relationship Id="rId1115" Type="http://schemas.openxmlformats.org/officeDocument/2006/relationships/hyperlink" Target="https://ukraine-elections.com.ua/en/socopros/opinion_poll_show/2015" TargetMode="External"/><Relationship Id="rId1599" Type="http://schemas.openxmlformats.org/officeDocument/2006/relationships/hyperlink" Target="https://ukraine-elections.com.ua/en/socopros/opinion_poll_show/1906" TargetMode="External"/><Relationship Id="rId1116" Type="http://schemas.openxmlformats.org/officeDocument/2006/relationships/hyperlink" Target="https://ukraine-elections.com.ua/en/socopros/opinion_poll_show/2015" TargetMode="External"/><Relationship Id="rId1117" Type="http://schemas.openxmlformats.org/officeDocument/2006/relationships/hyperlink" Target="https://ukraine-elections.com.ua/en/socopros/opinion_poll_show/2015" TargetMode="External"/><Relationship Id="rId1118" Type="http://schemas.openxmlformats.org/officeDocument/2006/relationships/hyperlink" Target="https://ukraine-elections.com.ua/en/socopros/opinion_poll_show/2015" TargetMode="External"/><Relationship Id="rId1119" Type="http://schemas.openxmlformats.org/officeDocument/2006/relationships/hyperlink" Target="https://ukraine-elections.com.ua/en/socopros/opinion_poll_show/2015" TargetMode="External"/><Relationship Id="rId525" Type="http://schemas.openxmlformats.org/officeDocument/2006/relationships/hyperlink" Target="https://ukraine-elections.com.ua/en/socopros/opinion_poll_show/2093" TargetMode="External"/><Relationship Id="rId524" Type="http://schemas.openxmlformats.org/officeDocument/2006/relationships/hyperlink" Target="https://ukraine-elections.com.ua/en/socopros/opinion_poll_show/2094" TargetMode="External"/><Relationship Id="rId523" Type="http://schemas.openxmlformats.org/officeDocument/2006/relationships/hyperlink" Target="https://ukraine-elections.com.ua/en/socopros/opinion_poll_show/2094" TargetMode="External"/><Relationship Id="rId522" Type="http://schemas.openxmlformats.org/officeDocument/2006/relationships/hyperlink" Target="https://ukraine-elections.com.ua/en/socopros/opinion_poll_show/2094" TargetMode="External"/><Relationship Id="rId529" Type="http://schemas.openxmlformats.org/officeDocument/2006/relationships/hyperlink" Target="https://ukraine-elections.com.ua/en/socopros/opinion_poll_show/2093" TargetMode="External"/><Relationship Id="rId528" Type="http://schemas.openxmlformats.org/officeDocument/2006/relationships/hyperlink" Target="https://ukraine-elections.com.ua/en/socopros/opinion_poll_show/2093" TargetMode="External"/><Relationship Id="rId527" Type="http://schemas.openxmlformats.org/officeDocument/2006/relationships/hyperlink" Target="https://ukraine-elections.com.ua/en/socopros/opinion_poll_show/2093" TargetMode="External"/><Relationship Id="rId526" Type="http://schemas.openxmlformats.org/officeDocument/2006/relationships/hyperlink" Target="https://ukraine-elections.com.ua/en/socopros/opinion_poll_show/2093" TargetMode="External"/><Relationship Id="rId1590" Type="http://schemas.openxmlformats.org/officeDocument/2006/relationships/hyperlink" Target="https://ukraine-elections.com.ua/en/socopros/opinion_poll_show/1907" TargetMode="External"/><Relationship Id="rId1591" Type="http://schemas.openxmlformats.org/officeDocument/2006/relationships/hyperlink" Target="https://ukraine-elections.com.ua/en/socopros/opinion_poll_show/1906" TargetMode="External"/><Relationship Id="rId1592" Type="http://schemas.openxmlformats.org/officeDocument/2006/relationships/hyperlink" Target="https://ukraine-elections.com.ua/en/socopros/opinion_poll_show/1906" TargetMode="External"/><Relationship Id="rId1593" Type="http://schemas.openxmlformats.org/officeDocument/2006/relationships/hyperlink" Target="https://ukraine-elections.com.ua/en/socopros/opinion_poll_show/1906" TargetMode="External"/><Relationship Id="rId521" Type="http://schemas.openxmlformats.org/officeDocument/2006/relationships/hyperlink" Target="https://ukraine-elections.com.ua/en/socopros/opinion_poll_show/2094" TargetMode="External"/><Relationship Id="rId1110" Type="http://schemas.openxmlformats.org/officeDocument/2006/relationships/hyperlink" Target="https://ukraine-elections.com.ua/en/socopros/opinion_poll_show/2015" TargetMode="External"/><Relationship Id="rId1594" Type="http://schemas.openxmlformats.org/officeDocument/2006/relationships/hyperlink" Target="https://ukraine-elections.com.ua/en/socopros/opinion_poll_show/1906" TargetMode="External"/><Relationship Id="rId520" Type="http://schemas.openxmlformats.org/officeDocument/2006/relationships/hyperlink" Target="https://ukraine-elections.com.ua/en/socopros/opinion_poll_show/2094" TargetMode="External"/><Relationship Id="rId1111" Type="http://schemas.openxmlformats.org/officeDocument/2006/relationships/hyperlink" Target="https://ukraine-elections.com.ua/en/socopros/opinion_poll_show/2015" TargetMode="External"/><Relationship Id="rId1595" Type="http://schemas.openxmlformats.org/officeDocument/2006/relationships/hyperlink" Target="https://ukraine-elections.com.ua/en/socopros/opinion_poll_show/1906" TargetMode="External"/><Relationship Id="rId1112" Type="http://schemas.openxmlformats.org/officeDocument/2006/relationships/hyperlink" Target="https://ukraine-elections.com.ua/en/socopros/opinion_poll_show/2015" TargetMode="External"/><Relationship Id="rId1596" Type="http://schemas.openxmlformats.org/officeDocument/2006/relationships/hyperlink" Target="https://ukraine-elections.com.ua/en/socopros/opinion_poll_show/1906" TargetMode="External"/><Relationship Id="rId1113" Type="http://schemas.openxmlformats.org/officeDocument/2006/relationships/hyperlink" Target="https://ukraine-elections.com.ua/en/socopros/opinion_poll_show/2015" TargetMode="External"/><Relationship Id="rId1597" Type="http://schemas.openxmlformats.org/officeDocument/2006/relationships/hyperlink" Target="https://ukraine-elections.com.ua/en/socopros/opinion_poll_show/1906" TargetMode="External"/><Relationship Id="rId1103" Type="http://schemas.openxmlformats.org/officeDocument/2006/relationships/hyperlink" Target="https://ukraine-elections.com.ua/en/socopros/opinion_poll_show/2020" TargetMode="External"/><Relationship Id="rId1587" Type="http://schemas.openxmlformats.org/officeDocument/2006/relationships/hyperlink" Target="https://ukraine-elections.com.ua/en/socopros/opinion_poll_show/1907" TargetMode="External"/><Relationship Id="rId1104" Type="http://schemas.openxmlformats.org/officeDocument/2006/relationships/hyperlink" Target="https://ukraine-elections.com.ua/en/socopros/opinion_poll_show/2020" TargetMode="External"/><Relationship Id="rId1588" Type="http://schemas.openxmlformats.org/officeDocument/2006/relationships/hyperlink" Target="https://ukraine-elections.com.ua/en/socopros/opinion_poll_show/1907" TargetMode="External"/><Relationship Id="rId1105" Type="http://schemas.openxmlformats.org/officeDocument/2006/relationships/hyperlink" Target="https://ukraine-elections.com.ua/en/socopros/opinion_poll_show/2020" TargetMode="External"/><Relationship Id="rId1589" Type="http://schemas.openxmlformats.org/officeDocument/2006/relationships/hyperlink" Target="https://ukraine-elections.com.ua/en/socopros/opinion_poll_show/1907" TargetMode="External"/><Relationship Id="rId1106" Type="http://schemas.openxmlformats.org/officeDocument/2006/relationships/hyperlink" Target="https://ukraine-elections.com.ua/en/socopros/opinion_poll_show/2020" TargetMode="External"/><Relationship Id="rId1107" Type="http://schemas.openxmlformats.org/officeDocument/2006/relationships/hyperlink" Target="https://ukraine-elections.com.ua/en/socopros/opinion_poll_show/2020" TargetMode="External"/><Relationship Id="rId1108" Type="http://schemas.openxmlformats.org/officeDocument/2006/relationships/hyperlink" Target="https://ukraine-elections.com.ua/en/socopros/opinion_poll_show/2020" TargetMode="External"/><Relationship Id="rId1109" Type="http://schemas.openxmlformats.org/officeDocument/2006/relationships/hyperlink" Target="https://ukraine-elections.com.ua/en/socopros/opinion_poll_show/2020" TargetMode="External"/><Relationship Id="rId519" Type="http://schemas.openxmlformats.org/officeDocument/2006/relationships/hyperlink" Target="https://ukraine-elections.com.ua/en/socopros/opinion_poll_show/2094" TargetMode="External"/><Relationship Id="rId514" Type="http://schemas.openxmlformats.org/officeDocument/2006/relationships/hyperlink" Target="https://ukraine-elections.com.ua/en/socopros/opinion_poll_show/2096" TargetMode="External"/><Relationship Id="rId998" Type="http://schemas.openxmlformats.org/officeDocument/2006/relationships/hyperlink" Target="https://ukraine-elections.com.ua/en/socopros/opinion_poll_show/2035" TargetMode="External"/><Relationship Id="rId513" Type="http://schemas.openxmlformats.org/officeDocument/2006/relationships/hyperlink" Target="https://ukraine-elections.com.ua/en/socopros/opinion_poll_show/2096" TargetMode="External"/><Relationship Id="rId997" Type="http://schemas.openxmlformats.org/officeDocument/2006/relationships/hyperlink" Target="https://ukraine-elections.com.ua/en/socopros/opinion_poll_show/2035" TargetMode="External"/><Relationship Id="rId512" Type="http://schemas.openxmlformats.org/officeDocument/2006/relationships/hyperlink" Target="https://ukraine-elections.com.ua/en/socopros/opinion_poll_show/2096" TargetMode="External"/><Relationship Id="rId996" Type="http://schemas.openxmlformats.org/officeDocument/2006/relationships/hyperlink" Target="https://ukraine-elections.com.ua/en/socopros/opinion_poll_show/2035" TargetMode="External"/><Relationship Id="rId511" Type="http://schemas.openxmlformats.org/officeDocument/2006/relationships/hyperlink" Target="https://ukraine-elections.com.ua/en/socopros/opinion_poll_show/2096" TargetMode="External"/><Relationship Id="rId995" Type="http://schemas.openxmlformats.org/officeDocument/2006/relationships/hyperlink" Target="https://ukraine-elections.com.ua/en/socopros/opinion_poll_show/2035" TargetMode="External"/><Relationship Id="rId518" Type="http://schemas.openxmlformats.org/officeDocument/2006/relationships/hyperlink" Target="https://ukraine-elections.com.ua/en/socopros/opinion_poll_show/2094" TargetMode="External"/><Relationship Id="rId517" Type="http://schemas.openxmlformats.org/officeDocument/2006/relationships/hyperlink" Target="https://ukraine-elections.com.ua/en/socopros/opinion_poll_show/2094" TargetMode="External"/><Relationship Id="rId516" Type="http://schemas.openxmlformats.org/officeDocument/2006/relationships/hyperlink" Target="https://ukraine-elections.com.ua/en/socopros/opinion_poll_show/2096" TargetMode="External"/><Relationship Id="rId515" Type="http://schemas.openxmlformats.org/officeDocument/2006/relationships/hyperlink" Target="https://ukraine-elections.com.ua/en/socopros/opinion_poll_show/2096" TargetMode="External"/><Relationship Id="rId999" Type="http://schemas.openxmlformats.org/officeDocument/2006/relationships/hyperlink" Target="https://ukraine-elections.com.ua/en/socopros/opinion_poll_show/2035" TargetMode="External"/><Relationship Id="rId990" Type="http://schemas.openxmlformats.org/officeDocument/2006/relationships/hyperlink" Target="https://ukraine-elections.com.ua/en/socopros/opinion_poll_show/2035" TargetMode="External"/><Relationship Id="rId1580" Type="http://schemas.openxmlformats.org/officeDocument/2006/relationships/hyperlink" Target="https://ukraine-elections.com.ua/en/socopros/opinion_poll_show/1907" TargetMode="External"/><Relationship Id="rId1581" Type="http://schemas.openxmlformats.org/officeDocument/2006/relationships/hyperlink" Target="https://ukraine-elections.com.ua/en/socopros/opinion_poll_show/1907" TargetMode="External"/><Relationship Id="rId1582" Type="http://schemas.openxmlformats.org/officeDocument/2006/relationships/hyperlink" Target="https://ukraine-elections.com.ua/en/socopros/opinion_poll_show/1907" TargetMode="External"/><Relationship Id="rId510" Type="http://schemas.openxmlformats.org/officeDocument/2006/relationships/hyperlink" Target="https://ukraine-elections.com.ua/en/socopros/opinion_poll_show/2097" TargetMode="External"/><Relationship Id="rId994" Type="http://schemas.openxmlformats.org/officeDocument/2006/relationships/hyperlink" Target="https://ukraine-elections.com.ua/en/socopros/opinion_poll_show/2035" TargetMode="External"/><Relationship Id="rId1583" Type="http://schemas.openxmlformats.org/officeDocument/2006/relationships/hyperlink" Target="https://ukraine-elections.com.ua/en/socopros/opinion_poll_show/1907" TargetMode="External"/><Relationship Id="rId993" Type="http://schemas.openxmlformats.org/officeDocument/2006/relationships/hyperlink" Target="https://ukraine-elections.com.ua/en/socopros/opinion_poll_show/2035" TargetMode="External"/><Relationship Id="rId1100" Type="http://schemas.openxmlformats.org/officeDocument/2006/relationships/hyperlink" Target="https://ukraine-elections.com.ua/en/socopros/opinion_poll_show/2020" TargetMode="External"/><Relationship Id="rId1584" Type="http://schemas.openxmlformats.org/officeDocument/2006/relationships/hyperlink" Target="https://ukraine-elections.com.ua/en/socopros/opinion_poll_show/1907" TargetMode="External"/><Relationship Id="rId992" Type="http://schemas.openxmlformats.org/officeDocument/2006/relationships/hyperlink" Target="https://ukraine-elections.com.ua/en/socopros/opinion_poll_show/2035" TargetMode="External"/><Relationship Id="rId1101" Type="http://schemas.openxmlformats.org/officeDocument/2006/relationships/hyperlink" Target="https://ukraine-elections.com.ua/en/socopros/opinion_poll_show/2020" TargetMode="External"/><Relationship Id="rId1585" Type="http://schemas.openxmlformats.org/officeDocument/2006/relationships/hyperlink" Target="https://ukraine-elections.com.ua/en/socopros/opinion_poll_show/1907" TargetMode="External"/><Relationship Id="rId991" Type="http://schemas.openxmlformats.org/officeDocument/2006/relationships/hyperlink" Target="https://ukraine-elections.com.ua/en/socopros/opinion_poll_show/2035" TargetMode="External"/><Relationship Id="rId1102" Type="http://schemas.openxmlformats.org/officeDocument/2006/relationships/hyperlink" Target="https://ukraine-elections.com.ua/en/socopros/opinion_poll_show/2020" TargetMode="External"/><Relationship Id="rId1586" Type="http://schemas.openxmlformats.org/officeDocument/2006/relationships/hyperlink" Target="https://ukraine-elections.com.ua/en/socopros/opinion_poll_show/1907" TargetMode="External"/><Relationship Id="rId1532" Type="http://schemas.openxmlformats.org/officeDocument/2006/relationships/hyperlink" Target="https://ukraine-elections.com.ua/en/socopros/opinion_poll_show/1925" TargetMode="External"/><Relationship Id="rId1533" Type="http://schemas.openxmlformats.org/officeDocument/2006/relationships/hyperlink" Target="https://ukraine-elections.com.ua/en/socopros/opinion_poll_show/1925" TargetMode="External"/><Relationship Id="rId1534" Type="http://schemas.openxmlformats.org/officeDocument/2006/relationships/hyperlink" Target="https://ukraine-elections.com.ua/en/socopros/opinion_poll_show/1925" TargetMode="External"/><Relationship Id="rId1535" Type="http://schemas.openxmlformats.org/officeDocument/2006/relationships/hyperlink" Target="https://ukraine-elections.com.ua/en/socopros/opinion_poll_show/1925" TargetMode="External"/><Relationship Id="rId1536" Type="http://schemas.openxmlformats.org/officeDocument/2006/relationships/hyperlink" Target="https://ukraine-elections.com.ua/en/socopros/opinion_poll_show/1925" TargetMode="External"/><Relationship Id="rId1537" Type="http://schemas.openxmlformats.org/officeDocument/2006/relationships/hyperlink" Target="https://ukraine-elections.com.ua/en/socopros/opinion_poll_show/1925" TargetMode="External"/><Relationship Id="rId1538" Type="http://schemas.openxmlformats.org/officeDocument/2006/relationships/hyperlink" Target="https://ukraine-elections.com.ua/en/socopros/opinion_poll_show/1925" TargetMode="External"/><Relationship Id="rId1539" Type="http://schemas.openxmlformats.org/officeDocument/2006/relationships/hyperlink" Target="https://ukraine-elections.com.ua/en/socopros/opinion_poll_show/1925" TargetMode="External"/><Relationship Id="rId949" Type="http://schemas.openxmlformats.org/officeDocument/2006/relationships/hyperlink" Target="https://ukraine-elections.com.ua/en/socopros/opinion_poll_show/2043" TargetMode="External"/><Relationship Id="rId948" Type="http://schemas.openxmlformats.org/officeDocument/2006/relationships/hyperlink" Target="https://ukraine-elections.com.ua/en/socopros/opinion_poll_show/2043" TargetMode="External"/><Relationship Id="rId943" Type="http://schemas.openxmlformats.org/officeDocument/2006/relationships/hyperlink" Target="https://ukraine-elections.com.ua/en/socopros/opinion_poll_show/2043" TargetMode="External"/><Relationship Id="rId942" Type="http://schemas.openxmlformats.org/officeDocument/2006/relationships/hyperlink" Target="https://ukraine-elections.com.ua/en/socopros/opinion_poll_show/2043" TargetMode="External"/><Relationship Id="rId941" Type="http://schemas.openxmlformats.org/officeDocument/2006/relationships/hyperlink" Target="https://ukraine-elections.com.ua/en/socopros/opinion_poll_show/2043" TargetMode="External"/><Relationship Id="rId940" Type="http://schemas.openxmlformats.org/officeDocument/2006/relationships/hyperlink" Target="https://ukraine-elections.com.ua/en/socopros/opinion_poll_show/2045" TargetMode="External"/><Relationship Id="rId947" Type="http://schemas.openxmlformats.org/officeDocument/2006/relationships/hyperlink" Target="https://ukraine-elections.com.ua/en/socopros/opinion_poll_show/2043" TargetMode="External"/><Relationship Id="rId946" Type="http://schemas.openxmlformats.org/officeDocument/2006/relationships/hyperlink" Target="https://ukraine-elections.com.ua/en/socopros/opinion_poll_show/2043" TargetMode="External"/><Relationship Id="rId945" Type="http://schemas.openxmlformats.org/officeDocument/2006/relationships/hyperlink" Target="https://ukraine-elections.com.ua/en/socopros/opinion_poll_show/2043" TargetMode="External"/><Relationship Id="rId944" Type="http://schemas.openxmlformats.org/officeDocument/2006/relationships/hyperlink" Target="https://ukraine-elections.com.ua/en/socopros/opinion_poll_show/2043" TargetMode="External"/><Relationship Id="rId1530" Type="http://schemas.openxmlformats.org/officeDocument/2006/relationships/hyperlink" Target="https://ukraine-elections.com.ua/en/socopros/opinion_poll_show/1926" TargetMode="External"/><Relationship Id="rId1531" Type="http://schemas.openxmlformats.org/officeDocument/2006/relationships/hyperlink" Target="https://ukraine-elections.com.ua/en/socopros/opinion_poll_show/1926" TargetMode="External"/><Relationship Id="rId1521" Type="http://schemas.openxmlformats.org/officeDocument/2006/relationships/hyperlink" Target="https://ukraine-elections.com.ua/en/socopros/opinion_poll_show/1931" TargetMode="External"/><Relationship Id="rId1522" Type="http://schemas.openxmlformats.org/officeDocument/2006/relationships/hyperlink" Target="https://ukraine-elections.com.ua/en/socopros/opinion_poll_show/1926" TargetMode="External"/><Relationship Id="rId1523" Type="http://schemas.openxmlformats.org/officeDocument/2006/relationships/hyperlink" Target="https://ukraine-elections.com.ua/en/socopros/opinion_poll_show/1926" TargetMode="External"/><Relationship Id="rId1524" Type="http://schemas.openxmlformats.org/officeDocument/2006/relationships/hyperlink" Target="https://ukraine-elections.com.ua/en/socopros/opinion_poll_show/1926" TargetMode="External"/><Relationship Id="rId1525" Type="http://schemas.openxmlformats.org/officeDocument/2006/relationships/hyperlink" Target="https://ukraine-elections.com.ua/en/socopros/opinion_poll_show/1926" TargetMode="External"/><Relationship Id="rId1526" Type="http://schemas.openxmlformats.org/officeDocument/2006/relationships/hyperlink" Target="https://ukraine-elections.com.ua/en/socopros/opinion_poll_show/1926" TargetMode="External"/><Relationship Id="rId1527" Type="http://schemas.openxmlformats.org/officeDocument/2006/relationships/hyperlink" Target="https://ukraine-elections.com.ua/en/socopros/opinion_poll_show/1926" TargetMode="External"/><Relationship Id="rId1528" Type="http://schemas.openxmlformats.org/officeDocument/2006/relationships/hyperlink" Target="https://ukraine-elections.com.ua/en/socopros/opinion_poll_show/1926" TargetMode="External"/><Relationship Id="rId1529" Type="http://schemas.openxmlformats.org/officeDocument/2006/relationships/hyperlink" Target="https://ukraine-elections.com.ua/en/socopros/opinion_poll_show/1926" TargetMode="External"/><Relationship Id="rId939" Type="http://schemas.openxmlformats.org/officeDocument/2006/relationships/hyperlink" Target="https://ukraine-elections.com.ua/en/socopros/opinion_poll_show/2045" TargetMode="External"/><Relationship Id="rId938" Type="http://schemas.openxmlformats.org/officeDocument/2006/relationships/hyperlink" Target="https://ukraine-elections.com.ua/en/socopros/opinion_poll_show/2045" TargetMode="External"/><Relationship Id="rId937" Type="http://schemas.openxmlformats.org/officeDocument/2006/relationships/hyperlink" Target="https://ukraine-elections.com.ua/en/socopros/opinion_poll_show/2045" TargetMode="External"/><Relationship Id="rId932" Type="http://schemas.openxmlformats.org/officeDocument/2006/relationships/hyperlink" Target="https://ukraine-elections.com.ua/en/socopros/opinion_poll_show/2045" TargetMode="External"/><Relationship Id="rId931" Type="http://schemas.openxmlformats.org/officeDocument/2006/relationships/hyperlink" Target="https://ukraine-elections.com.ua/en/socopros/opinion_poll_show/2045" TargetMode="External"/><Relationship Id="rId930" Type="http://schemas.openxmlformats.org/officeDocument/2006/relationships/hyperlink" Target="https://ukraine-elections.com.ua/en/socopros/opinion_poll_show/2045" TargetMode="External"/><Relationship Id="rId936" Type="http://schemas.openxmlformats.org/officeDocument/2006/relationships/hyperlink" Target="https://ukraine-elections.com.ua/en/socopros/opinion_poll_show/2045" TargetMode="External"/><Relationship Id="rId935" Type="http://schemas.openxmlformats.org/officeDocument/2006/relationships/hyperlink" Target="https://ukraine-elections.com.ua/en/socopros/opinion_poll_show/2045" TargetMode="External"/><Relationship Id="rId934" Type="http://schemas.openxmlformats.org/officeDocument/2006/relationships/hyperlink" Target="https://ukraine-elections.com.ua/en/socopros/opinion_poll_show/2045" TargetMode="External"/><Relationship Id="rId933" Type="http://schemas.openxmlformats.org/officeDocument/2006/relationships/hyperlink" Target="https://ukraine-elections.com.ua/en/socopros/opinion_poll_show/2045" TargetMode="External"/><Relationship Id="rId1520" Type="http://schemas.openxmlformats.org/officeDocument/2006/relationships/hyperlink" Target="https://ukraine-elections.com.ua/en/socopros/opinion_poll_show/1931" TargetMode="External"/><Relationship Id="rId1554" Type="http://schemas.openxmlformats.org/officeDocument/2006/relationships/hyperlink" Target="https://ukraine-elections.com.ua/en/socopros/opinion_poll_show/1924" TargetMode="External"/><Relationship Id="rId1555" Type="http://schemas.openxmlformats.org/officeDocument/2006/relationships/hyperlink" Target="https://ukraine-elections.com.ua/en/socopros/opinion_poll_show/1918" TargetMode="External"/><Relationship Id="rId1556" Type="http://schemas.openxmlformats.org/officeDocument/2006/relationships/hyperlink" Target="https://ukraine-elections.com.ua/en/socopros/opinion_poll_show/1918" TargetMode="External"/><Relationship Id="rId1557" Type="http://schemas.openxmlformats.org/officeDocument/2006/relationships/hyperlink" Target="https://ukraine-elections.com.ua/en/socopros/opinion_poll_show/1918" TargetMode="External"/><Relationship Id="rId1558" Type="http://schemas.openxmlformats.org/officeDocument/2006/relationships/hyperlink" Target="https://ukraine-elections.com.ua/en/socopros/opinion_poll_show/1918" TargetMode="External"/><Relationship Id="rId1559" Type="http://schemas.openxmlformats.org/officeDocument/2006/relationships/hyperlink" Target="https://ukraine-elections.com.ua/en/socopros/opinion_poll_show/1918" TargetMode="External"/><Relationship Id="rId965" Type="http://schemas.openxmlformats.org/officeDocument/2006/relationships/hyperlink" Target="https://ukraine-elections.com.ua/en/socopros/opinion_poll_show/2044" TargetMode="External"/><Relationship Id="rId964" Type="http://schemas.openxmlformats.org/officeDocument/2006/relationships/hyperlink" Target="https://ukraine-elections.com.ua/en/socopros/opinion_poll_show/2044" TargetMode="External"/><Relationship Id="rId963" Type="http://schemas.openxmlformats.org/officeDocument/2006/relationships/hyperlink" Target="https://ukraine-elections.com.ua/en/socopros/opinion_poll_show/2044" TargetMode="External"/><Relationship Id="rId962" Type="http://schemas.openxmlformats.org/officeDocument/2006/relationships/hyperlink" Target="https://ukraine-elections.com.ua/en/socopros/opinion_poll_show/2044" TargetMode="External"/><Relationship Id="rId969" Type="http://schemas.openxmlformats.org/officeDocument/2006/relationships/hyperlink" Target="https://ukraine-elections.com.ua/en/socopros/opinion_poll_show/2044" TargetMode="External"/><Relationship Id="rId968" Type="http://schemas.openxmlformats.org/officeDocument/2006/relationships/hyperlink" Target="https://ukraine-elections.com.ua/en/socopros/opinion_poll_show/2044" TargetMode="External"/><Relationship Id="rId967" Type="http://schemas.openxmlformats.org/officeDocument/2006/relationships/hyperlink" Target="https://ukraine-elections.com.ua/en/socopros/opinion_poll_show/2044" TargetMode="External"/><Relationship Id="rId966" Type="http://schemas.openxmlformats.org/officeDocument/2006/relationships/hyperlink" Target="https://ukraine-elections.com.ua/en/socopros/opinion_poll_show/2044" TargetMode="External"/><Relationship Id="rId961" Type="http://schemas.openxmlformats.org/officeDocument/2006/relationships/hyperlink" Target="https://ukraine-elections.com.ua/en/socopros/opinion_poll_show/2042" TargetMode="External"/><Relationship Id="rId1550" Type="http://schemas.openxmlformats.org/officeDocument/2006/relationships/hyperlink" Target="https://ukraine-elections.com.ua/en/socopros/opinion_poll_show/1924" TargetMode="External"/><Relationship Id="rId960" Type="http://schemas.openxmlformats.org/officeDocument/2006/relationships/hyperlink" Target="https://ukraine-elections.com.ua/en/socopros/opinion_poll_show/2042" TargetMode="External"/><Relationship Id="rId1551" Type="http://schemas.openxmlformats.org/officeDocument/2006/relationships/hyperlink" Target="https://ukraine-elections.com.ua/en/socopros/opinion_poll_show/1924" TargetMode="External"/><Relationship Id="rId1552" Type="http://schemas.openxmlformats.org/officeDocument/2006/relationships/hyperlink" Target="https://ukraine-elections.com.ua/en/socopros/opinion_poll_show/1924" TargetMode="External"/><Relationship Id="rId1553" Type="http://schemas.openxmlformats.org/officeDocument/2006/relationships/hyperlink" Target="https://ukraine-elections.com.ua/en/socopros/opinion_poll_show/1924" TargetMode="External"/><Relationship Id="rId1543" Type="http://schemas.openxmlformats.org/officeDocument/2006/relationships/hyperlink" Target="https://ukraine-elections.com.ua/en/socopros/opinion_poll_show/1924" TargetMode="External"/><Relationship Id="rId1544" Type="http://schemas.openxmlformats.org/officeDocument/2006/relationships/hyperlink" Target="https://ukraine-elections.com.ua/en/socopros/opinion_poll_show/1924" TargetMode="External"/><Relationship Id="rId1545" Type="http://schemas.openxmlformats.org/officeDocument/2006/relationships/hyperlink" Target="https://ukraine-elections.com.ua/en/socopros/opinion_poll_show/1924" TargetMode="External"/><Relationship Id="rId1546" Type="http://schemas.openxmlformats.org/officeDocument/2006/relationships/hyperlink" Target="https://ukraine-elections.com.ua/en/socopros/opinion_poll_show/1924" TargetMode="External"/><Relationship Id="rId1547" Type="http://schemas.openxmlformats.org/officeDocument/2006/relationships/hyperlink" Target="https://ukraine-elections.com.ua/en/socopros/opinion_poll_show/1924" TargetMode="External"/><Relationship Id="rId1548" Type="http://schemas.openxmlformats.org/officeDocument/2006/relationships/hyperlink" Target="https://ukraine-elections.com.ua/en/socopros/opinion_poll_show/1924" TargetMode="External"/><Relationship Id="rId1549" Type="http://schemas.openxmlformats.org/officeDocument/2006/relationships/hyperlink" Target="https://ukraine-elections.com.ua/en/socopros/opinion_poll_show/1924" TargetMode="External"/><Relationship Id="rId959" Type="http://schemas.openxmlformats.org/officeDocument/2006/relationships/hyperlink" Target="https://ukraine-elections.com.ua/en/socopros/opinion_poll_show/2042" TargetMode="External"/><Relationship Id="rId954" Type="http://schemas.openxmlformats.org/officeDocument/2006/relationships/hyperlink" Target="https://ukraine-elections.com.ua/en/socopros/opinion_poll_show/2042" TargetMode="External"/><Relationship Id="rId953" Type="http://schemas.openxmlformats.org/officeDocument/2006/relationships/hyperlink" Target="https://ukraine-elections.com.ua/en/socopros/opinion_poll_show/2043" TargetMode="External"/><Relationship Id="rId952" Type="http://schemas.openxmlformats.org/officeDocument/2006/relationships/hyperlink" Target="https://ukraine-elections.com.ua/en/socopros/opinion_poll_show/2043" TargetMode="External"/><Relationship Id="rId951" Type="http://schemas.openxmlformats.org/officeDocument/2006/relationships/hyperlink" Target="https://ukraine-elections.com.ua/en/socopros/opinion_poll_show/2043" TargetMode="External"/><Relationship Id="rId958" Type="http://schemas.openxmlformats.org/officeDocument/2006/relationships/hyperlink" Target="https://ukraine-elections.com.ua/en/socopros/opinion_poll_show/2042" TargetMode="External"/><Relationship Id="rId957" Type="http://schemas.openxmlformats.org/officeDocument/2006/relationships/hyperlink" Target="https://ukraine-elections.com.ua/en/socopros/opinion_poll_show/2042" TargetMode="External"/><Relationship Id="rId956" Type="http://schemas.openxmlformats.org/officeDocument/2006/relationships/hyperlink" Target="https://ukraine-elections.com.ua/en/socopros/opinion_poll_show/2042" TargetMode="External"/><Relationship Id="rId955" Type="http://schemas.openxmlformats.org/officeDocument/2006/relationships/hyperlink" Target="https://ukraine-elections.com.ua/en/socopros/opinion_poll_show/2042" TargetMode="External"/><Relationship Id="rId950" Type="http://schemas.openxmlformats.org/officeDocument/2006/relationships/hyperlink" Target="https://ukraine-elections.com.ua/en/socopros/opinion_poll_show/2043" TargetMode="External"/><Relationship Id="rId1540" Type="http://schemas.openxmlformats.org/officeDocument/2006/relationships/hyperlink" Target="https://ukraine-elections.com.ua/en/socopros/opinion_poll_show/1925" TargetMode="External"/><Relationship Id="rId1541" Type="http://schemas.openxmlformats.org/officeDocument/2006/relationships/hyperlink" Target="https://ukraine-elections.com.ua/en/socopros/opinion_poll_show/1925" TargetMode="External"/><Relationship Id="rId1542" Type="http://schemas.openxmlformats.org/officeDocument/2006/relationships/hyperlink" Target="https://ukraine-elections.com.ua/en/socopros/opinion_poll_show/1924" TargetMode="External"/><Relationship Id="rId2027" Type="http://schemas.openxmlformats.org/officeDocument/2006/relationships/hyperlink" Target="https://ukraine-elections.com.ua/en/socopros/opinion_poll_show/1806" TargetMode="External"/><Relationship Id="rId2028" Type="http://schemas.openxmlformats.org/officeDocument/2006/relationships/hyperlink" Target="https://ukraine-elections.com.ua/en/socopros/opinion_poll_show/1801" TargetMode="External"/><Relationship Id="rId2029" Type="http://schemas.openxmlformats.org/officeDocument/2006/relationships/hyperlink" Target="https://ukraine-elections.com.ua/en/socopros/opinion_poll_show/1801" TargetMode="External"/><Relationship Id="rId590" Type="http://schemas.openxmlformats.org/officeDocument/2006/relationships/hyperlink" Target="https://ukraine-elections.com.ua/en/socopros/opinion_poll_show/2103" TargetMode="External"/><Relationship Id="rId107" Type="http://schemas.openxmlformats.org/officeDocument/2006/relationships/hyperlink" Target="https://ukraine-elections.com.ua/en/socopros/opinion_poll_show/2233" TargetMode="External"/><Relationship Id="rId106" Type="http://schemas.openxmlformats.org/officeDocument/2006/relationships/hyperlink" Target="https://ukraine-elections.com.ua/en/socopros/opinion_poll_show/2233" TargetMode="External"/><Relationship Id="rId105" Type="http://schemas.openxmlformats.org/officeDocument/2006/relationships/hyperlink" Target="https://ukraine-elections.com.ua/en/socopros/opinion_poll_show/2233" TargetMode="External"/><Relationship Id="rId589" Type="http://schemas.openxmlformats.org/officeDocument/2006/relationships/hyperlink" Target="https://ukraine-elections.com.ua/en/socopros/opinion_poll_show/2103" TargetMode="External"/><Relationship Id="rId104" Type="http://schemas.openxmlformats.org/officeDocument/2006/relationships/hyperlink" Target="https://ukraine-elections.com.ua/en/socopros/opinion_poll_show/2233" TargetMode="External"/><Relationship Id="rId588" Type="http://schemas.openxmlformats.org/officeDocument/2006/relationships/hyperlink" Target="https://ukraine-elections.com.ua/en/socopros/opinion_poll_show/2103" TargetMode="External"/><Relationship Id="rId109" Type="http://schemas.openxmlformats.org/officeDocument/2006/relationships/hyperlink" Target="https://ukraine-elections.com.ua/en/socopros/opinion_poll_show/2217" TargetMode="External"/><Relationship Id="rId1170" Type="http://schemas.openxmlformats.org/officeDocument/2006/relationships/hyperlink" Target="https://ukraine-elections.com.ua/en/socopros/opinion_poll_show/1997" TargetMode="External"/><Relationship Id="rId108" Type="http://schemas.openxmlformats.org/officeDocument/2006/relationships/hyperlink" Target="https://ukraine-elections.com.ua/en/socopros/opinion_poll_show/2233" TargetMode="External"/><Relationship Id="rId1171" Type="http://schemas.openxmlformats.org/officeDocument/2006/relationships/hyperlink" Target="https://ukraine-elections.com.ua/en/socopros/opinion_poll_show/1997" TargetMode="External"/><Relationship Id="rId583" Type="http://schemas.openxmlformats.org/officeDocument/2006/relationships/hyperlink" Target="https://ukraine-elections.com.ua/en/socopros/opinion_poll_show/2102" TargetMode="External"/><Relationship Id="rId1172" Type="http://schemas.openxmlformats.org/officeDocument/2006/relationships/hyperlink" Target="https://ukraine-elections.com.ua/en/socopros/opinion_poll_show/1997" TargetMode="External"/><Relationship Id="rId582" Type="http://schemas.openxmlformats.org/officeDocument/2006/relationships/hyperlink" Target="https://ukraine-elections.com.ua/en/socopros/opinion_poll_show/2102" TargetMode="External"/><Relationship Id="rId1173" Type="http://schemas.openxmlformats.org/officeDocument/2006/relationships/hyperlink" Target="https://ukraine-elections.com.ua/en/socopros/opinion_poll_show/1997" TargetMode="External"/><Relationship Id="rId2020" Type="http://schemas.openxmlformats.org/officeDocument/2006/relationships/hyperlink" Target="https://ukraine-elections.com.ua/en/socopros/opinion_poll_show/1806" TargetMode="External"/><Relationship Id="rId581" Type="http://schemas.openxmlformats.org/officeDocument/2006/relationships/hyperlink" Target="https://ukraine-elections.com.ua/en/socopros/opinion_poll_show/2102" TargetMode="External"/><Relationship Id="rId1174" Type="http://schemas.openxmlformats.org/officeDocument/2006/relationships/hyperlink" Target="https://ukraine-elections.com.ua/en/socopros/opinion_poll_show/1997" TargetMode="External"/><Relationship Id="rId2021" Type="http://schemas.openxmlformats.org/officeDocument/2006/relationships/hyperlink" Target="https://ukraine-elections.com.ua/en/socopros/opinion_poll_show/1806" TargetMode="External"/><Relationship Id="rId580" Type="http://schemas.openxmlformats.org/officeDocument/2006/relationships/hyperlink" Target="https://ukraine-elections.com.ua/en/socopros/opinion_poll_show/2102" TargetMode="External"/><Relationship Id="rId1175" Type="http://schemas.openxmlformats.org/officeDocument/2006/relationships/hyperlink" Target="https://ukraine-elections.com.ua/en/socopros/opinion_poll_show/1997" TargetMode="External"/><Relationship Id="rId2022" Type="http://schemas.openxmlformats.org/officeDocument/2006/relationships/hyperlink" Target="https://ukraine-elections.com.ua/en/socopros/opinion_poll_show/1806" TargetMode="External"/><Relationship Id="rId103" Type="http://schemas.openxmlformats.org/officeDocument/2006/relationships/hyperlink" Target="https://ukraine-elections.com.ua/en/socopros/opinion_poll_show/2233" TargetMode="External"/><Relationship Id="rId587" Type="http://schemas.openxmlformats.org/officeDocument/2006/relationships/hyperlink" Target="https://ukraine-elections.com.ua/en/socopros/opinion_poll_show/2103" TargetMode="External"/><Relationship Id="rId1176" Type="http://schemas.openxmlformats.org/officeDocument/2006/relationships/hyperlink" Target="https://ukraine-elections.com.ua/en/socopros/opinion_poll_show/1997" TargetMode="External"/><Relationship Id="rId2023" Type="http://schemas.openxmlformats.org/officeDocument/2006/relationships/hyperlink" Target="https://ukraine-elections.com.ua/en/socopros/opinion_poll_show/1806" TargetMode="External"/><Relationship Id="rId102" Type="http://schemas.openxmlformats.org/officeDocument/2006/relationships/hyperlink" Target="https://ukraine-elections.com.ua/en/socopros/opinion_poll_show/2233" TargetMode="External"/><Relationship Id="rId586" Type="http://schemas.openxmlformats.org/officeDocument/2006/relationships/hyperlink" Target="https://ukraine-elections.com.ua/en/socopros/opinion_poll_show/2102" TargetMode="External"/><Relationship Id="rId1177" Type="http://schemas.openxmlformats.org/officeDocument/2006/relationships/hyperlink" Target="https://ukraine-elections.com.ua/en/socopros/opinion_poll_show/1997" TargetMode="External"/><Relationship Id="rId2024" Type="http://schemas.openxmlformats.org/officeDocument/2006/relationships/hyperlink" Target="https://ukraine-elections.com.ua/en/socopros/opinion_poll_show/1806" TargetMode="External"/><Relationship Id="rId101" Type="http://schemas.openxmlformats.org/officeDocument/2006/relationships/hyperlink" Target="https://ukraine-elections.com.ua/en/socopros/opinion_poll_show/2233" TargetMode="External"/><Relationship Id="rId585" Type="http://schemas.openxmlformats.org/officeDocument/2006/relationships/hyperlink" Target="https://ukraine-elections.com.ua/en/socopros/opinion_poll_show/2102" TargetMode="External"/><Relationship Id="rId1178" Type="http://schemas.openxmlformats.org/officeDocument/2006/relationships/hyperlink" Target="https://ukraine-elections.com.ua/en/socopros/opinion_poll_show/1993" TargetMode="External"/><Relationship Id="rId2025" Type="http://schemas.openxmlformats.org/officeDocument/2006/relationships/hyperlink" Target="https://ukraine-elections.com.ua/en/socopros/opinion_poll_show/1806" TargetMode="External"/><Relationship Id="rId100" Type="http://schemas.openxmlformats.org/officeDocument/2006/relationships/hyperlink" Target="https://ukraine-elections.com.ua/en/socopros/opinion_poll_show/2233" TargetMode="External"/><Relationship Id="rId584" Type="http://schemas.openxmlformats.org/officeDocument/2006/relationships/hyperlink" Target="https://ukraine-elections.com.ua/en/socopros/opinion_poll_show/2102" TargetMode="External"/><Relationship Id="rId1179" Type="http://schemas.openxmlformats.org/officeDocument/2006/relationships/hyperlink" Target="https://ukraine-elections.com.ua/en/socopros/opinion_poll_show/1993" TargetMode="External"/><Relationship Id="rId2026" Type="http://schemas.openxmlformats.org/officeDocument/2006/relationships/hyperlink" Target="https://ukraine-elections.com.ua/en/socopros/opinion_poll_show/1806" TargetMode="External"/><Relationship Id="rId1169" Type="http://schemas.openxmlformats.org/officeDocument/2006/relationships/hyperlink" Target="https://ukraine-elections.com.ua/en/socopros/opinion_poll_show/1997" TargetMode="External"/><Relationship Id="rId2016" Type="http://schemas.openxmlformats.org/officeDocument/2006/relationships/hyperlink" Target="https://ukraine-elections.com.ua/en/socopros/opinion_poll_show/1835" TargetMode="External"/><Relationship Id="rId2017" Type="http://schemas.openxmlformats.org/officeDocument/2006/relationships/hyperlink" Target="https://ukraine-elections.com.ua/en/socopros/opinion_poll_show/1835" TargetMode="External"/><Relationship Id="rId2018" Type="http://schemas.openxmlformats.org/officeDocument/2006/relationships/hyperlink" Target="https://ukraine-elections.com.ua/en/socopros/opinion_poll_show/1835" TargetMode="External"/><Relationship Id="rId2019" Type="http://schemas.openxmlformats.org/officeDocument/2006/relationships/hyperlink" Target="https://ukraine-elections.com.ua/en/socopros/opinion_poll_show/1835" TargetMode="External"/><Relationship Id="rId579" Type="http://schemas.openxmlformats.org/officeDocument/2006/relationships/hyperlink" Target="https://ukraine-elections.com.ua/en/socopros/opinion_poll_show/2102" TargetMode="External"/><Relationship Id="rId578" Type="http://schemas.openxmlformats.org/officeDocument/2006/relationships/hyperlink" Target="https://ukraine-elections.com.ua/en/socopros/opinion_poll_show/2102" TargetMode="External"/><Relationship Id="rId577" Type="http://schemas.openxmlformats.org/officeDocument/2006/relationships/hyperlink" Target="https://ukraine-elections.com.ua/en/socopros/opinion_poll_show/2085" TargetMode="External"/><Relationship Id="rId1160" Type="http://schemas.openxmlformats.org/officeDocument/2006/relationships/hyperlink" Target="https://ukraine-elections.com.ua/en/socopros/opinion_poll_show/1999" TargetMode="External"/><Relationship Id="rId572" Type="http://schemas.openxmlformats.org/officeDocument/2006/relationships/hyperlink" Target="https://ukraine-elections.com.ua/en/socopros/opinion_poll_show/2085" TargetMode="External"/><Relationship Id="rId1161" Type="http://schemas.openxmlformats.org/officeDocument/2006/relationships/hyperlink" Target="https://ukraine-elections.com.ua/en/socopros/opinion_poll_show/1999" TargetMode="External"/><Relationship Id="rId571" Type="http://schemas.openxmlformats.org/officeDocument/2006/relationships/hyperlink" Target="https://ukraine-elections.com.ua/en/socopros/opinion_poll_show/2085" TargetMode="External"/><Relationship Id="rId1162" Type="http://schemas.openxmlformats.org/officeDocument/2006/relationships/hyperlink" Target="https://ukraine-elections.com.ua/en/socopros/opinion_poll_show/1999" TargetMode="External"/><Relationship Id="rId570" Type="http://schemas.openxmlformats.org/officeDocument/2006/relationships/hyperlink" Target="https://ukraine-elections.com.ua/en/socopros/opinion_poll_show/2085" TargetMode="External"/><Relationship Id="rId1163" Type="http://schemas.openxmlformats.org/officeDocument/2006/relationships/hyperlink" Target="https://ukraine-elections.com.ua/en/socopros/opinion_poll_show/1999" TargetMode="External"/><Relationship Id="rId2010" Type="http://schemas.openxmlformats.org/officeDocument/2006/relationships/hyperlink" Target="https://ukraine-elections.com.ua/en/socopros/opinion_poll_show/1835" TargetMode="External"/><Relationship Id="rId1164" Type="http://schemas.openxmlformats.org/officeDocument/2006/relationships/hyperlink" Target="https://ukraine-elections.com.ua/en/socopros/opinion_poll_show/1999" TargetMode="External"/><Relationship Id="rId2011" Type="http://schemas.openxmlformats.org/officeDocument/2006/relationships/hyperlink" Target="https://ukraine-elections.com.ua/en/socopros/opinion_poll_show/1835" TargetMode="External"/><Relationship Id="rId576" Type="http://schemas.openxmlformats.org/officeDocument/2006/relationships/hyperlink" Target="https://ukraine-elections.com.ua/en/socopros/opinion_poll_show/2085" TargetMode="External"/><Relationship Id="rId1165" Type="http://schemas.openxmlformats.org/officeDocument/2006/relationships/hyperlink" Target="https://ukraine-elections.com.ua/en/socopros/opinion_poll_show/1999" TargetMode="External"/><Relationship Id="rId2012" Type="http://schemas.openxmlformats.org/officeDocument/2006/relationships/hyperlink" Target="https://ukraine-elections.com.ua/en/socopros/opinion_poll_show/1835" TargetMode="External"/><Relationship Id="rId575" Type="http://schemas.openxmlformats.org/officeDocument/2006/relationships/hyperlink" Target="https://ukraine-elections.com.ua/en/socopros/opinion_poll_show/2085" TargetMode="External"/><Relationship Id="rId1166" Type="http://schemas.openxmlformats.org/officeDocument/2006/relationships/hyperlink" Target="https://ukraine-elections.com.ua/en/socopros/opinion_poll_show/1997" TargetMode="External"/><Relationship Id="rId2013" Type="http://schemas.openxmlformats.org/officeDocument/2006/relationships/hyperlink" Target="https://ukraine-elections.com.ua/en/socopros/opinion_poll_show/1835" TargetMode="External"/><Relationship Id="rId574" Type="http://schemas.openxmlformats.org/officeDocument/2006/relationships/hyperlink" Target="https://ukraine-elections.com.ua/en/socopros/opinion_poll_show/2085" TargetMode="External"/><Relationship Id="rId1167" Type="http://schemas.openxmlformats.org/officeDocument/2006/relationships/hyperlink" Target="https://ukraine-elections.com.ua/en/socopros/opinion_poll_show/1997" TargetMode="External"/><Relationship Id="rId2014" Type="http://schemas.openxmlformats.org/officeDocument/2006/relationships/hyperlink" Target="https://ukraine-elections.com.ua/en/socopros/opinion_poll_show/1835" TargetMode="External"/><Relationship Id="rId573" Type="http://schemas.openxmlformats.org/officeDocument/2006/relationships/hyperlink" Target="https://ukraine-elections.com.ua/en/socopros/opinion_poll_show/2085" TargetMode="External"/><Relationship Id="rId1168" Type="http://schemas.openxmlformats.org/officeDocument/2006/relationships/hyperlink" Target="https://ukraine-elections.com.ua/en/socopros/opinion_poll_show/1997" TargetMode="External"/><Relationship Id="rId2015" Type="http://schemas.openxmlformats.org/officeDocument/2006/relationships/hyperlink" Target="https://ukraine-elections.com.ua/en/socopros/opinion_poll_show/1835" TargetMode="External"/><Relationship Id="rId2049" Type="http://schemas.openxmlformats.org/officeDocument/2006/relationships/hyperlink" Target="https://ukraine-elections.com.ua/en/socopros/opinion_poll_show/1522" TargetMode="External"/><Relationship Id="rId129" Type="http://schemas.openxmlformats.org/officeDocument/2006/relationships/hyperlink" Target="https://ukraine-elections.com.ua/en/socopros/opinion_poll_show/2234" TargetMode="External"/><Relationship Id="rId128" Type="http://schemas.openxmlformats.org/officeDocument/2006/relationships/hyperlink" Target="https://ukraine-elections.com.ua/en/socopros/opinion_poll_show/2234" TargetMode="External"/><Relationship Id="rId127" Type="http://schemas.openxmlformats.org/officeDocument/2006/relationships/hyperlink" Target="https://ukraine-elections.com.ua/en/socopros/opinion_poll_show/2234" TargetMode="External"/><Relationship Id="rId126" Type="http://schemas.openxmlformats.org/officeDocument/2006/relationships/hyperlink" Target="https://ukraine-elections.com.ua/en/socopros/opinion_poll_show/2234" TargetMode="External"/><Relationship Id="rId1190" Type="http://schemas.openxmlformats.org/officeDocument/2006/relationships/hyperlink" Target="https://ukraine-elections.com.ua/en/socopros/opinion_poll_show/1993" TargetMode="External"/><Relationship Id="rId1191" Type="http://schemas.openxmlformats.org/officeDocument/2006/relationships/hyperlink" Target="https://ukraine-elections.com.ua/en/socopros/opinion_poll_show/1992" TargetMode="External"/><Relationship Id="rId1192" Type="http://schemas.openxmlformats.org/officeDocument/2006/relationships/hyperlink" Target="https://ukraine-elections.com.ua/en/socopros/opinion_poll_show/1992" TargetMode="External"/><Relationship Id="rId1193" Type="http://schemas.openxmlformats.org/officeDocument/2006/relationships/hyperlink" Target="https://ukraine-elections.com.ua/en/socopros/opinion_poll_show/1992" TargetMode="External"/><Relationship Id="rId2040" Type="http://schemas.openxmlformats.org/officeDocument/2006/relationships/hyperlink" Target="https://ukraine-elections.com.ua/en/socopros/opinion_poll_show/1799" TargetMode="External"/><Relationship Id="rId121" Type="http://schemas.openxmlformats.org/officeDocument/2006/relationships/hyperlink" Target="https://ukraine-elections.com.ua/en/socopros/opinion_poll_show/2217" TargetMode="External"/><Relationship Id="rId1194" Type="http://schemas.openxmlformats.org/officeDocument/2006/relationships/hyperlink" Target="https://ukraine-elections.com.ua/en/socopros/opinion_poll_show/1992" TargetMode="External"/><Relationship Id="rId2041" Type="http://schemas.openxmlformats.org/officeDocument/2006/relationships/hyperlink" Target="https://ukraine-elections.com.ua/en/socopros/opinion_poll_show/1799" TargetMode="External"/><Relationship Id="rId120" Type="http://schemas.openxmlformats.org/officeDocument/2006/relationships/hyperlink" Target="https://ukraine-elections.com.ua/en/socopros/opinion_poll_show/2217" TargetMode="External"/><Relationship Id="rId1195" Type="http://schemas.openxmlformats.org/officeDocument/2006/relationships/hyperlink" Target="https://ukraine-elections.com.ua/en/socopros/opinion_poll_show/1992" TargetMode="External"/><Relationship Id="rId2042" Type="http://schemas.openxmlformats.org/officeDocument/2006/relationships/hyperlink" Target="https://ukraine-elections.com.ua/en/socopros/opinion_poll_show/1799" TargetMode="External"/><Relationship Id="rId1196" Type="http://schemas.openxmlformats.org/officeDocument/2006/relationships/hyperlink" Target="https://ukraine-elections.com.ua/en/socopros/opinion_poll_show/1992" TargetMode="External"/><Relationship Id="rId2043" Type="http://schemas.openxmlformats.org/officeDocument/2006/relationships/hyperlink" Target="https://ukraine-elections.com.ua/en/socopros/opinion_poll_show/1799" TargetMode="External"/><Relationship Id="rId1197" Type="http://schemas.openxmlformats.org/officeDocument/2006/relationships/hyperlink" Target="https://ukraine-elections.com.ua/en/socopros/opinion_poll_show/1990" TargetMode="External"/><Relationship Id="rId2044" Type="http://schemas.openxmlformats.org/officeDocument/2006/relationships/hyperlink" Target="https://ukraine-elections.com.ua/en/socopros/opinion_poll_show/1522" TargetMode="External"/><Relationship Id="rId125" Type="http://schemas.openxmlformats.org/officeDocument/2006/relationships/hyperlink" Target="https://ukraine-elections.com.ua/en/socopros/opinion_poll_show/2234" TargetMode="External"/><Relationship Id="rId1198" Type="http://schemas.openxmlformats.org/officeDocument/2006/relationships/hyperlink" Target="https://ukraine-elections.com.ua/en/socopros/opinion_poll_show/1990" TargetMode="External"/><Relationship Id="rId2045" Type="http://schemas.openxmlformats.org/officeDocument/2006/relationships/hyperlink" Target="https://ukraine-elections.com.ua/en/socopros/opinion_poll_show/1522" TargetMode="External"/><Relationship Id="rId124" Type="http://schemas.openxmlformats.org/officeDocument/2006/relationships/hyperlink" Target="https://ukraine-elections.com.ua/en/socopros/opinion_poll_show/2234" TargetMode="External"/><Relationship Id="rId1199" Type="http://schemas.openxmlformats.org/officeDocument/2006/relationships/hyperlink" Target="https://ukraine-elections.com.ua/en/socopros/opinion_poll_show/1990" TargetMode="External"/><Relationship Id="rId2046" Type="http://schemas.openxmlformats.org/officeDocument/2006/relationships/hyperlink" Target="https://ukraine-elections.com.ua/en/socopros/opinion_poll_show/1522" TargetMode="External"/><Relationship Id="rId123" Type="http://schemas.openxmlformats.org/officeDocument/2006/relationships/hyperlink" Target="https://ukraine-elections.com.ua/en/socopros/opinion_poll_show/2234" TargetMode="External"/><Relationship Id="rId2047" Type="http://schemas.openxmlformats.org/officeDocument/2006/relationships/hyperlink" Target="https://ukraine-elections.com.ua/en/socopros/opinion_poll_show/1522" TargetMode="External"/><Relationship Id="rId122" Type="http://schemas.openxmlformats.org/officeDocument/2006/relationships/hyperlink" Target="https://ukraine-elections.com.ua/en/socopros/opinion_poll_show/2234" TargetMode="External"/><Relationship Id="rId2048" Type="http://schemas.openxmlformats.org/officeDocument/2006/relationships/hyperlink" Target="https://ukraine-elections.com.ua/en/socopros/opinion_poll_show/1522" TargetMode="External"/><Relationship Id="rId2038" Type="http://schemas.openxmlformats.org/officeDocument/2006/relationships/hyperlink" Target="https://ukraine-elections.com.ua/en/socopros/opinion_poll_show/1799" TargetMode="External"/><Relationship Id="rId2039" Type="http://schemas.openxmlformats.org/officeDocument/2006/relationships/hyperlink" Target="https://ukraine-elections.com.ua/en/socopros/opinion_poll_show/1799" TargetMode="External"/><Relationship Id="rId118" Type="http://schemas.openxmlformats.org/officeDocument/2006/relationships/hyperlink" Target="https://ukraine-elections.com.ua/en/socopros/opinion_poll_show/2217" TargetMode="External"/><Relationship Id="rId117" Type="http://schemas.openxmlformats.org/officeDocument/2006/relationships/hyperlink" Target="https://ukraine-elections.com.ua/en/socopros/opinion_poll_show/2217" TargetMode="External"/><Relationship Id="rId116" Type="http://schemas.openxmlformats.org/officeDocument/2006/relationships/hyperlink" Target="https://ukraine-elections.com.ua/en/socopros/opinion_poll_show/2217" TargetMode="External"/><Relationship Id="rId115" Type="http://schemas.openxmlformats.org/officeDocument/2006/relationships/hyperlink" Target="https://ukraine-elections.com.ua/en/socopros/opinion_poll_show/2217" TargetMode="External"/><Relationship Id="rId599" Type="http://schemas.openxmlformats.org/officeDocument/2006/relationships/hyperlink" Target="https://ukraine-elections.com.ua/en/socopros/opinion_poll_show/2083" TargetMode="External"/><Relationship Id="rId1180" Type="http://schemas.openxmlformats.org/officeDocument/2006/relationships/hyperlink" Target="https://ukraine-elections.com.ua/en/socopros/opinion_poll_show/1993" TargetMode="External"/><Relationship Id="rId1181" Type="http://schemas.openxmlformats.org/officeDocument/2006/relationships/hyperlink" Target="https://ukraine-elections.com.ua/en/socopros/opinion_poll_show/1993" TargetMode="External"/><Relationship Id="rId119" Type="http://schemas.openxmlformats.org/officeDocument/2006/relationships/hyperlink" Target="https://ukraine-elections.com.ua/en/socopros/opinion_poll_show/2217" TargetMode="External"/><Relationship Id="rId1182" Type="http://schemas.openxmlformats.org/officeDocument/2006/relationships/hyperlink" Target="https://ukraine-elections.com.ua/en/socopros/opinion_poll_show/1993" TargetMode="External"/><Relationship Id="rId110" Type="http://schemas.openxmlformats.org/officeDocument/2006/relationships/hyperlink" Target="https://ukraine-elections.com.ua/en/socopros/opinion_poll_show/2217" TargetMode="External"/><Relationship Id="rId594" Type="http://schemas.openxmlformats.org/officeDocument/2006/relationships/hyperlink" Target="https://ukraine-elections.com.ua/en/socopros/opinion_poll_show/2103" TargetMode="External"/><Relationship Id="rId1183" Type="http://schemas.openxmlformats.org/officeDocument/2006/relationships/hyperlink" Target="https://ukraine-elections.com.ua/en/socopros/opinion_poll_show/1993" TargetMode="External"/><Relationship Id="rId2030" Type="http://schemas.openxmlformats.org/officeDocument/2006/relationships/hyperlink" Target="https://ukraine-elections.com.ua/en/socopros/opinion_poll_show/1801" TargetMode="External"/><Relationship Id="rId593" Type="http://schemas.openxmlformats.org/officeDocument/2006/relationships/hyperlink" Target="https://ukraine-elections.com.ua/en/socopros/opinion_poll_show/2103" TargetMode="External"/><Relationship Id="rId1184" Type="http://schemas.openxmlformats.org/officeDocument/2006/relationships/hyperlink" Target="https://ukraine-elections.com.ua/en/socopros/opinion_poll_show/1993" TargetMode="External"/><Relationship Id="rId2031" Type="http://schemas.openxmlformats.org/officeDocument/2006/relationships/hyperlink" Target="https://ukraine-elections.com.ua/en/socopros/opinion_poll_show/1801" TargetMode="External"/><Relationship Id="rId592" Type="http://schemas.openxmlformats.org/officeDocument/2006/relationships/hyperlink" Target="https://ukraine-elections.com.ua/en/socopros/opinion_poll_show/2103" TargetMode="External"/><Relationship Id="rId1185" Type="http://schemas.openxmlformats.org/officeDocument/2006/relationships/hyperlink" Target="https://ukraine-elections.com.ua/en/socopros/opinion_poll_show/1993" TargetMode="External"/><Relationship Id="rId2032" Type="http://schemas.openxmlformats.org/officeDocument/2006/relationships/hyperlink" Target="https://ukraine-elections.com.ua/en/socopros/opinion_poll_show/1801" TargetMode="External"/><Relationship Id="rId591" Type="http://schemas.openxmlformats.org/officeDocument/2006/relationships/hyperlink" Target="https://ukraine-elections.com.ua/en/socopros/opinion_poll_show/2103" TargetMode="External"/><Relationship Id="rId1186" Type="http://schemas.openxmlformats.org/officeDocument/2006/relationships/hyperlink" Target="https://ukraine-elections.com.ua/en/socopros/opinion_poll_show/1993" TargetMode="External"/><Relationship Id="rId2033" Type="http://schemas.openxmlformats.org/officeDocument/2006/relationships/hyperlink" Target="https://ukraine-elections.com.ua/en/socopros/opinion_poll_show/1801" TargetMode="External"/><Relationship Id="rId114" Type="http://schemas.openxmlformats.org/officeDocument/2006/relationships/hyperlink" Target="https://ukraine-elections.com.ua/en/socopros/opinion_poll_show/2217" TargetMode="External"/><Relationship Id="rId598" Type="http://schemas.openxmlformats.org/officeDocument/2006/relationships/hyperlink" Target="https://ukraine-elections.com.ua/en/socopros/opinion_poll_show/2083" TargetMode="External"/><Relationship Id="rId1187" Type="http://schemas.openxmlformats.org/officeDocument/2006/relationships/hyperlink" Target="https://ukraine-elections.com.ua/en/socopros/opinion_poll_show/1993" TargetMode="External"/><Relationship Id="rId2034" Type="http://schemas.openxmlformats.org/officeDocument/2006/relationships/hyperlink" Target="https://ukraine-elections.com.ua/en/socopros/opinion_poll_show/1801" TargetMode="External"/><Relationship Id="rId113" Type="http://schemas.openxmlformats.org/officeDocument/2006/relationships/hyperlink" Target="https://ukraine-elections.com.ua/en/socopros/opinion_poll_show/2217" TargetMode="External"/><Relationship Id="rId597" Type="http://schemas.openxmlformats.org/officeDocument/2006/relationships/hyperlink" Target="https://ukraine-elections.com.ua/en/socopros/opinion_poll_show/2103" TargetMode="External"/><Relationship Id="rId1188" Type="http://schemas.openxmlformats.org/officeDocument/2006/relationships/hyperlink" Target="https://ukraine-elections.com.ua/en/socopros/opinion_poll_show/1993" TargetMode="External"/><Relationship Id="rId2035" Type="http://schemas.openxmlformats.org/officeDocument/2006/relationships/hyperlink" Target="https://ukraine-elections.com.ua/en/socopros/opinion_poll_show/1801" TargetMode="External"/><Relationship Id="rId112" Type="http://schemas.openxmlformats.org/officeDocument/2006/relationships/hyperlink" Target="https://ukraine-elections.com.ua/en/socopros/opinion_poll_show/2217" TargetMode="External"/><Relationship Id="rId596" Type="http://schemas.openxmlformats.org/officeDocument/2006/relationships/hyperlink" Target="https://ukraine-elections.com.ua/en/socopros/opinion_poll_show/2103" TargetMode="External"/><Relationship Id="rId1189" Type="http://schemas.openxmlformats.org/officeDocument/2006/relationships/hyperlink" Target="https://ukraine-elections.com.ua/en/socopros/opinion_poll_show/1993" TargetMode="External"/><Relationship Id="rId2036" Type="http://schemas.openxmlformats.org/officeDocument/2006/relationships/hyperlink" Target="https://ukraine-elections.com.ua/en/socopros/opinion_poll_show/1799" TargetMode="External"/><Relationship Id="rId111" Type="http://schemas.openxmlformats.org/officeDocument/2006/relationships/hyperlink" Target="https://ukraine-elections.com.ua/en/socopros/opinion_poll_show/2217" TargetMode="External"/><Relationship Id="rId595" Type="http://schemas.openxmlformats.org/officeDocument/2006/relationships/hyperlink" Target="https://ukraine-elections.com.ua/en/socopros/opinion_poll_show/2103" TargetMode="External"/><Relationship Id="rId2037" Type="http://schemas.openxmlformats.org/officeDocument/2006/relationships/hyperlink" Target="https://ukraine-elections.com.ua/en/socopros/opinion_poll_show/1799" TargetMode="External"/><Relationship Id="rId1136" Type="http://schemas.openxmlformats.org/officeDocument/2006/relationships/hyperlink" Target="https://ukraine-elections.com.ua/en/socopros/opinion_poll_show/2010" TargetMode="External"/><Relationship Id="rId1137" Type="http://schemas.openxmlformats.org/officeDocument/2006/relationships/hyperlink" Target="https://ukraine-elections.com.ua/en/socopros/opinion_poll_show/2010" TargetMode="External"/><Relationship Id="rId1138" Type="http://schemas.openxmlformats.org/officeDocument/2006/relationships/hyperlink" Target="https://ukraine-elections.com.ua/en/socopros/opinion_poll_show/2010" TargetMode="External"/><Relationship Id="rId1139" Type="http://schemas.openxmlformats.org/officeDocument/2006/relationships/hyperlink" Target="https://ukraine-elections.com.ua/en/socopros/opinion_poll_show/2010" TargetMode="External"/><Relationship Id="rId547" Type="http://schemas.openxmlformats.org/officeDocument/2006/relationships/hyperlink" Target="https://ukraine-elections.com.ua/en/socopros/opinion_poll_show/2091" TargetMode="External"/><Relationship Id="rId546" Type="http://schemas.openxmlformats.org/officeDocument/2006/relationships/hyperlink" Target="https://ukraine-elections.com.ua/en/socopros/opinion_poll_show/2091" TargetMode="External"/><Relationship Id="rId545" Type="http://schemas.openxmlformats.org/officeDocument/2006/relationships/hyperlink" Target="https://ukraine-elections.com.ua/en/socopros/opinion_poll_show/2091" TargetMode="External"/><Relationship Id="rId544" Type="http://schemas.openxmlformats.org/officeDocument/2006/relationships/hyperlink" Target="https://ukraine-elections.com.ua/en/socopros/opinion_poll_show/2091" TargetMode="External"/><Relationship Id="rId549" Type="http://schemas.openxmlformats.org/officeDocument/2006/relationships/hyperlink" Target="https://ukraine-elections.com.ua/en/socopros/opinion_poll_show/2091" TargetMode="External"/><Relationship Id="rId548" Type="http://schemas.openxmlformats.org/officeDocument/2006/relationships/hyperlink" Target="https://ukraine-elections.com.ua/en/socopros/opinion_poll_show/2091" TargetMode="External"/><Relationship Id="rId1130" Type="http://schemas.openxmlformats.org/officeDocument/2006/relationships/hyperlink" Target="https://ukraine-elections.com.ua/en/socopros/opinion_poll_show/2012" TargetMode="External"/><Relationship Id="rId1131" Type="http://schemas.openxmlformats.org/officeDocument/2006/relationships/hyperlink" Target="https://ukraine-elections.com.ua/en/socopros/opinion_poll_show/2012" TargetMode="External"/><Relationship Id="rId543" Type="http://schemas.openxmlformats.org/officeDocument/2006/relationships/hyperlink" Target="https://ukraine-elections.com.ua/en/socopros/opinion_poll_show/2091" TargetMode="External"/><Relationship Id="rId1132" Type="http://schemas.openxmlformats.org/officeDocument/2006/relationships/hyperlink" Target="https://ukraine-elections.com.ua/en/socopros/opinion_poll_show/2012" TargetMode="External"/><Relationship Id="rId542" Type="http://schemas.openxmlformats.org/officeDocument/2006/relationships/hyperlink" Target="https://ukraine-elections.com.ua/en/socopros/opinion_poll_show/2092" TargetMode="External"/><Relationship Id="rId1133" Type="http://schemas.openxmlformats.org/officeDocument/2006/relationships/hyperlink" Target="https://ukraine-elections.com.ua/en/socopros/opinion_poll_show/2012" TargetMode="External"/><Relationship Id="rId541" Type="http://schemas.openxmlformats.org/officeDocument/2006/relationships/hyperlink" Target="https://ukraine-elections.com.ua/en/socopros/opinion_poll_show/2092" TargetMode="External"/><Relationship Id="rId1134" Type="http://schemas.openxmlformats.org/officeDocument/2006/relationships/hyperlink" Target="https://ukraine-elections.com.ua/en/socopros/opinion_poll_show/2012" TargetMode="External"/><Relationship Id="rId540" Type="http://schemas.openxmlformats.org/officeDocument/2006/relationships/hyperlink" Target="https://ukraine-elections.com.ua/en/socopros/opinion_poll_show/2092" TargetMode="External"/><Relationship Id="rId1135" Type="http://schemas.openxmlformats.org/officeDocument/2006/relationships/hyperlink" Target="https://ukraine-elections.com.ua/en/socopros/opinion_poll_show/2010" TargetMode="External"/><Relationship Id="rId1125" Type="http://schemas.openxmlformats.org/officeDocument/2006/relationships/hyperlink" Target="https://ukraine-elections.com.ua/en/socopros/opinion_poll_show/2012" TargetMode="External"/><Relationship Id="rId1126" Type="http://schemas.openxmlformats.org/officeDocument/2006/relationships/hyperlink" Target="https://ukraine-elections.com.ua/en/socopros/opinion_poll_show/2012" TargetMode="External"/><Relationship Id="rId1127" Type="http://schemas.openxmlformats.org/officeDocument/2006/relationships/hyperlink" Target="https://ukraine-elections.com.ua/en/socopros/opinion_poll_show/2012" TargetMode="External"/><Relationship Id="rId1128" Type="http://schemas.openxmlformats.org/officeDocument/2006/relationships/hyperlink" Target="https://ukraine-elections.com.ua/en/socopros/opinion_poll_show/2012" TargetMode="External"/><Relationship Id="rId1129" Type="http://schemas.openxmlformats.org/officeDocument/2006/relationships/hyperlink" Target="https://ukraine-elections.com.ua/en/socopros/opinion_poll_show/2012" TargetMode="External"/><Relationship Id="rId536" Type="http://schemas.openxmlformats.org/officeDocument/2006/relationships/hyperlink" Target="https://ukraine-elections.com.ua/en/socopros/opinion_poll_show/2092" TargetMode="External"/><Relationship Id="rId535" Type="http://schemas.openxmlformats.org/officeDocument/2006/relationships/hyperlink" Target="https://ukraine-elections.com.ua/en/socopros/opinion_poll_show/2092" TargetMode="External"/><Relationship Id="rId534" Type="http://schemas.openxmlformats.org/officeDocument/2006/relationships/hyperlink" Target="https://ukraine-elections.com.ua/en/socopros/opinion_poll_show/2093" TargetMode="External"/><Relationship Id="rId533" Type="http://schemas.openxmlformats.org/officeDocument/2006/relationships/hyperlink" Target="https://ukraine-elections.com.ua/en/socopros/opinion_poll_show/2093" TargetMode="External"/><Relationship Id="rId539" Type="http://schemas.openxmlformats.org/officeDocument/2006/relationships/hyperlink" Target="https://ukraine-elections.com.ua/en/socopros/opinion_poll_show/2092" TargetMode="External"/><Relationship Id="rId538" Type="http://schemas.openxmlformats.org/officeDocument/2006/relationships/hyperlink" Target="https://ukraine-elections.com.ua/en/socopros/opinion_poll_show/2092" TargetMode="External"/><Relationship Id="rId537" Type="http://schemas.openxmlformats.org/officeDocument/2006/relationships/hyperlink" Target="https://ukraine-elections.com.ua/en/socopros/opinion_poll_show/2092" TargetMode="External"/><Relationship Id="rId1120" Type="http://schemas.openxmlformats.org/officeDocument/2006/relationships/hyperlink" Target="https://ukraine-elections.com.ua/en/socopros/opinion_poll_show/2015" TargetMode="External"/><Relationship Id="rId532" Type="http://schemas.openxmlformats.org/officeDocument/2006/relationships/hyperlink" Target="https://ukraine-elections.com.ua/en/socopros/opinion_poll_show/2093" TargetMode="External"/><Relationship Id="rId1121" Type="http://schemas.openxmlformats.org/officeDocument/2006/relationships/hyperlink" Target="https://ukraine-elections.com.ua/en/socopros/opinion_poll_show/2015" TargetMode="External"/><Relationship Id="rId531" Type="http://schemas.openxmlformats.org/officeDocument/2006/relationships/hyperlink" Target="https://ukraine-elections.com.ua/en/socopros/opinion_poll_show/2093" TargetMode="External"/><Relationship Id="rId1122" Type="http://schemas.openxmlformats.org/officeDocument/2006/relationships/hyperlink" Target="https://ukraine-elections.com.ua/en/socopros/opinion_poll_show/2012" TargetMode="External"/><Relationship Id="rId530" Type="http://schemas.openxmlformats.org/officeDocument/2006/relationships/hyperlink" Target="https://ukraine-elections.com.ua/en/socopros/opinion_poll_show/2093" TargetMode="External"/><Relationship Id="rId1123" Type="http://schemas.openxmlformats.org/officeDocument/2006/relationships/hyperlink" Target="https://ukraine-elections.com.ua/en/socopros/opinion_poll_show/2012" TargetMode="External"/><Relationship Id="rId1124" Type="http://schemas.openxmlformats.org/officeDocument/2006/relationships/hyperlink" Target="https://ukraine-elections.com.ua/en/socopros/opinion_poll_show/2012" TargetMode="External"/><Relationship Id="rId1158" Type="http://schemas.openxmlformats.org/officeDocument/2006/relationships/hyperlink" Target="https://ukraine-elections.com.ua/en/socopros/opinion_poll_show/1999" TargetMode="External"/><Relationship Id="rId2005" Type="http://schemas.openxmlformats.org/officeDocument/2006/relationships/hyperlink" Target="https://ukraine-elections.com.ua/en/socopros/opinion_poll_show/1847" TargetMode="External"/><Relationship Id="rId1159" Type="http://schemas.openxmlformats.org/officeDocument/2006/relationships/hyperlink" Target="https://ukraine-elections.com.ua/en/socopros/opinion_poll_show/1999" TargetMode="External"/><Relationship Id="rId2006" Type="http://schemas.openxmlformats.org/officeDocument/2006/relationships/hyperlink" Target="https://ukraine-elections.com.ua/en/socopros/opinion_poll_show/1847" TargetMode="External"/><Relationship Id="rId2007" Type="http://schemas.openxmlformats.org/officeDocument/2006/relationships/hyperlink" Target="https://ukraine-elections.com.ua/en/socopros/opinion_poll_show/1847" TargetMode="External"/><Relationship Id="rId2008" Type="http://schemas.openxmlformats.org/officeDocument/2006/relationships/hyperlink" Target="https://ukraine-elections.com.ua/en/socopros/opinion_poll_show/1847" TargetMode="External"/><Relationship Id="rId2009" Type="http://schemas.openxmlformats.org/officeDocument/2006/relationships/hyperlink" Target="https://ukraine-elections.com.ua/en/socopros/opinion_poll_show/1835" TargetMode="External"/><Relationship Id="rId569" Type="http://schemas.openxmlformats.org/officeDocument/2006/relationships/hyperlink" Target="https://ukraine-elections.com.ua/en/socopros/opinion_poll_show/2085" TargetMode="External"/><Relationship Id="rId568" Type="http://schemas.openxmlformats.org/officeDocument/2006/relationships/hyperlink" Target="https://ukraine-elections.com.ua/en/socopros/opinion_poll_show/2088" TargetMode="External"/><Relationship Id="rId567" Type="http://schemas.openxmlformats.org/officeDocument/2006/relationships/hyperlink" Target="https://ukraine-elections.com.ua/en/socopros/opinion_poll_show/2088" TargetMode="External"/><Relationship Id="rId566" Type="http://schemas.openxmlformats.org/officeDocument/2006/relationships/hyperlink" Target="https://ukraine-elections.com.ua/en/socopros/opinion_poll_show/2088" TargetMode="External"/><Relationship Id="rId561" Type="http://schemas.openxmlformats.org/officeDocument/2006/relationships/hyperlink" Target="https://ukraine-elections.com.ua/en/socopros/opinion_poll_show/2088" TargetMode="External"/><Relationship Id="rId1150" Type="http://schemas.openxmlformats.org/officeDocument/2006/relationships/hyperlink" Target="https://ukraine-elections.com.ua/en/socopros/opinion_poll_show/2003" TargetMode="External"/><Relationship Id="rId560" Type="http://schemas.openxmlformats.org/officeDocument/2006/relationships/hyperlink" Target="https://ukraine-elections.com.ua/en/socopros/opinion_poll_show/2088" TargetMode="External"/><Relationship Id="rId1151" Type="http://schemas.openxmlformats.org/officeDocument/2006/relationships/hyperlink" Target="https://ukraine-elections.com.ua/en/socopros/opinion_poll_show/2003" TargetMode="External"/><Relationship Id="rId1152" Type="http://schemas.openxmlformats.org/officeDocument/2006/relationships/hyperlink" Target="https://ukraine-elections.com.ua/en/socopros/opinion_poll_show/2003" TargetMode="External"/><Relationship Id="rId1153" Type="http://schemas.openxmlformats.org/officeDocument/2006/relationships/hyperlink" Target="https://ukraine-elections.com.ua/en/socopros/opinion_poll_show/2003" TargetMode="External"/><Relationship Id="rId2000" Type="http://schemas.openxmlformats.org/officeDocument/2006/relationships/hyperlink" Target="https://ukraine-elections.com.ua/en/socopros/opinion_poll_show/1847" TargetMode="External"/><Relationship Id="rId565" Type="http://schemas.openxmlformats.org/officeDocument/2006/relationships/hyperlink" Target="https://ukraine-elections.com.ua/en/socopros/opinion_poll_show/2088" TargetMode="External"/><Relationship Id="rId1154" Type="http://schemas.openxmlformats.org/officeDocument/2006/relationships/hyperlink" Target="https://ukraine-elections.com.ua/en/socopros/opinion_poll_show/1999" TargetMode="External"/><Relationship Id="rId2001" Type="http://schemas.openxmlformats.org/officeDocument/2006/relationships/hyperlink" Target="https://ukraine-elections.com.ua/en/socopros/opinion_poll_show/1847" TargetMode="External"/><Relationship Id="rId564" Type="http://schemas.openxmlformats.org/officeDocument/2006/relationships/hyperlink" Target="https://ukraine-elections.com.ua/en/socopros/opinion_poll_show/2088" TargetMode="External"/><Relationship Id="rId1155" Type="http://schemas.openxmlformats.org/officeDocument/2006/relationships/hyperlink" Target="https://ukraine-elections.com.ua/en/socopros/opinion_poll_show/1999" TargetMode="External"/><Relationship Id="rId2002" Type="http://schemas.openxmlformats.org/officeDocument/2006/relationships/hyperlink" Target="https://ukraine-elections.com.ua/en/socopros/opinion_poll_show/1847" TargetMode="External"/><Relationship Id="rId563" Type="http://schemas.openxmlformats.org/officeDocument/2006/relationships/hyperlink" Target="https://ukraine-elections.com.ua/en/socopros/opinion_poll_show/2088" TargetMode="External"/><Relationship Id="rId1156" Type="http://schemas.openxmlformats.org/officeDocument/2006/relationships/hyperlink" Target="https://ukraine-elections.com.ua/en/socopros/opinion_poll_show/1999" TargetMode="External"/><Relationship Id="rId2003" Type="http://schemas.openxmlformats.org/officeDocument/2006/relationships/hyperlink" Target="https://ukraine-elections.com.ua/en/socopros/opinion_poll_show/1847" TargetMode="External"/><Relationship Id="rId562" Type="http://schemas.openxmlformats.org/officeDocument/2006/relationships/hyperlink" Target="https://ukraine-elections.com.ua/en/socopros/opinion_poll_show/2088" TargetMode="External"/><Relationship Id="rId1157" Type="http://schemas.openxmlformats.org/officeDocument/2006/relationships/hyperlink" Target="https://ukraine-elections.com.ua/en/socopros/opinion_poll_show/1999" TargetMode="External"/><Relationship Id="rId2004" Type="http://schemas.openxmlformats.org/officeDocument/2006/relationships/hyperlink" Target="https://ukraine-elections.com.ua/en/socopros/opinion_poll_show/1847" TargetMode="External"/><Relationship Id="rId1147" Type="http://schemas.openxmlformats.org/officeDocument/2006/relationships/hyperlink" Target="https://ukraine-elections.com.ua/en/socopros/opinion_poll_show/2003" TargetMode="External"/><Relationship Id="rId1148" Type="http://schemas.openxmlformats.org/officeDocument/2006/relationships/hyperlink" Target="https://ukraine-elections.com.ua/en/socopros/opinion_poll_show/2003" TargetMode="External"/><Relationship Id="rId1149" Type="http://schemas.openxmlformats.org/officeDocument/2006/relationships/hyperlink" Target="https://ukraine-elections.com.ua/en/socopros/opinion_poll_show/2003" TargetMode="External"/><Relationship Id="rId558" Type="http://schemas.openxmlformats.org/officeDocument/2006/relationships/hyperlink" Target="https://ukraine-elections.com.ua/en/socopros/opinion_poll_show/2089" TargetMode="External"/><Relationship Id="rId557" Type="http://schemas.openxmlformats.org/officeDocument/2006/relationships/hyperlink" Target="https://ukraine-elections.com.ua/en/socopros/opinion_poll_show/2089" TargetMode="External"/><Relationship Id="rId556" Type="http://schemas.openxmlformats.org/officeDocument/2006/relationships/hyperlink" Target="https://ukraine-elections.com.ua/en/socopros/opinion_poll_show/2089" TargetMode="External"/><Relationship Id="rId555" Type="http://schemas.openxmlformats.org/officeDocument/2006/relationships/hyperlink" Target="https://ukraine-elections.com.ua/en/socopros/opinion_poll_show/2089" TargetMode="External"/><Relationship Id="rId559" Type="http://schemas.openxmlformats.org/officeDocument/2006/relationships/hyperlink" Target="https://ukraine-elections.com.ua/en/socopros/opinion_poll_show/2089" TargetMode="External"/><Relationship Id="rId550" Type="http://schemas.openxmlformats.org/officeDocument/2006/relationships/hyperlink" Target="https://ukraine-elections.com.ua/en/socopros/opinion_poll_show/2091" TargetMode="External"/><Relationship Id="rId1140" Type="http://schemas.openxmlformats.org/officeDocument/2006/relationships/hyperlink" Target="https://ukraine-elections.com.ua/en/socopros/opinion_poll_show/2010" TargetMode="External"/><Relationship Id="rId1141" Type="http://schemas.openxmlformats.org/officeDocument/2006/relationships/hyperlink" Target="https://ukraine-elections.com.ua/en/socopros/opinion_poll_show/2010" TargetMode="External"/><Relationship Id="rId1142" Type="http://schemas.openxmlformats.org/officeDocument/2006/relationships/hyperlink" Target="https://ukraine-elections.com.ua/en/socopros/opinion_poll_show/2010" TargetMode="External"/><Relationship Id="rId554" Type="http://schemas.openxmlformats.org/officeDocument/2006/relationships/hyperlink" Target="https://ukraine-elections.com.ua/en/socopros/opinion_poll_show/2089" TargetMode="External"/><Relationship Id="rId1143" Type="http://schemas.openxmlformats.org/officeDocument/2006/relationships/hyperlink" Target="https://ukraine-elections.com.ua/en/socopros/opinion_poll_show/2010" TargetMode="External"/><Relationship Id="rId553" Type="http://schemas.openxmlformats.org/officeDocument/2006/relationships/hyperlink" Target="https://ukraine-elections.com.ua/en/socopros/opinion_poll_show/2089" TargetMode="External"/><Relationship Id="rId1144" Type="http://schemas.openxmlformats.org/officeDocument/2006/relationships/hyperlink" Target="https://ukraine-elections.com.ua/en/socopros/opinion_poll_show/2010" TargetMode="External"/><Relationship Id="rId552" Type="http://schemas.openxmlformats.org/officeDocument/2006/relationships/hyperlink" Target="https://ukraine-elections.com.ua/en/socopros/opinion_poll_show/2089" TargetMode="External"/><Relationship Id="rId1145" Type="http://schemas.openxmlformats.org/officeDocument/2006/relationships/hyperlink" Target="https://ukraine-elections.com.ua/en/socopros/opinion_poll_show/2003" TargetMode="External"/><Relationship Id="rId551" Type="http://schemas.openxmlformats.org/officeDocument/2006/relationships/hyperlink" Target="https://ukraine-elections.com.ua/en/socopros/opinion_poll_show/2091" TargetMode="External"/><Relationship Id="rId1146" Type="http://schemas.openxmlformats.org/officeDocument/2006/relationships/hyperlink" Target="https://ukraine-elections.com.ua/en/socopros/opinion_poll_show/2003" TargetMode="External"/><Relationship Id="rId2090" Type="http://schemas.openxmlformats.org/officeDocument/2006/relationships/hyperlink" Target="https://ukraine-elections.com.ua/en/socopros/opinion_poll_show/1342" TargetMode="External"/><Relationship Id="rId2091" Type="http://schemas.openxmlformats.org/officeDocument/2006/relationships/hyperlink" Target="https://ukraine-elections.com.ua/en/socopros/opinion_poll_show/1342" TargetMode="External"/><Relationship Id="rId2092" Type="http://schemas.openxmlformats.org/officeDocument/2006/relationships/hyperlink" Target="https://ukraine-elections.com.ua/en/socopros/opinion_poll_show/1342" TargetMode="External"/><Relationship Id="rId2093" Type="http://schemas.openxmlformats.org/officeDocument/2006/relationships/hyperlink" Target="https://ukraine-elections.com.ua/en/socopros/opinion_poll_show/1342" TargetMode="External"/><Relationship Id="rId2094" Type="http://schemas.openxmlformats.org/officeDocument/2006/relationships/hyperlink" Target="https://ukraine-elections.com.ua/en/socopros/opinion_poll_show/1342" TargetMode="External"/><Relationship Id="rId2095" Type="http://schemas.openxmlformats.org/officeDocument/2006/relationships/hyperlink" Target="https://ukraine-elections.com.ua/en/socopros/opinion_poll_show/1342" TargetMode="External"/><Relationship Id="rId2096" Type="http://schemas.openxmlformats.org/officeDocument/2006/relationships/hyperlink" Target="https://ukraine-elections.com.ua/en/socopros/opinion_poll_show/1342" TargetMode="External"/><Relationship Id="rId2097" Type="http://schemas.openxmlformats.org/officeDocument/2006/relationships/hyperlink" Target="https://ukraine-elections.com.ua/en/socopros/opinion_poll_show/1337" TargetMode="External"/><Relationship Id="rId2098" Type="http://schemas.openxmlformats.org/officeDocument/2006/relationships/hyperlink" Target="https://ukraine-elections.com.ua/en/socopros/opinion_poll_show/1337" TargetMode="External"/><Relationship Id="rId2099" Type="http://schemas.openxmlformats.org/officeDocument/2006/relationships/hyperlink" Target="https://ukraine-elections.com.ua/en/socopros/opinion_poll_show/1337" TargetMode="External"/><Relationship Id="rId2060" Type="http://schemas.openxmlformats.org/officeDocument/2006/relationships/hyperlink" Target="https://ukraine-elections.com.ua/en/socopros/opinion_poll_show/1450" TargetMode="External"/><Relationship Id="rId2061" Type="http://schemas.openxmlformats.org/officeDocument/2006/relationships/hyperlink" Target="https://ukraine-elections.com.ua/en/socopros/opinion_poll_show/1450" TargetMode="External"/><Relationship Id="rId2062" Type="http://schemas.openxmlformats.org/officeDocument/2006/relationships/hyperlink" Target="https://ukraine-elections.com.ua/en/socopros/opinion_poll_show/1450" TargetMode="External"/><Relationship Id="rId2063" Type="http://schemas.openxmlformats.org/officeDocument/2006/relationships/hyperlink" Target="https://ukraine-elections.com.ua/en/socopros/opinion_poll_show/1450" TargetMode="External"/><Relationship Id="rId2064" Type="http://schemas.openxmlformats.org/officeDocument/2006/relationships/hyperlink" Target="https://ukraine-elections.com.ua/en/socopros/opinion_poll_show/1450" TargetMode="External"/><Relationship Id="rId2065" Type="http://schemas.openxmlformats.org/officeDocument/2006/relationships/hyperlink" Target="https://ukraine-elections.com.ua/en/socopros/opinion_poll_show/1450" TargetMode="External"/><Relationship Id="rId2066" Type="http://schemas.openxmlformats.org/officeDocument/2006/relationships/hyperlink" Target="https://ukraine-elections.com.ua/en/socopros/opinion_poll_show/1450" TargetMode="External"/><Relationship Id="rId2067" Type="http://schemas.openxmlformats.org/officeDocument/2006/relationships/hyperlink" Target="https://ukraine-elections.com.ua/en/socopros/opinion_poll_show/1450" TargetMode="External"/><Relationship Id="rId2068" Type="http://schemas.openxmlformats.org/officeDocument/2006/relationships/hyperlink" Target="https://ukraine-elections.com.ua/en/socopros/opinion_poll_show/1450" TargetMode="External"/><Relationship Id="rId2069" Type="http://schemas.openxmlformats.org/officeDocument/2006/relationships/hyperlink" Target="https://ukraine-elections.com.ua/en/socopros/opinion_poll_show/1450" TargetMode="External"/><Relationship Id="rId2050" Type="http://schemas.openxmlformats.org/officeDocument/2006/relationships/hyperlink" Target="https://ukraine-elections.com.ua/en/socopros/opinion_poll_show/1522" TargetMode="External"/><Relationship Id="rId2051" Type="http://schemas.openxmlformats.org/officeDocument/2006/relationships/hyperlink" Target="https://ukraine-elections.com.ua/en/socopros/opinion_poll_show/1522" TargetMode="External"/><Relationship Id="rId495" Type="http://schemas.openxmlformats.org/officeDocument/2006/relationships/hyperlink" Target="https://ukraine-elections.com.ua/en/socopros/opinion_poll_show/2098" TargetMode="External"/><Relationship Id="rId2052" Type="http://schemas.openxmlformats.org/officeDocument/2006/relationships/hyperlink" Target="https://ukraine-elections.com.ua/en/socopros/opinion_poll_show/1483" TargetMode="External"/><Relationship Id="rId494" Type="http://schemas.openxmlformats.org/officeDocument/2006/relationships/hyperlink" Target="https://ukraine-elections.com.ua/en/socopros/opinion_poll_show/2099" TargetMode="External"/><Relationship Id="rId2053" Type="http://schemas.openxmlformats.org/officeDocument/2006/relationships/hyperlink" Target="https://ukraine-elections.com.ua/en/socopros/opinion_poll_show/1483" TargetMode="External"/><Relationship Id="rId493" Type="http://schemas.openxmlformats.org/officeDocument/2006/relationships/hyperlink" Target="https://ukraine-elections.com.ua/en/socopros/opinion_poll_show/2099" TargetMode="External"/><Relationship Id="rId2054" Type="http://schemas.openxmlformats.org/officeDocument/2006/relationships/hyperlink" Target="https://ukraine-elections.com.ua/en/socopros/opinion_poll_show/1483" TargetMode="External"/><Relationship Id="rId492" Type="http://schemas.openxmlformats.org/officeDocument/2006/relationships/hyperlink" Target="https://ukraine-elections.com.ua/en/socopros/opinion_poll_show/2099" TargetMode="External"/><Relationship Id="rId2055" Type="http://schemas.openxmlformats.org/officeDocument/2006/relationships/hyperlink" Target="https://ukraine-elections.com.ua/en/socopros/opinion_poll_show/1483" TargetMode="External"/><Relationship Id="rId499" Type="http://schemas.openxmlformats.org/officeDocument/2006/relationships/hyperlink" Target="https://ukraine-elections.com.ua/en/socopros/opinion_poll_show/2098" TargetMode="External"/><Relationship Id="rId2056" Type="http://schemas.openxmlformats.org/officeDocument/2006/relationships/hyperlink" Target="https://ukraine-elections.com.ua/en/socopros/opinion_poll_show/1483" TargetMode="External"/><Relationship Id="rId498" Type="http://schemas.openxmlformats.org/officeDocument/2006/relationships/hyperlink" Target="https://ukraine-elections.com.ua/en/socopros/opinion_poll_show/2098" TargetMode="External"/><Relationship Id="rId2057" Type="http://schemas.openxmlformats.org/officeDocument/2006/relationships/hyperlink" Target="https://ukraine-elections.com.ua/en/socopros/opinion_poll_show/1483" TargetMode="External"/><Relationship Id="rId497" Type="http://schemas.openxmlformats.org/officeDocument/2006/relationships/hyperlink" Target="https://ukraine-elections.com.ua/en/socopros/opinion_poll_show/2098" TargetMode="External"/><Relationship Id="rId2058" Type="http://schemas.openxmlformats.org/officeDocument/2006/relationships/hyperlink" Target="https://ukraine-elections.com.ua/en/socopros/opinion_poll_show/1483" TargetMode="External"/><Relationship Id="rId496" Type="http://schemas.openxmlformats.org/officeDocument/2006/relationships/hyperlink" Target="https://ukraine-elections.com.ua/en/socopros/opinion_poll_show/2098" TargetMode="External"/><Relationship Id="rId2059" Type="http://schemas.openxmlformats.org/officeDocument/2006/relationships/hyperlink" Target="https://ukraine-elections.com.ua/en/socopros/opinion_poll_show/1483" TargetMode="External"/><Relationship Id="rId2080" Type="http://schemas.openxmlformats.org/officeDocument/2006/relationships/hyperlink" Target="https://ukraine-elections.com.ua/en/socopros/opinion_poll_show/1377" TargetMode="External"/><Relationship Id="rId2081" Type="http://schemas.openxmlformats.org/officeDocument/2006/relationships/hyperlink" Target="https://ukraine-elections.com.ua/en/socopros/opinion_poll_show/1377" TargetMode="External"/><Relationship Id="rId2082" Type="http://schemas.openxmlformats.org/officeDocument/2006/relationships/hyperlink" Target="https://ukraine-elections.com.ua/en/socopros/opinion_poll_show/1377" TargetMode="External"/><Relationship Id="rId2083" Type="http://schemas.openxmlformats.org/officeDocument/2006/relationships/hyperlink" Target="https://ukraine-elections.com.ua/en/socopros/opinion_poll_show/1377" TargetMode="External"/><Relationship Id="rId2084" Type="http://schemas.openxmlformats.org/officeDocument/2006/relationships/hyperlink" Target="https://ukraine-elections.com.ua/en/socopros/opinion_poll_show/1377" TargetMode="External"/><Relationship Id="rId2085" Type="http://schemas.openxmlformats.org/officeDocument/2006/relationships/hyperlink" Target="https://ukraine-elections.com.ua/en/socopros/opinion_poll_show/1377" TargetMode="External"/><Relationship Id="rId2086" Type="http://schemas.openxmlformats.org/officeDocument/2006/relationships/hyperlink" Target="https://ukraine-elections.com.ua/en/socopros/opinion_poll_show/1377" TargetMode="External"/><Relationship Id="rId2087" Type="http://schemas.openxmlformats.org/officeDocument/2006/relationships/hyperlink" Target="https://ukraine-elections.com.ua/en/socopros/opinion_poll_show/1377" TargetMode="External"/><Relationship Id="rId2088" Type="http://schemas.openxmlformats.org/officeDocument/2006/relationships/hyperlink" Target="https://ukraine-elections.com.ua/en/socopros/opinion_poll_show/1342" TargetMode="External"/><Relationship Id="rId2089" Type="http://schemas.openxmlformats.org/officeDocument/2006/relationships/hyperlink" Target="https://ukraine-elections.com.ua/en/socopros/opinion_poll_show/1342" TargetMode="External"/><Relationship Id="rId2070" Type="http://schemas.openxmlformats.org/officeDocument/2006/relationships/hyperlink" Target="https://ukraine-elections.com.ua/en/socopros/opinion_poll_show/1450" TargetMode="External"/><Relationship Id="rId2071" Type="http://schemas.openxmlformats.org/officeDocument/2006/relationships/hyperlink" Target="https://ukraine-elections.com.ua/en/socopros/opinion_poll_show/1438" TargetMode="External"/><Relationship Id="rId2072" Type="http://schemas.openxmlformats.org/officeDocument/2006/relationships/hyperlink" Target="https://ukraine-elections.com.ua/en/socopros/opinion_poll_show/1438" TargetMode="External"/><Relationship Id="rId2073" Type="http://schemas.openxmlformats.org/officeDocument/2006/relationships/hyperlink" Target="https://ukraine-elections.com.ua/en/socopros/opinion_poll_show/1438" TargetMode="External"/><Relationship Id="rId2074" Type="http://schemas.openxmlformats.org/officeDocument/2006/relationships/hyperlink" Target="https://ukraine-elections.com.ua/en/socopros/opinion_poll_show/1438" TargetMode="External"/><Relationship Id="rId2075" Type="http://schemas.openxmlformats.org/officeDocument/2006/relationships/hyperlink" Target="https://ukraine-elections.com.ua/en/socopros/opinion_poll_show/1438" TargetMode="External"/><Relationship Id="rId2076" Type="http://schemas.openxmlformats.org/officeDocument/2006/relationships/hyperlink" Target="https://ukraine-elections.com.ua/en/socopros/opinion_poll_show/1438" TargetMode="External"/><Relationship Id="rId2077" Type="http://schemas.openxmlformats.org/officeDocument/2006/relationships/hyperlink" Target="https://ukraine-elections.com.ua/en/socopros/opinion_poll_show/1438" TargetMode="External"/><Relationship Id="rId2078" Type="http://schemas.openxmlformats.org/officeDocument/2006/relationships/hyperlink" Target="https://ukraine-elections.com.ua/en/socopros/opinion_poll_show/1438" TargetMode="External"/><Relationship Id="rId2079" Type="http://schemas.openxmlformats.org/officeDocument/2006/relationships/hyperlink" Target="https://ukraine-elections.com.ua/en/socopros/opinion_poll_show/1438" TargetMode="External"/><Relationship Id="rId1610" Type="http://schemas.openxmlformats.org/officeDocument/2006/relationships/hyperlink" Target="https://ukraine-elections.com.ua/en/socopros/opinion_poll_show/1900" TargetMode="External"/><Relationship Id="rId1611" Type="http://schemas.openxmlformats.org/officeDocument/2006/relationships/hyperlink" Target="https://ukraine-elections.com.ua/en/socopros/opinion_poll_show/1900" TargetMode="External"/><Relationship Id="rId1612" Type="http://schemas.openxmlformats.org/officeDocument/2006/relationships/hyperlink" Target="https://ukraine-elections.com.ua/en/socopros/opinion_poll_show/1900" TargetMode="External"/><Relationship Id="rId1613" Type="http://schemas.openxmlformats.org/officeDocument/2006/relationships/hyperlink" Target="https://ukraine-elections.com.ua/en/socopros/opinion_poll_show/1900" TargetMode="External"/><Relationship Id="rId1614" Type="http://schemas.openxmlformats.org/officeDocument/2006/relationships/hyperlink" Target="https://ukraine-elections.com.ua/en/socopros/opinion_poll_show/1899" TargetMode="External"/><Relationship Id="rId1615" Type="http://schemas.openxmlformats.org/officeDocument/2006/relationships/hyperlink" Target="https://ukraine-elections.com.ua/en/socopros/opinion_poll_show/1899" TargetMode="External"/><Relationship Id="rId1616" Type="http://schemas.openxmlformats.org/officeDocument/2006/relationships/hyperlink" Target="https://ukraine-elections.com.ua/en/socopros/opinion_poll_show/1899" TargetMode="External"/><Relationship Id="rId907" Type="http://schemas.openxmlformats.org/officeDocument/2006/relationships/hyperlink" Target="https://ukraine-elections.com.ua/en/socopros/opinion_poll_show/2047" TargetMode="External"/><Relationship Id="rId1617" Type="http://schemas.openxmlformats.org/officeDocument/2006/relationships/hyperlink" Target="https://ukraine-elections.com.ua/en/socopros/opinion_poll_show/1899" TargetMode="External"/><Relationship Id="rId906" Type="http://schemas.openxmlformats.org/officeDocument/2006/relationships/hyperlink" Target="https://ukraine-elections.com.ua/en/socopros/opinion_poll_show/2047" TargetMode="External"/><Relationship Id="rId1618" Type="http://schemas.openxmlformats.org/officeDocument/2006/relationships/hyperlink" Target="https://ukraine-elections.com.ua/en/socopros/opinion_poll_show/1899" TargetMode="External"/><Relationship Id="rId905" Type="http://schemas.openxmlformats.org/officeDocument/2006/relationships/hyperlink" Target="https://ukraine-elections.com.ua/en/socopros/opinion_poll_show/2047" TargetMode="External"/><Relationship Id="rId1619" Type="http://schemas.openxmlformats.org/officeDocument/2006/relationships/hyperlink" Target="https://ukraine-elections.com.ua/en/socopros/opinion_poll_show/1899" TargetMode="External"/><Relationship Id="rId904" Type="http://schemas.openxmlformats.org/officeDocument/2006/relationships/hyperlink" Target="https://ukraine-elections.com.ua/en/socopros/opinion_poll_show/2049" TargetMode="External"/><Relationship Id="rId909" Type="http://schemas.openxmlformats.org/officeDocument/2006/relationships/hyperlink" Target="https://ukraine-elections.com.ua/en/socopros/opinion_poll_show/2047" TargetMode="External"/><Relationship Id="rId908" Type="http://schemas.openxmlformats.org/officeDocument/2006/relationships/hyperlink" Target="https://ukraine-elections.com.ua/en/socopros/opinion_poll_show/2047" TargetMode="External"/><Relationship Id="rId903" Type="http://schemas.openxmlformats.org/officeDocument/2006/relationships/hyperlink" Target="https://ukraine-elections.com.ua/en/socopros/opinion_poll_show/2049" TargetMode="External"/><Relationship Id="rId902" Type="http://schemas.openxmlformats.org/officeDocument/2006/relationships/hyperlink" Target="https://ukraine-elections.com.ua/en/socopros/opinion_poll_show/2049" TargetMode="External"/><Relationship Id="rId901" Type="http://schemas.openxmlformats.org/officeDocument/2006/relationships/hyperlink" Target="https://ukraine-elections.com.ua/en/socopros/opinion_poll_show/2049" TargetMode="External"/><Relationship Id="rId900" Type="http://schemas.openxmlformats.org/officeDocument/2006/relationships/hyperlink" Target="https://ukraine-elections.com.ua/en/socopros/opinion_poll_show/2049" TargetMode="External"/><Relationship Id="rId1600" Type="http://schemas.openxmlformats.org/officeDocument/2006/relationships/hyperlink" Target="https://ukraine-elections.com.ua/en/socopros/opinion_poll_show/1906" TargetMode="External"/><Relationship Id="rId1601" Type="http://schemas.openxmlformats.org/officeDocument/2006/relationships/hyperlink" Target="https://ukraine-elections.com.ua/en/socopros/opinion_poll_show/1900" TargetMode="External"/><Relationship Id="rId1602" Type="http://schemas.openxmlformats.org/officeDocument/2006/relationships/hyperlink" Target="https://ukraine-elections.com.ua/en/socopros/opinion_poll_show/1900" TargetMode="External"/><Relationship Id="rId1603" Type="http://schemas.openxmlformats.org/officeDocument/2006/relationships/hyperlink" Target="https://ukraine-elections.com.ua/en/socopros/opinion_poll_show/1900" TargetMode="External"/><Relationship Id="rId1604" Type="http://schemas.openxmlformats.org/officeDocument/2006/relationships/hyperlink" Target="https://ukraine-elections.com.ua/en/socopros/opinion_poll_show/1900" TargetMode="External"/><Relationship Id="rId1605" Type="http://schemas.openxmlformats.org/officeDocument/2006/relationships/hyperlink" Target="https://ukraine-elections.com.ua/en/socopros/opinion_poll_show/1900" TargetMode="External"/><Relationship Id="rId1606" Type="http://schemas.openxmlformats.org/officeDocument/2006/relationships/hyperlink" Target="https://ukraine-elections.com.ua/en/socopros/opinion_poll_show/1900" TargetMode="External"/><Relationship Id="rId1607" Type="http://schemas.openxmlformats.org/officeDocument/2006/relationships/hyperlink" Target="https://ukraine-elections.com.ua/en/socopros/opinion_poll_show/1900" TargetMode="External"/><Relationship Id="rId1608" Type="http://schemas.openxmlformats.org/officeDocument/2006/relationships/hyperlink" Target="https://ukraine-elections.com.ua/en/socopros/opinion_poll_show/1900" TargetMode="External"/><Relationship Id="rId1609" Type="http://schemas.openxmlformats.org/officeDocument/2006/relationships/hyperlink" Target="https://ukraine-elections.com.ua/en/socopros/opinion_poll_show/1900" TargetMode="External"/><Relationship Id="rId1631" Type="http://schemas.openxmlformats.org/officeDocument/2006/relationships/hyperlink" Target="https://ukraine-elections.com.ua/en/socopros/opinion_poll_show/1897" TargetMode="External"/><Relationship Id="rId1632" Type="http://schemas.openxmlformats.org/officeDocument/2006/relationships/hyperlink" Target="https://ukraine-elections.com.ua/en/socopros/opinion_poll_show/1897" TargetMode="External"/><Relationship Id="rId1633" Type="http://schemas.openxmlformats.org/officeDocument/2006/relationships/hyperlink" Target="https://ukraine-elections.com.ua/en/socopros/opinion_poll_show/1897" TargetMode="External"/><Relationship Id="rId1634" Type="http://schemas.openxmlformats.org/officeDocument/2006/relationships/hyperlink" Target="https://ukraine-elections.com.ua/en/socopros/opinion_poll_show/1897" TargetMode="External"/><Relationship Id="rId1635" Type="http://schemas.openxmlformats.org/officeDocument/2006/relationships/hyperlink" Target="https://ukraine-elections.com.ua/en/socopros/opinion_poll_show/1897" TargetMode="External"/><Relationship Id="rId1636" Type="http://schemas.openxmlformats.org/officeDocument/2006/relationships/hyperlink" Target="https://ukraine-elections.com.ua/en/socopros/opinion_poll_show/1897" TargetMode="External"/><Relationship Id="rId1637" Type="http://schemas.openxmlformats.org/officeDocument/2006/relationships/hyperlink" Target="https://ukraine-elections.com.ua/en/socopros/opinion_poll_show/1897" TargetMode="External"/><Relationship Id="rId1638" Type="http://schemas.openxmlformats.org/officeDocument/2006/relationships/hyperlink" Target="https://ukraine-elections.com.ua/en/socopros/opinion_poll_show/1897" TargetMode="External"/><Relationship Id="rId929" Type="http://schemas.openxmlformats.org/officeDocument/2006/relationships/hyperlink" Target="https://ukraine-elections.com.ua/en/socopros/opinion_poll_show/2046" TargetMode="External"/><Relationship Id="rId1639" Type="http://schemas.openxmlformats.org/officeDocument/2006/relationships/hyperlink" Target="https://ukraine-elections.com.ua/en/socopros/opinion_poll_show/1897" TargetMode="External"/><Relationship Id="rId928" Type="http://schemas.openxmlformats.org/officeDocument/2006/relationships/hyperlink" Target="https://ukraine-elections.com.ua/en/socopros/opinion_poll_show/2046" TargetMode="External"/><Relationship Id="rId927" Type="http://schemas.openxmlformats.org/officeDocument/2006/relationships/hyperlink" Target="https://ukraine-elections.com.ua/en/socopros/opinion_poll_show/2046" TargetMode="External"/><Relationship Id="rId926" Type="http://schemas.openxmlformats.org/officeDocument/2006/relationships/hyperlink" Target="https://ukraine-elections.com.ua/en/socopros/opinion_poll_show/2046" TargetMode="External"/><Relationship Id="rId921" Type="http://schemas.openxmlformats.org/officeDocument/2006/relationships/hyperlink" Target="https://ukraine-elections.com.ua/en/socopros/opinion_poll_show/2046" TargetMode="External"/><Relationship Id="rId920" Type="http://schemas.openxmlformats.org/officeDocument/2006/relationships/hyperlink" Target="https://ukraine-elections.com.ua/en/socopros/opinion_poll_show/2046" TargetMode="External"/><Relationship Id="rId925" Type="http://schemas.openxmlformats.org/officeDocument/2006/relationships/hyperlink" Target="https://ukraine-elections.com.ua/en/socopros/opinion_poll_show/2046" TargetMode="External"/><Relationship Id="rId924" Type="http://schemas.openxmlformats.org/officeDocument/2006/relationships/hyperlink" Target="https://ukraine-elections.com.ua/en/socopros/opinion_poll_show/2046" TargetMode="External"/><Relationship Id="rId923" Type="http://schemas.openxmlformats.org/officeDocument/2006/relationships/hyperlink" Target="https://ukraine-elections.com.ua/en/socopros/opinion_poll_show/2046" TargetMode="External"/><Relationship Id="rId922" Type="http://schemas.openxmlformats.org/officeDocument/2006/relationships/hyperlink" Target="https://ukraine-elections.com.ua/en/socopros/opinion_poll_show/2046" TargetMode="External"/><Relationship Id="rId1630" Type="http://schemas.openxmlformats.org/officeDocument/2006/relationships/hyperlink" Target="https://ukraine-elections.com.ua/en/socopros/opinion_poll_show/1897" TargetMode="External"/><Relationship Id="rId1620" Type="http://schemas.openxmlformats.org/officeDocument/2006/relationships/hyperlink" Target="https://ukraine-elections.com.ua/en/socopros/opinion_poll_show/1899" TargetMode="External"/><Relationship Id="rId1621" Type="http://schemas.openxmlformats.org/officeDocument/2006/relationships/hyperlink" Target="https://ukraine-elections.com.ua/en/socopros/opinion_poll_show/1899" TargetMode="External"/><Relationship Id="rId1622" Type="http://schemas.openxmlformats.org/officeDocument/2006/relationships/hyperlink" Target="https://ukraine-elections.com.ua/en/socopros/opinion_poll_show/1899" TargetMode="External"/><Relationship Id="rId1623" Type="http://schemas.openxmlformats.org/officeDocument/2006/relationships/hyperlink" Target="https://ukraine-elections.com.ua/en/socopros/opinion_poll_show/1899" TargetMode="External"/><Relationship Id="rId1624" Type="http://schemas.openxmlformats.org/officeDocument/2006/relationships/hyperlink" Target="https://ukraine-elections.com.ua/en/socopros/opinion_poll_show/1899" TargetMode="External"/><Relationship Id="rId1625" Type="http://schemas.openxmlformats.org/officeDocument/2006/relationships/hyperlink" Target="https://ukraine-elections.com.ua/en/socopros/opinion_poll_show/1899" TargetMode="External"/><Relationship Id="rId1626" Type="http://schemas.openxmlformats.org/officeDocument/2006/relationships/hyperlink" Target="https://ukraine-elections.com.ua/en/socopros/opinion_poll_show/1899" TargetMode="External"/><Relationship Id="rId1627" Type="http://schemas.openxmlformats.org/officeDocument/2006/relationships/hyperlink" Target="https://ukraine-elections.com.ua/en/socopros/opinion_poll_show/1899" TargetMode="External"/><Relationship Id="rId918" Type="http://schemas.openxmlformats.org/officeDocument/2006/relationships/hyperlink" Target="https://ukraine-elections.com.ua/en/socopros/opinion_poll_show/2047" TargetMode="External"/><Relationship Id="rId1628" Type="http://schemas.openxmlformats.org/officeDocument/2006/relationships/hyperlink" Target="https://ukraine-elections.com.ua/en/socopros/opinion_poll_show/1899" TargetMode="External"/><Relationship Id="rId917" Type="http://schemas.openxmlformats.org/officeDocument/2006/relationships/hyperlink" Target="https://ukraine-elections.com.ua/en/socopros/opinion_poll_show/2047" TargetMode="External"/><Relationship Id="rId1629" Type="http://schemas.openxmlformats.org/officeDocument/2006/relationships/hyperlink" Target="https://ukraine-elections.com.ua/en/socopros/opinion_poll_show/1897" TargetMode="External"/><Relationship Id="rId916" Type="http://schemas.openxmlformats.org/officeDocument/2006/relationships/hyperlink" Target="https://ukraine-elections.com.ua/en/socopros/opinion_poll_show/2047" TargetMode="External"/><Relationship Id="rId915" Type="http://schemas.openxmlformats.org/officeDocument/2006/relationships/hyperlink" Target="https://ukraine-elections.com.ua/en/socopros/opinion_poll_show/2047" TargetMode="External"/><Relationship Id="rId919" Type="http://schemas.openxmlformats.org/officeDocument/2006/relationships/hyperlink" Target="https://ukraine-elections.com.ua/en/socopros/opinion_poll_show/2046" TargetMode="External"/><Relationship Id="rId910" Type="http://schemas.openxmlformats.org/officeDocument/2006/relationships/hyperlink" Target="https://ukraine-elections.com.ua/en/socopros/opinion_poll_show/2047" TargetMode="External"/><Relationship Id="rId914" Type="http://schemas.openxmlformats.org/officeDocument/2006/relationships/hyperlink" Target="https://ukraine-elections.com.ua/en/socopros/opinion_poll_show/2047" TargetMode="External"/><Relationship Id="rId913" Type="http://schemas.openxmlformats.org/officeDocument/2006/relationships/hyperlink" Target="https://ukraine-elections.com.ua/en/socopros/opinion_poll_show/2047" TargetMode="External"/><Relationship Id="rId912" Type="http://schemas.openxmlformats.org/officeDocument/2006/relationships/hyperlink" Target="https://ukraine-elections.com.ua/en/socopros/opinion_poll_show/2047" TargetMode="External"/><Relationship Id="rId911" Type="http://schemas.openxmlformats.org/officeDocument/2006/relationships/hyperlink" Target="https://ukraine-elections.com.ua/en/socopros/opinion_poll_show/2047" TargetMode="External"/><Relationship Id="rId1213" Type="http://schemas.openxmlformats.org/officeDocument/2006/relationships/hyperlink" Target="https://ukraine-elections.com.ua/en/socopros/opinion_poll_show/1988" TargetMode="External"/><Relationship Id="rId1697" Type="http://schemas.openxmlformats.org/officeDocument/2006/relationships/hyperlink" Target="https://ukraine-elections.com.ua/en/socopros/opinion_poll_show/1891" TargetMode="External"/><Relationship Id="rId1214" Type="http://schemas.openxmlformats.org/officeDocument/2006/relationships/hyperlink" Target="https://ukraine-elections.com.ua/en/socopros/opinion_poll_show/1988" TargetMode="External"/><Relationship Id="rId1698" Type="http://schemas.openxmlformats.org/officeDocument/2006/relationships/hyperlink" Target="https://ukraine-elections.com.ua/en/socopros/opinion_poll_show/1891" TargetMode="External"/><Relationship Id="rId1215" Type="http://schemas.openxmlformats.org/officeDocument/2006/relationships/hyperlink" Target="https://ukraine-elections.com.ua/en/socopros/opinion_poll_show/1988" TargetMode="External"/><Relationship Id="rId1699" Type="http://schemas.openxmlformats.org/officeDocument/2006/relationships/hyperlink" Target="https://ukraine-elections.com.ua/en/socopros/opinion_poll_show/1891" TargetMode="External"/><Relationship Id="rId1216" Type="http://schemas.openxmlformats.org/officeDocument/2006/relationships/hyperlink" Target="https://ukraine-elections.com.ua/en/socopros/opinion_poll_show/1988" TargetMode="External"/><Relationship Id="rId1217" Type="http://schemas.openxmlformats.org/officeDocument/2006/relationships/hyperlink" Target="https://ukraine-elections.com.ua/en/socopros/opinion_poll_show/1988" TargetMode="External"/><Relationship Id="rId1218" Type="http://schemas.openxmlformats.org/officeDocument/2006/relationships/hyperlink" Target="https://ukraine-elections.com.ua/en/socopros/opinion_poll_show/1988" TargetMode="External"/><Relationship Id="rId1219" Type="http://schemas.openxmlformats.org/officeDocument/2006/relationships/hyperlink" Target="https://ukraine-elections.com.ua/en/socopros/opinion_poll_show/1988" TargetMode="External"/><Relationship Id="rId866" Type="http://schemas.openxmlformats.org/officeDocument/2006/relationships/hyperlink" Target="https://ukraine-elections.com.ua/en/socopros/opinion_poll_show/2052" TargetMode="External"/><Relationship Id="rId865" Type="http://schemas.openxmlformats.org/officeDocument/2006/relationships/hyperlink" Target="https://ukraine-elections.com.ua/en/socopros/opinion_poll_show/2052" TargetMode="External"/><Relationship Id="rId864" Type="http://schemas.openxmlformats.org/officeDocument/2006/relationships/hyperlink" Target="https://ukraine-elections.com.ua/en/socopros/opinion_poll_show/2052" TargetMode="External"/><Relationship Id="rId863" Type="http://schemas.openxmlformats.org/officeDocument/2006/relationships/hyperlink" Target="https://ukraine-elections.com.ua/en/socopros/opinion_poll_show/2052" TargetMode="External"/><Relationship Id="rId869" Type="http://schemas.openxmlformats.org/officeDocument/2006/relationships/hyperlink" Target="https://ukraine-elections.com.ua/en/socopros/opinion_poll_show/2052" TargetMode="External"/><Relationship Id="rId868" Type="http://schemas.openxmlformats.org/officeDocument/2006/relationships/hyperlink" Target="https://ukraine-elections.com.ua/en/socopros/opinion_poll_show/2052" TargetMode="External"/><Relationship Id="rId867" Type="http://schemas.openxmlformats.org/officeDocument/2006/relationships/hyperlink" Target="https://ukraine-elections.com.ua/en/socopros/opinion_poll_show/2052" TargetMode="External"/><Relationship Id="rId1690" Type="http://schemas.openxmlformats.org/officeDocument/2006/relationships/hyperlink" Target="https://ukraine-elections.com.ua/en/socopros/opinion_poll_show/1892" TargetMode="External"/><Relationship Id="rId1691" Type="http://schemas.openxmlformats.org/officeDocument/2006/relationships/hyperlink" Target="https://ukraine-elections.com.ua/en/socopros/opinion_poll_show/1892" TargetMode="External"/><Relationship Id="rId1692" Type="http://schemas.openxmlformats.org/officeDocument/2006/relationships/hyperlink" Target="https://ukraine-elections.com.ua/en/socopros/opinion_poll_show/1892" TargetMode="External"/><Relationship Id="rId862" Type="http://schemas.openxmlformats.org/officeDocument/2006/relationships/hyperlink" Target="https://ukraine-elections.com.ua/en/socopros/opinion_poll_show/2054" TargetMode="External"/><Relationship Id="rId1693" Type="http://schemas.openxmlformats.org/officeDocument/2006/relationships/hyperlink" Target="https://ukraine-elections.com.ua/en/socopros/opinion_poll_show/1891" TargetMode="External"/><Relationship Id="rId861" Type="http://schemas.openxmlformats.org/officeDocument/2006/relationships/hyperlink" Target="https://ukraine-elections.com.ua/en/socopros/opinion_poll_show/2054" TargetMode="External"/><Relationship Id="rId1210" Type="http://schemas.openxmlformats.org/officeDocument/2006/relationships/hyperlink" Target="https://ukraine-elections.com.ua/en/socopros/opinion_poll_show/1988" TargetMode="External"/><Relationship Id="rId1694" Type="http://schemas.openxmlformats.org/officeDocument/2006/relationships/hyperlink" Target="https://ukraine-elections.com.ua/en/socopros/opinion_poll_show/1891" TargetMode="External"/><Relationship Id="rId860" Type="http://schemas.openxmlformats.org/officeDocument/2006/relationships/hyperlink" Target="https://ukraine-elections.com.ua/en/socopros/opinion_poll_show/2054" TargetMode="External"/><Relationship Id="rId1211" Type="http://schemas.openxmlformats.org/officeDocument/2006/relationships/hyperlink" Target="https://ukraine-elections.com.ua/en/socopros/opinion_poll_show/1988" TargetMode="External"/><Relationship Id="rId1695" Type="http://schemas.openxmlformats.org/officeDocument/2006/relationships/hyperlink" Target="https://ukraine-elections.com.ua/en/socopros/opinion_poll_show/1891" TargetMode="External"/><Relationship Id="rId1212" Type="http://schemas.openxmlformats.org/officeDocument/2006/relationships/hyperlink" Target="https://ukraine-elections.com.ua/en/socopros/opinion_poll_show/1988" TargetMode="External"/><Relationship Id="rId1696" Type="http://schemas.openxmlformats.org/officeDocument/2006/relationships/hyperlink" Target="https://ukraine-elections.com.ua/en/socopros/opinion_poll_show/1891" TargetMode="External"/><Relationship Id="rId1202" Type="http://schemas.openxmlformats.org/officeDocument/2006/relationships/hyperlink" Target="https://ukraine-elections.com.ua/en/socopros/opinion_poll_show/1990" TargetMode="External"/><Relationship Id="rId1686" Type="http://schemas.openxmlformats.org/officeDocument/2006/relationships/hyperlink" Target="https://ukraine-elections.com.ua/en/socopros/opinion_poll_show/1892" TargetMode="External"/><Relationship Id="rId1203" Type="http://schemas.openxmlformats.org/officeDocument/2006/relationships/hyperlink" Target="https://ukraine-elections.com.ua/en/socopros/opinion_poll_show/1990" TargetMode="External"/><Relationship Id="rId1687" Type="http://schemas.openxmlformats.org/officeDocument/2006/relationships/hyperlink" Target="https://ukraine-elections.com.ua/en/socopros/opinion_poll_show/1892" TargetMode="External"/><Relationship Id="rId1204" Type="http://schemas.openxmlformats.org/officeDocument/2006/relationships/hyperlink" Target="https://ukraine-elections.com.ua/en/socopros/opinion_poll_show/1990" TargetMode="External"/><Relationship Id="rId1688" Type="http://schemas.openxmlformats.org/officeDocument/2006/relationships/hyperlink" Target="https://ukraine-elections.com.ua/en/socopros/opinion_poll_show/1892" TargetMode="External"/><Relationship Id="rId1205" Type="http://schemas.openxmlformats.org/officeDocument/2006/relationships/hyperlink" Target="https://ukraine-elections.com.ua/en/socopros/opinion_poll_show/1990" TargetMode="External"/><Relationship Id="rId1689" Type="http://schemas.openxmlformats.org/officeDocument/2006/relationships/hyperlink" Target="https://ukraine-elections.com.ua/en/socopros/opinion_poll_show/1892" TargetMode="External"/><Relationship Id="rId1206" Type="http://schemas.openxmlformats.org/officeDocument/2006/relationships/hyperlink" Target="https://ukraine-elections.com.ua/en/socopros/opinion_poll_show/1990" TargetMode="External"/><Relationship Id="rId1207" Type="http://schemas.openxmlformats.org/officeDocument/2006/relationships/hyperlink" Target="https://ukraine-elections.com.ua/en/socopros/opinion_poll_show/1990" TargetMode="External"/><Relationship Id="rId1208" Type="http://schemas.openxmlformats.org/officeDocument/2006/relationships/hyperlink" Target="https://ukraine-elections.com.ua/en/socopros/opinion_poll_show/1990" TargetMode="External"/><Relationship Id="rId1209" Type="http://schemas.openxmlformats.org/officeDocument/2006/relationships/hyperlink" Target="https://ukraine-elections.com.ua/en/socopros/opinion_poll_show/1988" TargetMode="External"/><Relationship Id="rId855" Type="http://schemas.openxmlformats.org/officeDocument/2006/relationships/hyperlink" Target="https://ukraine-elections.com.ua/en/socopros/opinion_poll_show/2054" TargetMode="External"/><Relationship Id="rId854" Type="http://schemas.openxmlformats.org/officeDocument/2006/relationships/hyperlink" Target="https://ukraine-elections.com.ua/en/socopros/opinion_poll_show/2054" TargetMode="External"/><Relationship Id="rId853" Type="http://schemas.openxmlformats.org/officeDocument/2006/relationships/hyperlink" Target="https://ukraine-elections.com.ua/en/socopros/opinion_poll_show/2054" TargetMode="External"/><Relationship Id="rId852" Type="http://schemas.openxmlformats.org/officeDocument/2006/relationships/hyperlink" Target="https://ukraine-elections.com.ua/en/socopros/opinion_poll_show/2054" TargetMode="External"/><Relationship Id="rId859" Type="http://schemas.openxmlformats.org/officeDocument/2006/relationships/hyperlink" Target="https://ukraine-elections.com.ua/en/socopros/opinion_poll_show/2054" TargetMode="External"/><Relationship Id="rId858" Type="http://schemas.openxmlformats.org/officeDocument/2006/relationships/hyperlink" Target="https://ukraine-elections.com.ua/en/socopros/opinion_poll_show/2054" TargetMode="External"/><Relationship Id="rId857" Type="http://schemas.openxmlformats.org/officeDocument/2006/relationships/hyperlink" Target="https://ukraine-elections.com.ua/en/socopros/opinion_poll_show/2054" TargetMode="External"/><Relationship Id="rId856" Type="http://schemas.openxmlformats.org/officeDocument/2006/relationships/hyperlink" Target="https://ukraine-elections.com.ua/en/socopros/opinion_poll_show/2054" TargetMode="External"/><Relationship Id="rId1680" Type="http://schemas.openxmlformats.org/officeDocument/2006/relationships/hyperlink" Target="https://ukraine-elections.com.ua/en/socopros/opinion_poll_show/1892" TargetMode="External"/><Relationship Id="rId1681" Type="http://schemas.openxmlformats.org/officeDocument/2006/relationships/hyperlink" Target="https://ukraine-elections.com.ua/en/socopros/opinion_poll_show/1892" TargetMode="External"/><Relationship Id="rId851" Type="http://schemas.openxmlformats.org/officeDocument/2006/relationships/hyperlink" Target="https://ukraine-elections.com.ua/en/socopros/opinion_poll_show/2054" TargetMode="External"/><Relationship Id="rId1682" Type="http://schemas.openxmlformats.org/officeDocument/2006/relationships/hyperlink" Target="https://ukraine-elections.com.ua/en/socopros/opinion_poll_show/1892" TargetMode="External"/><Relationship Id="rId850" Type="http://schemas.openxmlformats.org/officeDocument/2006/relationships/hyperlink" Target="https://ukraine-elections.com.ua/en/socopros/opinion_poll_show/2054" TargetMode="External"/><Relationship Id="rId1683" Type="http://schemas.openxmlformats.org/officeDocument/2006/relationships/hyperlink" Target="https://ukraine-elections.com.ua/en/socopros/opinion_poll_show/1892" TargetMode="External"/><Relationship Id="rId1200" Type="http://schemas.openxmlformats.org/officeDocument/2006/relationships/hyperlink" Target="https://ukraine-elections.com.ua/en/socopros/opinion_poll_show/1990" TargetMode="External"/><Relationship Id="rId1684" Type="http://schemas.openxmlformats.org/officeDocument/2006/relationships/hyperlink" Target="https://ukraine-elections.com.ua/en/socopros/opinion_poll_show/1892" TargetMode="External"/><Relationship Id="rId1201" Type="http://schemas.openxmlformats.org/officeDocument/2006/relationships/hyperlink" Target="https://ukraine-elections.com.ua/en/socopros/opinion_poll_show/1990" TargetMode="External"/><Relationship Id="rId1685" Type="http://schemas.openxmlformats.org/officeDocument/2006/relationships/hyperlink" Target="https://ukraine-elections.com.ua/en/socopros/opinion_poll_show/1892" TargetMode="External"/><Relationship Id="rId1235" Type="http://schemas.openxmlformats.org/officeDocument/2006/relationships/hyperlink" Target="https://ukraine-elections.com.ua/en/socopros/opinion_poll_show/1985" TargetMode="External"/><Relationship Id="rId1236" Type="http://schemas.openxmlformats.org/officeDocument/2006/relationships/hyperlink" Target="https://ukraine-elections.com.ua/en/socopros/opinion_poll_show/1985" TargetMode="External"/><Relationship Id="rId1237" Type="http://schemas.openxmlformats.org/officeDocument/2006/relationships/hyperlink" Target="https://ukraine-elections.com.ua/en/socopros/opinion_poll_show/1985" TargetMode="External"/><Relationship Id="rId1238" Type="http://schemas.openxmlformats.org/officeDocument/2006/relationships/hyperlink" Target="https://ukraine-elections.com.ua/en/socopros/opinion_poll_show/1985" TargetMode="External"/><Relationship Id="rId1239" Type="http://schemas.openxmlformats.org/officeDocument/2006/relationships/hyperlink" Target="https://ukraine-elections.com.ua/en/socopros/opinion_poll_show/1985" TargetMode="External"/><Relationship Id="rId409" Type="http://schemas.openxmlformats.org/officeDocument/2006/relationships/hyperlink" Target="https://ukraine-elections.com.ua/en/socopros/opinion_poll_show/2123" TargetMode="External"/><Relationship Id="rId404" Type="http://schemas.openxmlformats.org/officeDocument/2006/relationships/hyperlink" Target="https://ukraine-elections.com.ua/en/socopros/opinion_poll_show/2125" TargetMode="External"/><Relationship Id="rId888" Type="http://schemas.openxmlformats.org/officeDocument/2006/relationships/hyperlink" Target="https://ukraine-elections.com.ua/en/socopros/opinion_poll_show/2050" TargetMode="External"/><Relationship Id="rId403" Type="http://schemas.openxmlformats.org/officeDocument/2006/relationships/hyperlink" Target="https://ukraine-elections.com.ua/en/socopros/opinion_poll_show/2125" TargetMode="External"/><Relationship Id="rId887" Type="http://schemas.openxmlformats.org/officeDocument/2006/relationships/hyperlink" Target="https://ukraine-elections.com.ua/en/socopros/opinion_poll_show/2050" TargetMode="External"/><Relationship Id="rId402" Type="http://schemas.openxmlformats.org/officeDocument/2006/relationships/hyperlink" Target="https://ukraine-elections.com.ua/en/socopros/opinion_poll_show/2125" TargetMode="External"/><Relationship Id="rId886" Type="http://schemas.openxmlformats.org/officeDocument/2006/relationships/hyperlink" Target="https://ukraine-elections.com.ua/en/socopros/opinion_poll_show/2050" TargetMode="External"/><Relationship Id="rId401" Type="http://schemas.openxmlformats.org/officeDocument/2006/relationships/hyperlink" Target="https://ukraine-elections.com.ua/en/socopros/opinion_poll_show/2125" TargetMode="External"/><Relationship Id="rId885" Type="http://schemas.openxmlformats.org/officeDocument/2006/relationships/hyperlink" Target="https://ukraine-elections.com.ua/en/socopros/opinion_poll_show/2050" TargetMode="External"/><Relationship Id="rId408" Type="http://schemas.openxmlformats.org/officeDocument/2006/relationships/hyperlink" Target="https://ukraine-elections.com.ua/en/socopros/opinion_poll_show/2123" TargetMode="External"/><Relationship Id="rId407" Type="http://schemas.openxmlformats.org/officeDocument/2006/relationships/hyperlink" Target="https://ukraine-elections.com.ua/en/socopros/opinion_poll_show/2123" TargetMode="External"/><Relationship Id="rId406" Type="http://schemas.openxmlformats.org/officeDocument/2006/relationships/hyperlink" Target="https://ukraine-elections.com.ua/en/socopros/opinion_poll_show/2123" TargetMode="External"/><Relationship Id="rId405" Type="http://schemas.openxmlformats.org/officeDocument/2006/relationships/hyperlink" Target="https://ukraine-elections.com.ua/en/socopros/opinion_poll_show/2123" TargetMode="External"/><Relationship Id="rId889" Type="http://schemas.openxmlformats.org/officeDocument/2006/relationships/hyperlink" Target="https://ukraine-elections.com.ua/en/socopros/opinion_poll_show/2050" TargetMode="External"/><Relationship Id="rId880" Type="http://schemas.openxmlformats.org/officeDocument/2006/relationships/hyperlink" Target="https://ukraine-elections.com.ua/en/socopros/opinion_poll_show/2050" TargetMode="External"/><Relationship Id="rId1230" Type="http://schemas.openxmlformats.org/officeDocument/2006/relationships/hyperlink" Target="https://ukraine-elections.com.ua/en/socopros/opinion_poll_show/1987" TargetMode="External"/><Relationship Id="rId400" Type="http://schemas.openxmlformats.org/officeDocument/2006/relationships/hyperlink" Target="https://ukraine-elections.com.ua/en/socopros/opinion_poll_show/2125" TargetMode="External"/><Relationship Id="rId884" Type="http://schemas.openxmlformats.org/officeDocument/2006/relationships/hyperlink" Target="https://ukraine-elections.com.ua/en/socopros/opinion_poll_show/2050" TargetMode="External"/><Relationship Id="rId1231" Type="http://schemas.openxmlformats.org/officeDocument/2006/relationships/hyperlink" Target="https://ukraine-elections.com.ua/en/socopros/opinion_poll_show/1987" TargetMode="External"/><Relationship Id="rId883" Type="http://schemas.openxmlformats.org/officeDocument/2006/relationships/hyperlink" Target="https://ukraine-elections.com.ua/en/socopros/opinion_poll_show/2050" TargetMode="External"/><Relationship Id="rId1232" Type="http://schemas.openxmlformats.org/officeDocument/2006/relationships/hyperlink" Target="https://ukraine-elections.com.ua/en/socopros/opinion_poll_show/1985" TargetMode="External"/><Relationship Id="rId882" Type="http://schemas.openxmlformats.org/officeDocument/2006/relationships/hyperlink" Target="https://ukraine-elections.com.ua/en/socopros/opinion_poll_show/2050" TargetMode="External"/><Relationship Id="rId1233" Type="http://schemas.openxmlformats.org/officeDocument/2006/relationships/hyperlink" Target="https://ukraine-elections.com.ua/en/socopros/opinion_poll_show/1985" TargetMode="External"/><Relationship Id="rId881" Type="http://schemas.openxmlformats.org/officeDocument/2006/relationships/hyperlink" Target="https://ukraine-elections.com.ua/en/socopros/opinion_poll_show/2050" TargetMode="External"/><Relationship Id="rId1234" Type="http://schemas.openxmlformats.org/officeDocument/2006/relationships/hyperlink" Target="https://ukraine-elections.com.ua/en/socopros/opinion_poll_show/1985" TargetMode="External"/><Relationship Id="rId1224" Type="http://schemas.openxmlformats.org/officeDocument/2006/relationships/hyperlink" Target="https://ukraine-elections.com.ua/en/socopros/opinion_poll_show/1987" TargetMode="External"/><Relationship Id="rId1225" Type="http://schemas.openxmlformats.org/officeDocument/2006/relationships/hyperlink" Target="https://ukraine-elections.com.ua/en/socopros/opinion_poll_show/1987" TargetMode="External"/><Relationship Id="rId1226" Type="http://schemas.openxmlformats.org/officeDocument/2006/relationships/hyperlink" Target="https://ukraine-elections.com.ua/en/socopros/opinion_poll_show/1987" TargetMode="External"/><Relationship Id="rId1227" Type="http://schemas.openxmlformats.org/officeDocument/2006/relationships/hyperlink" Target="https://ukraine-elections.com.ua/en/socopros/opinion_poll_show/1987" TargetMode="External"/><Relationship Id="rId1228" Type="http://schemas.openxmlformats.org/officeDocument/2006/relationships/hyperlink" Target="https://ukraine-elections.com.ua/en/socopros/opinion_poll_show/1987" TargetMode="External"/><Relationship Id="rId1229" Type="http://schemas.openxmlformats.org/officeDocument/2006/relationships/hyperlink" Target="https://ukraine-elections.com.ua/en/socopros/opinion_poll_show/1987" TargetMode="External"/><Relationship Id="rId877" Type="http://schemas.openxmlformats.org/officeDocument/2006/relationships/hyperlink" Target="https://ukraine-elections.com.ua/en/socopros/opinion_poll_show/2052" TargetMode="External"/><Relationship Id="rId876" Type="http://schemas.openxmlformats.org/officeDocument/2006/relationships/hyperlink" Target="https://ukraine-elections.com.ua/en/socopros/opinion_poll_show/2052" TargetMode="External"/><Relationship Id="rId875" Type="http://schemas.openxmlformats.org/officeDocument/2006/relationships/hyperlink" Target="https://ukraine-elections.com.ua/en/socopros/opinion_poll_show/2052" TargetMode="External"/><Relationship Id="rId874" Type="http://schemas.openxmlformats.org/officeDocument/2006/relationships/hyperlink" Target="https://ukraine-elections.com.ua/en/socopros/opinion_poll_show/2052" TargetMode="External"/><Relationship Id="rId879" Type="http://schemas.openxmlformats.org/officeDocument/2006/relationships/hyperlink" Target="https://ukraine-elections.com.ua/en/socopros/opinion_poll_show/2050" TargetMode="External"/><Relationship Id="rId878" Type="http://schemas.openxmlformats.org/officeDocument/2006/relationships/hyperlink" Target="https://ukraine-elections.com.ua/en/socopros/opinion_poll_show/2052" TargetMode="External"/><Relationship Id="rId873" Type="http://schemas.openxmlformats.org/officeDocument/2006/relationships/hyperlink" Target="https://ukraine-elections.com.ua/en/socopros/opinion_poll_show/2052" TargetMode="External"/><Relationship Id="rId1220" Type="http://schemas.openxmlformats.org/officeDocument/2006/relationships/hyperlink" Target="https://ukraine-elections.com.ua/en/socopros/opinion_poll_show/1987" TargetMode="External"/><Relationship Id="rId872" Type="http://schemas.openxmlformats.org/officeDocument/2006/relationships/hyperlink" Target="https://ukraine-elections.com.ua/en/socopros/opinion_poll_show/2052" TargetMode="External"/><Relationship Id="rId1221" Type="http://schemas.openxmlformats.org/officeDocument/2006/relationships/hyperlink" Target="https://ukraine-elections.com.ua/en/socopros/opinion_poll_show/1987" TargetMode="External"/><Relationship Id="rId871" Type="http://schemas.openxmlformats.org/officeDocument/2006/relationships/hyperlink" Target="https://ukraine-elections.com.ua/en/socopros/opinion_poll_show/2052" TargetMode="External"/><Relationship Id="rId1222" Type="http://schemas.openxmlformats.org/officeDocument/2006/relationships/hyperlink" Target="https://ukraine-elections.com.ua/en/socopros/opinion_poll_show/1987" TargetMode="External"/><Relationship Id="rId870" Type="http://schemas.openxmlformats.org/officeDocument/2006/relationships/hyperlink" Target="https://ukraine-elections.com.ua/en/socopros/opinion_poll_show/2052" TargetMode="External"/><Relationship Id="rId1223" Type="http://schemas.openxmlformats.org/officeDocument/2006/relationships/hyperlink" Target="https://ukraine-elections.com.ua/en/socopros/opinion_poll_show/1987" TargetMode="External"/><Relationship Id="rId1653" Type="http://schemas.openxmlformats.org/officeDocument/2006/relationships/hyperlink" Target="https://ukraine-elections.com.ua/en/socopros/opinion_poll_show/1896" TargetMode="External"/><Relationship Id="rId1654" Type="http://schemas.openxmlformats.org/officeDocument/2006/relationships/hyperlink" Target="https://ukraine-elections.com.ua/en/socopros/opinion_poll_show/1896" TargetMode="External"/><Relationship Id="rId1655" Type="http://schemas.openxmlformats.org/officeDocument/2006/relationships/hyperlink" Target="https://ukraine-elections.com.ua/en/socopros/opinion_poll_show/1896" TargetMode="External"/><Relationship Id="rId1656" Type="http://schemas.openxmlformats.org/officeDocument/2006/relationships/hyperlink" Target="https://ukraine-elections.com.ua/en/socopros/opinion_poll_show/1896" TargetMode="External"/><Relationship Id="rId1657" Type="http://schemas.openxmlformats.org/officeDocument/2006/relationships/hyperlink" Target="https://ukraine-elections.com.ua/en/socopros/opinion_poll_show/1896" TargetMode="External"/><Relationship Id="rId1658" Type="http://schemas.openxmlformats.org/officeDocument/2006/relationships/hyperlink" Target="https://ukraine-elections.com.ua/en/socopros/opinion_poll_show/1896" TargetMode="External"/><Relationship Id="rId1659" Type="http://schemas.openxmlformats.org/officeDocument/2006/relationships/hyperlink" Target="https://ukraine-elections.com.ua/en/socopros/opinion_poll_show/1896" TargetMode="External"/><Relationship Id="rId829" Type="http://schemas.openxmlformats.org/officeDocument/2006/relationships/hyperlink" Target="https://ukraine-elections.com.ua/en/socopros/opinion_poll_show/2056" TargetMode="External"/><Relationship Id="rId828" Type="http://schemas.openxmlformats.org/officeDocument/2006/relationships/hyperlink" Target="https://ukraine-elections.com.ua/en/socopros/opinion_poll_show/2056" TargetMode="External"/><Relationship Id="rId827" Type="http://schemas.openxmlformats.org/officeDocument/2006/relationships/hyperlink" Target="https://ukraine-elections.com.ua/en/socopros/opinion_poll_show/2056" TargetMode="External"/><Relationship Id="rId822" Type="http://schemas.openxmlformats.org/officeDocument/2006/relationships/hyperlink" Target="https://ukraine-elections.com.ua/en/socopros/opinion_poll_show/2056" TargetMode="External"/><Relationship Id="rId821" Type="http://schemas.openxmlformats.org/officeDocument/2006/relationships/hyperlink" Target="https://ukraine-elections.com.ua/en/socopros/opinion_poll_show/2056" TargetMode="External"/><Relationship Id="rId820" Type="http://schemas.openxmlformats.org/officeDocument/2006/relationships/hyperlink" Target="https://ukraine-elections.com.ua/en/socopros/opinion_poll_show/2056" TargetMode="External"/><Relationship Id="rId826" Type="http://schemas.openxmlformats.org/officeDocument/2006/relationships/hyperlink" Target="https://ukraine-elections.com.ua/en/socopros/opinion_poll_show/2056" TargetMode="External"/><Relationship Id="rId825" Type="http://schemas.openxmlformats.org/officeDocument/2006/relationships/hyperlink" Target="https://ukraine-elections.com.ua/en/socopros/opinion_poll_show/2056" TargetMode="External"/><Relationship Id="rId824" Type="http://schemas.openxmlformats.org/officeDocument/2006/relationships/hyperlink" Target="https://ukraine-elections.com.ua/en/socopros/opinion_poll_show/2056" TargetMode="External"/><Relationship Id="rId823" Type="http://schemas.openxmlformats.org/officeDocument/2006/relationships/hyperlink" Target="https://ukraine-elections.com.ua/en/socopros/opinion_poll_show/2056" TargetMode="External"/><Relationship Id="rId1650" Type="http://schemas.openxmlformats.org/officeDocument/2006/relationships/hyperlink" Target="https://ukraine-elections.com.ua/en/socopros/opinion_poll_show/1896" TargetMode="External"/><Relationship Id="rId1651" Type="http://schemas.openxmlformats.org/officeDocument/2006/relationships/hyperlink" Target="https://ukraine-elections.com.ua/en/socopros/opinion_poll_show/1896" TargetMode="External"/><Relationship Id="rId1652" Type="http://schemas.openxmlformats.org/officeDocument/2006/relationships/hyperlink" Target="https://ukraine-elections.com.ua/en/socopros/opinion_poll_show/1896" TargetMode="External"/><Relationship Id="rId1642" Type="http://schemas.openxmlformats.org/officeDocument/2006/relationships/hyperlink" Target="https://ukraine-elections.com.ua/en/socopros/opinion_poll_show/1896" TargetMode="External"/><Relationship Id="rId1643" Type="http://schemas.openxmlformats.org/officeDocument/2006/relationships/hyperlink" Target="https://ukraine-elections.com.ua/en/socopros/opinion_poll_show/1896" TargetMode="External"/><Relationship Id="rId1644" Type="http://schemas.openxmlformats.org/officeDocument/2006/relationships/hyperlink" Target="https://ukraine-elections.com.ua/en/socopros/opinion_poll_show/1896" TargetMode="External"/><Relationship Id="rId1645" Type="http://schemas.openxmlformats.org/officeDocument/2006/relationships/hyperlink" Target="https://ukraine-elections.com.ua/en/socopros/opinion_poll_show/1896" TargetMode="External"/><Relationship Id="rId1646" Type="http://schemas.openxmlformats.org/officeDocument/2006/relationships/hyperlink" Target="https://ukraine-elections.com.ua/en/socopros/opinion_poll_show/1896" TargetMode="External"/><Relationship Id="rId1647" Type="http://schemas.openxmlformats.org/officeDocument/2006/relationships/hyperlink" Target="https://ukraine-elections.com.ua/en/socopros/opinion_poll_show/1896" TargetMode="External"/><Relationship Id="rId1648" Type="http://schemas.openxmlformats.org/officeDocument/2006/relationships/hyperlink" Target="https://ukraine-elections.com.ua/en/socopros/opinion_poll_show/1896" TargetMode="External"/><Relationship Id="rId1649" Type="http://schemas.openxmlformats.org/officeDocument/2006/relationships/hyperlink" Target="https://ukraine-elections.com.ua/en/socopros/opinion_poll_show/1896" TargetMode="External"/><Relationship Id="rId819" Type="http://schemas.openxmlformats.org/officeDocument/2006/relationships/hyperlink" Target="https://ukraine-elections.com.ua/en/socopros/opinion_poll_show/2056" TargetMode="External"/><Relationship Id="rId818" Type="http://schemas.openxmlformats.org/officeDocument/2006/relationships/hyperlink" Target="https://ukraine-elections.com.ua/en/socopros/opinion_poll_show/2056" TargetMode="External"/><Relationship Id="rId817" Type="http://schemas.openxmlformats.org/officeDocument/2006/relationships/hyperlink" Target="https://ukraine-elections.com.ua/en/socopros/opinion_poll_show/2056" TargetMode="External"/><Relationship Id="rId816" Type="http://schemas.openxmlformats.org/officeDocument/2006/relationships/hyperlink" Target="https://ukraine-elections.com.ua/en/socopros/opinion_poll_show/2058" TargetMode="External"/><Relationship Id="rId811" Type="http://schemas.openxmlformats.org/officeDocument/2006/relationships/hyperlink" Target="https://ukraine-elections.com.ua/en/socopros/opinion_poll_show/2058" TargetMode="External"/><Relationship Id="rId810" Type="http://schemas.openxmlformats.org/officeDocument/2006/relationships/hyperlink" Target="https://ukraine-elections.com.ua/en/socopros/opinion_poll_show/2058" TargetMode="External"/><Relationship Id="rId815" Type="http://schemas.openxmlformats.org/officeDocument/2006/relationships/hyperlink" Target="https://ukraine-elections.com.ua/en/socopros/opinion_poll_show/2058" TargetMode="External"/><Relationship Id="rId814" Type="http://schemas.openxmlformats.org/officeDocument/2006/relationships/hyperlink" Target="https://ukraine-elections.com.ua/en/socopros/opinion_poll_show/2058" TargetMode="External"/><Relationship Id="rId813" Type="http://schemas.openxmlformats.org/officeDocument/2006/relationships/hyperlink" Target="https://ukraine-elections.com.ua/en/socopros/opinion_poll_show/2058" TargetMode="External"/><Relationship Id="rId812" Type="http://schemas.openxmlformats.org/officeDocument/2006/relationships/hyperlink" Target="https://ukraine-elections.com.ua/en/socopros/opinion_poll_show/2058" TargetMode="External"/><Relationship Id="rId1640" Type="http://schemas.openxmlformats.org/officeDocument/2006/relationships/hyperlink" Target="https://ukraine-elections.com.ua/en/socopros/opinion_poll_show/1897" TargetMode="External"/><Relationship Id="rId1641" Type="http://schemas.openxmlformats.org/officeDocument/2006/relationships/hyperlink" Target="https://ukraine-elections.com.ua/en/socopros/opinion_poll_show/1897" TargetMode="External"/><Relationship Id="rId1675" Type="http://schemas.openxmlformats.org/officeDocument/2006/relationships/hyperlink" Target="https://ukraine-elections.com.ua/en/socopros/opinion_poll_show/1892" TargetMode="External"/><Relationship Id="rId1676" Type="http://schemas.openxmlformats.org/officeDocument/2006/relationships/hyperlink" Target="https://ukraine-elections.com.ua/en/socopros/opinion_poll_show/1892" TargetMode="External"/><Relationship Id="rId1677" Type="http://schemas.openxmlformats.org/officeDocument/2006/relationships/hyperlink" Target="https://ukraine-elections.com.ua/en/socopros/opinion_poll_show/1892" TargetMode="External"/><Relationship Id="rId1678" Type="http://schemas.openxmlformats.org/officeDocument/2006/relationships/hyperlink" Target="https://ukraine-elections.com.ua/en/socopros/opinion_poll_show/1892" TargetMode="External"/><Relationship Id="rId1679" Type="http://schemas.openxmlformats.org/officeDocument/2006/relationships/hyperlink" Target="https://ukraine-elections.com.ua/en/socopros/opinion_poll_show/1892" TargetMode="External"/><Relationship Id="rId849" Type="http://schemas.openxmlformats.org/officeDocument/2006/relationships/hyperlink" Target="https://ukraine-elections.com.ua/en/socopros/opinion_poll_show/2055" TargetMode="External"/><Relationship Id="rId844" Type="http://schemas.openxmlformats.org/officeDocument/2006/relationships/hyperlink" Target="https://ukraine-elections.com.ua/en/socopros/opinion_poll_show/2055" TargetMode="External"/><Relationship Id="rId843" Type="http://schemas.openxmlformats.org/officeDocument/2006/relationships/hyperlink" Target="https://ukraine-elections.com.ua/en/socopros/opinion_poll_show/2055" TargetMode="External"/><Relationship Id="rId842" Type="http://schemas.openxmlformats.org/officeDocument/2006/relationships/hyperlink" Target="https://ukraine-elections.com.ua/en/socopros/opinion_poll_show/2055" TargetMode="External"/><Relationship Id="rId841" Type="http://schemas.openxmlformats.org/officeDocument/2006/relationships/hyperlink" Target="https://ukraine-elections.com.ua/en/socopros/opinion_poll_show/2055" TargetMode="External"/><Relationship Id="rId848" Type="http://schemas.openxmlformats.org/officeDocument/2006/relationships/hyperlink" Target="https://ukraine-elections.com.ua/en/socopros/opinion_poll_show/2055" TargetMode="External"/><Relationship Id="rId847" Type="http://schemas.openxmlformats.org/officeDocument/2006/relationships/hyperlink" Target="https://ukraine-elections.com.ua/en/socopros/opinion_poll_show/2055" TargetMode="External"/><Relationship Id="rId846" Type="http://schemas.openxmlformats.org/officeDocument/2006/relationships/hyperlink" Target="https://ukraine-elections.com.ua/en/socopros/opinion_poll_show/2055" TargetMode="External"/><Relationship Id="rId845" Type="http://schemas.openxmlformats.org/officeDocument/2006/relationships/hyperlink" Target="https://ukraine-elections.com.ua/en/socopros/opinion_poll_show/2055" TargetMode="External"/><Relationship Id="rId1670" Type="http://schemas.openxmlformats.org/officeDocument/2006/relationships/hyperlink" Target="https://ukraine-elections.com.ua/en/socopros/opinion_poll_show/1892" TargetMode="External"/><Relationship Id="rId840" Type="http://schemas.openxmlformats.org/officeDocument/2006/relationships/hyperlink" Target="https://ukraine-elections.com.ua/en/socopros/opinion_poll_show/2055" TargetMode="External"/><Relationship Id="rId1671" Type="http://schemas.openxmlformats.org/officeDocument/2006/relationships/hyperlink" Target="https://ukraine-elections.com.ua/en/socopros/opinion_poll_show/1892" TargetMode="External"/><Relationship Id="rId1672" Type="http://schemas.openxmlformats.org/officeDocument/2006/relationships/hyperlink" Target="https://ukraine-elections.com.ua/en/socopros/opinion_poll_show/1892" TargetMode="External"/><Relationship Id="rId1673" Type="http://schemas.openxmlformats.org/officeDocument/2006/relationships/hyperlink" Target="https://ukraine-elections.com.ua/en/socopros/opinion_poll_show/1892" TargetMode="External"/><Relationship Id="rId1674" Type="http://schemas.openxmlformats.org/officeDocument/2006/relationships/hyperlink" Target="https://ukraine-elections.com.ua/en/socopros/opinion_poll_show/1892" TargetMode="External"/><Relationship Id="rId1664" Type="http://schemas.openxmlformats.org/officeDocument/2006/relationships/hyperlink" Target="https://ukraine-elections.com.ua/en/socopros/opinion_poll_show/1896" TargetMode="External"/><Relationship Id="rId1665" Type="http://schemas.openxmlformats.org/officeDocument/2006/relationships/hyperlink" Target="https://ukraine-elections.com.ua/en/socopros/opinion_poll_show/1896" TargetMode="External"/><Relationship Id="rId1666" Type="http://schemas.openxmlformats.org/officeDocument/2006/relationships/hyperlink" Target="https://ukraine-elections.com.ua/en/socopros/opinion_poll_show/1892" TargetMode="External"/><Relationship Id="rId1667" Type="http://schemas.openxmlformats.org/officeDocument/2006/relationships/hyperlink" Target="https://ukraine-elections.com.ua/en/socopros/opinion_poll_show/1892" TargetMode="External"/><Relationship Id="rId1668" Type="http://schemas.openxmlformats.org/officeDocument/2006/relationships/hyperlink" Target="https://ukraine-elections.com.ua/en/socopros/opinion_poll_show/1892" TargetMode="External"/><Relationship Id="rId1669" Type="http://schemas.openxmlformats.org/officeDocument/2006/relationships/hyperlink" Target="https://ukraine-elections.com.ua/en/socopros/opinion_poll_show/1892" TargetMode="External"/><Relationship Id="rId839" Type="http://schemas.openxmlformats.org/officeDocument/2006/relationships/hyperlink" Target="https://ukraine-elections.com.ua/en/socopros/opinion_poll_show/2055" TargetMode="External"/><Relationship Id="rId838" Type="http://schemas.openxmlformats.org/officeDocument/2006/relationships/hyperlink" Target="https://ukraine-elections.com.ua/en/socopros/opinion_poll_show/2055" TargetMode="External"/><Relationship Id="rId833" Type="http://schemas.openxmlformats.org/officeDocument/2006/relationships/hyperlink" Target="https://ukraine-elections.com.ua/en/socopros/opinion_poll_show/2056" TargetMode="External"/><Relationship Id="rId832" Type="http://schemas.openxmlformats.org/officeDocument/2006/relationships/hyperlink" Target="https://ukraine-elections.com.ua/en/socopros/opinion_poll_show/2056" TargetMode="External"/><Relationship Id="rId831" Type="http://schemas.openxmlformats.org/officeDocument/2006/relationships/hyperlink" Target="https://ukraine-elections.com.ua/en/socopros/opinion_poll_show/2056" TargetMode="External"/><Relationship Id="rId830" Type="http://schemas.openxmlformats.org/officeDocument/2006/relationships/hyperlink" Target="https://ukraine-elections.com.ua/en/socopros/opinion_poll_show/2056" TargetMode="External"/><Relationship Id="rId837" Type="http://schemas.openxmlformats.org/officeDocument/2006/relationships/hyperlink" Target="https://ukraine-elections.com.ua/en/socopros/opinion_poll_show/2055" TargetMode="External"/><Relationship Id="rId836" Type="http://schemas.openxmlformats.org/officeDocument/2006/relationships/hyperlink" Target="https://ukraine-elections.com.ua/en/socopros/opinion_poll_show/2056" TargetMode="External"/><Relationship Id="rId835" Type="http://schemas.openxmlformats.org/officeDocument/2006/relationships/hyperlink" Target="https://ukraine-elections.com.ua/en/socopros/opinion_poll_show/2056" TargetMode="External"/><Relationship Id="rId834" Type="http://schemas.openxmlformats.org/officeDocument/2006/relationships/hyperlink" Target="https://ukraine-elections.com.ua/en/socopros/opinion_poll_show/2056" TargetMode="External"/><Relationship Id="rId1660" Type="http://schemas.openxmlformats.org/officeDocument/2006/relationships/hyperlink" Target="https://ukraine-elections.com.ua/en/socopros/opinion_poll_show/1896" TargetMode="External"/><Relationship Id="rId1661" Type="http://schemas.openxmlformats.org/officeDocument/2006/relationships/hyperlink" Target="https://ukraine-elections.com.ua/en/socopros/opinion_poll_show/1896" TargetMode="External"/><Relationship Id="rId1662" Type="http://schemas.openxmlformats.org/officeDocument/2006/relationships/hyperlink" Target="https://ukraine-elections.com.ua/en/socopros/opinion_poll_show/1896" TargetMode="External"/><Relationship Id="rId1663" Type="http://schemas.openxmlformats.org/officeDocument/2006/relationships/hyperlink" Target="https://ukraine-elections.com.ua/en/socopros/opinion_poll_show/1896" TargetMode="External"/><Relationship Id="rId2148" Type="http://schemas.openxmlformats.org/officeDocument/2006/relationships/hyperlink" Target="https://ukraine-elections.com.ua/en/socopros/opinion_poll_show/1298" TargetMode="External"/><Relationship Id="rId2149" Type="http://schemas.openxmlformats.org/officeDocument/2006/relationships/hyperlink" Target="https://ukraine-elections.com.ua/en/socopros/opinion_poll_show/1298" TargetMode="External"/><Relationship Id="rId469" Type="http://schemas.openxmlformats.org/officeDocument/2006/relationships/hyperlink" Target="https://ukraine-elections.com.ua/en/socopros/opinion_poll_show/2108" TargetMode="External"/><Relationship Id="rId468" Type="http://schemas.openxmlformats.org/officeDocument/2006/relationships/hyperlink" Target="https://ukraine-elections.com.ua/en/socopros/opinion_poll_show/2108" TargetMode="External"/><Relationship Id="rId467" Type="http://schemas.openxmlformats.org/officeDocument/2006/relationships/hyperlink" Target="https://ukraine-elections.com.ua/en/socopros/opinion_poll_show/2108" TargetMode="External"/><Relationship Id="rId1290" Type="http://schemas.openxmlformats.org/officeDocument/2006/relationships/hyperlink" Target="https://ukraine-elections.com.ua/en/socopros/opinion_poll_show/1974" TargetMode="External"/><Relationship Id="rId1291" Type="http://schemas.openxmlformats.org/officeDocument/2006/relationships/hyperlink" Target="https://ukraine-elections.com.ua/en/socopros/opinion_poll_show/1974" TargetMode="External"/><Relationship Id="rId1292" Type="http://schemas.openxmlformats.org/officeDocument/2006/relationships/hyperlink" Target="https://ukraine-elections.com.ua/en/socopros/opinion_poll_show/1974" TargetMode="External"/><Relationship Id="rId462" Type="http://schemas.openxmlformats.org/officeDocument/2006/relationships/hyperlink" Target="https://ukraine-elections.com.ua/en/socopros/opinion_poll_show/2108" TargetMode="External"/><Relationship Id="rId1293" Type="http://schemas.openxmlformats.org/officeDocument/2006/relationships/hyperlink" Target="https://ukraine-elections.com.ua/en/socopros/opinion_poll_show/1974" TargetMode="External"/><Relationship Id="rId2140" Type="http://schemas.openxmlformats.org/officeDocument/2006/relationships/hyperlink" Target="https://ukraine-elections.com.ua/en/socopros/opinion_poll_show/1303" TargetMode="External"/><Relationship Id="rId461" Type="http://schemas.openxmlformats.org/officeDocument/2006/relationships/hyperlink" Target="https://ukraine-elections.com.ua/en/socopros/opinion_poll_show/2108" TargetMode="External"/><Relationship Id="rId1294" Type="http://schemas.openxmlformats.org/officeDocument/2006/relationships/hyperlink" Target="https://ukraine-elections.com.ua/en/socopros/opinion_poll_show/1974" TargetMode="External"/><Relationship Id="rId2141" Type="http://schemas.openxmlformats.org/officeDocument/2006/relationships/hyperlink" Target="https://ukraine-elections.com.ua/en/socopros/opinion_poll_show/1303" TargetMode="External"/><Relationship Id="rId460" Type="http://schemas.openxmlformats.org/officeDocument/2006/relationships/hyperlink" Target="https://ukraine-elections.com.ua/en/socopros/opinion_poll_show/2109" TargetMode="External"/><Relationship Id="rId1295" Type="http://schemas.openxmlformats.org/officeDocument/2006/relationships/hyperlink" Target="https://ukraine-elections.com.ua/en/socopros/opinion_poll_show/1974" TargetMode="External"/><Relationship Id="rId2142" Type="http://schemas.openxmlformats.org/officeDocument/2006/relationships/hyperlink" Target="https://ukraine-elections.com.ua/en/socopros/opinion_poll_show/1298" TargetMode="External"/><Relationship Id="rId1296" Type="http://schemas.openxmlformats.org/officeDocument/2006/relationships/hyperlink" Target="https://ukraine-elections.com.ua/en/socopros/opinion_poll_show/1974" TargetMode="External"/><Relationship Id="rId2143" Type="http://schemas.openxmlformats.org/officeDocument/2006/relationships/hyperlink" Target="https://ukraine-elections.com.ua/en/socopros/opinion_poll_show/1298" TargetMode="External"/><Relationship Id="rId466" Type="http://schemas.openxmlformats.org/officeDocument/2006/relationships/hyperlink" Target="https://ukraine-elections.com.ua/en/socopros/opinion_poll_show/2108" TargetMode="External"/><Relationship Id="rId1297" Type="http://schemas.openxmlformats.org/officeDocument/2006/relationships/hyperlink" Target="https://ukraine-elections.com.ua/en/socopros/opinion_poll_show/1974" TargetMode="External"/><Relationship Id="rId2144" Type="http://schemas.openxmlformats.org/officeDocument/2006/relationships/hyperlink" Target="https://ukraine-elections.com.ua/en/socopros/opinion_poll_show/1298" TargetMode="External"/><Relationship Id="rId465" Type="http://schemas.openxmlformats.org/officeDocument/2006/relationships/hyperlink" Target="https://ukraine-elections.com.ua/en/socopros/opinion_poll_show/2108" TargetMode="External"/><Relationship Id="rId1298" Type="http://schemas.openxmlformats.org/officeDocument/2006/relationships/hyperlink" Target="https://ukraine-elections.com.ua/en/socopros/opinion_poll_show/1974" TargetMode="External"/><Relationship Id="rId2145" Type="http://schemas.openxmlformats.org/officeDocument/2006/relationships/hyperlink" Target="https://ukraine-elections.com.ua/en/socopros/opinion_poll_show/1298" TargetMode="External"/><Relationship Id="rId464" Type="http://schemas.openxmlformats.org/officeDocument/2006/relationships/hyperlink" Target="https://ukraine-elections.com.ua/en/socopros/opinion_poll_show/2108" TargetMode="External"/><Relationship Id="rId1299" Type="http://schemas.openxmlformats.org/officeDocument/2006/relationships/hyperlink" Target="https://ukraine-elections.com.ua/en/socopros/opinion_poll_show/1971" TargetMode="External"/><Relationship Id="rId2146" Type="http://schemas.openxmlformats.org/officeDocument/2006/relationships/hyperlink" Target="https://ukraine-elections.com.ua/en/socopros/opinion_poll_show/1298" TargetMode="External"/><Relationship Id="rId463" Type="http://schemas.openxmlformats.org/officeDocument/2006/relationships/hyperlink" Target="https://ukraine-elections.com.ua/en/socopros/opinion_poll_show/2108" TargetMode="External"/><Relationship Id="rId2147" Type="http://schemas.openxmlformats.org/officeDocument/2006/relationships/hyperlink" Target="https://ukraine-elections.com.ua/en/socopros/opinion_poll_show/1298" TargetMode="External"/><Relationship Id="rId2137" Type="http://schemas.openxmlformats.org/officeDocument/2006/relationships/hyperlink" Target="https://ukraine-elections.com.ua/en/socopros/opinion_poll_show/1303" TargetMode="External"/><Relationship Id="rId2138" Type="http://schemas.openxmlformats.org/officeDocument/2006/relationships/hyperlink" Target="https://ukraine-elections.com.ua/en/socopros/opinion_poll_show/1303" TargetMode="External"/><Relationship Id="rId2139" Type="http://schemas.openxmlformats.org/officeDocument/2006/relationships/hyperlink" Target="https://ukraine-elections.com.ua/en/socopros/opinion_poll_show/1303" TargetMode="External"/><Relationship Id="rId459" Type="http://schemas.openxmlformats.org/officeDocument/2006/relationships/hyperlink" Target="https://ukraine-elections.com.ua/en/socopros/opinion_poll_show/2109" TargetMode="External"/><Relationship Id="rId458" Type="http://schemas.openxmlformats.org/officeDocument/2006/relationships/hyperlink" Target="https://ukraine-elections.com.ua/en/socopros/opinion_poll_show/2109" TargetMode="External"/><Relationship Id="rId457" Type="http://schemas.openxmlformats.org/officeDocument/2006/relationships/hyperlink" Target="https://ukraine-elections.com.ua/en/socopros/opinion_poll_show/2109" TargetMode="External"/><Relationship Id="rId456" Type="http://schemas.openxmlformats.org/officeDocument/2006/relationships/hyperlink" Target="https://ukraine-elections.com.ua/en/socopros/opinion_poll_show/2109" TargetMode="External"/><Relationship Id="rId1280" Type="http://schemas.openxmlformats.org/officeDocument/2006/relationships/hyperlink" Target="https://ukraine-elections.com.ua/en/socopros/opinion_poll_show/1974" TargetMode="External"/><Relationship Id="rId1281" Type="http://schemas.openxmlformats.org/officeDocument/2006/relationships/hyperlink" Target="https://ukraine-elections.com.ua/en/socopros/opinion_poll_show/1974" TargetMode="External"/><Relationship Id="rId451" Type="http://schemas.openxmlformats.org/officeDocument/2006/relationships/hyperlink" Target="https://ukraine-elections.com.ua/en/socopros/opinion_poll_show/2112" TargetMode="External"/><Relationship Id="rId1282" Type="http://schemas.openxmlformats.org/officeDocument/2006/relationships/hyperlink" Target="https://ukraine-elections.com.ua/en/socopros/opinion_poll_show/1974" TargetMode="External"/><Relationship Id="rId450" Type="http://schemas.openxmlformats.org/officeDocument/2006/relationships/hyperlink" Target="https://ukraine-elections.com.ua/en/socopros/opinion_poll_show/2112" TargetMode="External"/><Relationship Id="rId1283" Type="http://schemas.openxmlformats.org/officeDocument/2006/relationships/hyperlink" Target="https://ukraine-elections.com.ua/en/socopros/opinion_poll_show/1974" TargetMode="External"/><Relationship Id="rId2130" Type="http://schemas.openxmlformats.org/officeDocument/2006/relationships/hyperlink" Target="https://ukraine-elections.com.ua/en/socopros/opinion_poll_show/1303" TargetMode="External"/><Relationship Id="rId1284" Type="http://schemas.openxmlformats.org/officeDocument/2006/relationships/hyperlink" Target="https://ukraine-elections.com.ua/en/socopros/opinion_poll_show/1974" TargetMode="External"/><Relationship Id="rId2131" Type="http://schemas.openxmlformats.org/officeDocument/2006/relationships/hyperlink" Target="https://ukraine-elections.com.ua/en/socopros/opinion_poll_show/1303" TargetMode="External"/><Relationship Id="rId1285" Type="http://schemas.openxmlformats.org/officeDocument/2006/relationships/hyperlink" Target="https://ukraine-elections.com.ua/en/socopros/opinion_poll_show/1974" TargetMode="External"/><Relationship Id="rId2132" Type="http://schemas.openxmlformats.org/officeDocument/2006/relationships/hyperlink" Target="https://ukraine-elections.com.ua/en/socopros/opinion_poll_show/1303" TargetMode="External"/><Relationship Id="rId455" Type="http://schemas.openxmlformats.org/officeDocument/2006/relationships/hyperlink" Target="https://ukraine-elections.com.ua/en/socopros/opinion_poll_show/2109" TargetMode="External"/><Relationship Id="rId1286" Type="http://schemas.openxmlformats.org/officeDocument/2006/relationships/hyperlink" Target="https://ukraine-elections.com.ua/en/socopros/opinion_poll_show/1974" TargetMode="External"/><Relationship Id="rId2133" Type="http://schemas.openxmlformats.org/officeDocument/2006/relationships/hyperlink" Target="https://ukraine-elections.com.ua/en/socopros/opinion_poll_show/1303" TargetMode="External"/><Relationship Id="rId454" Type="http://schemas.openxmlformats.org/officeDocument/2006/relationships/hyperlink" Target="https://ukraine-elections.com.ua/en/socopros/opinion_poll_show/2109" TargetMode="External"/><Relationship Id="rId1287" Type="http://schemas.openxmlformats.org/officeDocument/2006/relationships/hyperlink" Target="https://ukraine-elections.com.ua/en/socopros/opinion_poll_show/1974" TargetMode="External"/><Relationship Id="rId2134" Type="http://schemas.openxmlformats.org/officeDocument/2006/relationships/hyperlink" Target="https://ukraine-elections.com.ua/en/socopros/opinion_poll_show/1303" TargetMode="External"/><Relationship Id="rId453" Type="http://schemas.openxmlformats.org/officeDocument/2006/relationships/hyperlink" Target="https://ukraine-elections.com.ua/en/socopros/opinion_poll_show/2109" TargetMode="External"/><Relationship Id="rId1288" Type="http://schemas.openxmlformats.org/officeDocument/2006/relationships/hyperlink" Target="https://ukraine-elections.com.ua/en/socopros/opinion_poll_show/1974" TargetMode="External"/><Relationship Id="rId2135" Type="http://schemas.openxmlformats.org/officeDocument/2006/relationships/hyperlink" Target="https://ukraine-elections.com.ua/en/socopros/opinion_poll_show/1303" TargetMode="External"/><Relationship Id="rId452" Type="http://schemas.openxmlformats.org/officeDocument/2006/relationships/hyperlink" Target="https://ukraine-elections.com.ua/en/socopros/opinion_poll_show/2112" TargetMode="External"/><Relationship Id="rId1289" Type="http://schemas.openxmlformats.org/officeDocument/2006/relationships/hyperlink" Target="https://ukraine-elections.com.ua/en/socopros/opinion_poll_show/1974" TargetMode="External"/><Relationship Id="rId2136" Type="http://schemas.openxmlformats.org/officeDocument/2006/relationships/hyperlink" Target="https://ukraine-elections.com.ua/en/socopros/opinion_poll_show/1303" TargetMode="External"/><Relationship Id="rId491" Type="http://schemas.openxmlformats.org/officeDocument/2006/relationships/hyperlink" Target="https://ukraine-elections.com.ua/en/socopros/opinion_poll_show/2099" TargetMode="External"/><Relationship Id="rId490" Type="http://schemas.openxmlformats.org/officeDocument/2006/relationships/hyperlink" Target="https://ukraine-elections.com.ua/en/socopros/opinion_poll_show/2099" TargetMode="External"/><Relationship Id="rId489" Type="http://schemas.openxmlformats.org/officeDocument/2006/relationships/hyperlink" Target="https://ukraine-elections.com.ua/en/socopros/opinion_poll_show/2099" TargetMode="External"/><Relationship Id="rId2160" Type="http://schemas.openxmlformats.org/officeDocument/2006/relationships/hyperlink" Target="https://ukraine-elections.com.ua/en/socopros/opinion_poll_show/1274" TargetMode="External"/><Relationship Id="rId2161" Type="http://schemas.openxmlformats.org/officeDocument/2006/relationships/hyperlink" Target="https://ukraine-elections.com.ua/en/socopros/opinion_poll_show/1274" TargetMode="External"/><Relationship Id="rId484" Type="http://schemas.openxmlformats.org/officeDocument/2006/relationships/hyperlink" Target="https://ukraine-elections.com.ua/en/socopros/opinion_poll_show/2101" TargetMode="External"/><Relationship Id="rId2162" Type="http://schemas.openxmlformats.org/officeDocument/2006/relationships/hyperlink" Target="https://ukraine-elections.com.ua/en/socopros/opinion_poll_show/1274" TargetMode="External"/><Relationship Id="rId483" Type="http://schemas.openxmlformats.org/officeDocument/2006/relationships/hyperlink" Target="https://ukraine-elections.com.ua/en/socopros/opinion_poll_show/2101" TargetMode="External"/><Relationship Id="rId2163" Type="http://schemas.openxmlformats.org/officeDocument/2006/relationships/hyperlink" Target="https://ukraine-elections.com.ua/en/socopros/opinion_poll_show/1274" TargetMode="External"/><Relationship Id="rId482" Type="http://schemas.openxmlformats.org/officeDocument/2006/relationships/hyperlink" Target="https://ukraine-elections.com.ua/en/socopros/opinion_poll_show/2101" TargetMode="External"/><Relationship Id="rId2164" Type="http://schemas.openxmlformats.org/officeDocument/2006/relationships/hyperlink" Target="https://ukraine-elections.com.ua/en/socopros/opinion_poll_show/1274" TargetMode="External"/><Relationship Id="rId481" Type="http://schemas.openxmlformats.org/officeDocument/2006/relationships/hyperlink" Target="https://ukraine-elections.com.ua/en/socopros/opinion_poll_show/2101" TargetMode="External"/><Relationship Id="rId2165" Type="http://schemas.openxmlformats.org/officeDocument/2006/relationships/hyperlink" Target="https://ukraine-elections.com.ua/en/socopros/opinion_poll_show/1274" TargetMode="External"/><Relationship Id="rId488" Type="http://schemas.openxmlformats.org/officeDocument/2006/relationships/hyperlink" Target="https://ukraine-elections.com.ua/en/socopros/opinion_poll_show/2099" TargetMode="External"/><Relationship Id="rId2166" Type="http://schemas.openxmlformats.org/officeDocument/2006/relationships/hyperlink" Target="https://ukraine-elections.com.ua/en/socopros/opinion_poll_show/1274" TargetMode="External"/><Relationship Id="rId487" Type="http://schemas.openxmlformats.org/officeDocument/2006/relationships/hyperlink" Target="https://ukraine-elections.com.ua/en/socopros/opinion_poll_show/2099" TargetMode="External"/><Relationship Id="rId2167" Type="http://schemas.openxmlformats.org/officeDocument/2006/relationships/hyperlink" Target="https://ukraine-elections.com.ua/en/socopros/opinion_poll_show/1274" TargetMode="External"/><Relationship Id="rId486" Type="http://schemas.openxmlformats.org/officeDocument/2006/relationships/hyperlink" Target="https://ukraine-elections.com.ua/en/socopros/opinion_poll_show/2099" TargetMode="External"/><Relationship Id="rId2168" Type="http://schemas.openxmlformats.org/officeDocument/2006/relationships/hyperlink" Target="https://ukraine-elections.com.ua/en/socopros/opinion_poll_show/1274" TargetMode="External"/><Relationship Id="rId485" Type="http://schemas.openxmlformats.org/officeDocument/2006/relationships/hyperlink" Target="https://ukraine-elections.com.ua/en/socopros/opinion_poll_show/2101" TargetMode="External"/><Relationship Id="rId2169" Type="http://schemas.openxmlformats.org/officeDocument/2006/relationships/hyperlink" Target="https://ukraine-elections.com.ua/en/socopros/opinion_poll_show/1274" TargetMode="External"/><Relationship Id="rId2159" Type="http://schemas.openxmlformats.org/officeDocument/2006/relationships/hyperlink" Target="https://ukraine-elections.com.ua/en/socopros/opinion_poll_show/1277" TargetMode="External"/><Relationship Id="rId480" Type="http://schemas.openxmlformats.org/officeDocument/2006/relationships/hyperlink" Target="https://ukraine-elections.com.ua/en/socopros/opinion_poll_show/2101" TargetMode="External"/><Relationship Id="rId479" Type="http://schemas.openxmlformats.org/officeDocument/2006/relationships/hyperlink" Target="https://ukraine-elections.com.ua/en/socopros/opinion_poll_show/2101" TargetMode="External"/><Relationship Id="rId478" Type="http://schemas.openxmlformats.org/officeDocument/2006/relationships/hyperlink" Target="https://ukraine-elections.com.ua/en/socopros/opinion_poll_show/2101" TargetMode="External"/><Relationship Id="rId2150" Type="http://schemas.openxmlformats.org/officeDocument/2006/relationships/hyperlink" Target="https://ukraine-elections.com.ua/en/socopros/opinion_poll_show/1298" TargetMode="External"/><Relationship Id="rId473" Type="http://schemas.openxmlformats.org/officeDocument/2006/relationships/hyperlink" Target="https://ukraine-elections.com.ua/en/socopros/opinion_poll_show/2107" TargetMode="External"/><Relationship Id="rId2151" Type="http://schemas.openxmlformats.org/officeDocument/2006/relationships/hyperlink" Target="https://ukraine-elections.com.ua/en/socopros/opinion_poll_show/1277" TargetMode="External"/><Relationship Id="rId472" Type="http://schemas.openxmlformats.org/officeDocument/2006/relationships/hyperlink" Target="https://ukraine-elections.com.ua/en/socopros/opinion_poll_show/2107" TargetMode="External"/><Relationship Id="rId2152" Type="http://schemas.openxmlformats.org/officeDocument/2006/relationships/hyperlink" Target="https://ukraine-elections.com.ua/en/socopros/opinion_poll_show/1277" TargetMode="External"/><Relationship Id="rId471" Type="http://schemas.openxmlformats.org/officeDocument/2006/relationships/hyperlink" Target="https://ukraine-elections.com.ua/en/socopros/opinion_poll_show/2108" TargetMode="External"/><Relationship Id="rId2153" Type="http://schemas.openxmlformats.org/officeDocument/2006/relationships/hyperlink" Target="https://ukraine-elections.com.ua/en/socopros/opinion_poll_show/1277" TargetMode="External"/><Relationship Id="rId470" Type="http://schemas.openxmlformats.org/officeDocument/2006/relationships/hyperlink" Target="https://ukraine-elections.com.ua/en/socopros/opinion_poll_show/2108" TargetMode="External"/><Relationship Id="rId2154" Type="http://schemas.openxmlformats.org/officeDocument/2006/relationships/hyperlink" Target="https://ukraine-elections.com.ua/en/socopros/opinion_poll_show/1277" TargetMode="External"/><Relationship Id="rId477" Type="http://schemas.openxmlformats.org/officeDocument/2006/relationships/hyperlink" Target="https://ukraine-elections.com.ua/en/socopros/opinion_poll_show/2107" TargetMode="External"/><Relationship Id="rId2155" Type="http://schemas.openxmlformats.org/officeDocument/2006/relationships/hyperlink" Target="https://ukraine-elections.com.ua/en/socopros/opinion_poll_show/1277" TargetMode="External"/><Relationship Id="rId476" Type="http://schemas.openxmlformats.org/officeDocument/2006/relationships/hyperlink" Target="https://ukraine-elections.com.ua/en/socopros/opinion_poll_show/2107" TargetMode="External"/><Relationship Id="rId2156" Type="http://schemas.openxmlformats.org/officeDocument/2006/relationships/hyperlink" Target="https://ukraine-elections.com.ua/en/socopros/opinion_poll_show/1277" TargetMode="External"/><Relationship Id="rId475" Type="http://schemas.openxmlformats.org/officeDocument/2006/relationships/hyperlink" Target="https://ukraine-elections.com.ua/en/socopros/opinion_poll_show/2107" TargetMode="External"/><Relationship Id="rId2157" Type="http://schemas.openxmlformats.org/officeDocument/2006/relationships/hyperlink" Target="https://ukraine-elections.com.ua/en/socopros/opinion_poll_show/1277" TargetMode="External"/><Relationship Id="rId474" Type="http://schemas.openxmlformats.org/officeDocument/2006/relationships/hyperlink" Target="https://ukraine-elections.com.ua/en/socopros/opinion_poll_show/2107" TargetMode="External"/><Relationship Id="rId2158" Type="http://schemas.openxmlformats.org/officeDocument/2006/relationships/hyperlink" Target="https://ukraine-elections.com.ua/en/socopros/opinion_poll_show/1277" TargetMode="External"/><Relationship Id="rId1257" Type="http://schemas.openxmlformats.org/officeDocument/2006/relationships/hyperlink" Target="https://ukraine-elections.com.ua/en/socopros/opinion_poll_show/1979" TargetMode="External"/><Relationship Id="rId2104" Type="http://schemas.openxmlformats.org/officeDocument/2006/relationships/hyperlink" Target="https://ukraine-elections.com.ua/en/socopros/opinion_poll_show/1337" TargetMode="External"/><Relationship Id="rId1258" Type="http://schemas.openxmlformats.org/officeDocument/2006/relationships/hyperlink" Target="https://ukraine-elections.com.ua/en/socopros/opinion_poll_show/1979" TargetMode="External"/><Relationship Id="rId2105" Type="http://schemas.openxmlformats.org/officeDocument/2006/relationships/hyperlink" Target="https://ukraine-elections.com.ua/en/socopros/opinion_poll_show/1337" TargetMode="External"/><Relationship Id="rId1259" Type="http://schemas.openxmlformats.org/officeDocument/2006/relationships/hyperlink" Target="https://ukraine-elections.com.ua/en/socopros/opinion_poll_show/1979" TargetMode="External"/><Relationship Id="rId2106" Type="http://schemas.openxmlformats.org/officeDocument/2006/relationships/hyperlink" Target="https://ukraine-elections.com.ua/en/socopros/opinion_poll_show/1337" TargetMode="External"/><Relationship Id="rId2107" Type="http://schemas.openxmlformats.org/officeDocument/2006/relationships/hyperlink" Target="https://ukraine-elections.com.ua/en/socopros/opinion_poll_show/1337" TargetMode="External"/><Relationship Id="rId2108" Type="http://schemas.openxmlformats.org/officeDocument/2006/relationships/hyperlink" Target="https://ukraine-elections.com.ua/en/socopros/opinion_poll_show/1337" TargetMode="External"/><Relationship Id="rId2109" Type="http://schemas.openxmlformats.org/officeDocument/2006/relationships/hyperlink" Target="https://ukraine-elections.com.ua/en/socopros/opinion_poll_show/1337" TargetMode="External"/><Relationship Id="rId426" Type="http://schemas.openxmlformats.org/officeDocument/2006/relationships/hyperlink" Target="https://ukraine-elections.com.ua/en/socopros/opinion_poll_show/2115" TargetMode="External"/><Relationship Id="rId425" Type="http://schemas.openxmlformats.org/officeDocument/2006/relationships/hyperlink" Target="https://ukraine-elections.com.ua/en/socopros/opinion_poll_show/2118" TargetMode="External"/><Relationship Id="rId424" Type="http://schemas.openxmlformats.org/officeDocument/2006/relationships/hyperlink" Target="https://ukraine-elections.com.ua/en/socopros/opinion_poll_show/2118" TargetMode="External"/><Relationship Id="rId423" Type="http://schemas.openxmlformats.org/officeDocument/2006/relationships/hyperlink" Target="https://ukraine-elections.com.ua/en/socopros/opinion_poll_show/2118" TargetMode="External"/><Relationship Id="rId429" Type="http://schemas.openxmlformats.org/officeDocument/2006/relationships/hyperlink" Target="https://ukraine-elections.com.ua/en/socopros/opinion_poll_show/2115" TargetMode="External"/><Relationship Id="rId428" Type="http://schemas.openxmlformats.org/officeDocument/2006/relationships/hyperlink" Target="https://ukraine-elections.com.ua/en/socopros/opinion_poll_show/2115" TargetMode="External"/><Relationship Id="rId427" Type="http://schemas.openxmlformats.org/officeDocument/2006/relationships/hyperlink" Target="https://ukraine-elections.com.ua/en/socopros/opinion_poll_show/2115" TargetMode="External"/><Relationship Id="rId1250" Type="http://schemas.openxmlformats.org/officeDocument/2006/relationships/hyperlink" Target="https://ukraine-elections.com.ua/en/socopros/opinion_poll_show/1980" TargetMode="External"/><Relationship Id="rId1251" Type="http://schemas.openxmlformats.org/officeDocument/2006/relationships/hyperlink" Target="https://ukraine-elections.com.ua/en/socopros/opinion_poll_show/1980" TargetMode="External"/><Relationship Id="rId1252" Type="http://schemas.openxmlformats.org/officeDocument/2006/relationships/hyperlink" Target="https://ukraine-elections.com.ua/en/socopros/opinion_poll_show/1980" TargetMode="External"/><Relationship Id="rId422" Type="http://schemas.openxmlformats.org/officeDocument/2006/relationships/hyperlink" Target="https://ukraine-elections.com.ua/en/socopros/opinion_poll_show/2118" TargetMode="External"/><Relationship Id="rId1253" Type="http://schemas.openxmlformats.org/officeDocument/2006/relationships/hyperlink" Target="https://ukraine-elections.com.ua/en/socopros/opinion_poll_show/1980" TargetMode="External"/><Relationship Id="rId2100" Type="http://schemas.openxmlformats.org/officeDocument/2006/relationships/hyperlink" Target="https://ukraine-elections.com.ua/en/socopros/opinion_poll_show/1337" TargetMode="External"/><Relationship Id="rId421" Type="http://schemas.openxmlformats.org/officeDocument/2006/relationships/hyperlink" Target="https://ukraine-elections.com.ua/en/socopros/opinion_poll_show/2118" TargetMode="External"/><Relationship Id="rId1254" Type="http://schemas.openxmlformats.org/officeDocument/2006/relationships/hyperlink" Target="https://ukraine-elections.com.ua/en/socopros/opinion_poll_show/1980" TargetMode="External"/><Relationship Id="rId2101" Type="http://schemas.openxmlformats.org/officeDocument/2006/relationships/hyperlink" Target="https://ukraine-elections.com.ua/en/socopros/opinion_poll_show/1337" TargetMode="External"/><Relationship Id="rId420" Type="http://schemas.openxmlformats.org/officeDocument/2006/relationships/hyperlink" Target="https://ukraine-elections.com.ua/en/socopros/opinion_poll_show/2118" TargetMode="External"/><Relationship Id="rId1255" Type="http://schemas.openxmlformats.org/officeDocument/2006/relationships/hyperlink" Target="https://ukraine-elections.com.ua/en/socopros/opinion_poll_show/1980" TargetMode="External"/><Relationship Id="rId2102" Type="http://schemas.openxmlformats.org/officeDocument/2006/relationships/hyperlink" Target="https://ukraine-elections.com.ua/en/socopros/opinion_poll_show/1337" TargetMode="External"/><Relationship Id="rId1256" Type="http://schemas.openxmlformats.org/officeDocument/2006/relationships/hyperlink" Target="https://ukraine-elections.com.ua/en/socopros/opinion_poll_show/1980" TargetMode="External"/><Relationship Id="rId2103" Type="http://schemas.openxmlformats.org/officeDocument/2006/relationships/hyperlink" Target="https://ukraine-elections.com.ua/en/socopros/opinion_poll_show/1337" TargetMode="External"/><Relationship Id="rId1246" Type="http://schemas.openxmlformats.org/officeDocument/2006/relationships/hyperlink" Target="https://ukraine-elections.com.ua/en/socopros/opinion_poll_show/1980" TargetMode="External"/><Relationship Id="rId1247" Type="http://schemas.openxmlformats.org/officeDocument/2006/relationships/hyperlink" Target="https://ukraine-elections.com.ua/en/socopros/opinion_poll_show/1980" TargetMode="External"/><Relationship Id="rId1248" Type="http://schemas.openxmlformats.org/officeDocument/2006/relationships/hyperlink" Target="https://ukraine-elections.com.ua/en/socopros/opinion_poll_show/1980" TargetMode="External"/><Relationship Id="rId1249" Type="http://schemas.openxmlformats.org/officeDocument/2006/relationships/hyperlink" Target="https://ukraine-elections.com.ua/en/socopros/opinion_poll_show/1980" TargetMode="External"/><Relationship Id="rId415" Type="http://schemas.openxmlformats.org/officeDocument/2006/relationships/hyperlink" Target="https://ukraine-elections.com.ua/en/socopros/opinion_poll_show/2121" TargetMode="External"/><Relationship Id="rId899" Type="http://schemas.openxmlformats.org/officeDocument/2006/relationships/hyperlink" Target="https://ukraine-elections.com.ua/en/socopros/opinion_poll_show/2049" TargetMode="External"/><Relationship Id="rId414" Type="http://schemas.openxmlformats.org/officeDocument/2006/relationships/hyperlink" Target="https://ukraine-elections.com.ua/en/socopros/opinion_poll_show/2121" TargetMode="External"/><Relationship Id="rId898" Type="http://schemas.openxmlformats.org/officeDocument/2006/relationships/hyperlink" Target="https://ukraine-elections.com.ua/en/socopros/opinion_poll_show/2049" TargetMode="External"/><Relationship Id="rId413" Type="http://schemas.openxmlformats.org/officeDocument/2006/relationships/hyperlink" Target="https://ukraine-elections.com.ua/en/socopros/opinion_poll_show/2121" TargetMode="External"/><Relationship Id="rId897" Type="http://schemas.openxmlformats.org/officeDocument/2006/relationships/hyperlink" Target="https://ukraine-elections.com.ua/en/socopros/opinion_poll_show/2049" TargetMode="External"/><Relationship Id="rId412" Type="http://schemas.openxmlformats.org/officeDocument/2006/relationships/hyperlink" Target="https://ukraine-elections.com.ua/en/socopros/opinion_poll_show/2121" TargetMode="External"/><Relationship Id="rId896" Type="http://schemas.openxmlformats.org/officeDocument/2006/relationships/hyperlink" Target="https://ukraine-elections.com.ua/en/socopros/opinion_poll_show/2049" TargetMode="External"/><Relationship Id="rId419" Type="http://schemas.openxmlformats.org/officeDocument/2006/relationships/hyperlink" Target="https://ukraine-elections.com.ua/en/socopros/opinion_poll_show/2118" TargetMode="External"/><Relationship Id="rId418" Type="http://schemas.openxmlformats.org/officeDocument/2006/relationships/hyperlink" Target="https://ukraine-elections.com.ua/en/socopros/opinion_poll_show/2121" TargetMode="External"/><Relationship Id="rId417" Type="http://schemas.openxmlformats.org/officeDocument/2006/relationships/hyperlink" Target="https://ukraine-elections.com.ua/en/socopros/opinion_poll_show/2121" TargetMode="External"/><Relationship Id="rId416" Type="http://schemas.openxmlformats.org/officeDocument/2006/relationships/hyperlink" Target="https://ukraine-elections.com.ua/en/socopros/opinion_poll_show/2121" TargetMode="External"/><Relationship Id="rId891" Type="http://schemas.openxmlformats.org/officeDocument/2006/relationships/hyperlink" Target="https://ukraine-elections.com.ua/en/socopros/opinion_poll_show/2049" TargetMode="External"/><Relationship Id="rId890" Type="http://schemas.openxmlformats.org/officeDocument/2006/relationships/hyperlink" Target="https://ukraine-elections.com.ua/en/socopros/opinion_poll_show/2050" TargetMode="External"/><Relationship Id="rId1240" Type="http://schemas.openxmlformats.org/officeDocument/2006/relationships/hyperlink" Target="https://ukraine-elections.com.ua/en/socopros/opinion_poll_show/1985" TargetMode="External"/><Relationship Id="rId1241" Type="http://schemas.openxmlformats.org/officeDocument/2006/relationships/hyperlink" Target="https://ukraine-elections.com.ua/en/socopros/opinion_poll_show/1985" TargetMode="External"/><Relationship Id="rId411" Type="http://schemas.openxmlformats.org/officeDocument/2006/relationships/hyperlink" Target="https://ukraine-elections.com.ua/en/socopros/opinion_poll_show/2123" TargetMode="External"/><Relationship Id="rId895" Type="http://schemas.openxmlformats.org/officeDocument/2006/relationships/hyperlink" Target="https://ukraine-elections.com.ua/en/socopros/opinion_poll_show/2049" TargetMode="External"/><Relationship Id="rId1242" Type="http://schemas.openxmlformats.org/officeDocument/2006/relationships/hyperlink" Target="https://ukraine-elections.com.ua/en/socopros/opinion_poll_show/1985" TargetMode="External"/><Relationship Id="rId410" Type="http://schemas.openxmlformats.org/officeDocument/2006/relationships/hyperlink" Target="https://ukraine-elections.com.ua/en/socopros/opinion_poll_show/2123" TargetMode="External"/><Relationship Id="rId894" Type="http://schemas.openxmlformats.org/officeDocument/2006/relationships/hyperlink" Target="https://ukraine-elections.com.ua/en/socopros/opinion_poll_show/2049" TargetMode="External"/><Relationship Id="rId1243" Type="http://schemas.openxmlformats.org/officeDocument/2006/relationships/hyperlink" Target="https://ukraine-elections.com.ua/en/socopros/opinion_poll_show/1985" TargetMode="External"/><Relationship Id="rId893" Type="http://schemas.openxmlformats.org/officeDocument/2006/relationships/hyperlink" Target="https://ukraine-elections.com.ua/en/socopros/opinion_poll_show/2049" TargetMode="External"/><Relationship Id="rId1244" Type="http://schemas.openxmlformats.org/officeDocument/2006/relationships/hyperlink" Target="https://ukraine-elections.com.ua/en/socopros/opinion_poll_show/1985" TargetMode="External"/><Relationship Id="rId892" Type="http://schemas.openxmlformats.org/officeDocument/2006/relationships/hyperlink" Target="https://ukraine-elections.com.ua/en/socopros/opinion_poll_show/2049" TargetMode="External"/><Relationship Id="rId1245" Type="http://schemas.openxmlformats.org/officeDocument/2006/relationships/hyperlink" Target="https://ukraine-elections.com.ua/en/socopros/opinion_poll_show/1985" TargetMode="External"/><Relationship Id="rId1279" Type="http://schemas.openxmlformats.org/officeDocument/2006/relationships/hyperlink" Target="https://ukraine-elections.com.ua/en/socopros/opinion_poll_show/1974" TargetMode="External"/><Relationship Id="rId2126" Type="http://schemas.openxmlformats.org/officeDocument/2006/relationships/hyperlink" Target="https://ukraine-elections.com.ua/en/socopros/opinion_poll_show/1312" TargetMode="External"/><Relationship Id="rId2127" Type="http://schemas.openxmlformats.org/officeDocument/2006/relationships/hyperlink" Target="https://ukraine-elections.com.ua/en/socopros/opinion_poll_show/1312" TargetMode="External"/><Relationship Id="rId2128" Type="http://schemas.openxmlformats.org/officeDocument/2006/relationships/hyperlink" Target="https://ukraine-elections.com.ua/en/socopros/opinion_poll_show/1312" TargetMode="External"/><Relationship Id="rId2129" Type="http://schemas.openxmlformats.org/officeDocument/2006/relationships/hyperlink" Target="https://ukraine-elections.com.ua/en/socopros/opinion_poll_show/1303" TargetMode="External"/><Relationship Id="rId448" Type="http://schemas.openxmlformats.org/officeDocument/2006/relationships/hyperlink" Target="https://ukraine-elections.com.ua/en/socopros/opinion_poll_show/2112" TargetMode="External"/><Relationship Id="rId447" Type="http://schemas.openxmlformats.org/officeDocument/2006/relationships/hyperlink" Target="https://ukraine-elections.com.ua/en/socopros/opinion_poll_show/2112" TargetMode="External"/><Relationship Id="rId446" Type="http://schemas.openxmlformats.org/officeDocument/2006/relationships/hyperlink" Target="https://ukraine-elections.com.ua/en/socopros/opinion_poll_show/2112" TargetMode="External"/><Relationship Id="rId445" Type="http://schemas.openxmlformats.org/officeDocument/2006/relationships/hyperlink" Target="https://ukraine-elections.com.ua/en/socopros/opinion_poll_show/2112" TargetMode="External"/><Relationship Id="rId449" Type="http://schemas.openxmlformats.org/officeDocument/2006/relationships/hyperlink" Target="https://ukraine-elections.com.ua/en/socopros/opinion_poll_show/2112" TargetMode="External"/><Relationship Id="rId1270" Type="http://schemas.openxmlformats.org/officeDocument/2006/relationships/hyperlink" Target="https://ukraine-elections.com.ua/en/socopros/opinion_poll_show/1978" TargetMode="External"/><Relationship Id="rId440" Type="http://schemas.openxmlformats.org/officeDocument/2006/relationships/hyperlink" Target="https://ukraine-elections.com.ua/en/socopros/opinion_poll_show/2114" TargetMode="External"/><Relationship Id="rId1271" Type="http://schemas.openxmlformats.org/officeDocument/2006/relationships/hyperlink" Target="https://ukraine-elections.com.ua/en/socopros/opinion_poll_show/1978" TargetMode="External"/><Relationship Id="rId1272" Type="http://schemas.openxmlformats.org/officeDocument/2006/relationships/hyperlink" Target="https://ukraine-elections.com.ua/en/socopros/opinion_poll_show/1978" TargetMode="External"/><Relationship Id="rId1273" Type="http://schemas.openxmlformats.org/officeDocument/2006/relationships/hyperlink" Target="https://ukraine-elections.com.ua/en/socopros/opinion_poll_show/1978" TargetMode="External"/><Relationship Id="rId2120" Type="http://schemas.openxmlformats.org/officeDocument/2006/relationships/hyperlink" Target="https://ukraine-elections.com.ua/en/socopros/opinion_poll_show/1312" TargetMode="External"/><Relationship Id="rId1274" Type="http://schemas.openxmlformats.org/officeDocument/2006/relationships/hyperlink" Target="https://ukraine-elections.com.ua/en/socopros/opinion_poll_show/1978" TargetMode="External"/><Relationship Id="rId2121" Type="http://schemas.openxmlformats.org/officeDocument/2006/relationships/hyperlink" Target="https://ukraine-elections.com.ua/en/socopros/opinion_poll_show/1312" TargetMode="External"/><Relationship Id="rId444" Type="http://schemas.openxmlformats.org/officeDocument/2006/relationships/hyperlink" Target="https://ukraine-elections.com.ua/en/socopros/opinion_poll_show/2114" TargetMode="External"/><Relationship Id="rId1275" Type="http://schemas.openxmlformats.org/officeDocument/2006/relationships/hyperlink" Target="https://ukraine-elections.com.ua/en/socopros/opinion_poll_show/1978" TargetMode="External"/><Relationship Id="rId2122" Type="http://schemas.openxmlformats.org/officeDocument/2006/relationships/hyperlink" Target="https://ukraine-elections.com.ua/en/socopros/opinion_poll_show/1312" TargetMode="External"/><Relationship Id="rId443" Type="http://schemas.openxmlformats.org/officeDocument/2006/relationships/hyperlink" Target="https://ukraine-elections.com.ua/en/socopros/opinion_poll_show/2114" TargetMode="External"/><Relationship Id="rId1276" Type="http://schemas.openxmlformats.org/officeDocument/2006/relationships/hyperlink" Target="https://ukraine-elections.com.ua/en/socopros/opinion_poll_show/1978" TargetMode="External"/><Relationship Id="rId2123" Type="http://schemas.openxmlformats.org/officeDocument/2006/relationships/hyperlink" Target="https://ukraine-elections.com.ua/en/socopros/opinion_poll_show/1312" TargetMode="External"/><Relationship Id="rId442" Type="http://schemas.openxmlformats.org/officeDocument/2006/relationships/hyperlink" Target="https://ukraine-elections.com.ua/en/socopros/opinion_poll_show/2114" TargetMode="External"/><Relationship Id="rId1277" Type="http://schemas.openxmlformats.org/officeDocument/2006/relationships/hyperlink" Target="https://ukraine-elections.com.ua/en/socopros/opinion_poll_show/1978" TargetMode="External"/><Relationship Id="rId2124" Type="http://schemas.openxmlformats.org/officeDocument/2006/relationships/hyperlink" Target="https://ukraine-elections.com.ua/en/socopros/opinion_poll_show/1312" TargetMode="External"/><Relationship Id="rId441" Type="http://schemas.openxmlformats.org/officeDocument/2006/relationships/hyperlink" Target="https://ukraine-elections.com.ua/en/socopros/opinion_poll_show/2114" TargetMode="External"/><Relationship Id="rId1278" Type="http://schemas.openxmlformats.org/officeDocument/2006/relationships/hyperlink" Target="https://ukraine-elections.com.ua/en/socopros/opinion_poll_show/1974" TargetMode="External"/><Relationship Id="rId2125" Type="http://schemas.openxmlformats.org/officeDocument/2006/relationships/hyperlink" Target="https://ukraine-elections.com.ua/en/socopros/opinion_poll_show/1312" TargetMode="External"/><Relationship Id="rId1268" Type="http://schemas.openxmlformats.org/officeDocument/2006/relationships/hyperlink" Target="https://ukraine-elections.com.ua/en/socopros/opinion_poll_show/1979" TargetMode="External"/><Relationship Id="rId2115" Type="http://schemas.openxmlformats.org/officeDocument/2006/relationships/hyperlink" Target="https://ukraine-elections.com.ua/en/socopros/opinion_poll_show/1319" TargetMode="External"/><Relationship Id="rId1269" Type="http://schemas.openxmlformats.org/officeDocument/2006/relationships/hyperlink" Target="https://ukraine-elections.com.ua/en/socopros/opinion_poll_show/1978" TargetMode="External"/><Relationship Id="rId2116" Type="http://schemas.openxmlformats.org/officeDocument/2006/relationships/hyperlink" Target="https://ukraine-elections.com.ua/en/socopros/opinion_poll_show/1319" TargetMode="External"/><Relationship Id="rId2117" Type="http://schemas.openxmlformats.org/officeDocument/2006/relationships/hyperlink" Target="https://ukraine-elections.com.ua/en/socopros/opinion_poll_show/1319" TargetMode="External"/><Relationship Id="rId2118" Type="http://schemas.openxmlformats.org/officeDocument/2006/relationships/hyperlink" Target="https://ukraine-elections.com.ua/en/socopros/opinion_poll_show/1319" TargetMode="External"/><Relationship Id="rId2119" Type="http://schemas.openxmlformats.org/officeDocument/2006/relationships/hyperlink" Target="https://ukraine-elections.com.ua/en/socopros/opinion_poll_show/1319" TargetMode="External"/><Relationship Id="rId437" Type="http://schemas.openxmlformats.org/officeDocument/2006/relationships/hyperlink" Target="https://ukraine-elections.com.ua/en/socopros/opinion_poll_show/2114" TargetMode="External"/><Relationship Id="rId436" Type="http://schemas.openxmlformats.org/officeDocument/2006/relationships/hyperlink" Target="https://ukraine-elections.com.ua/en/socopros/opinion_poll_show/2115" TargetMode="External"/><Relationship Id="rId435" Type="http://schemas.openxmlformats.org/officeDocument/2006/relationships/hyperlink" Target="https://ukraine-elections.com.ua/en/socopros/opinion_poll_show/2115" TargetMode="External"/><Relationship Id="rId434" Type="http://schemas.openxmlformats.org/officeDocument/2006/relationships/hyperlink" Target="https://ukraine-elections.com.ua/en/socopros/opinion_poll_show/2115" TargetMode="External"/><Relationship Id="rId439" Type="http://schemas.openxmlformats.org/officeDocument/2006/relationships/hyperlink" Target="https://ukraine-elections.com.ua/en/socopros/opinion_poll_show/2114" TargetMode="External"/><Relationship Id="rId438" Type="http://schemas.openxmlformats.org/officeDocument/2006/relationships/hyperlink" Target="https://ukraine-elections.com.ua/en/socopros/opinion_poll_show/2114" TargetMode="External"/><Relationship Id="rId1260" Type="http://schemas.openxmlformats.org/officeDocument/2006/relationships/hyperlink" Target="https://ukraine-elections.com.ua/en/socopros/opinion_poll_show/1979" TargetMode="External"/><Relationship Id="rId1261" Type="http://schemas.openxmlformats.org/officeDocument/2006/relationships/hyperlink" Target="https://ukraine-elections.com.ua/en/socopros/opinion_poll_show/1979" TargetMode="External"/><Relationship Id="rId1262" Type="http://schemas.openxmlformats.org/officeDocument/2006/relationships/hyperlink" Target="https://ukraine-elections.com.ua/en/socopros/opinion_poll_show/1979" TargetMode="External"/><Relationship Id="rId1263" Type="http://schemas.openxmlformats.org/officeDocument/2006/relationships/hyperlink" Target="https://ukraine-elections.com.ua/en/socopros/opinion_poll_show/1979" TargetMode="External"/><Relationship Id="rId2110" Type="http://schemas.openxmlformats.org/officeDocument/2006/relationships/hyperlink" Target="https://ukraine-elections.com.ua/en/socopros/opinion_poll_show/1337" TargetMode="External"/><Relationship Id="rId433" Type="http://schemas.openxmlformats.org/officeDocument/2006/relationships/hyperlink" Target="https://ukraine-elections.com.ua/en/socopros/opinion_poll_show/2115" TargetMode="External"/><Relationship Id="rId1264" Type="http://schemas.openxmlformats.org/officeDocument/2006/relationships/hyperlink" Target="https://ukraine-elections.com.ua/en/socopros/opinion_poll_show/1979" TargetMode="External"/><Relationship Id="rId2111" Type="http://schemas.openxmlformats.org/officeDocument/2006/relationships/hyperlink" Target="https://ukraine-elections.com.ua/en/socopros/opinion_poll_show/1319" TargetMode="External"/><Relationship Id="rId432" Type="http://schemas.openxmlformats.org/officeDocument/2006/relationships/hyperlink" Target="https://ukraine-elections.com.ua/en/socopros/opinion_poll_show/2115" TargetMode="External"/><Relationship Id="rId1265" Type="http://schemas.openxmlformats.org/officeDocument/2006/relationships/hyperlink" Target="https://ukraine-elections.com.ua/en/socopros/opinion_poll_show/1979" TargetMode="External"/><Relationship Id="rId2112" Type="http://schemas.openxmlformats.org/officeDocument/2006/relationships/hyperlink" Target="https://ukraine-elections.com.ua/en/socopros/opinion_poll_show/1319" TargetMode="External"/><Relationship Id="rId431" Type="http://schemas.openxmlformats.org/officeDocument/2006/relationships/hyperlink" Target="https://ukraine-elections.com.ua/en/socopros/opinion_poll_show/2115" TargetMode="External"/><Relationship Id="rId1266" Type="http://schemas.openxmlformats.org/officeDocument/2006/relationships/hyperlink" Target="https://ukraine-elections.com.ua/en/socopros/opinion_poll_show/1979" TargetMode="External"/><Relationship Id="rId2113" Type="http://schemas.openxmlformats.org/officeDocument/2006/relationships/hyperlink" Target="https://ukraine-elections.com.ua/en/socopros/opinion_poll_show/1319" TargetMode="External"/><Relationship Id="rId430" Type="http://schemas.openxmlformats.org/officeDocument/2006/relationships/hyperlink" Target="https://ukraine-elections.com.ua/en/socopros/opinion_poll_show/2115" TargetMode="External"/><Relationship Id="rId1267" Type="http://schemas.openxmlformats.org/officeDocument/2006/relationships/hyperlink" Target="https://ukraine-elections.com.ua/en/socopros/opinion_poll_show/1979" TargetMode="External"/><Relationship Id="rId2114" Type="http://schemas.openxmlformats.org/officeDocument/2006/relationships/hyperlink" Target="https://ukraine-elections.com.ua/en/socopros/opinion_poll_show/131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orrespondent.net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0.5"/>
    <col customWidth="1" min="3" max="3" width="24.25"/>
    <col customWidth="1" min="4" max="13" width="13.88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6" t="s">
        <v>13</v>
      </c>
      <c r="O1" s="6" t="s">
        <v>14</v>
      </c>
    </row>
    <row r="2" ht="15.75" customHeight="1">
      <c r="A2" s="7" t="s">
        <v>15</v>
      </c>
      <c r="B2" s="7" t="s">
        <v>16</v>
      </c>
      <c r="C2" s="8" t="s">
        <v>17</v>
      </c>
      <c r="D2" s="9">
        <f>IF(SUMPRODUCT((Data!$D$2:$D$2277=A2)*(Data!$E$2:$E$2277=C2)*(Data!$M$2:$M$2277="Vladimir Zelenskiy"))&gt;0,SUMPRODUCT((Data!$D$2:$D$2277=A2)*(Data!$E$2:$E$2277=C2)*(Data!$M$2:$M$2277="Vladimir Zelenskiy")*IF(ISNUMBER(Data!$W$2:$W$2277),Data!$W$2:$W$2277,0))/SUMPRODUCT((Data!$D$2:$D$2277=A2)*(Data!$E$2:$E$2277=C2)*(Data!$M$2:$M$2277="Vladimir Zelenskiy")),"")</f>
        <v>29.3</v>
      </c>
      <c r="E2" s="9">
        <f>IF(SUMPRODUCT((Data!$D$2:$D$2277=A2)*(Data!$E$2:$E$2277=C2)*(Data!$M$2:$M$2277="Valerii Zaluzhniy"))&gt;0,SUMPRODUCT((Data!$D$2:$D$2277=A2)*(Data!$E$2:$E$2277=C2)*(Data!$M$2:$M$2277="Valerii Zaluzhniy")*IF(ISNUMBER(Data!$W$2:$W$2277),Data!$W$2:$W$2277,0))/SUMPRODUCT((Data!$D$2:$D$2277=A2)*(Data!$E$2:$E$2277=C2)*(Data!$M$2:$M$2277="Valerii Zaluzhniy")),"")</f>
        <v>25</v>
      </c>
      <c r="F2" s="9">
        <f>IF(SUMPRODUCT((Data!$D$2:$D$2277=A2)*(Data!$E$2:$E$2277=C2)*(Data!$M$2:$M$2277="Kyrylo Budanov"))&gt;0,SUMPRODUCT((Data!$D$2:$D$2277=A2)*(Data!$E$2:$E$2277=C2)*(Data!$M$2:$M$2277="Kyrylo Budanov")*IF(ISNUMBER(Data!$W$2:$W$2277),Data!$W$2:$W$2277,0))/SUMPRODUCT((Data!$D$2:$D$2277=A2)*(Data!$E$2:$E$2277=C2)*(Data!$M$2:$M$2277="Kyrylo Budanov")),"")</f>
        <v>13.7</v>
      </c>
      <c r="G2" s="9">
        <f>IF(SUMPRODUCT((Data!$D$2:$D$2277=A2)*(Data!$E$2:$E$2277=C2)*(Data!$M$2:$M$2277="Pyotr Poroshenko"))&gt;0,SUMPRODUCT((Data!$D$2:$D$2277=A2)*(Data!$E$2:$E$2277=C2)*(Data!$M$2:$M$2277="Pyotr Poroshenko")*IF(ISNUMBER(Data!$W$2:$W$2277),Data!$W$2:$W$2277,0))/SUMPRODUCT((Data!$D$2:$D$2277=A2)*(Data!$E$2:$E$2277=C2)*(Data!$M$2:$M$2277="Pyotr Poroshenko")),"")</f>
        <v>7.4</v>
      </c>
      <c r="H2" s="10">
        <f t="array" ref="H2">IFERROR(INDEX(Avg!$F$2:$F$50,MATCH(DATE(YEAR(A2),MONTH(A2),1),Avg!$A$2:$A$50,0)),"")</f>
        <v>28.78161155</v>
      </c>
      <c r="I2" s="10">
        <f t="array" ref="I2">IFERROR(INDEX(Avg!$G$2:$G$50,MATCH(DATE(YEAR(A2),MONTH(A2),1),Avg!$A$2:$A$50,0)),"")</f>
        <v>25.20912925</v>
      </c>
      <c r="J2" s="10">
        <f t="array" ref="J2">IFERROR(INDEX(Avg!$H$2:$H$50,MATCH(DATE(YEAR(A2),MONTH(A2),1),Avg!$A$2:$A$50,0)),"")</f>
        <v>10.61385721</v>
      </c>
      <c r="K2" s="10">
        <f t="array" ref="K2">IFERROR(INDEX(Avg!$I$2:$I$50,MATCH(DATE(YEAR(A2),MONTH(A2),1),Avg!$A$2:$A$50,0)),"")</f>
        <v>8.889762238</v>
      </c>
      <c r="L2" s="11">
        <f t="array" ref="L2">IFERROR(INDEX(Avg!$L$2:$L$50,MATCH(DATE(YEAR(A2),MONTH(A2),1),Avg!$A$2:$A$50,0)),"")</f>
        <v>28.49720353</v>
      </c>
      <c r="M2" s="11">
        <f t="array" ref="M2">IFERROR(INDEX(Avg!$M$2:$M$50,MATCH(DATE(YEAR(A2),MONTH(A2),1),Avg!$A$2:$A$50,0)),"")</f>
        <v>25.57380688</v>
      </c>
      <c r="N2" s="11">
        <f t="array" ref="N2">IFERROR(INDEX(Avg!$N$2:$N$50,MATCH(DATE(YEAR(A2),MONTH(A2),1),Avg!$A$2:$A$50,0)),"")</f>
        <v>9.617851838</v>
      </c>
      <c r="O2" s="11">
        <f t="array" ref="O2">IFERROR(INDEX(Avg!$O$2:$O$50,MATCH(DATE(YEAR(A2),MONTH(A2),1),Avg!$A$2:$A$50,0)),"")</f>
        <v>9.254595707</v>
      </c>
    </row>
    <row r="3" ht="15.75" customHeight="1">
      <c r="A3" s="7" t="s">
        <v>18</v>
      </c>
      <c r="B3" s="7" t="s">
        <v>19</v>
      </c>
      <c r="C3" s="8" t="s">
        <v>20</v>
      </c>
      <c r="D3" s="9">
        <f>IF(SUMPRODUCT((Data!$D$2:$D$2277=A3)*(Data!$E$2:$E$2277=C3)*(Data!$M$2:$M$2277="Vladimir Zelenskiy"))&gt;0,SUMPRODUCT((Data!$D$2:$D$2277=A3)*(Data!$E$2:$E$2277=C3)*(Data!$M$2:$M$2277="Vladimir Zelenskiy")*IF(ISNUMBER(Data!$W$2:$W$2277),Data!$W$2:$W$2277,0))/SUMPRODUCT((Data!$D$2:$D$2277=A3)*(Data!$E$2:$E$2277=C3)*(Data!$M$2:$M$2277="Vladimir Zelenskiy")),"")</f>
        <v>32.9</v>
      </c>
      <c r="E3" s="9">
        <f>IF(SUMPRODUCT((Data!$D$2:$D$2277=A3)*(Data!$E$2:$E$2277=C3)*(Data!$M$2:$M$2277="Valerii Zaluzhniy"))&gt;0,SUMPRODUCT((Data!$D$2:$D$2277=A3)*(Data!$E$2:$E$2277=C3)*(Data!$M$2:$M$2277="Valerii Zaluzhniy")*IF(ISNUMBER(Data!$W$2:$W$2277),Data!$W$2:$W$2277,0))/SUMPRODUCT((Data!$D$2:$D$2277=A3)*(Data!$E$2:$E$2277=C3)*(Data!$M$2:$M$2277="Valerii Zaluzhniy")),"")</f>
        <v>15.9</v>
      </c>
      <c r="F3" s="9">
        <f>IF(SUMPRODUCT((Data!$D$2:$D$2277=A3)*(Data!$E$2:$E$2277=C3)*(Data!$M$2:$M$2277="Kyrylo Budanov"))&gt;0,SUMPRODUCT((Data!$D$2:$D$2277=A3)*(Data!$E$2:$E$2277=C3)*(Data!$M$2:$M$2277="Kyrylo Budanov")*IF(ISNUMBER(Data!$W$2:$W$2277),Data!$W$2:$W$2277,0))/SUMPRODUCT((Data!$D$2:$D$2277=A3)*(Data!$E$2:$E$2277=C3)*(Data!$M$2:$M$2277="Kyrylo Budanov")),"")</f>
        <v>13.8</v>
      </c>
      <c r="G3" s="9">
        <f>IF(SUMPRODUCT((Data!$D$2:$D$2277=A3)*(Data!$E$2:$E$2277=C3)*(Data!$M$2:$M$2277="Pyotr Poroshenko"))&gt;0,SUMPRODUCT((Data!$D$2:$D$2277=A3)*(Data!$E$2:$E$2277=C3)*(Data!$M$2:$M$2277="Pyotr Poroshenko")*IF(ISNUMBER(Data!$W$2:$W$2277),Data!$W$2:$W$2277,0))/SUMPRODUCT((Data!$D$2:$D$2277=A3)*(Data!$E$2:$E$2277=C3)*(Data!$M$2:$M$2277="Pyotr Poroshenko")),"")</f>
        <v>10.9</v>
      </c>
      <c r="H3" s="10">
        <f t="array" ref="H3">IFERROR(INDEX(Avg!$F$2:$F$50,MATCH(DATE(YEAR(A3),MONTH(A3),1),Avg!$A$2:$A$50,0)),"")</f>
        <v>28.5003724</v>
      </c>
      <c r="I3" s="10">
        <f t="array" ref="I3">IFERROR(INDEX(Avg!$G$2:$G$50,MATCH(DATE(YEAR(A3),MONTH(A3),1),Avg!$A$2:$A$50,0)),"")</f>
        <v>25.32258728</v>
      </c>
      <c r="J3" s="10">
        <f t="array" ref="J3">IFERROR(INDEX(Avg!$H$2:$H$50,MATCH(DATE(YEAR(A3),MONTH(A3),1),Avg!$A$2:$A$50,0)),"")</f>
        <v>8.939544863</v>
      </c>
      <c r="K3" s="10">
        <f t="array" ref="K3">IFERROR(INDEX(Avg!$I$2:$I$50,MATCH(DATE(YEAR(A3),MONTH(A3),1),Avg!$A$2:$A$50,0)),"")</f>
        <v>9.697996816</v>
      </c>
      <c r="L3" s="11">
        <f t="array" ref="L3">IFERROR(INDEX(Avg!$L$2:$L$50,MATCH(DATE(YEAR(A3),MONTH(A3),1),Avg!$A$2:$A$50,0)),"")</f>
        <v>28.33361737</v>
      </c>
      <c r="M3" s="11">
        <f t="array" ref="M3">IFERROR(INDEX(Avg!$M$2:$M$50,MATCH(DATE(YEAR(A3),MONTH(A3),1),Avg!$A$2:$A$50,0)),"")</f>
        <v>26.10461068</v>
      </c>
      <c r="N3" s="11">
        <f t="array" ref="N3">IFERROR(INDEX(Avg!$N$2:$N$50,MATCH(DATE(YEAR(A3),MONTH(A3),1),Avg!$A$2:$A$50,0)),"")</f>
        <v>8.338839208</v>
      </c>
      <c r="O3" s="11">
        <f t="array" ref="O3">IFERROR(INDEX(Avg!$O$2:$O$50,MATCH(DATE(YEAR(A3),MONTH(A3),1),Avg!$A$2:$A$50,0)),"")</f>
        <v>9.227844835</v>
      </c>
    </row>
    <row r="4" ht="15.75" customHeight="1">
      <c r="A4" s="7" t="s">
        <v>21</v>
      </c>
      <c r="B4" s="7" t="s">
        <v>19</v>
      </c>
      <c r="C4" s="8" t="s">
        <v>20</v>
      </c>
      <c r="D4" s="9">
        <f>IF(SUMPRODUCT((Data!$D$2:$D$2277=A4)*(Data!$E$2:$E$2277=C4)*(Data!$M$2:$M$2277="Vladimir Zelenskiy"))&gt;0,SUMPRODUCT((Data!$D$2:$D$2277=A4)*(Data!$E$2:$E$2277=C4)*(Data!$M$2:$M$2277="Vladimir Zelenskiy")*IF(ISNUMBER(Data!$W$2:$W$2277),Data!$W$2:$W$2277,0))/SUMPRODUCT((Data!$D$2:$D$2277=A4)*(Data!$E$2:$E$2277=C4)*(Data!$M$2:$M$2277="Vladimir Zelenskiy")),"")</f>
        <v>32.2</v>
      </c>
      <c r="E4" s="9">
        <f>IF(SUMPRODUCT((Data!$D$2:$D$2277=A4)*(Data!$E$2:$E$2277=C4)*(Data!$M$2:$M$2277="Valerii Zaluzhniy"))&gt;0,SUMPRODUCT((Data!$D$2:$D$2277=A4)*(Data!$E$2:$E$2277=C4)*(Data!$M$2:$M$2277="Valerii Zaluzhniy")*IF(ISNUMBER(Data!$W$2:$W$2277),Data!$W$2:$W$2277,0))/SUMPRODUCT((Data!$D$2:$D$2277=A4)*(Data!$E$2:$E$2277=C4)*(Data!$M$2:$M$2277="Valerii Zaluzhniy")),"")</f>
        <v>22.1</v>
      </c>
      <c r="F4" s="9">
        <f>IF(SUMPRODUCT((Data!$D$2:$D$2277=A4)*(Data!$E$2:$E$2277=C4)*(Data!$M$2:$M$2277="Kyrylo Budanov"))&gt;0,SUMPRODUCT((Data!$D$2:$D$2277=A4)*(Data!$E$2:$E$2277=C4)*(Data!$M$2:$M$2277="Kyrylo Budanov")*IF(ISNUMBER(Data!$W$2:$W$2277),Data!$W$2:$W$2277,0))/SUMPRODUCT((Data!$D$2:$D$2277=A4)*(Data!$E$2:$E$2277=C4)*(Data!$M$2:$M$2277="Kyrylo Budanov")),"")</f>
        <v>9.4</v>
      </c>
      <c r="G4" s="9">
        <f>IF(SUMPRODUCT((Data!$D$2:$D$2277=A4)*(Data!$E$2:$E$2277=C4)*(Data!$M$2:$M$2277="Pyotr Poroshenko"))&gt;0,SUMPRODUCT((Data!$D$2:$D$2277=A4)*(Data!$E$2:$E$2277=C4)*(Data!$M$2:$M$2277="Pyotr Poroshenko")*IF(ISNUMBER(Data!$W$2:$W$2277),Data!$W$2:$W$2277,0))/SUMPRODUCT((Data!$D$2:$D$2277=A4)*(Data!$E$2:$E$2277=C4)*(Data!$M$2:$M$2277="Pyotr Poroshenko")),"")</f>
        <v>10.4</v>
      </c>
      <c r="H4" s="10">
        <f t="array" ref="H4">IFERROR(INDEX(Avg!$F$2:$F$50,MATCH(DATE(YEAR(A4),MONTH(A4),1),Avg!$A$2:$A$50,0)),"")</f>
        <v>27.63764169</v>
      </c>
      <c r="I4" s="10">
        <f t="array" ref="I4">IFERROR(INDEX(Avg!$G$2:$G$50,MATCH(DATE(YEAR(A4),MONTH(A4),1),Avg!$A$2:$A$50,0)),"")</f>
        <v>27.17027899</v>
      </c>
      <c r="J4" s="10">
        <f t="array" ref="J4">IFERROR(INDEX(Avg!$H$2:$H$50,MATCH(DATE(YEAR(A4),MONTH(A4),1),Avg!$A$2:$A$50,0)),"")</f>
        <v>7.986449664</v>
      </c>
      <c r="K4" s="10">
        <f t="array" ref="K4">IFERROR(INDEX(Avg!$I$2:$I$50,MATCH(DATE(YEAR(A4),MONTH(A4),1),Avg!$A$2:$A$50,0)),"")</f>
        <v>9.462293896</v>
      </c>
      <c r="L4" s="11">
        <f t="array" ref="L4">IFERROR(INDEX(Avg!$L$2:$L$50,MATCH(DATE(YEAR(A4),MONTH(A4),1),Avg!$A$2:$A$50,0)),"")</f>
        <v>28.76306084</v>
      </c>
      <c r="M4" s="11">
        <f t="array" ref="M4">IFERROR(INDEX(Avg!$M$2:$M$50,MATCH(DATE(YEAR(A4),MONTH(A4),1),Avg!$A$2:$A$50,0)),"")</f>
        <v>26.76621323</v>
      </c>
      <c r="N4" s="11">
        <f t="array" ref="N4">IFERROR(INDEX(Avg!$N$2:$N$50,MATCH(DATE(YEAR(A4),MONTH(A4),1),Avg!$A$2:$A$50,0)),"")</f>
        <v>7.384477304</v>
      </c>
      <c r="O4" s="11">
        <f t="array" ref="O4">IFERROR(INDEX(Avg!$O$2:$O$50,MATCH(DATE(YEAR(A4),MONTH(A4),1),Avg!$A$2:$A$50,0)),"")</f>
        <v>8.330952716</v>
      </c>
    </row>
    <row r="5" ht="15.75" customHeight="1">
      <c r="A5" s="7" t="s">
        <v>22</v>
      </c>
      <c r="B5" s="7" t="s">
        <v>23</v>
      </c>
      <c r="C5" s="8" t="s">
        <v>24</v>
      </c>
      <c r="D5" s="9">
        <f>IF(SUMPRODUCT((Data!$D$2:$D$2277=A5)*(Data!$E$2:$E$2277=C5)*(Data!$M$2:$M$2277="Vladimir Zelenskiy"))&gt;0,SUMPRODUCT((Data!$D$2:$D$2277=A5)*(Data!$E$2:$E$2277=C5)*(Data!$M$2:$M$2277="Vladimir Zelenskiy")*IF(ISNUMBER(Data!$W$2:$W$2277),Data!$W$2:$W$2277,0))/SUMPRODUCT((Data!$D$2:$D$2277=A5)*(Data!$E$2:$E$2277=C5)*(Data!$M$2:$M$2277="Vladimir Zelenskiy")),"")</f>
        <v>25.64102564</v>
      </c>
      <c r="E5" s="9">
        <f>IF(SUMPRODUCT((Data!$D$2:$D$2277=A5)*(Data!$E$2:$E$2277=C5)*(Data!$M$2:$M$2277="Valerii Zaluzhniy"))&gt;0,SUMPRODUCT((Data!$D$2:$D$2277=A5)*(Data!$E$2:$E$2277=C5)*(Data!$M$2:$M$2277="Valerii Zaluzhniy")*IF(ISNUMBER(Data!$W$2:$W$2277),Data!$W$2:$W$2277,0))/SUMPRODUCT((Data!$D$2:$D$2277=A5)*(Data!$E$2:$E$2277=C5)*(Data!$M$2:$M$2277="Valerii Zaluzhniy")),"")</f>
        <v>29.48717949</v>
      </c>
      <c r="F5" s="9">
        <f>IF(SUMPRODUCT((Data!$D$2:$D$2277=A5)*(Data!$E$2:$E$2277=C5)*(Data!$M$2:$M$2277="Kyrylo Budanov"))&gt;0,SUMPRODUCT((Data!$D$2:$D$2277=A5)*(Data!$E$2:$E$2277=C5)*(Data!$M$2:$M$2277="Kyrylo Budanov")*IF(ISNUMBER(Data!$W$2:$W$2277),Data!$W$2:$W$2277,0))/SUMPRODUCT((Data!$D$2:$D$2277=A5)*(Data!$E$2:$E$2277=C5)*(Data!$M$2:$M$2277="Kyrylo Budanov")),"")</f>
        <v>8.974358974</v>
      </c>
      <c r="G5" s="9">
        <f>IF(SUMPRODUCT((Data!$D$2:$D$2277=A5)*(Data!$E$2:$E$2277=C5)*(Data!$M$2:$M$2277="Pyotr Poroshenko"))&gt;0,SUMPRODUCT((Data!$D$2:$D$2277=A5)*(Data!$E$2:$E$2277=C5)*(Data!$M$2:$M$2277="Pyotr Poroshenko")*IF(ISNUMBER(Data!$W$2:$W$2277),Data!$W$2:$W$2277,0))/SUMPRODUCT((Data!$D$2:$D$2277=A5)*(Data!$E$2:$E$2277=C5)*(Data!$M$2:$M$2277="Pyotr Poroshenko")),"")</f>
        <v>11.53846154</v>
      </c>
      <c r="H5" s="10">
        <f t="array" ref="H5">IFERROR(INDEX(Avg!$F$2:$F$50,MATCH(DATE(YEAR(A5),MONTH(A5),1),Avg!$A$2:$A$50,0)),"")</f>
        <v>27.63764169</v>
      </c>
      <c r="I5" s="10">
        <f t="array" ref="I5">IFERROR(INDEX(Avg!$G$2:$G$50,MATCH(DATE(YEAR(A5),MONTH(A5),1),Avg!$A$2:$A$50,0)),"")</f>
        <v>27.17027899</v>
      </c>
      <c r="J5" s="10">
        <f t="array" ref="J5">IFERROR(INDEX(Avg!$H$2:$H$50,MATCH(DATE(YEAR(A5),MONTH(A5),1),Avg!$A$2:$A$50,0)),"")</f>
        <v>7.986449664</v>
      </c>
      <c r="K5" s="10">
        <f t="array" ref="K5">IFERROR(INDEX(Avg!$I$2:$I$50,MATCH(DATE(YEAR(A5),MONTH(A5),1),Avg!$A$2:$A$50,0)),"")</f>
        <v>9.462293896</v>
      </c>
      <c r="L5" s="11">
        <f t="array" ref="L5">IFERROR(INDEX(Avg!$L$2:$L$50,MATCH(DATE(YEAR(A5),MONTH(A5),1),Avg!$A$2:$A$50,0)),"")</f>
        <v>28.76306084</v>
      </c>
      <c r="M5" s="11">
        <f t="array" ref="M5">IFERROR(INDEX(Avg!$M$2:$M$50,MATCH(DATE(YEAR(A5),MONTH(A5),1),Avg!$A$2:$A$50,0)),"")</f>
        <v>26.76621323</v>
      </c>
      <c r="N5" s="11">
        <f t="array" ref="N5">IFERROR(INDEX(Avg!$N$2:$N$50,MATCH(DATE(YEAR(A5),MONTH(A5),1),Avg!$A$2:$A$50,0)),"")</f>
        <v>7.384477304</v>
      </c>
      <c r="O5" s="11">
        <f t="array" ref="O5">IFERROR(INDEX(Avg!$O$2:$O$50,MATCH(DATE(YEAR(A5),MONTH(A5),1),Avg!$A$2:$A$50,0)),"")</f>
        <v>8.330952716</v>
      </c>
    </row>
    <row r="6" ht="15.75" customHeight="1">
      <c r="A6" s="7" t="s">
        <v>25</v>
      </c>
      <c r="B6" s="7" t="s">
        <v>23</v>
      </c>
      <c r="C6" s="8" t="s">
        <v>20</v>
      </c>
      <c r="D6" s="9">
        <f>IF(SUMPRODUCT((Data!$D$2:$D$2277=A6)*(Data!$E$2:$E$2277=C6)*(Data!$M$2:$M$2277="Vladimir Zelenskiy"))&gt;0,SUMPRODUCT((Data!$D$2:$D$2277=A6)*(Data!$E$2:$E$2277=C6)*(Data!$M$2:$M$2277="Vladimir Zelenskiy")*IF(ISNUMBER(Data!$W$2:$W$2277),Data!$W$2:$W$2277,0))/SUMPRODUCT((Data!$D$2:$D$2277=A6)*(Data!$E$2:$E$2277=C6)*(Data!$M$2:$M$2277="Vladimir Zelenskiy")),"")</f>
        <v>26.8</v>
      </c>
      <c r="E6" s="9">
        <f>IF(SUMPRODUCT((Data!$D$2:$D$2277=A6)*(Data!$E$2:$E$2277=C6)*(Data!$M$2:$M$2277="Valerii Zaluzhniy"))&gt;0,SUMPRODUCT((Data!$D$2:$D$2277=A6)*(Data!$E$2:$E$2277=C6)*(Data!$M$2:$M$2277="Valerii Zaluzhniy")*IF(ISNUMBER(Data!$W$2:$W$2277),Data!$W$2:$W$2277,0))/SUMPRODUCT((Data!$D$2:$D$2277=A6)*(Data!$E$2:$E$2277=C6)*(Data!$M$2:$M$2277="Valerii Zaluzhniy")),"")</f>
        <v>25.1</v>
      </c>
      <c r="F6" s="9">
        <f>IF(SUMPRODUCT((Data!$D$2:$D$2277=A6)*(Data!$E$2:$E$2277=C6)*(Data!$M$2:$M$2277="Kyrylo Budanov"))&gt;0,SUMPRODUCT((Data!$D$2:$D$2277=A6)*(Data!$E$2:$E$2277=C6)*(Data!$M$2:$M$2277="Kyrylo Budanov")*IF(ISNUMBER(Data!$W$2:$W$2277),Data!$W$2:$W$2277,0))/SUMPRODUCT((Data!$D$2:$D$2277=A6)*(Data!$E$2:$E$2277=C6)*(Data!$M$2:$M$2277="Kyrylo Budanov")),"")</f>
        <v>10.9</v>
      </c>
      <c r="G6" s="9">
        <f>IF(SUMPRODUCT((Data!$D$2:$D$2277=A6)*(Data!$E$2:$E$2277=C6)*(Data!$M$2:$M$2277="Pyotr Poroshenko"))&gt;0,SUMPRODUCT((Data!$D$2:$D$2277=A6)*(Data!$E$2:$E$2277=C6)*(Data!$M$2:$M$2277="Pyotr Poroshenko")*IF(ISNUMBER(Data!$W$2:$W$2277),Data!$W$2:$W$2277,0))/SUMPRODUCT((Data!$D$2:$D$2277=A6)*(Data!$E$2:$E$2277=C6)*(Data!$M$2:$M$2277="Pyotr Poroshenko")),"")</f>
        <v>9.8</v>
      </c>
      <c r="H6" s="10">
        <f t="array" ref="H6">IFERROR(INDEX(Avg!$F$2:$F$50,MATCH(DATE(YEAR(A6),MONTH(A6),1),Avg!$A$2:$A$50,0)),"")</f>
        <v>29.22530363</v>
      </c>
      <c r="I6" s="10">
        <f t="array" ref="I6">IFERROR(INDEX(Avg!$G$2:$G$50,MATCH(DATE(YEAR(A6),MONTH(A6),1),Avg!$A$2:$A$50,0)),"")</f>
        <v>26.31934423</v>
      </c>
      <c r="J6" s="10">
        <f t="array" ref="J6">IFERROR(INDEX(Avg!$H$2:$H$50,MATCH(DATE(YEAR(A6),MONTH(A6),1),Avg!$A$2:$A$50,0)),"")</f>
        <v>7.241501329</v>
      </c>
      <c r="K6" s="10">
        <f t="array" ref="K6">IFERROR(INDEX(Avg!$I$2:$I$50,MATCH(DATE(YEAR(A6),MONTH(A6),1),Avg!$A$2:$A$50,0)),"")</f>
        <v>7.34849077</v>
      </c>
      <c r="L6" s="11">
        <f t="array" ref="L6">IFERROR(INDEX(Avg!$L$2:$L$50,MATCH(DATE(YEAR(A6),MONTH(A6),1),Avg!$A$2:$A$50,0)),"")</f>
        <v>30.34064045</v>
      </c>
      <c r="M6" s="11">
        <f t="array" ref="M6">IFERROR(INDEX(Avg!$M$2:$M$50,MATCH(DATE(YEAR(A6),MONTH(A6),1),Avg!$A$2:$A$50,0)),"")</f>
        <v>26.56887297</v>
      </c>
      <c r="N6" s="11">
        <f t="array" ref="N6">IFERROR(INDEX(Avg!$N$2:$N$50,MATCH(DATE(YEAR(A6),MONTH(A6),1),Avg!$A$2:$A$50,0)),"")</f>
        <v>6.629605864</v>
      </c>
      <c r="O6" s="11">
        <f t="array" ref="O6">IFERROR(INDEX(Avg!$O$2:$O$50,MATCH(DATE(YEAR(A6),MONTH(A6),1),Avg!$A$2:$A$50,0)),"")</f>
        <v>7.1756943</v>
      </c>
    </row>
    <row r="7" ht="15.75" customHeight="1">
      <c r="A7" s="7" t="s">
        <v>26</v>
      </c>
      <c r="B7" s="7" t="s">
        <v>23</v>
      </c>
      <c r="C7" s="8" t="s">
        <v>27</v>
      </c>
      <c r="D7" s="9">
        <f>IF(SUMPRODUCT((Data!$D$2:$D$2277=A7)*(Data!$E$2:$E$2277=C7)*(Data!$M$2:$M$2277="Vladimir Zelenskiy"))&gt;0,SUMPRODUCT((Data!$D$2:$D$2277=A7)*(Data!$E$2:$E$2277=C7)*(Data!$M$2:$M$2277="Vladimir Zelenskiy")*IF(ISNUMBER(Data!$W$2:$W$2277),Data!$W$2:$W$2277,0))/SUMPRODUCT((Data!$D$2:$D$2277=A7)*(Data!$E$2:$E$2277=C7)*(Data!$M$2:$M$2277="Vladimir Zelenskiy")),"")</f>
        <v>30.64102564</v>
      </c>
      <c r="E7" s="9">
        <f>IF(SUMPRODUCT((Data!$D$2:$D$2277=A7)*(Data!$E$2:$E$2277=C7)*(Data!$M$2:$M$2277="Valerii Zaluzhniy"))&gt;0,SUMPRODUCT((Data!$D$2:$D$2277=A7)*(Data!$E$2:$E$2277=C7)*(Data!$M$2:$M$2277="Valerii Zaluzhniy")*IF(ISNUMBER(Data!$W$2:$W$2277),Data!$W$2:$W$2277,0))/SUMPRODUCT((Data!$D$2:$D$2277=A7)*(Data!$E$2:$E$2277=C7)*(Data!$M$2:$M$2277="Valerii Zaluzhniy")),"")</f>
        <v>21.92307692</v>
      </c>
      <c r="F7" s="9">
        <f>IF(SUMPRODUCT((Data!$D$2:$D$2277=A7)*(Data!$E$2:$E$2277=C7)*(Data!$M$2:$M$2277="Kyrylo Budanov"))&gt;0,SUMPRODUCT((Data!$D$2:$D$2277=A7)*(Data!$E$2:$E$2277=C7)*(Data!$M$2:$M$2277="Kyrylo Budanov")*IF(ISNUMBER(Data!$W$2:$W$2277),Data!$W$2:$W$2277,0))/SUMPRODUCT((Data!$D$2:$D$2277=A7)*(Data!$E$2:$E$2277=C7)*(Data!$M$2:$M$2277="Kyrylo Budanov")),"")</f>
        <v>5.384615385</v>
      </c>
      <c r="G7" s="9">
        <f>IF(SUMPRODUCT((Data!$D$2:$D$2277=A7)*(Data!$E$2:$E$2277=C7)*(Data!$M$2:$M$2277="Pyotr Poroshenko"))&gt;0,SUMPRODUCT((Data!$D$2:$D$2277=A7)*(Data!$E$2:$E$2277=C7)*(Data!$M$2:$M$2277="Pyotr Poroshenko")*IF(ISNUMBER(Data!$W$2:$W$2277),Data!$W$2:$W$2277,0))/SUMPRODUCT((Data!$D$2:$D$2277=A7)*(Data!$E$2:$E$2277=C7)*(Data!$M$2:$M$2277="Pyotr Poroshenko")),"")</f>
        <v>5.512820513</v>
      </c>
      <c r="H7" s="10">
        <f t="array" ref="H7">IFERROR(INDEX(Avg!$F$2:$F$50,MATCH(DATE(YEAR(A7),MONTH(A7),1),Avg!$A$2:$A$50,0)),"")</f>
        <v>27.63764169</v>
      </c>
      <c r="I7" s="10">
        <f t="array" ref="I7">IFERROR(INDEX(Avg!$G$2:$G$50,MATCH(DATE(YEAR(A7),MONTH(A7),1),Avg!$A$2:$A$50,0)),"")</f>
        <v>27.17027899</v>
      </c>
      <c r="J7" s="10">
        <f t="array" ref="J7">IFERROR(INDEX(Avg!$H$2:$H$50,MATCH(DATE(YEAR(A7),MONTH(A7),1),Avg!$A$2:$A$50,0)),"")</f>
        <v>7.986449664</v>
      </c>
      <c r="K7" s="10">
        <f t="array" ref="K7">IFERROR(INDEX(Avg!$I$2:$I$50,MATCH(DATE(YEAR(A7),MONTH(A7),1),Avg!$A$2:$A$50,0)),"")</f>
        <v>9.462293896</v>
      </c>
      <c r="L7" s="11">
        <f t="array" ref="L7">IFERROR(INDEX(Avg!$L$2:$L$50,MATCH(DATE(YEAR(A7),MONTH(A7),1),Avg!$A$2:$A$50,0)),"")</f>
        <v>28.76306084</v>
      </c>
      <c r="M7" s="11">
        <f t="array" ref="M7">IFERROR(INDEX(Avg!$M$2:$M$50,MATCH(DATE(YEAR(A7),MONTH(A7),1),Avg!$A$2:$A$50,0)),"")</f>
        <v>26.76621323</v>
      </c>
      <c r="N7" s="11">
        <f t="array" ref="N7">IFERROR(INDEX(Avg!$N$2:$N$50,MATCH(DATE(YEAR(A7),MONTH(A7),1),Avg!$A$2:$A$50,0)),"")</f>
        <v>7.384477304</v>
      </c>
      <c r="O7" s="11">
        <f t="array" ref="O7">IFERROR(INDEX(Avg!$O$2:$O$50,MATCH(DATE(YEAR(A7),MONTH(A7),1),Avg!$A$2:$A$50,0)),"")</f>
        <v>8.330952716</v>
      </c>
    </row>
    <row r="8" ht="15.75" customHeight="1">
      <c r="A8" s="7" t="s">
        <v>28</v>
      </c>
      <c r="B8" s="7" t="s">
        <v>23</v>
      </c>
      <c r="C8" s="8" t="s">
        <v>17</v>
      </c>
      <c r="D8" s="9">
        <f>IF(SUMPRODUCT((Data!$D$2:$D$2277=A8)*(Data!$E$2:$E$2277=C8)*(Data!$M$2:$M$2277="Vladimir Zelenskiy"))&gt;0,SUMPRODUCT((Data!$D$2:$D$2277=A8)*(Data!$E$2:$E$2277=C8)*(Data!$M$2:$M$2277="Vladimir Zelenskiy")*IF(ISNUMBER(Data!$W$2:$W$2277),Data!$W$2:$W$2277,0))/SUMPRODUCT((Data!$D$2:$D$2277=A8)*(Data!$E$2:$E$2277=C8)*(Data!$M$2:$M$2277="Vladimir Zelenskiy")),"")</f>
        <v>30.6</v>
      </c>
      <c r="E8" s="9">
        <f>IF(SUMPRODUCT((Data!$D$2:$D$2277=A8)*(Data!$E$2:$E$2277=C8)*(Data!$M$2:$M$2277="Valerii Zaluzhniy"))&gt;0,SUMPRODUCT((Data!$D$2:$D$2277=A8)*(Data!$E$2:$E$2277=C8)*(Data!$M$2:$M$2277="Valerii Zaluzhniy")*IF(ISNUMBER(Data!$W$2:$W$2277),Data!$W$2:$W$2277,0))/SUMPRODUCT((Data!$D$2:$D$2277=A8)*(Data!$E$2:$E$2277=C8)*(Data!$M$2:$M$2277="Valerii Zaluzhniy")),"")</f>
        <v>29.6</v>
      </c>
      <c r="F8" s="9">
        <f>IF(SUMPRODUCT((Data!$D$2:$D$2277=A8)*(Data!$E$2:$E$2277=C8)*(Data!$M$2:$M$2277="Kyrylo Budanov"))&gt;0,SUMPRODUCT((Data!$D$2:$D$2277=A8)*(Data!$E$2:$E$2277=C8)*(Data!$M$2:$M$2277="Kyrylo Budanov")*IF(ISNUMBER(Data!$W$2:$W$2277),Data!$W$2:$W$2277,0))/SUMPRODUCT((Data!$D$2:$D$2277=A8)*(Data!$E$2:$E$2277=C8)*(Data!$M$2:$M$2277="Kyrylo Budanov")),"")</f>
        <v>8.1</v>
      </c>
      <c r="G8" s="9">
        <f>IF(SUMPRODUCT((Data!$D$2:$D$2277=A8)*(Data!$E$2:$E$2277=C8)*(Data!$M$2:$M$2277="Pyotr Poroshenko"))&gt;0,SUMPRODUCT((Data!$D$2:$D$2277=A8)*(Data!$E$2:$E$2277=C8)*(Data!$M$2:$M$2277="Pyotr Poroshenko")*IF(ISNUMBER(Data!$W$2:$W$2277),Data!$W$2:$W$2277,0))/SUMPRODUCT((Data!$D$2:$D$2277=A8)*(Data!$E$2:$E$2277=C8)*(Data!$M$2:$M$2277="Pyotr Poroshenko")),"")</f>
        <v>7.2</v>
      </c>
      <c r="H8" s="10">
        <f t="array" ref="H8">IFERROR(INDEX(Avg!$F$2:$F$50,MATCH(DATE(YEAR(A8),MONTH(A8),1),Avg!$A$2:$A$50,0)),"")</f>
        <v>29.22530363</v>
      </c>
      <c r="I8" s="10">
        <f t="array" ref="I8">IFERROR(INDEX(Avg!$G$2:$G$50,MATCH(DATE(YEAR(A8),MONTH(A8),1),Avg!$A$2:$A$50,0)),"")</f>
        <v>26.31934423</v>
      </c>
      <c r="J8" s="10">
        <f t="array" ref="J8">IFERROR(INDEX(Avg!$H$2:$H$50,MATCH(DATE(YEAR(A8),MONTH(A8),1),Avg!$A$2:$A$50,0)),"")</f>
        <v>7.241501329</v>
      </c>
      <c r="K8" s="10">
        <f t="array" ref="K8">IFERROR(INDEX(Avg!$I$2:$I$50,MATCH(DATE(YEAR(A8),MONTH(A8),1),Avg!$A$2:$A$50,0)),"")</f>
        <v>7.34849077</v>
      </c>
      <c r="L8" s="11">
        <f t="array" ref="L8">IFERROR(INDEX(Avg!$L$2:$L$50,MATCH(DATE(YEAR(A8),MONTH(A8),1),Avg!$A$2:$A$50,0)),"")</f>
        <v>30.34064045</v>
      </c>
      <c r="M8" s="11">
        <f t="array" ref="M8">IFERROR(INDEX(Avg!$M$2:$M$50,MATCH(DATE(YEAR(A8),MONTH(A8),1),Avg!$A$2:$A$50,0)),"")</f>
        <v>26.56887297</v>
      </c>
      <c r="N8" s="11">
        <f t="array" ref="N8">IFERROR(INDEX(Avg!$N$2:$N$50,MATCH(DATE(YEAR(A8),MONTH(A8),1),Avg!$A$2:$A$50,0)),"")</f>
        <v>6.629605864</v>
      </c>
      <c r="O8" s="11">
        <f t="array" ref="O8">IFERROR(INDEX(Avg!$O$2:$O$50,MATCH(DATE(YEAR(A8),MONTH(A8),1),Avg!$A$2:$A$50,0)),"")</f>
        <v>7.1756943</v>
      </c>
    </row>
    <row r="9" ht="15.75" customHeight="1">
      <c r="A9" s="7" t="s">
        <v>29</v>
      </c>
      <c r="B9" s="7" t="s">
        <v>23</v>
      </c>
      <c r="C9" s="8" t="s">
        <v>30</v>
      </c>
      <c r="D9" s="9">
        <f>IF(SUMPRODUCT((Data!$D$2:$D$2277=A9)*(Data!$E$2:$E$2277=C9)*(Data!$M$2:$M$2277="Vladimir Zelenskiy"))&gt;0,SUMPRODUCT((Data!$D$2:$D$2277=A9)*(Data!$E$2:$E$2277=C9)*(Data!$M$2:$M$2277="Vladimir Zelenskiy")*IF(ISNUMBER(Data!$W$2:$W$2277),Data!$W$2:$W$2277,0))/SUMPRODUCT((Data!$D$2:$D$2277=A9)*(Data!$E$2:$E$2277=C9)*(Data!$M$2:$M$2277="Vladimir Zelenskiy")),"")</f>
        <v>33.4</v>
      </c>
      <c r="E9" s="9">
        <f>IF(SUMPRODUCT((Data!$D$2:$D$2277=A9)*(Data!$E$2:$E$2277=C9)*(Data!$M$2:$M$2277="Valerii Zaluzhniy"))&gt;0,SUMPRODUCT((Data!$D$2:$D$2277=A9)*(Data!$E$2:$E$2277=C9)*(Data!$M$2:$M$2277="Valerii Zaluzhniy")*IF(ISNUMBER(Data!$W$2:$W$2277),Data!$W$2:$W$2277,0))/SUMPRODUCT((Data!$D$2:$D$2277=A9)*(Data!$E$2:$E$2277=C9)*(Data!$M$2:$M$2277="Valerii Zaluzhniy")),"")</f>
        <v>26</v>
      </c>
      <c r="F9" s="9">
        <f>IF(SUMPRODUCT((Data!$D$2:$D$2277=A9)*(Data!$E$2:$E$2277=C9)*(Data!$M$2:$M$2277="Kyrylo Budanov"))&gt;0,SUMPRODUCT((Data!$D$2:$D$2277=A9)*(Data!$E$2:$E$2277=C9)*(Data!$M$2:$M$2277="Kyrylo Budanov")*IF(ISNUMBER(Data!$W$2:$W$2277),Data!$W$2:$W$2277,0))/SUMPRODUCT((Data!$D$2:$D$2277=A9)*(Data!$E$2:$E$2277=C9)*(Data!$M$2:$M$2277="Kyrylo Budanov")),"")</f>
        <v>4.8</v>
      </c>
      <c r="G9" s="9">
        <f>IF(SUMPRODUCT((Data!$D$2:$D$2277=A9)*(Data!$E$2:$E$2277=C9)*(Data!$M$2:$M$2277="Pyotr Poroshenko"))&gt;0,SUMPRODUCT((Data!$D$2:$D$2277=A9)*(Data!$E$2:$E$2277=C9)*(Data!$M$2:$M$2277="Pyotr Poroshenko")*IF(ISNUMBER(Data!$W$2:$W$2277),Data!$W$2:$W$2277,0))/SUMPRODUCT((Data!$D$2:$D$2277=A9)*(Data!$E$2:$E$2277=C9)*(Data!$M$2:$M$2277="Pyotr Poroshenko")),"")</f>
        <v>9.2</v>
      </c>
      <c r="H9" s="10">
        <f t="array" ref="H9">IFERROR(INDEX(Avg!$F$2:$F$50,MATCH(DATE(YEAR(A9),MONTH(A9),1),Avg!$A$2:$A$50,0)),"")</f>
        <v>29.22530363</v>
      </c>
      <c r="I9" s="10">
        <f t="array" ref="I9">IFERROR(INDEX(Avg!$G$2:$G$50,MATCH(DATE(YEAR(A9),MONTH(A9),1),Avg!$A$2:$A$50,0)),"")</f>
        <v>26.31934423</v>
      </c>
      <c r="J9" s="10">
        <f t="array" ref="J9">IFERROR(INDEX(Avg!$H$2:$H$50,MATCH(DATE(YEAR(A9),MONTH(A9),1),Avg!$A$2:$A$50,0)),"")</f>
        <v>7.241501329</v>
      </c>
      <c r="K9" s="10">
        <f t="array" ref="K9">IFERROR(INDEX(Avg!$I$2:$I$50,MATCH(DATE(YEAR(A9),MONTH(A9),1),Avg!$A$2:$A$50,0)),"")</f>
        <v>7.34849077</v>
      </c>
      <c r="L9" s="11">
        <f t="array" ref="L9">IFERROR(INDEX(Avg!$L$2:$L$50,MATCH(DATE(YEAR(A9),MONTH(A9),1),Avg!$A$2:$A$50,0)),"")</f>
        <v>30.34064045</v>
      </c>
      <c r="M9" s="11">
        <f t="array" ref="M9">IFERROR(INDEX(Avg!$M$2:$M$50,MATCH(DATE(YEAR(A9),MONTH(A9),1),Avg!$A$2:$A$50,0)),"")</f>
        <v>26.56887297</v>
      </c>
      <c r="N9" s="11">
        <f t="array" ref="N9">IFERROR(INDEX(Avg!$N$2:$N$50,MATCH(DATE(YEAR(A9),MONTH(A9),1),Avg!$A$2:$A$50,0)),"")</f>
        <v>6.629605864</v>
      </c>
      <c r="O9" s="11">
        <f t="array" ref="O9">IFERROR(INDEX(Avg!$O$2:$O$50,MATCH(DATE(YEAR(A9),MONTH(A9),1),Avg!$A$2:$A$50,0)),"")</f>
        <v>7.1756943</v>
      </c>
    </row>
    <row r="10" ht="15.75" customHeight="1">
      <c r="A10" s="7" t="s">
        <v>31</v>
      </c>
      <c r="B10" s="7" t="s">
        <v>32</v>
      </c>
      <c r="C10" s="8" t="s">
        <v>27</v>
      </c>
      <c r="D10" s="9">
        <f>IF(SUMPRODUCT((Data!$D$2:$D$2277=A10)*(Data!$E$2:$E$2277=C10)*(Data!$M$2:$M$2277="Vladimir Zelenskiy"))&gt;0,SUMPRODUCT((Data!$D$2:$D$2277=A10)*(Data!$E$2:$E$2277=C10)*(Data!$M$2:$M$2277="Vladimir Zelenskiy")*IF(ISNUMBER(Data!$W$2:$W$2277),Data!$W$2:$W$2277,0))/SUMPRODUCT((Data!$D$2:$D$2277=A10)*(Data!$E$2:$E$2277=C10)*(Data!$M$2:$M$2277="Vladimir Zelenskiy")),"")</f>
        <v>26.02564103</v>
      </c>
      <c r="E10" s="9">
        <f>IF(SUMPRODUCT((Data!$D$2:$D$2277=A10)*(Data!$E$2:$E$2277=C10)*(Data!$M$2:$M$2277="Valerii Zaluzhniy"))&gt;0,SUMPRODUCT((Data!$D$2:$D$2277=A10)*(Data!$E$2:$E$2277=C10)*(Data!$M$2:$M$2277="Valerii Zaluzhniy")*IF(ISNUMBER(Data!$W$2:$W$2277),Data!$W$2:$W$2277,0))/SUMPRODUCT((Data!$D$2:$D$2277=A10)*(Data!$E$2:$E$2277=C10)*(Data!$M$2:$M$2277="Valerii Zaluzhniy")),"")</f>
        <v>24.48717949</v>
      </c>
      <c r="F10" s="9">
        <f>IF(SUMPRODUCT((Data!$D$2:$D$2277=A10)*(Data!$E$2:$E$2277=C10)*(Data!$M$2:$M$2277="Kyrylo Budanov"))&gt;0,SUMPRODUCT((Data!$D$2:$D$2277=A10)*(Data!$E$2:$E$2277=C10)*(Data!$M$2:$M$2277="Kyrylo Budanov")*IF(ISNUMBER(Data!$W$2:$W$2277),Data!$W$2:$W$2277,0))/SUMPRODUCT((Data!$D$2:$D$2277=A10)*(Data!$E$2:$E$2277=C10)*(Data!$M$2:$M$2277="Kyrylo Budanov")),"")</f>
        <v>6.538461538</v>
      </c>
      <c r="G10" s="9">
        <f>IF(SUMPRODUCT((Data!$D$2:$D$2277=A10)*(Data!$E$2:$E$2277=C10)*(Data!$M$2:$M$2277="Pyotr Poroshenko"))&gt;0,SUMPRODUCT((Data!$D$2:$D$2277=A10)*(Data!$E$2:$E$2277=C10)*(Data!$M$2:$M$2277="Pyotr Poroshenko")*IF(ISNUMBER(Data!$W$2:$W$2277),Data!$W$2:$W$2277,0))/SUMPRODUCT((Data!$D$2:$D$2277=A10)*(Data!$E$2:$E$2277=C10)*(Data!$M$2:$M$2277="Pyotr Poroshenko")),"")</f>
        <v>5.897435897</v>
      </c>
      <c r="H10" s="10">
        <f t="array" ref="H10">IFERROR(INDEX(Avg!$F$2:$F$50,MATCH(DATE(YEAR(A10),MONTH(A10),1),Avg!$A$2:$A$50,0)),"")</f>
        <v>29.22530363</v>
      </c>
      <c r="I10" s="10">
        <f t="array" ref="I10">IFERROR(INDEX(Avg!$G$2:$G$50,MATCH(DATE(YEAR(A10),MONTH(A10),1),Avg!$A$2:$A$50,0)),"")</f>
        <v>26.31934423</v>
      </c>
      <c r="J10" s="10">
        <f t="array" ref="J10">IFERROR(INDEX(Avg!$H$2:$H$50,MATCH(DATE(YEAR(A10),MONTH(A10),1),Avg!$A$2:$A$50,0)),"")</f>
        <v>7.241501329</v>
      </c>
      <c r="K10" s="10">
        <f t="array" ref="K10">IFERROR(INDEX(Avg!$I$2:$I$50,MATCH(DATE(YEAR(A10),MONTH(A10),1),Avg!$A$2:$A$50,0)),"")</f>
        <v>7.34849077</v>
      </c>
      <c r="L10" s="11">
        <f t="array" ref="L10">IFERROR(INDEX(Avg!$L$2:$L$50,MATCH(DATE(YEAR(A10),MONTH(A10),1),Avg!$A$2:$A$50,0)),"")</f>
        <v>30.34064045</v>
      </c>
      <c r="M10" s="11">
        <f t="array" ref="M10">IFERROR(INDEX(Avg!$M$2:$M$50,MATCH(DATE(YEAR(A10),MONTH(A10),1),Avg!$A$2:$A$50,0)),"")</f>
        <v>26.56887297</v>
      </c>
      <c r="N10" s="11">
        <f t="array" ref="N10">IFERROR(INDEX(Avg!$N$2:$N$50,MATCH(DATE(YEAR(A10),MONTH(A10),1),Avg!$A$2:$A$50,0)),"")</f>
        <v>6.629605864</v>
      </c>
      <c r="O10" s="11">
        <f t="array" ref="O10">IFERROR(INDEX(Avg!$O$2:$O$50,MATCH(DATE(YEAR(A10),MONTH(A10),1),Avg!$A$2:$A$50,0)),"")</f>
        <v>7.1756943</v>
      </c>
    </row>
    <row r="11" ht="15.75" customHeight="1">
      <c r="A11" s="7" t="s">
        <v>32</v>
      </c>
      <c r="B11" s="7" t="s">
        <v>33</v>
      </c>
      <c r="C11" s="8" t="s">
        <v>27</v>
      </c>
      <c r="D11" s="9">
        <f>IF(SUMPRODUCT((Data!$D$2:$D$2277=A11)*(Data!$E$2:$E$2277=C11)*(Data!$M$2:$M$2277="Vladimir Zelenskiy"))&gt;0,SUMPRODUCT((Data!$D$2:$D$2277=A11)*(Data!$E$2:$E$2277=C11)*(Data!$M$2:$M$2277="Vladimir Zelenskiy")*IF(ISNUMBER(Data!$W$2:$W$2277),Data!$W$2:$W$2277,0))/SUMPRODUCT((Data!$D$2:$D$2277=A11)*(Data!$E$2:$E$2277=C11)*(Data!$M$2:$M$2277="Vladimir Zelenskiy")),"")</f>
        <v>31.15384615</v>
      </c>
      <c r="E11" s="9">
        <f>IF(SUMPRODUCT((Data!$D$2:$D$2277=A11)*(Data!$E$2:$E$2277=C11)*(Data!$M$2:$M$2277="Valerii Zaluzhniy"))&gt;0,SUMPRODUCT((Data!$D$2:$D$2277=A11)*(Data!$E$2:$E$2277=C11)*(Data!$M$2:$M$2277="Valerii Zaluzhniy")*IF(ISNUMBER(Data!$W$2:$W$2277),Data!$W$2:$W$2277,0))/SUMPRODUCT((Data!$D$2:$D$2277=A11)*(Data!$E$2:$E$2277=C11)*(Data!$M$2:$M$2277="Valerii Zaluzhniy")),"")</f>
        <v>21.02564103</v>
      </c>
      <c r="F11" s="9">
        <f>IF(SUMPRODUCT((Data!$D$2:$D$2277=A11)*(Data!$E$2:$E$2277=C11)*(Data!$M$2:$M$2277="Kyrylo Budanov"))&gt;0,SUMPRODUCT((Data!$D$2:$D$2277=A11)*(Data!$E$2:$E$2277=C11)*(Data!$M$2:$M$2277="Kyrylo Budanov")*IF(ISNUMBER(Data!$W$2:$W$2277),Data!$W$2:$W$2277,0))/SUMPRODUCT((Data!$D$2:$D$2277=A11)*(Data!$E$2:$E$2277=C11)*(Data!$M$2:$M$2277="Kyrylo Budanov")),"")</f>
        <v>6.025641026</v>
      </c>
      <c r="G11" s="9">
        <f>IF(SUMPRODUCT((Data!$D$2:$D$2277=A11)*(Data!$E$2:$E$2277=C11)*(Data!$M$2:$M$2277="Pyotr Poroshenko"))&gt;0,SUMPRODUCT((Data!$D$2:$D$2277=A11)*(Data!$E$2:$E$2277=C11)*(Data!$M$2:$M$2277="Pyotr Poroshenko")*IF(ISNUMBER(Data!$W$2:$W$2277),Data!$W$2:$W$2277,0))/SUMPRODUCT((Data!$D$2:$D$2277=A11)*(Data!$E$2:$E$2277=C11)*(Data!$M$2:$M$2277="Pyotr Poroshenko")),"")</f>
        <v>5.897435897</v>
      </c>
      <c r="H11" s="10">
        <f t="array" ref="H11">IFERROR(INDEX(Avg!$F$2:$F$50,MATCH(DATE(YEAR(A11),MONTH(A11),1),Avg!$A$2:$A$50,0)),"")</f>
        <v>31.21483269</v>
      </c>
      <c r="I11" s="10">
        <f t="array" ref="I11">IFERROR(INDEX(Avg!$G$2:$G$50,MATCH(DATE(YEAR(A11),MONTH(A11),1),Avg!$A$2:$A$50,0)),"")</f>
        <v>26.44775393</v>
      </c>
      <c r="J11" s="10">
        <f t="array" ref="J11">IFERROR(INDEX(Avg!$H$2:$H$50,MATCH(DATE(YEAR(A11),MONTH(A11),1),Avg!$A$2:$A$50,0)),"")</f>
        <v>5.864512174</v>
      </c>
      <c r="K11" s="10">
        <f t="array" ref="K11">IFERROR(INDEX(Avg!$I$2:$I$50,MATCH(DATE(YEAR(A11),MONTH(A11),1),Avg!$A$2:$A$50,0)),"")</f>
        <v>6.901853067</v>
      </c>
      <c r="L11" s="11">
        <f t="array" ref="L11">IFERROR(INDEX(Avg!$L$2:$L$50,MATCH(DATE(YEAR(A11),MONTH(A11),1),Avg!$A$2:$A$50,0)),"")</f>
        <v>32.5607069</v>
      </c>
      <c r="M11" s="11">
        <f t="array" ref="M11">IFERROR(INDEX(Avg!$M$2:$M$50,MATCH(DATE(YEAR(A11),MONTH(A11),1),Avg!$A$2:$A$50,0)),"")</f>
        <v>27.48246868</v>
      </c>
      <c r="N11" s="11">
        <f t="array" ref="N11">IFERROR(INDEX(Avg!$N$2:$N$50,MATCH(DATE(YEAR(A11),MONTH(A11),1),Avg!$A$2:$A$50,0)),"")</f>
        <v>5.946286658</v>
      </c>
      <c r="O11" s="11">
        <f t="array" ref="O11">IFERROR(INDEX(Avg!$O$2:$O$50,MATCH(DATE(YEAR(A11),MONTH(A11),1),Avg!$A$2:$A$50,0)),"")</f>
        <v>7.041998327</v>
      </c>
    </row>
    <row r="12" ht="15.75" customHeight="1">
      <c r="A12" s="7" t="s">
        <v>34</v>
      </c>
      <c r="B12" s="7" t="s">
        <v>33</v>
      </c>
      <c r="C12" s="8" t="s">
        <v>17</v>
      </c>
      <c r="D12" s="9">
        <f>IF(SUMPRODUCT((Data!$D$2:$D$2277=A12)*(Data!$E$2:$E$2277=C12)*(Data!$M$2:$M$2277="Vladimir Zelenskiy"))&gt;0,SUMPRODUCT((Data!$D$2:$D$2277=A12)*(Data!$E$2:$E$2277=C12)*(Data!$M$2:$M$2277="Vladimir Zelenskiy")*IF(ISNUMBER(Data!$W$2:$W$2277),Data!$W$2:$W$2277,0))/SUMPRODUCT((Data!$D$2:$D$2277=A12)*(Data!$E$2:$E$2277=C12)*(Data!$M$2:$M$2277="Vladimir Zelenskiy")),"")</f>
        <v>30.1</v>
      </c>
      <c r="E12" s="9">
        <f>IF(SUMPRODUCT((Data!$D$2:$D$2277=A12)*(Data!$E$2:$E$2277=C12)*(Data!$M$2:$M$2277="Valerii Zaluzhniy"))&gt;0,SUMPRODUCT((Data!$D$2:$D$2277=A12)*(Data!$E$2:$E$2277=C12)*(Data!$M$2:$M$2277="Valerii Zaluzhniy")*IF(ISNUMBER(Data!$W$2:$W$2277),Data!$W$2:$W$2277,0))/SUMPRODUCT((Data!$D$2:$D$2277=A12)*(Data!$E$2:$E$2277=C12)*(Data!$M$2:$M$2277="Valerii Zaluzhniy")),"")</f>
        <v>28.9</v>
      </c>
      <c r="F12" s="9">
        <f>IF(SUMPRODUCT((Data!$D$2:$D$2277=A12)*(Data!$E$2:$E$2277=C12)*(Data!$M$2:$M$2277="Kyrylo Budanov"))&gt;0,SUMPRODUCT((Data!$D$2:$D$2277=A12)*(Data!$E$2:$E$2277=C12)*(Data!$M$2:$M$2277="Kyrylo Budanov")*IF(ISNUMBER(Data!$W$2:$W$2277),Data!$W$2:$W$2277,0))/SUMPRODUCT((Data!$D$2:$D$2277=A12)*(Data!$E$2:$E$2277=C12)*(Data!$M$2:$M$2277="Kyrylo Budanov")),"")</f>
        <v>5</v>
      </c>
      <c r="G12" s="9">
        <f>IF(SUMPRODUCT((Data!$D$2:$D$2277=A12)*(Data!$E$2:$E$2277=C12)*(Data!$M$2:$M$2277="Pyotr Poroshenko"))&gt;0,SUMPRODUCT((Data!$D$2:$D$2277=A12)*(Data!$E$2:$E$2277=C12)*(Data!$M$2:$M$2277="Pyotr Poroshenko")*IF(ISNUMBER(Data!$W$2:$W$2277),Data!$W$2:$W$2277,0))/SUMPRODUCT((Data!$D$2:$D$2277=A12)*(Data!$E$2:$E$2277=C12)*(Data!$M$2:$M$2277="Pyotr Poroshenko")),"")</f>
        <v>7.2</v>
      </c>
      <c r="H12" s="10">
        <f t="array" ref="H12">IFERROR(INDEX(Avg!$F$2:$F$50,MATCH(DATE(YEAR(A12),MONTH(A12),1),Avg!$A$2:$A$50,0)),"")</f>
        <v>31.21483269</v>
      </c>
      <c r="I12" s="10">
        <f t="array" ref="I12">IFERROR(INDEX(Avg!$G$2:$G$50,MATCH(DATE(YEAR(A12),MONTH(A12),1),Avg!$A$2:$A$50,0)),"")</f>
        <v>26.44775393</v>
      </c>
      <c r="J12" s="10">
        <f t="array" ref="J12">IFERROR(INDEX(Avg!$H$2:$H$50,MATCH(DATE(YEAR(A12),MONTH(A12),1),Avg!$A$2:$A$50,0)),"")</f>
        <v>5.864512174</v>
      </c>
      <c r="K12" s="10">
        <f t="array" ref="K12">IFERROR(INDEX(Avg!$I$2:$I$50,MATCH(DATE(YEAR(A12),MONTH(A12),1),Avg!$A$2:$A$50,0)),"")</f>
        <v>6.901853067</v>
      </c>
      <c r="L12" s="11">
        <f t="array" ref="L12">IFERROR(INDEX(Avg!$L$2:$L$50,MATCH(DATE(YEAR(A12),MONTH(A12),1),Avg!$A$2:$A$50,0)),"")</f>
        <v>32.5607069</v>
      </c>
      <c r="M12" s="11">
        <f t="array" ref="M12">IFERROR(INDEX(Avg!$M$2:$M$50,MATCH(DATE(YEAR(A12),MONTH(A12),1),Avg!$A$2:$A$50,0)),"")</f>
        <v>27.48246868</v>
      </c>
      <c r="N12" s="11">
        <f t="array" ref="N12">IFERROR(INDEX(Avg!$N$2:$N$50,MATCH(DATE(YEAR(A12),MONTH(A12),1),Avg!$A$2:$A$50,0)),"")</f>
        <v>5.946286658</v>
      </c>
      <c r="O12" s="11">
        <f t="array" ref="O12">IFERROR(INDEX(Avg!$O$2:$O$50,MATCH(DATE(YEAR(A12),MONTH(A12),1),Avg!$A$2:$A$50,0)),"")</f>
        <v>7.041998327</v>
      </c>
    </row>
    <row r="13" ht="15.75" customHeight="1">
      <c r="A13" s="7" t="s">
        <v>35</v>
      </c>
      <c r="B13" s="7" t="s">
        <v>33</v>
      </c>
      <c r="C13" s="8" t="s">
        <v>36</v>
      </c>
      <c r="D13" s="9">
        <f>IF(SUMPRODUCT((Data!$D$2:$D$2277=A13)*(Data!$E$2:$E$2277=C13)*(Data!$M$2:$M$2277="Vladimir Zelenskiy"))&gt;0,SUMPRODUCT((Data!$D$2:$D$2277=A13)*(Data!$E$2:$E$2277=C13)*(Data!$M$2:$M$2277="Vladimir Zelenskiy")*IF(ISNUMBER(Data!$W$2:$W$2277),Data!$W$2:$W$2277,0))/SUMPRODUCT((Data!$D$2:$D$2277=A13)*(Data!$E$2:$E$2277=C13)*(Data!$M$2:$M$2277="Vladimir Zelenskiy")),"")</f>
        <v>30.3</v>
      </c>
      <c r="E13" s="9">
        <f>IF(SUMPRODUCT((Data!$D$2:$D$2277=A13)*(Data!$E$2:$E$2277=C13)*(Data!$M$2:$M$2277="Valerii Zaluzhniy"))&gt;0,SUMPRODUCT((Data!$D$2:$D$2277=A13)*(Data!$E$2:$E$2277=C13)*(Data!$M$2:$M$2277="Valerii Zaluzhniy")*IF(ISNUMBER(Data!$W$2:$W$2277),Data!$W$2:$W$2277,0))/SUMPRODUCT((Data!$D$2:$D$2277=A13)*(Data!$E$2:$E$2277=C13)*(Data!$M$2:$M$2277="Valerii Zaluzhniy")),"")</f>
        <v>28.5</v>
      </c>
      <c r="F13" s="9">
        <f>IF(SUMPRODUCT((Data!$D$2:$D$2277=A13)*(Data!$E$2:$E$2277=C13)*(Data!$M$2:$M$2277="Kyrylo Budanov"))&gt;0,SUMPRODUCT((Data!$D$2:$D$2277=A13)*(Data!$E$2:$E$2277=C13)*(Data!$M$2:$M$2277="Kyrylo Budanov")*IF(ISNUMBER(Data!$W$2:$W$2277),Data!$W$2:$W$2277,0))/SUMPRODUCT((Data!$D$2:$D$2277=A13)*(Data!$E$2:$E$2277=C13)*(Data!$M$2:$M$2277="Kyrylo Budanov")),"")</f>
        <v>10.1</v>
      </c>
      <c r="G13" s="9">
        <f>IF(SUMPRODUCT((Data!$D$2:$D$2277=A13)*(Data!$E$2:$E$2277=C13)*(Data!$M$2:$M$2277="Pyotr Poroshenko"))&gt;0,SUMPRODUCT((Data!$D$2:$D$2277=A13)*(Data!$E$2:$E$2277=C13)*(Data!$M$2:$M$2277="Pyotr Poroshenko")*IF(ISNUMBER(Data!$W$2:$W$2277),Data!$W$2:$W$2277,0))/SUMPRODUCT((Data!$D$2:$D$2277=A13)*(Data!$E$2:$E$2277=C13)*(Data!$M$2:$M$2277="Pyotr Poroshenko")),"")</f>
        <v>7.6</v>
      </c>
      <c r="H13" s="10">
        <f t="array" ref="H13">IFERROR(INDEX(Avg!$F$2:$F$50,MATCH(DATE(YEAR(A13),MONTH(A13),1),Avg!$A$2:$A$50,0)),"")</f>
        <v>31.93826642</v>
      </c>
      <c r="I13" s="10">
        <f t="array" ref="I13">IFERROR(INDEX(Avg!$G$2:$G$50,MATCH(DATE(YEAR(A13),MONTH(A13),1),Avg!$A$2:$A$50,0)),"")</f>
        <v>27.55969728</v>
      </c>
      <c r="J13" s="10">
        <f t="array" ref="J13">IFERROR(INDEX(Avg!$H$2:$H$50,MATCH(DATE(YEAR(A13),MONTH(A13),1),Avg!$A$2:$A$50,0)),"")</f>
        <v>6.324106845</v>
      </c>
      <c r="K13" s="10">
        <f t="array" ref="K13">IFERROR(INDEX(Avg!$I$2:$I$50,MATCH(DATE(YEAR(A13),MONTH(A13),1),Avg!$A$2:$A$50,0)),"")</f>
        <v>7.204987355</v>
      </c>
      <c r="L13" s="11">
        <f t="array" ref="L13">IFERROR(INDEX(Avg!$L$2:$L$50,MATCH(DATE(YEAR(A13),MONTH(A13),1),Avg!$A$2:$A$50,0)),"")</f>
        <v>34.89073845</v>
      </c>
      <c r="M13" s="11">
        <f t="array" ref="M13">IFERROR(INDEX(Avg!$M$2:$M$50,MATCH(DATE(YEAR(A13),MONTH(A13),1),Avg!$A$2:$A$50,0)),"")</f>
        <v>28.99592652</v>
      </c>
      <c r="N13" s="11">
        <f t="array" ref="N13">IFERROR(INDEX(Avg!$N$2:$N$50,MATCH(DATE(YEAR(A13),MONTH(A13),1),Avg!$A$2:$A$50,0)),"")</f>
        <v>5.880038291</v>
      </c>
      <c r="O13" s="11">
        <f t="array" ref="O13">IFERROR(INDEX(Avg!$O$2:$O$50,MATCH(DATE(YEAR(A13),MONTH(A13),1),Avg!$A$2:$A$50,0)),"")</f>
        <v>7.170721703</v>
      </c>
    </row>
    <row r="14" ht="15.75" customHeight="1">
      <c r="A14" s="7" t="s">
        <v>33</v>
      </c>
      <c r="B14" s="7" t="s">
        <v>37</v>
      </c>
      <c r="C14" s="8" t="s">
        <v>17</v>
      </c>
      <c r="D14" s="9">
        <f>IF(SUMPRODUCT((Data!$D$2:$D$2277=A14)*(Data!$E$2:$E$2277=C14)*(Data!$M$2:$M$2277="Vladimir Zelenskiy"))&gt;0,SUMPRODUCT((Data!$D$2:$D$2277=A14)*(Data!$E$2:$E$2277=C14)*(Data!$M$2:$M$2277="Vladimir Zelenskiy")*IF(ISNUMBER(Data!$W$2:$W$2277),Data!$W$2:$W$2277,0))/SUMPRODUCT((Data!$D$2:$D$2277=A14)*(Data!$E$2:$E$2277=C14)*(Data!$M$2:$M$2277="Vladimir Zelenskiy")),"")</f>
        <v>27.17948718</v>
      </c>
      <c r="E14" s="9">
        <f>IF(SUMPRODUCT((Data!$D$2:$D$2277=A14)*(Data!$E$2:$E$2277=C14)*(Data!$M$2:$M$2277="Valerii Zaluzhniy"))&gt;0,SUMPRODUCT((Data!$D$2:$D$2277=A14)*(Data!$E$2:$E$2277=C14)*(Data!$M$2:$M$2277="Valerii Zaluzhniy")*IF(ISNUMBER(Data!$W$2:$W$2277),Data!$W$2:$W$2277,0))/SUMPRODUCT((Data!$D$2:$D$2277=A14)*(Data!$E$2:$E$2277=C14)*(Data!$M$2:$M$2277="Valerii Zaluzhniy")),"")</f>
        <v>24.87179487</v>
      </c>
      <c r="F14" s="9">
        <f>IF(SUMPRODUCT((Data!$D$2:$D$2277=A14)*(Data!$E$2:$E$2277=C14)*(Data!$M$2:$M$2277="Kyrylo Budanov"))&gt;0,SUMPRODUCT((Data!$D$2:$D$2277=A14)*(Data!$E$2:$E$2277=C14)*(Data!$M$2:$M$2277="Kyrylo Budanov")*IF(ISNUMBER(Data!$W$2:$W$2277),Data!$W$2:$W$2277,0))/SUMPRODUCT((Data!$D$2:$D$2277=A14)*(Data!$E$2:$E$2277=C14)*(Data!$M$2:$M$2277="Kyrylo Budanov")),"")</f>
        <v>6.282051282</v>
      </c>
      <c r="G14" s="9">
        <f>IF(SUMPRODUCT((Data!$D$2:$D$2277=A14)*(Data!$E$2:$E$2277=C14)*(Data!$M$2:$M$2277="Pyotr Poroshenko"))&gt;0,SUMPRODUCT((Data!$D$2:$D$2277=A14)*(Data!$E$2:$E$2277=C14)*(Data!$M$2:$M$2277="Pyotr Poroshenko")*IF(ISNUMBER(Data!$W$2:$W$2277),Data!$W$2:$W$2277,0))/SUMPRODUCT((Data!$D$2:$D$2277=A14)*(Data!$E$2:$E$2277=C14)*(Data!$M$2:$M$2277="Pyotr Poroshenko")),"")</f>
        <v>7.179487179</v>
      </c>
      <c r="H14" s="10">
        <f t="array" ref="H14">IFERROR(INDEX(Avg!$F$2:$F$50,MATCH(DATE(YEAR(A14),MONTH(A14),1),Avg!$A$2:$A$50,0)),"")</f>
        <v>31.93826642</v>
      </c>
      <c r="I14" s="10">
        <f t="array" ref="I14">IFERROR(INDEX(Avg!$G$2:$G$50,MATCH(DATE(YEAR(A14),MONTH(A14),1),Avg!$A$2:$A$50,0)),"")</f>
        <v>27.55969728</v>
      </c>
      <c r="J14" s="10">
        <f t="array" ref="J14">IFERROR(INDEX(Avg!$H$2:$H$50,MATCH(DATE(YEAR(A14),MONTH(A14),1),Avg!$A$2:$A$50,0)),"")</f>
        <v>6.324106845</v>
      </c>
      <c r="K14" s="10">
        <f t="array" ref="K14">IFERROR(INDEX(Avg!$I$2:$I$50,MATCH(DATE(YEAR(A14),MONTH(A14),1),Avg!$A$2:$A$50,0)),"")</f>
        <v>7.204987355</v>
      </c>
      <c r="L14" s="11">
        <f t="array" ref="L14">IFERROR(INDEX(Avg!$L$2:$L$50,MATCH(DATE(YEAR(A14),MONTH(A14),1),Avg!$A$2:$A$50,0)),"")</f>
        <v>34.89073845</v>
      </c>
      <c r="M14" s="11">
        <f t="array" ref="M14">IFERROR(INDEX(Avg!$M$2:$M$50,MATCH(DATE(YEAR(A14),MONTH(A14),1),Avg!$A$2:$A$50,0)),"")</f>
        <v>28.99592652</v>
      </c>
      <c r="N14" s="11">
        <f t="array" ref="N14">IFERROR(INDEX(Avg!$N$2:$N$50,MATCH(DATE(YEAR(A14),MONTH(A14),1),Avg!$A$2:$A$50,0)),"")</f>
        <v>5.880038291</v>
      </c>
      <c r="O14" s="11">
        <f t="array" ref="O14">IFERROR(INDEX(Avg!$O$2:$O$50,MATCH(DATE(YEAR(A14),MONTH(A14),1),Avg!$A$2:$A$50,0)),"")</f>
        <v>7.170721703</v>
      </c>
    </row>
    <row r="15" ht="15.75" customHeight="1">
      <c r="A15" s="7" t="s">
        <v>38</v>
      </c>
      <c r="B15" s="7" t="s">
        <v>39</v>
      </c>
      <c r="C15" s="8" t="s">
        <v>40</v>
      </c>
      <c r="D15" s="9">
        <f>IF(SUMPRODUCT((Data!$D$2:$D$2277=A15)*(Data!$E$2:$E$2277=C15)*(Data!$M$2:$M$2277="Vladimir Zelenskiy"))&gt;0,SUMPRODUCT((Data!$D$2:$D$2277=A15)*(Data!$E$2:$E$2277=C15)*(Data!$M$2:$M$2277="Vladimir Zelenskiy")*IF(ISNUMBER(Data!$W$2:$W$2277),Data!$W$2:$W$2277,0))/SUMPRODUCT((Data!$D$2:$D$2277=A15)*(Data!$E$2:$E$2277=C15)*(Data!$M$2:$M$2277="Vladimir Zelenskiy")),"")</f>
        <v>45.12820513</v>
      </c>
      <c r="E15" s="9">
        <f>IF(SUMPRODUCT((Data!$D$2:$D$2277=A15)*(Data!$E$2:$E$2277=C15)*(Data!$M$2:$M$2277="Valerii Zaluzhniy"))&gt;0,SUMPRODUCT((Data!$D$2:$D$2277=A15)*(Data!$E$2:$E$2277=C15)*(Data!$M$2:$M$2277="Valerii Zaluzhniy")*IF(ISNUMBER(Data!$W$2:$W$2277),Data!$W$2:$W$2277,0))/SUMPRODUCT((Data!$D$2:$D$2277=A15)*(Data!$E$2:$E$2277=C15)*(Data!$M$2:$M$2277="Valerii Zaluzhniy")),"")</f>
        <v>32.43589744</v>
      </c>
      <c r="F15" s="9">
        <f>IF(SUMPRODUCT((Data!$D$2:$D$2277=A15)*(Data!$E$2:$E$2277=C15)*(Data!$M$2:$M$2277="Kyrylo Budanov"))&gt;0,SUMPRODUCT((Data!$D$2:$D$2277=A15)*(Data!$E$2:$E$2277=C15)*(Data!$M$2:$M$2277="Kyrylo Budanov")*IF(ISNUMBER(Data!$W$2:$W$2277),Data!$W$2:$W$2277,0))/SUMPRODUCT((Data!$D$2:$D$2277=A15)*(Data!$E$2:$E$2277=C15)*(Data!$M$2:$M$2277="Kyrylo Budanov")),"")</f>
        <v>5.769230769</v>
      </c>
      <c r="G15" s="9">
        <f>IF(SUMPRODUCT((Data!$D$2:$D$2277=A15)*(Data!$E$2:$E$2277=C15)*(Data!$M$2:$M$2277="Pyotr Poroshenko"))&gt;0,SUMPRODUCT((Data!$D$2:$D$2277=A15)*(Data!$E$2:$E$2277=C15)*(Data!$M$2:$M$2277="Pyotr Poroshenko")*IF(ISNUMBER(Data!$W$2:$W$2277),Data!$W$2:$W$2277,0))/SUMPRODUCT((Data!$D$2:$D$2277=A15)*(Data!$E$2:$E$2277=C15)*(Data!$M$2:$M$2277="Pyotr Poroshenko")),"")</f>
        <v>6.794871795</v>
      </c>
      <c r="H15" s="10">
        <f t="array" ref="H15">IFERROR(INDEX(Avg!$F$2:$F$50,MATCH(DATE(YEAR(A15),MONTH(A15),1),Avg!$A$2:$A$50,0)),"")</f>
        <v>37.84321048</v>
      </c>
      <c r="I15" s="10">
        <f t="array" ref="I15">IFERROR(INDEX(Avg!$G$2:$G$50,MATCH(DATE(YEAR(A15),MONTH(A15),1),Avg!$A$2:$A$50,0)),"")</f>
        <v>30.43215576</v>
      </c>
      <c r="J15" s="10">
        <f t="array" ref="J15">IFERROR(INDEX(Avg!$H$2:$H$50,MATCH(DATE(YEAR(A15),MONTH(A15),1),Avg!$A$2:$A$50,0)),"")</f>
        <v>5.435969737</v>
      </c>
      <c r="K15" s="10">
        <f t="array" ref="K15">IFERROR(INDEX(Avg!$I$2:$I$50,MATCH(DATE(YEAR(A15),MONTH(A15),1),Avg!$A$2:$A$50,0)),"")</f>
        <v>7.136456052</v>
      </c>
      <c r="L15" s="11">
        <f t="array" ref="L15">IFERROR(INDEX(Avg!$L$2:$L$50,MATCH(DATE(YEAR(A15),MONTH(A15),1),Avg!$A$2:$A$50,0)),"")</f>
        <v>34.00807728</v>
      </c>
      <c r="M15" s="11">
        <f t="array" ref="M15">IFERROR(INDEX(Avg!$M$2:$M$50,MATCH(DATE(YEAR(A15),MONTH(A15),1),Avg!$A$2:$A$50,0)),"")</f>
        <v>28.76831532</v>
      </c>
      <c r="N15" s="11">
        <f t="array" ref="N15">IFERROR(INDEX(Avg!$N$2:$N$50,MATCH(DATE(YEAR(A15),MONTH(A15),1),Avg!$A$2:$A$50,0)),"")</f>
        <v>4.76766755</v>
      </c>
      <c r="O15" s="11">
        <f t="array" ref="O15">IFERROR(INDEX(Avg!$O$2:$O$50,MATCH(DATE(YEAR(A15),MONTH(A15),1),Avg!$A$2:$A$50,0)),"")</f>
        <v>6.958053285</v>
      </c>
    </row>
    <row r="16" ht="15.75" customHeight="1">
      <c r="A16" s="7" t="s">
        <v>41</v>
      </c>
      <c r="B16" s="7" t="s">
        <v>42</v>
      </c>
      <c r="C16" s="8" t="s">
        <v>43</v>
      </c>
      <c r="D16" s="9">
        <f>IF(SUMPRODUCT((Data!$D$2:$D$2277=A16)*(Data!$E$2:$E$2277=C16)*(Data!$M$2:$M$2277="Vladimir Zelenskiy"))&gt;0,SUMPRODUCT((Data!$D$2:$D$2277=A16)*(Data!$E$2:$E$2277=C16)*(Data!$M$2:$M$2277="Vladimir Zelenskiy")*IF(ISNUMBER(Data!$W$2:$W$2277),Data!$W$2:$W$2277,0))/SUMPRODUCT((Data!$D$2:$D$2277=A16)*(Data!$E$2:$E$2277=C16)*(Data!$M$2:$M$2277="Vladimir Zelenskiy")),"")</f>
        <v>39.74358974</v>
      </c>
      <c r="E16" s="9">
        <f>IF(SUMPRODUCT((Data!$D$2:$D$2277=A16)*(Data!$E$2:$E$2277=C16)*(Data!$M$2:$M$2277="Valerii Zaluzhniy"))&gt;0,SUMPRODUCT((Data!$D$2:$D$2277=A16)*(Data!$E$2:$E$2277=C16)*(Data!$M$2:$M$2277="Valerii Zaluzhniy")*IF(ISNUMBER(Data!$W$2:$W$2277),Data!$W$2:$W$2277,0))/SUMPRODUCT((Data!$D$2:$D$2277=A16)*(Data!$E$2:$E$2277=C16)*(Data!$M$2:$M$2277="Valerii Zaluzhniy")),"")</f>
        <v>32.05128205</v>
      </c>
      <c r="F16" s="9">
        <f>IF(SUMPRODUCT((Data!$D$2:$D$2277=A16)*(Data!$E$2:$E$2277=C16)*(Data!$M$2:$M$2277="Kyrylo Budanov"))&gt;0,SUMPRODUCT((Data!$D$2:$D$2277=A16)*(Data!$E$2:$E$2277=C16)*(Data!$M$2:$M$2277="Kyrylo Budanov")*IF(ISNUMBER(Data!$W$2:$W$2277),Data!$W$2:$W$2277,0))/SUMPRODUCT((Data!$D$2:$D$2277=A16)*(Data!$E$2:$E$2277=C16)*(Data!$M$2:$M$2277="Kyrylo Budanov")),"")</f>
        <v>6.41025641</v>
      </c>
      <c r="G16" s="9">
        <f>IF(SUMPRODUCT((Data!$D$2:$D$2277=A16)*(Data!$E$2:$E$2277=C16)*(Data!$M$2:$M$2277="Pyotr Poroshenko"))&gt;0,SUMPRODUCT((Data!$D$2:$D$2277=A16)*(Data!$E$2:$E$2277=C16)*(Data!$M$2:$M$2277="Pyotr Poroshenko")*IF(ISNUMBER(Data!$W$2:$W$2277),Data!$W$2:$W$2277,0))/SUMPRODUCT((Data!$D$2:$D$2277=A16)*(Data!$E$2:$E$2277=C16)*(Data!$M$2:$M$2277="Pyotr Poroshenko")),"")</f>
        <v>7.692307692</v>
      </c>
      <c r="H16" s="10">
        <f t="array" ref="H16">IFERROR(INDEX(Avg!$F$2:$F$50,MATCH(DATE(YEAR(A16),MONTH(A16),1),Avg!$A$2:$A$50,0)),"")</f>
        <v>37.84321048</v>
      </c>
      <c r="I16" s="10">
        <f t="array" ref="I16">IFERROR(INDEX(Avg!$G$2:$G$50,MATCH(DATE(YEAR(A16),MONTH(A16),1),Avg!$A$2:$A$50,0)),"")</f>
        <v>30.43215576</v>
      </c>
      <c r="J16" s="10">
        <f t="array" ref="J16">IFERROR(INDEX(Avg!$H$2:$H$50,MATCH(DATE(YEAR(A16),MONTH(A16),1),Avg!$A$2:$A$50,0)),"")</f>
        <v>5.435969737</v>
      </c>
      <c r="K16" s="10">
        <f t="array" ref="K16">IFERROR(INDEX(Avg!$I$2:$I$50,MATCH(DATE(YEAR(A16),MONTH(A16),1),Avg!$A$2:$A$50,0)),"")</f>
        <v>7.136456052</v>
      </c>
      <c r="L16" s="11">
        <f t="array" ref="L16">IFERROR(INDEX(Avg!$L$2:$L$50,MATCH(DATE(YEAR(A16),MONTH(A16),1),Avg!$A$2:$A$50,0)),"")</f>
        <v>34.00807728</v>
      </c>
      <c r="M16" s="11">
        <f t="array" ref="M16">IFERROR(INDEX(Avg!$M$2:$M$50,MATCH(DATE(YEAR(A16),MONTH(A16),1),Avg!$A$2:$A$50,0)),"")</f>
        <v>28.76831532</v>
      </c>
      <c r="N16" s="11">
        <f t="array" ref="N16">IFERROR(INDEX(Avg!$N$2:$N$50,MATCH(DATE(YEAR(A16),MONTH(A16),1),Avg!$A$2:$A$50,0)),"")</f>
        <v>4.76766755</v>
      </c>
      <c r="O16" s="11">
        <f t="array" ref="O16">IFERROR(INDEX(Avg!$O$2:$O$50,MATCH(DATE(YEAR(A16),MONTH(A16),1),Avg!$A$2:$A$50,0)),"")</f>
        <v>6.958053285</v>
      </c>
    </row>
    <row r="17" ht="15.75" customHeight="1">
      <c r="A17" s="7" t="s">
        <v>44</v>
      </c>
      <c r="B17" s="7" t="s">
        <v>45</v>
      </c>
      <c r="C17" s="8" t="s">
        <v>17</v>
      </c>
      <c r="D17" s="9">
        <f>IF(SUMPRODUCT((Data!$D$2:$D$2277=A17)*(Data!$E$2:$E$2277=C17)*(Data!$M$2:$M$2277="Vladimir Zelenskiy"))&gt;0,SUMPRODUCT((Data!$D$2:$D$2277=A17)*(Data!$E$2:$E$2277=C17)*(Data!$M$2:$M$2277="Vladimir Zelenskiy")*IF(ISNUMBER(Data!$W$2:$W$2277),Data!$W$2:$W$2277,0))/SUMPRODUCT((Data!$D$2:$D$2277=A17)*(Data!$E$2:$E$2277=C17)*(Data!$M$2:$M$2277="Vladimir Zelenskiy")),"")</f>
        <v>30.9</v>
      </c>
      <c r="E17" s="9">
        <f>IF(SUMPRODUCT((Data!$D$2:$D$2277=A17)*(Data!$E$2:$E$2277=C17)*(Data!$M$2:$M$2277="Valerii Zaluzhniy"))&gt;0,SUMPRODUCT((Data!$D$2:$D$2277=A17)*(Data!$E$2:$E$2277=C17)*(Data!$M$2:$M$2277="Valerii Zaluzhniy")*IF(ISNUMBER(Data!$W$2:$W$2277),Data!$W$2:$W$2277,0))/SUMPRODUCT((Data!$D$2:$D$2277=A17)*(Data!$E$2:$E$2277=C17)*(Data!$M$2:$M$2277="Valerii Zaluzhniy")),"")</f>
        <v>27.7</v>
      </c>
      <c r="F17" s="9">
        <f>IF(SUMPRODUCT((Data!$D$2:$D$2277=A17)*(Data!$E$2:$E$2277=C17)*(Data!$M$2:$M$2277="Kyrylo Budanov"))&gt;0,SUMPRODUCT((Data!$D$2:$D$2277=A17)*(Data!$E$2:$E$2277=C17)*(Data!$M$2:$M$2277="Kyrylo Budanov")*IF(ISNUMBER(Data!$W$2:$W$2277),Data!$W$2:$W$2277,0))/SUMPRODUCT((Data!$D$2:$D$2277=A17)*(Data!$E$2:$E$2277=C17)*(Data!$M$2:$M$2277="Kyrylo Budanov")),"")</f>
        <v>5.2</v>
      </c>
      <c r="G17" s="9">
        <f>IF(SUMPRODUCT((Data!$D$2:$D$2277=A17)*(Data!$E$2:$E$2277=C17)*(Data!$M$2:$M$2277="Pyotr Poroshenko"))&gt;0,SUMPRODUCT((Data!$D$2:$D$2277=A17)*(Data!$E$2:$E$2277=C17)*(Data!$M$2:$M$2277="Pyotr Poroshenko")*IF(ISNUMBER(Data!$W$2:$W$2277),Data!$W$2:$W$2277,0))/SUMPRODUCT((Data!$D$2:$D$2277=A17)*(Data!$E$2:$E$2277=C17)*(Data!$M$2:$M$2277="Pyotr Poroshenko")),"")</f>
        <v>6.3</v>
      </c>
      <c r="H17" s="10">
        <f t="array" ref="H17">IFERROR(INDEX(Avg!$F$2:$F$50,MATCH(DATE(YEAR(A17),MONTH(A17),1),Avg!$A$2:$A$50,0)),"")</f>
        <v>30.17294408</v>
      </c>
      <c r="I17" s="10">
        <f t="array" ref="I17">IFERROR(INDEX(Avg!$G$2:$G$50,MATCH(DATE(YEAR(A17),MONTH(A17),1),Avg!$A$2:$A$50,0)),"")</f>
        <v>27.10447489</v>
      </c>
      <c r="J17" s="10">
        <f t="array" ref="J17">IFERROR(INDEX(Avg!$H$2:$H$50,MATCH(DATE(YEAR(A17),MONTH(A17),1),Avg!$A$2:$A$50,0)),"")</f>
        <v>4.099365363</v>
      </c>
      <c r="K17" s="10">
        <f t="array" ref="K17">IFERROR(INDEX(Avg!$I$2:$I$50,MATCH(DATE(YEAR(A17),MONTH(A17),1),Avg!$A$2:$A$50,0)),"")</f>
        <v>6.779650518</v>
      </c>
      <c r="L17" s="11">
        <f t="array" ref="L17">IFERROR(INDEX(Avg!$L$2:$L$50,MATCH(DATE(YEAR(A17),MONTH(A17),1),Avg!$A$2:$A$50,0)),"")</f>
        <v>30.12428743</v>
      </c>
      <c r="M17" s="11">
        <f t="array" ref="M17">IFERROR(INDEX(Avg!$M$2:$M$50,MATCH(DATE(YEAR(A17),MONTH(A17),1),Avg!$A$2:$A$50,0)),"")</f>
        <v>26.8970937</v>
      </c>
      <c r="N17" s="11">
        <f t="array" ref="N17">IFERROR(INDEX(Avg!$N$2:$N$50,MATCH(DATE(YEAR(A17),MONTH(A17),1),Avg!$A$2:$A$50,0)),"")</f>
        <v>3.763110995</v>
      </c>
      <c r="O17" s="11">
        <f t="array" ref="O17">IFERROR(INDEX(Avg!$O$2:$O$50,MATCH(DATE(YEAR(A17),MONTH(A17),1),Avg!$A$2:$A$50,0)),"")</f>
        <v>7.109741701</v>
      </c>
    </row>
    <row r="18" ht="15.75" customHeight="1">
      <c r="A18" s="7" t="s">
        <v>46</v>
      </c>
      <c r="B18" s="7" t="s">
        <v>47</v>
      </c>
      <c r="C18" s="8" t="s">
        <v>17</v>
      </c>
      <c r="D18" s="9">
        <f>IF(SUMPRODUCT((Data!$D$2:$D$2277=A18)*(Data!$E$2:$E$2277=C18)*(Data!$M$2:$M$2277="Vladimir Zelenskiy"))&gt;0,SUMPRODUCT((Data!$D$2:$D$2277=A18)*(Data!$E$2:$E$2277=C18)*(Data!$M$2:$M$2277="Vladimir Zelenskiy")*IF(ISNUMBER(Data!$W$2:$W$2277),Data!$W$2:$W$2277,0))/SUMPRODUCT((Data!$D$2:$D$2277=A18)*(Data!$E$2:$E$2277=C18)*(Data!$M$2:$M$2277="Vladimir Zelenskiy")),"")</f>
        <v>29.35897436</v>
      </c>
      <c r="E18" s="9">
        <f>IF(SUMPRODUCT((Data!$D$2:$D$2277=A18)*(Data!$E$2:$E$2277=C18)*(Data!$M$2:$M$2277="Valerii Zaluzhniy"))&gt;0,SUMPRODUCT((Data!$D$2:$D$2277=A18)*(Data!$E$2:$E$2277=C18)*(Data!$M$2:$M$2277="Valerii Zaluzhniy")*IF(ISNUMBER(Data!$W$2:$W$2277),Data!$W$2:$W$2277,0))/SUMPRODUCT((Data!$D$2:$D$2277=A18)*(Data!$E$2:$E$2277=C18)*(Data!$M$2:$M$2277="Valerii Zaluzhniy")),"")</f>
        <v>27.30769231</v>
      </c>
      <c r="F18" s="9">
        <f>IF(SUMPRODUCT((Data!$D$2:$D$2277=A18)*(Data!$E$2:$E$2277=C18)*(Data!$M$2:$M$2277="Kyrylo Budanov"))&gt;0,SUMPRODUCT((Data!$D$2:$D$2277=A18)*(Data!$E$2:$E$2277=C18)*(Data!$M$2:$M$2277="Kyrylo Budanov")*IF(ISNUMBER(Data!$W$2:$W$2277),Data!$W$2:$W$2277,0))/SUMPRODUCT((Data!$D$2:$D$2277=A18)*(Data!$E$2:$E$2277=C18)*(Data!$M$2:$M$2277="Kyrylo Budanov")),"")</f>
        <v>4.230769231</v>
      </c>
      <c r="G18" s="9">
        <f>IF(SUMPRODUCT((Data!$D$2:$D$2277=A18)*(Data!$E$2:$E$2277=C18)*(Data!$M$2:$M$2277="Pyotr Poroshenko"))&gt;0,SUMPRODUCT((Data!$D$2:$D$2277=A18)*(Data!$E$2:$E$2277=C18)*(Data!$M$2:$M$2277="Pyotr Poroshenko")*IF(ISNUMBER(Data!$W$2:$W$2277),Data!$W$2:$W$2277,0))/SUMPRODUCT((Data!$D$2:$D$2277=A18)*(Data!$E$2:$E$2277=C18)*(Data!$M$2:$M$2277="Pyotr Poroshenko")),"")</f>
        <v>5.769230769</v>
      </c>
      <c r="H18" s="10">
        <f t="array" ref="H18">IFERROR(INDEX(Avg!$F$2:$F$50,MATCH(DATE(YEAR(A18),MONTH(A18),1),Avg!$A$2:$A$50,0)),"")</f>
        <v>29.87636009</v>
      </c>
      <c r="I18" s="10">
        <f t="array" ref="I18">IFERROR(INDEX(Avg!$G$2:$G$50,MATCH(DATE(YEAR(A18),MONTH(A18),1),Avg!$A$2:$A$50,0)),"")</f>
        <v>26.86154556</v>
      </c>
      <c r="J18" s="10">
        <f t="array" ref="J18">IFERROR(INDEX(Avg!$H$2:$H$50,MATCH(DATE(YEAR(A18),MONTH(A18),1),Avg!$A$2:$A$50,0)),"")</f>
        <v>3.65038944</v>
      </c>
      <c r="K18" s="10">
        <f t="array" ref="K18">IFERROR(INDEX(Avg!$I$2:$I$50,MATCH(DATE(YEAR(A18),MONTH(A18),1),Avg!$A$2:$A$50,0)),"")</f>
        <v>6.975311755</v>
      </c>
      <c r="L18" s="11">
        <f t="array" ref="L18">IFERROR(INDEX(Avg!$L$2:$L$50,MATCH(DATE(YEAR(A18),MONTH(A18),1),Avg!$A$2:$A$50,0)),"")</f>
        <v>30.06089204</v>
      </c>
      <c r="M18" s="11">
        <f t="array" ref="M18">IFERROR(INDEX(Avg!$M$2:$M$50,MATCH(DATE(YEAR(A18),MONTH(A18),1),Avg!$A$2:$A$50,0)),"")</f>
        <v>27.00322909</v>
      </c>
      <c r="N18" s="11">
        <f t="array" ref="N18">IFERROR(INDEX(Avg!$N$2:$N$50,MATCH(DATE(YEAR(A18),MONTH(A18),1),Avg!$A$2:$A$50,0)),"")</f>
        <v>3.318886836</v>
      </c>
      <c r="O18" s="11">
        <f t="array" ref="O18">IFERROR(INDEX(Avg!$O$2:$O$50,MATCH(DATE(YEAR(A18),MONTH(A18),1),Avg!$A$2:$A$50,0)),"")</f>
        <v>7.378809452</v>
      </c>
    </row>
    <row r="19" ht="15.75" customHeight="1">
      <c r="A19" s="7" t="s">
        <v>48</v>
      </c>
      <c r="B19" s="7" t="s">
        <v>49</v>
      </c>
      <c r="C19" s="8" t="s">
        <v>50</v>
      </c>
      <c r="D19" s="9">
        <f>IF(SUMPRODUCT((Data!$D$2:$D$2277=A19)*(Data!$E$2:$E$2277=C19)*(Data!$M$2:$M$2277="Vladimir Zelenskiy"))&gt;0,SUMPRODUCT((Data!$D$2:$D$2277=A19)*(Data!$E$2:$E$2277=C19)*(Data!$M$2:$M$2277="Vladimir Zelenskiy")*IF(ISNUMBER(Data!$W$2:$W$2277),Data!$W$2:$W$2277,0))/SUMPRODUCT((Data!$D$2:$D$2277=A19)*(Data!$E$2:$E$2277=C19)*(Data!$M$2:$M$2277="Vladimir Zelenskiy")),"")</f>
        <v>31.41025641</v>
      </c>
      <c r="E19" s="9">
        <f>IF(SUMPRODUCT((Data!$D$2:$D$2277=A19)*(Data!$E$2:$E$2277=C19)*(Data!$M$2:$M$2277="Valerii Zaluzhniy"))&gt;0,SUMPRODUCT((Data!$D$2:$D$2277=A19)*(Data!$E$2:$E$2277=C19)*(Data!$M$2:$M$2277="Valerii Zaluzhniy")*IF(ISNUMBER(Data!$W$2:$W$2277),Data!$W$2:$W$2277,0))/SUMPRODUCT((Data!$D$2:$D$2277=A19)*(Data!$E$2:$E$2277=C19)*(Data!$M$2:$M$2277="Valerii Zaluzhniy")),"")</f>
        <v>23.07692308</v>
      </c>
      <c r="F19" s="9">
        <f>IF(SUMPRODUCT((Data!$D$2:$D$2277=A19)*(Data!$E$2:$E$2277=C19)*(Data!$M$2:$M$2277="Kyrylo Budanov"))&gt;0,SUMPRODUCT((Data!$D$2:$D$2277=A19)*(Data!$E$2:$E$2277=C19)*(Data!$M$2:$M$2277="Kyrylo Budanov")*IF(ISNUMBER(Data!$W$2:$W$2277),Data!$W$2:$W$2277,0))/SUMPRODUCT((Data!$D$2:$D$2277=A19)*(Data!$E$2:$E$2277=C19)*(Data!$M$2:$M$2277="Kyrylo Budanov")),"")</f>
        <v>2.948717949</v>
      </c>
      <c r="G19" s="9">
        <f>IF(SUMPRODUCT((Data!$D$2:$D$2277=A19)*(Data!$E$2:$E$2277=C19)*(Data!$M$2:$M$2277="Pyotr Poroshenko"))&gt;0,SUMPRODUCT((Data!$D$2:$D$2277=A19)*(Data!$E$2:$E$2277=C19)*(Data!$M$2:$M$2277="Pyotr Poroshenko")*IF(ISNUMBER(Data!$W$2:$W$2277),Data!$W$2:$W$2277,0))/SUMPRODUCT((Data!$D$2:$D$2277=A19)*(Data!$E$2:$E$2277=C19)*(Data!$M$2:$M$2277="Pyotr Poroshenko")),"")</f>
        <v>10.76923077</v>
      </c>
      <c r="H19" s="10">
        <f t="array" ref="H19">IFERROR(INDEX(Avg!$F$2:$F$50,MATCH(DATE(YEAR(A19),MONTH(A19),1),Avg!$A$2:$A$50,0)),"")</f>
        <v>30.4741722</v>
      </c>
      <c r="I19" s="10">
        <f t="array" ref="I19">IFERROR(INDEX(Avg!$G$2:$G$50,MATCH(DATE(YEAR(A19),MONTH(A19),1),Avg!$A$2:$A$50,0)),"")</f>
        <v>26.34604637</v>
      </c>
      <c r="J19" s="10">
        <f t="array" ref="J19">IFERROR(INDEX(Avg!$H$2:$H$50,MATCH(DATE(YEAR(A19),MONTH(A19),1),Avg!$A$2:$A$50,0)),"")</f>
        <v>2.979791</v>
      </c>
      <c r="K19" s="10">
        <f t="array" ref="K19">IFERROR(INDEX(Avg!$I$2:$I$50,MATCH(DATE(YEAR(A19),MONTH(A19),1),Avg!$A$2:$A$50,0)),"")</f>
        <v>8.368875143</v>
      </c>
      <c r="L19" s="11">
        <f t="array" ref="L19">IFERROR(INDEX(Avg!$L$2:$L$50,MATCH(DATE(YEAR(A19),MONTH(A19),1),Avg!$A$2:$A$50,0)),"")</f>
        <v>28.84964336</v>
      </c>
      <c r="M19" s="11">
        <f t="array" ref="M19">IFERROR(INDEX(Avg!$M$2:$M$50,MATCH(DATE(YEAR(A19),MONTH(A19),1),Avg!$A$2:$A$50,0)),"")</f>
        <v>28.38801085</v>
      </c>
      <c r="N19" s="11">
        <f t="array" ref="N19">IFERROR(INDEX(Avg!$N$2:$N$50,MATCH(DATE(YEAR(A19),MONTH(A19),1),Avg!$A$2:$A$50,0)),"")</f>
        <v>3.019286422</v>
      </c>
      <c r="O19" s="11">
        <f t="array" ref="O19">IFERROR(INDEX(Avg!$O$2:$O$50,MATCH(DATE(YEAR(A19),MONTH(A19),1),Avg!$A$2:$A$50,0)),"")</f>
        <v>7.798941638</v>
      </c>
    </row>
    <row r="20" ht="15.75" customHeight="1">
      <c r="A20" s="7" t="s">
        <v>51</v>
      </c>
      <c r="B20" s="7" t="s">
        <v>49</v>
      </c>
      <c r="C20" s="8" t="s">
        <v>17</v>
      </c>
      <c r="D20" s="9">
        <f>IF(SUMPRODUCT((Data!$D$2:$D$2277=A20)*(Data!$E$2:$E$2277=C20)*(Data!$M$2:$M$2277="Vladimir Zelenskiy"))&gt;0,SUMPRODUCT((Data!$D$2:$D$2277=A20)*(Data!$E$2:$E$2277=C20)*(Data!$M$2:$M$2277="Vladimir Zelenskiy")*IF(ISNUMBER(Data!$W$2:$W$2277),Data!$W$2:$W$2277,0))/SUMPRODUCT((Data!$D$2:$D$2277=A20)*(Data!$E$2:$E$2277=C20)*(Data!$M$2:$M$2277="Vladimir Zelenskiy")),"")</f>
        <v>29.1025641</v>
      </c>
      <c r="E20" s="9">
        <f>IF(SUMPRODUCT((Data!$D$2:$D$2277=A20)*(Data!$E$2:$E$2277=C20)*(Data!$M$2:$M$2277="Valerii Zaluzhniy"))&gt;0,SUMPRODUCT((Data!$D$2:$D$2277=A20)*(Data!$E$2:$E$2277=C20)*(Data!$M$2:$M$2277="Valerii Zaluzhniy")*IF(ISNUMBER(Data!$W$2:$W$2277),Data!$W$2:$W$2277,0))/SUMPRODUCT((Data!$D$2:$D$2277=A20)*(Data!$E$2:$E$2277=C20)*(Data!$M$2:$M$2277="Valerii Zaluzhniy")),"")</f>
        <v>26.66666667</v>
      </c>
      <c r="F20" s="9">
        <f>IF(SUMPRODUCT((Data!$D$2:$D$2277=A20)*(Data!$E$2:$E$2277=C20)*(Data!$M$2:$M$2277="Kyrylo Budanov"))&gt;0,SUMPRODUCT((Data!$D$2:$D$2277=A20)*(Data!$E$2:$E$2277=C20)*(Data!$M$2:$M$2277="Kyrylo Budanov")*IF(ISNUMBER(Data!$W$2:$W$2277),Data!$W$2:$W$2277,0))/SUMPRODUCT((Data!$D$2:$D$2277=A20)*(Data!$E$2:$E$2277=C20)*(Data!$M$2:$M$2277="Kyrylo Budanov")),"")</f>
        <v>2.948717949</v>
      </c>
      <c r="G20" s="9">
        <f>IF(SUMPRODUCT((Data!$D$2:$D$2277=A20)*(Data!$E$2:$E$2277=C20)*(Data!$M$2:$M$2277="Pyotr Poroshenko"))&gt;0,SUMPRODUCT((Data!$D$2:$D$2277=A20)*(Data!$E$2:$E$2277=C20)*(Data!$M$2:$M$2277="Pyotr Poroshenko")*IF(ISNUMBER(Data!$W$2:$W$2277),Data!$W$2:$W$2277,0))/SUMPRODUCT((Data!$D$2:$D$2277=A20)*(Data!$E$2:$E$2277=C20)*(Data!$M$2:$M$2277="Pyotr Poroshenko")),"")</f>
        <v>5.769230769</v>
      </c>
      <c r="H20" s="10">
        <f t="array" ref="H20">IFERROR(INDEX(Avg!$F$2:$F$50,MATCH(DATE(YEAR(A20),MONTH(A20),1),Avg!$A$2:$A$50,0)),"")</f>
        <v>29.78792759</v>
      </c>
      <c r="I20" s="10">
        <f t="array" ref="I20">IFERROR(INDEX(Avg!$G$2:$G$50,MATCH(DATE(YEAR(A20),MONTH(A20),1),Avg!$A$2:$A$50,0)),"")</f>
        <v>28.74264512</v>
      </c>
      <c r="J20" s="10">
        <f t="array" ref="J20">IFERROR(INDEX(Avg!$H$2:$H$50,MATCH(DATE(YEAR(A20),MONTH(A20),1),Avg!$A$2:$A$50,0)),"")</f>
        <v>3.002570696</v>
      </c>
      <c r="K20" s="10">
        <f t="array" ref="K20">IFERROR(INDEX(Avg!$I$2:$I$50,MATCH(DATE(YEAR(A20),MONTH(A20),1),Avg!$A$2:$A$50,0)),"")</f>
        <v>6.60917116</v>
      </c>
      <c r="L20" s="11">
        <f t="array" ref="L20">IFERROR(INDEX(Avg!$L$2:$L$50,MATCH(DATE(YEAR(A20),MONTH(A20),1),Avg!$A$2:$A$50,0)),"")</f>
        <v>25.77332528</v>
      </c>
      <c r="M20" s="11">
        <f t="array" ref="M20">IFERROR(INDEX(Avg!$M$2:$M$50,MATCH(DATE(YEAR(A20),MONTH(A20),1),Avg!$A$2:$A$50,0)),"")</f>
        <v>31.00513048</v>
      </c>
      <c r="N20" s="11">
        <f t="array" ref="N20">IFERROR(INDEX(Avg!$N$2:$N$50,MATCH(DATE(YEAR(A20),MONTH(A20),1),Avg!$A$2:$A$50,0)),"")</f>
        <v>2.995118154</v>
      </c>
      <c r="O20" s="11">
        <f t="array" ref="O20">IFERROR(INDEX(Avg!$O$2:$O$50,MATCH(DATE(YEAR(A20),MONTH(A20),1),Avg!$A$2:$A$50,0)),"")</f>
        <v>7.596333542</v>
      </c>
    </row>
    <row r="21" ht="15.75" customHeight="1">
      <c r="A21" s="7" t="s">
        <v>52</v>
      </c>
      <c r="B21" s="7" t="s">
        <v>49</v>
      </c>
      <c r="C21" s="8" t="s">
        <v>53</v>
      </c>
      <c r="D21" s="9">
        <f>IF(SUMPRODUCT((Data!$D$2:$D$2277=A21)*(Data!$E$2:$E$2277=C21)*(Data!$M$2:$M$2277="Vladimir Zelenskiy"))&gt;0,SUMPRODUCT((Data!$D$2:$D$2277=A21)*(Data!$E$2:$E$2277=C21)*(Data!$M$2:$M$2277="Vladimir Zelenskiy")*IF(ISNUMBER(Data!$W$2:$W$2277),Data!$W$2:$W$2277,0))/SUMPRODUCT((Data!$D$2:$D$2277=A21)*(Data!$E$2:$E$2277=C21)*(Data!$M$2:$M$2277="Vladimir Zelenskiy")),"")</f>
        <v>39.4</v>
      </c>
      <c r="E21" s="9">
        <f>IF(SUMPRODUCT((Data!$D$2:$D$2277=A21)*(Data!$E$2:$E$2277=C21)*(Data!$M$2:$M$2277="Valerii Zaluzhniy"))&gt;0,SUMPRODUCT((Data!$D$2:$D$2277=A21)*(Data!$E$2:$E$2277=C21)*(Data!$M$2:$M$2277="Valerii Zaluzhniy")*IF(ISNUMBER(Data!$W$2:$W$2277),Data!$W$2:$W$2277,0))/SUMPRODUCT((Data!$D$2:$D$2277=A21)*(Data!$E$2:$E$2277=C21)*(Data!$M$2:$M$2277="Valerii Zaluzhniy")),"")</f>
        <v>15.4</v>
      </c>
      <c r="F21" s="9">
        <f>IF(SUMPRODUCT((Data!$D$2:$D$2277=A21)*(Data!$E$2:$E$2277=C21)*(Data!$M$2:$M$2277="Kyrylo Budanov"))&gt;0,SUMPRODUCT((Data!$D$2:$D$2277=A21)*(Data!$E$2:$E$2277=C21)*(Data!$M$2:$M$2277="Kyrylo Budanov")*IF(ISNUMBER(Data!$W$2:$W$2277),Data!$W$2:$W$2277,0))/SUMPRODUCT((Data!$D$2:$D$2277=A21)*(Data!$E$2:$E$2277=C21)*(Data!$M$2:$M$2277="Kyrylo Budanov")),"")</f>
        <v>2.6</v>
      </c>
      <c r="G21" s="9">
        <f>IF(SUMPRODUCT((Data!$D$2:$D$2277=A21)*(Data!$E$2:$E$2277=C21)*(Data!$M$2:$M$2277="Pyotr Poroshenko"))&gt;0,SUMPRODUCT((Data!$D$2:$D$2277=A21)*(Data!$E$2:$E$2277=C21)*(Data!$M$2:$M$2277="Pyotr Poroshenko")*IF(ISNUMBER(Data!$W$2:$W$2277),Data!$W$2:$W$2277,0))/SUMPRODUCT((Data!$D$2:$D$2277=A21)*(Data!$E$2:$E$2277=C21)*(Data!$M$2:$M$2277="Pyotr Poroshenko")),"")</f>
        <v>4.4</v>
      </c>
      <c r="H21" s="10">
        <f t="array" ref="H21">IFERROR(INDEX(Avg!$F$2:$F$50,MATCH(DATE(YEAR(A21),MONTH(A21),1),Avg!$A$2:$A$50,0)),"")</f>
        <v>29.78792759</v>
      </c>
      <c r="I21" s="10">
        <f t="array" ref="I21">IFERROR(INDEX(Avg!$G$2:$G$50,MATCH(DATE(YEAR(A21),MONTH(A21),1),Avg!$A$2:$A$50,0)),"")</f>
        <v>28.74264512</v>
      </c>
      <c r="J21" s="10">
        <f t="array" ref="J21">IFERROR(INDEX(Avg!$H$2:$H$50,MATCH(DATE(YEAR(A21),MONTH(A21),1),Avg!$A$2:$A$50,0)),"")</f>
        <v>3.002570696</v>
      </c>
      <c r="K21" s="10">
        <f t="array" ref="K21">IFERROR(INDEX(Avg!$I$2:$I$50,MATCH(DATE(YEAR(A21),MONTH(A21),1),Avg!$A$2:$A$50,0)),"")</f>
        <v>6.60917116</v>
      </c>
      <c r="L21" s="11">
        <f t="array" ref="L21">IFERROR(INDEX(Avg!$L$2:$L$50,MATCH(DATE(YEAR(A21),MONTH(A21),1),Avg!$A$2:$A$50,0)),"")</f>
        <v>25.77332528</v>
      </c>
      <c r="M21" s="11">
        <f t="array" ref="M21">IFERROR(INDEX(Avg!$M$2:$M$50,MATCH(DATE(YEAR(A21),MONTH(A21),1),Avg!$A$2:$A$50,0)),"")</f>
        <v>31.00513048</v>
      </c>
      <c r="N21" s="11">
        <f t="array" ref="N21">IFERROR(INDEX(Avg!$N$2:$N$50,MATCH(DATE(YEAR(A21),MONTH(A21),1),Avg!$A$2:$A$50,0)),"")</f>
        <v>2.995118154</v>
      </c>
      <c r="O21" s="11">
        <f t="array" ref="O21">IFERROR(INDEX(Avg!$O$2:$O$50,MATCH(DATE(YEAR(A21),MONTH(A21),1),Avg!$A$2:$A$50,0)),"")</f>
        <v>7.596333542</v>
      </c>
    </row>
    <row r="22" ht="15.75" customHeight="1">
      <c r="A22" s="7" t="s">
        <v>54</v>
      </c>
      <c r="B22" s="7" t="s">
        <v>49</v>
      </c>
      <c r="C22" s="8" t="s">
        <v>24</v>
      </c>
      <c r="D22" s="9">
        <f>IF(SUMPRODUCT((Data!$D$2:$D$2277=A22)*(Data!$E$2:$E$2277=C22)*(Data!$M$2:$M$2277="Vladimir Zelenskiy"))&gt;0,SUMPRODUCT((Data!$D$2:$D$2277=A22)*(Data!$E$2:$E$2277=C22)*(Data!$M$2:$M$2277="Vladimir Zelenskiy")*IF(ISNUMBER(Data!$W$2:$W$2277),Data!$W$2:$W$2277,0))/SUMPRODUCT((Data!$D$2:$D$2277=A22)*(Data!$E$2:$E$2277=C22)*(Data!$M$2:$M$2277="Vladimir Zelenskiy")),"")</f>
        <v>46</v>
      </c>
      <c r="E22" s="9">
        <f>IF(SUMPRODUCT((Data!$D$2:$D$2277=A22)*(Data!$E$2:$E$2277=C22)*(Data!$M$2:$M$2277="Valerii Zaluzhniy"))&gt;0,SUMPRODUCT((Data!$D$2:$D$2277=A22)*(Data!$E$2:$E$2277=C22)*(Data!$M$2:$M$2277="Valerii Zaluzhniy")*IF(ISNUMBER(Data!$W$2:$W$2277),Data!$W$2:$W$2277,0))/SUMPRODUCT((Data!$D$2:$D$2277=A22)*(Data!$E$2:$E$2277=C22)*(Data!$M$2:$M$2277="Valerii Zaluzhniy")),"")</f>
        <v>31</v>
      </c>
      <c r="F22" s="9">
        <f>IF(SUMPRODUCT((Data!$D$2:$D$2277=A22)*(Data!$E$2:$E$2277=C22)*(Data!$M$2:$M$2277="Kyrylo Budanov"))&gt;0,SUMPRODUCT((Data!$D$2:$D$2277=A22)*(Data!$E$2:$E$2277=C22)*(Data!$M$2:$M$2277="Kyrylo Budanov")*IF(ISNUMBER(Data!$W$2:$W$2277),Data!$W$2:$W$2277,0))/SUMPRODUCT((Data!$D$2:$D$2277=A22)*(Data!$E$2:$E$2277=C22)*(Data!$M$2:$M$2277="Kyrylo Budanov")),"")</f>
        <v>3</v>
      </c>
      <c r="G22" s="9">
        <f>IF(SUMPRODUCT((Data!$D$2:$D$2277=A22)*(Data!$E$2:$E$2277=C22)*(Data!$M$2:$M$2277="Pyotr Poroshenko"))&gt;0,SUMPRODUCT((Data!$D$2:$D$2277=A22)*(Data!$E$2:$E$2277=C22)*(Data!$M$2:$M$2277="Pyotr Poroshenko")*IF(ISNUMBER(Data!$W$2:$W$2277),Data!$W$2:$W$2277,0))/SUMPRODUCT((Data!$D$2:$D$2277=A22)*(Data!$E$2:$E$2277=C22)*(Data!$M$2:$M$2277="Pyotr Poroshenko")),"")</f>
        <v>5</v>
      </c>
      <c r="H22" s="10">
        <f t="array" ref="H22">IFERROR(INDEX(Avg!$F$2:$F$50,MATCH(DATE(YEAR(A22),MONTH(A22),1),Avg!$A$2:$A$50,0)),"")</f>
        <v>29.78792759</v>
      </c>
      <c r="I22" s="10">
        <f t="array" ref="I22">IFERROR(INDEX(Avg!$G$2:$G$50,MATCH(DATE(YEAR(A22),MONTH(A22),1),Avg!$A$2:$A$50,0)),"")</f>
        <v>28.74264512</v>
      </c>
      <c r="J22" s="10">
        <f t="array" ref="J22">IFERROR(INDEX(Avg!$H$2:$H$50,MATCH(DATE(YEAR(A22),MONTH(A22),1),Avg!$A$2:$A$50,0)),"")</f>
        <v>3.002570696</v>
      </c>
      <c r="K22" s="10">
        <f t="array" ref="K22">IFERROR(INDEX(Avg!$I$2:$I$50,MATCH(DATE(YEAR(A22),MONTH(A22),1),Avg!$A$2:$A$50,0)),"")</f>
        <v>6.60917116</v>
      </c>
      <c r="L22" s="11">
        <f t="array" ref="L22">IFERROR(INDEX(Avg!$L$2:$L$50,MATCH(DATE(YEAR(A22),MONTH(A22),1),Avg!$A$2:$A$50,0)),"")</f>
        <v>25.77332528</v>
      </c>
      <c r="M22" s="11">
        <f t="array" ref="M22">IFERROR(INDEX(Avg!$M$2:$M$50,MATCH(DATE(YEAR(A22),MONTH(A22),1),Avg!$A$2:$A$50,0)),"")</f>
        <v>31.00513048</v>
      </c>
      <c r="N22" s="11">
        <f t="array" ref="N22">IFERROR(INDEX(Avg!$N$2:$N$50,MATCH(DATE(YEAR(A22),MONTH(A22),1),Avg!$A$2:$A$50,0)),"")</f>
        <v>2.995118154</v>
      </c>
      <c r="O22" s="11">
        <f t="array" ref="O22">IFERROR(INDEX(Avg!$O$2:$O$50,MATCH(DATE(YEAR(A22),MONTH(A22),1),Avg!$A$2:$A$50,0)),"")</f>
        <v>7.596333542</v>
      </c>
    </row>
    <row r="23" ht="15.75" customHeight="1">
      <c r="A23" s="7" t="s">
        <v>55</v>
      </c>
      <c r="B23" s="7" t="s">
        <v>56</v>
      </c>
      <c r="C23" s="8" t="s">
        <v>57</v>
      </c>
      <c r="D23" s="9">
        <f>IF(SUMPRODUCT((Data!$D$2:$D$2277=A23)*(Data!$E$2:$E$2277=C23)*(Data!$M$2:$M$2277="Vladimir Zelenskiy"))&gt;0,SUMPRODUCT((Data!$D$2:$D$2277=A23)*(Data!$E$2:$E$2277=C23)*(Data!$M$2:$M$2277="Vladimir Zelenskiy")*IF(ISNUMBER(Data!$W$2:$W$2277),Data!$W$2:$W$2277,0))/SUMPRODUCT((Data!$D$2:$D$2277=A23)*(Data!$E$2:$E$2277=C23)*(Data!$M$2:$M$2277="Vladimir Zelenskiy")),"")</f>
        <v>23</v>
      </c>
      <c r="E23" s="9" t="str">
        <f>IF(SUMPRODUCT((Data!$D$2:$D$2277=A23)*(Data!$E$2:$E$2277=C23)*(Data!$M$2:$M$2277="Valerii Zaluzhniy"))&gt;0,SUMPRODUCT((Data!$D$2:$D$2277=A23)*(Data!$E$2:$E$2277=C23)*(Data!$M$2:$M$2277="Valerii Zaluzhniy")*IF(ISNUMBER(Data!$W$2:$W$2277),Data!$W$2:$W$2277,0))/SUMPRODUCT((Data!$D$2:$D$2277=A23)*(Data!$E$2:$E$2277=C23)*(Data!$M$2:$M$2277="Valerii Zaluzhniy")),"")</f>
        <v/>
      </c>
      <c r="F23" s="9" t="str">
        <f>IF(SUMPRODUCT((Data!$D$2:$D$2277=A23)*(Data!$E$2:$E$2277=C23)*(Data!$M$2:$M$2277="Kyrylo Budanov"))&gt;0,SUMPRODUCT((Data!$D$2:$D$2277=A23)*(Data!$E$2:$E$2277=C23)*(Data!$M$2:$M$2277="Kyrylo Budanov")*IF(ISNUMBER(Data!$W$2:$W$2277),Data!$W$2:$W$2277,0))/SUMPRODUCT((Data!$D$2:$D$2277=A23)*(Data!$E$2:$E$2277=C23)*(Data!$M$2:$M$2277="Kyrylo Budanov")),"")</f>
        <v/>
      </c>
      <c r="G23" s="9" t="str">
        <f>IF(SUMPRODUCT((Data!$D$2:$D$2277=A23)*(Data!$E$2:$E$2277=C23)*(Data!$M$2:$M$2277="Pyotr Poroshenko"))&gt;0,SUMPRODUCT((Data!$D$2:$D$2277=A23)*(Data!$E$2:$E$2277=C23)*(Data!$M$2:$M$2277="Pyotr Poroshenko")*IF(ISNUMBER(Data!$W$2:$W$2277),Data!$W$2:$W$2277,0))/SUMPRODUCT((Data!$D$2:$D$2277=A23)*(Data!$E$2:$E$2277=C23)*(Data!$M$2:$M$2277="Pyotr Poroshenko")),"")</f>
        <v/>
      </c>
      <c r="H23" s="10">
        <f t="array" ref="H23">IFERROR(INDEX(Avg!$F$2:$F$50,MATCH(DATE(YEAR(A23),MONTH(A23),1),Avg!$A$2:$A$50,0)),"")</f>
        <v>22.09948837</v>
      </c>
      <c r="I23" s="10">
        <f t="array" ref="I23">IFERROR(INDEX(Avg!$G$2:$G$50,MATCH(DATE(YEAR(A23),MONTH(A23),1),Avg!$A$2:$A$50,0)),"")</f>
        <v>33.80463575</v>
      </c>
      <c r="J23" s="10">
        <f t="array" ref="J23">IFERROR(INDEX(Avg!$H$2:$H$50,MATCH(DATE(YEAR(A23),MONTH(A23),1),Avg!$A$2:$A$50,0)),"")</f>
        <v>3.171204136</v>
      </c>
      <c r="K23" s="10">
        <f t="array" ref="K23">IFERROR(INDEX(Avg!$I$2:$I$50,MATCH(DATE(YEAR(A23),MONTH(A23),1),Avg!$A$2:$A$50,0)),"")</f>
        <v>8.468682081</v>
      </c>
      <c r="L23" s="11">
        <f t="array" ref="L23">IFERROR(INDEX(Avg!$L$2:$L$50,MATCH(DATE(YEAR(A23),MONTH(A23),1),Avg!$A$2:$A$50,0)),"")</f>
        <v>21.41574024</v>
      </c>
      <c r="M23" s="11">
        <f t="array" ref="M23">IFERROR(INDEX(Avg!$M$2:$M$50,MATCH(DATE(YEAR(A23),MONTH(A23),1),Avg!$A$2:$A$50,0)),"")</f>
        <v>32.87439499</v>
      </c>
      <c r="N23" s="11">
        <f t="array" ref="N23">IFERROR(INDEX(Avg!$N$2:$N$50,MATCH(DATE(YEAR(A23),MONTH(A23),1),Avg!$A$2:$A$50,0)),"")</f>
        <v>3.043700513</v>
      </c>
      <c r="O23" s="11">
        <f t="array" ref="O23">IFERROR(INDEX(Avg!$O$2:$O$50,MATCH(DATE(YEAR(A23),MONTH(A23),1),Avg!$A$2:$A$50,0)),"")</f>
        <v>8.590590588</v>
      </c>
    </row>
    <row r="24" ht="15.75" customHeight="1">
      <c r="A24" s="7" t="s">
        <v>58</v>
      </c>
      <c r="B24" s="7" t="s">
        <v>56</v>
      </c>
      <c r="C24" s="8" t="s">
        <v>17</v>
      </c>
      <c r="D24" s="9">
        <f>IF(SUMPRODUCT((Data!$D$2:$D$2277=A24)*(Data!$E$2:$E$2277=C24)*(Data!$M$2:$M$2277="Vladimir Zelenskiy"))&gt;0,SUMPRODUCT((Data!$D$2:$D$2277=A24)*(Data!$E$2:$E$2277=C24)*(Data!$M$2:$M$2277="Vladimir Zelenskiy")*IF(ISNUMBER(Data!$W$2:$W$2277),Data!$W$2:$W$2277,0))/SUMPRODUCT((Data!$D$2:$D$2277=A24)*(Data!$E$2:$E$2277=C24)*(Data!$M$2:$M$2277="Vladimir Zelenskiy")),"")</f>
        <v>21.9</v>
      </c>
      <c r="E24" s="9">
        <f>IF(SUMPRODUCT((Data!$D$2:$D$2277=A24)*(Data!$E$2:$E$2277=C24)*(Data!$M$2:$M$2277="Valerii Zaluzhniy"))&gt;0,SUMPRODUCT((Data!$D$2:$D$2277=A24)*(Data!$E$2:$E$2277=C24)*(Data!$M$2:$M$2277="Valerii Zaluzhniy")*IF(ISNUMBER(Data!$W$2:$W$2277),Data!$W$2:$W$2277,0))/SUMPRODUCT((Data!$D$2:$D$2277=A24)*(Data!$E$2:$E$2277=C24)*(Data!$M$2:$M$2277="Valerii Zaluzhniy")),"")</f>
        <v>37.4</v>
      </c>
      <c r="F24" s="9">
        <f>IF(SUMPRODUCT((Data!$D$2:$D$2277=A24)*(Data!$E$2:$E$2277=C24)*(Data!$M$2:$M$2277="Kyrylo Budanov"))&gt;0,SUMPRODUCT((Data!$D$2:$D$2277=A24)*(Data!$E$2:$E$2277=C24)*(Data!$M$2:$M$2277="Kyrylo Budanov")*IF(ISNUMBER(Data!$W$2:$W$2277),Data!$W$2:$W$2277,0))/SUMPRODUCT((Data!$D$2:$D$2277=A24)*(Data!$E$2:$E$2277=C24)*(Data!$M$2:$M$2277="Kyrylo Budanov")),"")</f>
        <v>4.4</v>
      </c>
      <c r="G24" s="9">
        <f>IF(SUMPRODUCT((Data!$D$2:$D$2277=A24)*(Data!$E$2:$E$2277=C24)*(Data!$M$2:$M$2277="Pyotr Poroshenko"))&gt;0,SUMPRODUCT((Data!$D$2:$D$2277=A24)*(Data!$E$2:$E$2277=C24)*(Data!$M$2:$M$2277="Pyotr Poroshenko")*IF(ISNUMBER(Data!$W$2:$W$2277),Data!$W$2:$W$2277,0))/SUMPRODUCT((Data!$D$2:$D$2277=A24)*(Data!$E$2:$E$2277=C24)*(Data!$M$2:$M$2277="Pyotr Poroshenko")),"")</f>
        <v>7.7</v>
      </c>
      <c r="H24" s="10">
        <f t="array" ref="H24">IFERROR(INDEX(Avg!$F$2:$F$50,MATCH(DATE(YEAR(A24),MONTH(A24),1),Avg!$A$2:$A$50,0)),"")</f>
        <v>22.09948837</v>
      </c>
      <c r="I24" s="10">
        <f t="array" ref="I24">IFERROR(INDEX(Avg!$G$2:$G$50,MATCH(DATE(YEAR(A24),MONTH(A24),1),Avg!$A$2:$A$50,0)),"")</f>
        <v>33.80463575</v>
      </c>
      <c r="J24" s="10">
        <f t="array" ref="J24">IFERROR(INDEX(Avg!$H$2:$H$50,MATCH(DATE(YEAR(A24),MONTH(A24),1),Avg!$A$2:$A$50,0)),"")</f>
        <v>3.171204136</v>
      </c>
      <c r="K24" s="10">
        <f t="array" ref="K24">IFERROR(INDEX(Avg!$I$2:$I$50,MATCH(DATE(YEAR(A24),MONTH(A24),1),Avg!$A$2:$A$50,0)),"")</f>
        <v>8.468682081</v>
      </c>
      <c r="L24" s="11">
        <f t="array" ref="L24">IFERROR(INDEX(Avg!$L$2:$L$50,MATCH(DATE(YEAR(A24),MONTH(A24),1),Avg!$A$2:$A$50,0)),"")</f>
        <v>21.41574024</v>
      </c>
      <c r="M24" s="11">
        <f t="array" ref="M24">IFERROR(INDEX(Avg!$M$2:$M$50,MATCH(DATE(YEAR(A24),MONTH(A24),1),Avg!$A$2:$A$50,0)),"")</f>
        <v>32.87439499</v>
      </c>
      <c r="N24" s="11">
        <f t="array" ref="N24">IFERROR(INDEX(Avg!$N$2:$N$50,MATCH(DATE(YEAR(A24),MONTH(A24),1),Avg!$A$2:$A$50,0)),"")</f>
        <v>3.043700513</v>
      </c>
      <c r="O24" s="11">
        <f t="array" ref="O24">IFERROR(INDEX(Avg!$O$2:$O$50,MATCH(DATE(YEAR(A24),MONTH(A24),1),Avg!$A$2:$A$50,0)),"")</f>
        <v>8.590590588</v>
      </c>
    </row>
    <row r="25" ht="15.75" customHeight="1">
      <c r="A25" s="7" t="s">
        <v>59</v>
      </c>
      <c r="B25" s="7" t="s">
        <v>60</v>
      </c>
      <c r="C25" s="8" t="s">
        <v>61</v>
      </c>
      <c r="D25" s="9">
        <f>IF(SUMPRODUCT((Data!$D$2:$D$2277=A25)*(Data!$E$2:$E$2277=C25)*(Data!$M$2:$M$2277="Vladimir Zelenskiy"))&gt;0,SUMPRODUCT((Data!$D$2:$D$2277=A25)*(Data!$E$2:$E$2277=C25)*(Data!$M$2:$M$2277="Vladimir Zelenskiy")*IF(ISNUMBER(Data!$W$2:$W$2277),Data!$W$2:$W$2277,0))/SUMPRODUCT((Data!$D$2:$D$2277=A25)*(Data!$E$2:$E$2277=C25)*(Data!$M$2:$M$2277="Vladimir Zelenskiy")),"")</f>
        <v>20.6025641</v>
      </c>
      <c r="E25" s="9">
        <f>IF(SUMPRODUCT((Data!$D$2:$D$2277=A25)*(Data!$E$2:$E$2277=C25)*(Data!$M$2:$M$2277="Valerii Zaluzhniy"))&gt;0,SUMPRODUCT((Data!$D$2:$D$2277=A25)*(Data!$E$2:$E$2277=C25)*(Data!$M$2:$M$2277="Valerii Zaluzhniy")*IF(ISNUMBER(Data!$W$2:$W$2277),Data!$W$2:$W$2277,0))/SUMPRODUCT((Data!$D$2:$D$2277=A25)*(Data!$E$2:$E$2277=C25)*(Data!$M$2:$M$2277="Valerii Zaluzhniy")),"")</f>
        <v>31.14102564</v>
      </c>
      <c r="F25" s="9">
        <f>IF(SUMPRODUCT((Data!$D$2:$D$2277=A25)*(Data!$E$2:$E$2277=C25)*(Data!$M$2:$M$2277="Kyrylo Budanov"))&gt;0,SUMPRODUCT((Data!$D$2:$D$2277=A25)*(Data!$E$2:$E$2277=C25)*(Data!$M$2:$M$2277="Kyrylo Budanov")*IF(ISNUMBER(Data!$W$2:$W$2277),Data!$W$2:$W$2277,0))/SUMPRODUCT((Data!$D$2:$D$2277=A25)*(Data!$E$2:$E$2277=C25)*(Data!$M$2:$M$2277="Kyrylo Budanov")),"")</f>
        <v>1.705128205</v>
      </c>
      <c r="G25" s="9">
        <f>IF(SUMPRODUCT((Data!$D$2:$D$2277=A25)*(Data!$E$2:$E$2277=C25)*(Data!$M$2:$M$2277="Pyotr Poroshenko"))&gt;0,SUMPRODUCT((Data!$D$2:$D$2277=A25)*(Data!$E$2:$E$2277=C25)*(Data!$M$2:$M$2277="Pyotr Poroshenko")*IF(ISNUMBER(Data!$W$2:$W$2277),Data!$W$2:$W$2277,0))/SUMPRODUCT((Data!$D$2:$D$2277=A25)*(Data!$E$2:$E$2277=C25)*(Data!$M$2:$M$2277="Pyotr Poroshenko")),"")</f>
        <v>8.833333333</v>
      </c>
      <c r="H25" s="10">
        <f t="array" ref="H25">IFERROR(INDEX(Avg!$F$2:$F$50,MATCH(DATE(YEAR(A25),MONTH(A25),1),Avg!$A$2:$A$50,0)),"")</f>
        <v>21.07719222</v>
      </c>
      <c r="I25" s="10">
        <f t="array" ref="I25">IFERROR(INDEX(Avg!$G$2:$G$50,MATCH(DATE(YEAR(A25),MONTH(A25),1),Avg!$A$2:$A$50,0)),"")</f>
        <v>32.193576</v>
      </c>
      <c r="J25" s="10">
        <f t="array" ref="J25">IFERROR(INDEX(Avg!$H$2:$H$50,MATCH(DATE(YEAR(A25),MONTH(A25),1),Avg!$A$2:$A$50,0)),"")</f>
        <v>2.62058856</v>
      </c>
      <c r="K25" s="10">
        <f t="array" ref="K25">IFERROR(INDEX(Avg!$I$2:$I$50,MATCH(DATE(YEAR(A25),MONTH(A25),1),Avg!$A$2:$A$50,0)),"")</f>
        <v>8.813123611</v>
      </c>
      <c r="L25" s="11">
        <f t="array" ref="L25">IFERROR(INDEX(Avg!$L$2:$L$50,MATCH(DATE(YEAR(A25),MONTH(A25),1),Avg!$A$2:$A$50,0)),"")</f>
        <v>20.55939205</v>
      </c>
      <c r="M25" s="11">
        <f t="array" ref="M25">IFERROR(INDEX(Avg!$M$2:$M$50,MATCH(DATE(YEAR(A25),MONTH(A25),1),Avg!$A$2:$A$50,0)),"")</f>
        <v>31.81944333</v>
      </c>
      <c r="N25" s="11">
        <f t="array" ref="N25">IFERROR(INDEX(Avg!$N$2:$N$50,MATCH(DATE(YEAR(A25),MONTH(A25),1),Avg!$A$2:$A$50,0)),"")</f>
        <v>3.064001056</v>
      </c>
      <c r="O25" s="11">
        <f t="array" ref="O25">IFERROR(INDEX(Avg!$O$2:$O$50,MATCH(DATE(YEAR(A25),MONTH(A25),1),Avg!$A$2:$A$50,0)),"")</f>
        <v>8.662186837</v>
      </c>
    </row>
    <row r="26" ht="15.75" customHeight="1">
      <c r="A26" s="7" t="s">
        <v>62</v>
      </c>
      <c r="B26" s="7" t="s">
        <v>60</v>
      </c>
      <c r="C26" s="8" t="s">
        <v>17</v>
      </c>
      <c r="D26" s="9">
        <f>IF(SUMPRODUCT((Data!$D$2:$D$2277=A26)*(Data!$E$2:$E$2277=C26)*(Data!$M$2:$M$2277="Vladimir Zelenskiy"))&gt;0,SUMPRODUCT((Data!$D$2:$D$2277=A26)*(Data!$E$2:$E$2277=C26)*(Data!$M$2:$M$2277="Vladimir Zelenskiy")*IF(ISNUMBER(Data!$W$2:$W$2277),Data!$W$2:$W$2277,0))/SUMPRODUCT((Data!$D$2:$D$2277=A26)*(Data!$E$2:$E$2277=C26)*(Data!$M$2:$M$2277="Vladimir Zelenskiy")),"")</f>
        <v>24.3</v>
      </c>
      <c r="E26" s="9">
        <f>IF(SUMPRODUCT((Data!$D$2:$D$2277=A26)*(Data!$E$2:$E$2277=C26)*(Data!$M$2:$M$2277="Valerii Zaluzhniy"))&gt;0,SUMPRODUCT((Data!$D$2:$D$2277=A26)*(Data!$E$2:$E$2277=C26)*(Data!$M$2:$M$2277="Valerii Zaluzhniy")*IF(ISNUMBER(Data!$W$2:$W$2277),Data!$W$2:$W$2277,0))/SUMPRODUCT((Data!$D$2:$D$2277=A26)*(Data!$E$2:$E$2277=C26)*(Data!$M$2:$M$2277="Valerii Zaluzhniy")),"")</f>
        <v>36.1</v>
      </c>
      <c r="F26" s="9">
        <f>IF(SUMPRODUCT((Data!$D$2:$D$2277=A26)*(Data!$E$2:$E$2277=C26)*(Data!$M$2:$M$2277="Kyrylo Budanov"))&gt;0,SUMPRODUCT((Data!$D$2:$D$2277=A26)*(Data!$E$2:$E$2277=C26)*(Data!$M$2:$M$2277="Kyrylo Budanov")*IF(ISNUMBER(Data!$W$2:$W$2277),Data!$W$2:$W$2277,0))/SUMPRODUCT((Data!$D$2:$D$2277=A26)*(Data!$E$2:$E$2277=C26)*(Data!$M$2:$M$2277="Kyrylo Budanov")),"")</f>
        <v>2.8</v>
      </c>
      <c r="G26" s="9">
        <f>IF(SUMPRODUCT((Data!$D$2:$D$2277=A26)*(Data!$E$2:$E$2277=C26)*(Data!$M$2:$M$2277="Pyotr Poroshenko"))&gt;0,SUMPRODUCT((Data!$D$2:$D$2277=A26)*(Data!$E$2:$E$2277=C26)*(Data!$M$2:$M$2277="Pyotr Poroshenko")*IF(ISNUMBER(Data!$W$2:$W$2277),Data!$W$2:$W$2277,0))/SUMPRODUCT((Data!$D$2:$D$2277=A26)*(Data!$E$2:$E$2277=C26)*(Data!$M$2:$M$2277="Pyotr Poroshenko")),"")</f>
        <v>9.4</v>
      </c>
      <c r="H26" s="10">
        <f t="array" ref="H26">IFERROR(INDEX(Avg!$F$2:$F$50,MATCH(DATE(YEAR(A26),MONTH(A26),1),Avg!$A$2:$A$50,0)),"")</f>
        <v>21.07719222</v>
      </c>
      <c r="I26" s="10">
        <f t="array" ref="I26">IFERROR(INDEX(Avg!$G$2:$G$50,MATCH(DATE(YEAR(A26),MONTH(A26),1),Avg!$A$2:$A$50,0)),"")</f>
        <v>32.193576</v>
      </c>
      <c r="J26" s="10">
        <f t="array" ref="J26">IFERROR(INDEX(Avg!$H$2:$H$50,MATCH(DATE(YEAR(A26),MONTH(A26),1),Avg!$A$2:$A$50,0)),"")</f>
        <v>2.62058856</v>
      </c>
      <c r="K26" s="10">
        <f t="array" ref="K26">IFERROR(INDEX(Avg!$I$2:$I$50,MATCH(DATE(YEAR(A26),MONTH(A26),1),Avg!$A$2:$A$50,0)),"")</f>
        <v>8.813123611</v>
      </c>
      <c r="L26" s="11">
        <f t="array" ref="L26">IFERROR(INDEX(Avg!$L$2:$L$50,MATCH(DATE(YEAR(A26),MONTH(A26),1),Avg!$A$2:$A$50,0)),"")</f>
        <v>20.55939205</v>
      </c>
      <c r="M26" s="11">
        <f t="array" ref="M26">IFERROR(INDEX(Avg!$M$2:$M$50,MATCH(DATE(YEAR(A26),MONTH(A26),1),Avg!$A$2:$A$50,0)),"")</f>
        <v>31.81944333</v>
      </c>
      <c r="N26" s="11">
        <f t="array" ref="N26">IFERROR(INDEX(Avg!$N$2:$N$50,MATCH(DATE(YEAR(A26),MONTH(A26),1),Avg!$A$2:$A$50,0)),"")</f>
        <v>3.064001056</v>
      </c>
      <c r="O26" s="11">
        <f t="array" ref="O26">IFERROR(INDEX(Avg!$O$2:$O$50,MATCH(DATE(YEAR(A26),MONTH(A26),1),Avg!$A$2:$A$50,0)),"")</f>
        <v>8.662186837</v>
      </c>
    </row>
    <row r="27" ht="15.75" customHeight="1">
      <c r="A27" s="7" t="s">
        <v>63</v>
      </c>
      <c r="B27" s="7" t="s">
        <v>64</v>
      </c>
      <c r="C27" s="8" t="s">
        <v>65</v>
      </c>
      <c r="D27" s="9">
        <f>IF(SUMPRODUCT((Data!$D$2:$D$2277=A27)*(Data!$E$2:$E$2277=C27)*(Data!$M$2:$M$2277="Vladimir Zelenskiy"))&gt;0,SUMPRODUCT((Data!$D$2:$D$2277=A27)*(Data!$E$2:$E$2277=C27)*(Data!$M$2:$M$2277="Vladimir Zelenskiy")*IF(ISNUMBER(Data!$W$2:$W$2277),Data!$W$2:$W$2277,0))/SUMPRODUCT((Data!$D$2:$D$2277=A27)*(Data!$E$2:$E$2277=C27)*(Data!$M$2:$M$2277="Vladimir Zelenskiy")),"")</f>
        <v>19.12350598</v>
      </c>
      <c r="E27" s="9">
        <f>IF(SUMPRODUCT((Data!$D$2:$D$2277=A27)*(Data!$E$2:$E$2277=C27)*(Data!$M$2:$M$2277="Valerii Zaluzhniy"))&gt;0,SUMPRODUCT((Data!$D$2:$D$2277=A27)*(Data!$E$2:$E$2277=C27)*(Data!$M$2:$M$2277="Valerii Zaluzhniy")*IF(ISNUMBER(Data!$W$2:$W$2277),Data!$W$2:$W$2277,0))/SUMPRODUCT((Data!$D$2:$D$2277=A27)*(Data!$E$2:$E$2277=C27)*(Data!$M$2:$M$2277="Valerii Zaluzhniy")),"")</f>
        <v>32.27091633</v>
      </c>
      <c r="F27" s="9">
        <f>IF(SUMPRODUCT((Data!$D$2:$D$2277=A27)*(Data!$E$2:$E$2277=C27)*(Data!$M$2:$M$2277="Kyrylo Budanov"))&gt;0,SUMPRODUCT((Data!$D$2:$D$2277=A27)*(Data!$E$2:$E$2277=C27)*(Data!$M$2:$M$2277="Kyrylo Budanov")*IF(ISNUMBER(Data!$W$2:$W$2277),Data!$W$2:$W$2277,0))/SUMPRODUCT((Data!$D$2:$D$2277=A27)*(Data!$E$2:$E$2277=C27)*(Data!$M$2:$M$2277="Kyrylo Budanov")),"")</f>
        <v>7.171314741</v>
      </c>
      <c r="G27" s="9">
        <f>IF(SUMPRODUCT((Data!$D$2:$D$2277=A27)*(Data!$E$2:$E$2277=C27)*(Data!$M$2:$M$2277="Pyotr Poroshenko"))&gt;0,SUMPRODUCT((Data!$D$2:$D$2277=A27)*(Data!$E$2:$E$2277=C27)*(Data!$M$2:$M$2277="Pyotr Poroshenko")*IF(ISNUMBER(Data!$W$2:$W$2277),Data!$W$2:$W$2277,0))/SUMPRODUCT((Data!$D$2:$D$2277=A27)*(Data!$E$2:$E$2277=C27)*(Data!$M$2:$M$2277="Pyotr Poroshenko")),"")</f>
        <v>8.366533865</v>
      </c>
      <c r="H27" s="10">
        <f t="array" ref="H27">IFERROR(INDEX(Avg!$F$2:$F$50,MATCH(DATE(YEAR(A27),MONTH(A27),1),Avg!$A$2:$A$50,0)),"")</f>
        <v>20.04159189</v>
      </c>
      <c r="I27" s="10">
        <f t="array" ref="I27">IFERROR(INDEX(Avg!$G$2:$G$50,MATCH(DATE(YEAR(A27),MONTH(A27),1),Avg!$A$2:$A$50,0)),"")</f>
        <v>31.44531066</v>
      </c>
      <c r="J27" s="10">
        <f t="array" ref="J27">IFERROR(INDEX(Avg!$H$2:$H$50,MATCH(DATE(YEAR(A27),MONTH(A27),1),Avg!$A$2:$A$50,0)),"")</f>
        <v>3.507413551</v>
      </c>
      <c r="K27" s="10">
        <f t="array" ref="K27">IFERROR(INDEX(Avg!$I$2:$I$50,MATCH(DATE(YEAR(A27),MONTH(A27),1),Avg!$A$2:$A$50,0)),"")</f>
        <v>8.511250064</v>
      </c>
      <c r="L27" s="11">
        <f t="array" ref="L27">IFERROR(INDEX(Avg!$L$2:$L$50,MATCH(DATE(YEAR(A27),MONTH(A27),1),Avg!$A$2:$A$50,0)),"")</f>
        <v>20.49760677</v>
      </c>
      <c r="M27" s="11">
        <f t="array" ref="M27">IFERROR(INDEX(Avg!$M$2:$M$50,MATCH(DATE(YEAR(A27),MONTH(A27),1),Avg!$A$2:$A$50,0)),"")</f>
        <v>31.22260028</v>
      </c>
      <c r="N27" s="11">
        <f t="array" ref="N27">IFERROR(INDEX(Avg!$N$2:$N$50,MATCH(DATE(YEAR(A27),MONTH(A27),1),Avg!$A$2:$A$50,0)),"")</f>
        <v>2.432550102</v>
      </c>
      <c r="O27" s="11">
        <f t="array" ref="O27">IFERROR(INDEX(Avg!$O$2:$O$50,MATCH(DATE(YEAR(A27),MONTH(A27),1),Avg!$A$2:$A$50,0)),"")</f>
        <v>8.541001304</v>
      </c>
    </row>
    <row r="28" ht="15.75" customHeight="1">
      <c r="A28" s="7" t="s">
        <v>66</v>
      </c>
      <c r="B28" s="7" t="s">
        <v>67</v>
      </c>
      <c r="C28" s="8" t="s">
        <v>61</v>
      </c>
      <c r="D28" s="9">
        <f>IF(SUMPRODUCT((Data!$D$2:$D$2277=A28)*(Data!$E$2:$E$2277=C28)*(Data!$M$2:$M$2277="Vladimir Zelenskiy"))&gt;0,SUMPRODUCT((Data!$D$2:$D$2277=A28)*(Data!$E$2:$E$2277=C28)*(Data!$M$2:$M$2277="Vladimir Zelenskiy")*IF(ISNUMBER(Data!$W$2:$W$2277),Data!$W$2:$W$2277,0))/SUMPRODUCT((Data!$D$2:$D$2277=A28)*(Data!$E$2:$E$2277=C28)*(Data!$M$2:$M$2277="Vladimir Zelenskiy")),"")</f>
        <v>19.09960159</v>
      </c>
      <c r="E28" s="9" t="str">
        <f>IF(SUMPRODUCT((Data!$D$2:$D$2277=A28)*(Data!$E$2:$E$2277=C28)*(Data!$M$2:$M$2277="Valerii Zaluzhniy"))&gt;0,SUMPRODUCT((Data!$D$2:$D$2277=A28)*(Data!$E$2:$E$2277=C28)*(Data!$M$2:$M$2277="Valerii Zaluzhniy")*IF(ISNUMBER(Data!$W$2:$W$2277),Data!$W$2:$W$2277,0))/SUMPRODUCT((Data!$D$2:$D$2277=A28)*(Data!$E$2:$E$2277=C28)*(Data!$M$2:$M$2277="Valerii Zaluzhniy")),"")</f>
        <v/>
      </c>
      <c r="F28" s="9">
        <f>IF(SUMPRODUCT((Data!$D$2:$D$2277=A28)*(Data!$E$2:$E$2277=C28)*(Data!$M$2:$M$2277="Kyrylo Budanov"))&gt;0,SUMPRODUCT((Data!$D$2:$D$2277=A28)*(Data!$E$2:$E$2277=C28)*(Data!$M$2:$M$2277="Kyrylo Budanov")*IF(ISNUMBER(Data!$W$2:$W$2277),Data!$W$2:$W$2277,0))/SUMPRODUCT((Data!$D$2:$D$2277=A28)*(Data!$E$2:$E$2277=C28)*(Data!$M$2:$M$2277="Kyrylo Budanov")),"")</f>
        <v>2.12749004</v>
      </c>
      <c r="G28" s="9">
        <f>IF(SUMPRODUCT((Data!$D$2:$D$2277=A28)*(Data!$E$2:$E$2277=C28)*(Data!$M$2:$M$2277="Pyotr Poroshenko"))&gt;0,SUMPRODUCT((Data!$D$2:$D$2277=A28)*(Data!$E$2:$E$2277=C28)*(Data!$M$2:$M$2277="Pyotr Poroshenko")*IF(ISNUMBER(Data!$W$2:$W$2277),Data!$W$2:$W$2277,0))/SUMPRODUCT((Data!$D$2:$D$2277=A28)*(Data!$E$2:$E$2277=C28)*(Data!$M$2:$M$2277="Pyotr Poroshenko")),"")</f>
        <v>8.653386454</v>
      </c>
      <c r="H28" s="10">
        <f t="array" ref="H28">IFERROR(INDEX(Avg!$F$2:$F$50,MATCH(DATE(YEAR(A28),MONTH(A28),1),Avg!$A$2:$A$50,0)),"")</f>
        <v>20.53690646</v>
      </c>
      <c r="I28" s="10">
        <f t="array" ref="I28">IFERROR(INDEX(Avg!$G$2:$G$50,MATCH(DATE(YEAR(A28),MONTH(A28),1),Avg!$A$2:$A$50,0)),"")</f>
        <v>30.9998899</v>
      </c>
      <c r="J28" s="10">
        <f t="array" ref="J28">IFERROR(INDEX(Avg!$H$2:$H$50,MATCH(DATE(YEAR(A28),MONTH(A28),1),Avg!$A$2:$A$50,0)),"")</f>
        <v>1.530710007</v>
      </c>
      <c r="K28" s="10">
        <f t="array" ref="K28">IFERROR(INDEX(Avg!$I$2:$I$50,MATCH(DATE(YEAR(A28),MONTH(A28),1),Avg!$A$2:$A$50,0)),"")</f>
        <v>8.589325593</v>
      </c>
      <c r="L28" s="11">
        <f t="array" ref="L28">IFERROR(INDEX(Avg!$L$2:$L$50,MATCH(DATE(YEAR(A28),MONTH(A28),1),Avg!$A$2:$A$50,0)),"")</f>
        <v>21.16197926</v>
      </c>
      <c r="M28" s="11">
        <f t="array" ref="M28">IFERROR(INDEX(Avg!$M$2:$M$50,MATCH(DATE(YEAR(A28),MONTH(A28),1),Avg!$A$2:$A$50,0)),"")</f>
        <v>30.9998899</v>
      </c>
      <c r="N28" s="11">
        <f t="array" ref="N28">IFERROR(INDEX(Avg!$N$2:$N$50,MATCH(DATE(YEAR(A28),MONTH(A28),1),Avg!$A$2:$A$50,0)),"")</f>
        <v>1.271174977</v>
      </c>
      <c r="O28" s="11">
        <f t="array" ref="O28">IFERROR(INDEX(Avg!$O$2:$O$50,MATCH(DATE(YEAR(A28),MONTH(A28),1),Avg!$A$2:$A$50,0)),"")</f>
        <v>8.561466019</v>
      </c>
    </row>
    <row r="29" ht="15.75" customHeight="1">
      <c r="A29" s="7" t="s">
        <v>68</v>
      </c>
      <c r="B29" s="7" t="s">
        <v>69</v>
      </c>
      <c r="C29" s="8" t="s">
        <v>61</v>
      </c>
      <c r="D29" s="9">
        <f>IF(SUMPRODUCT((Data!$D$2:$D$2277=A29)*(Data!$E$2:$E$2277=C29)*(Data!$M$2:$M$2277="Vladimir Zelenskiy"))&gt;0,SUMPRODUCT((Data!$D$2:$D$2277=A29)*(Data!$E$2:$E$2277=C29)*(Data!$M$2:$M$2277="Vladimir Zelenskiy")*IF(ISNUMBER(Data!$W$2:$W$2277),Data!$W$2:$W$2277,0))/SUMPRODUCT((Data!$D$2:$D$2277=A29)*(Data!$E$2:$E$2277=C29)*(Data!$M$2:$M$2277="Vladimir Zelenskiy")),"")</f>
        <v>18.15537849</v>
      </c>
      <c r="E29" s="9" t="str">
        <f>IF(SUMPRODUCT((Data!$D$2:$D$2277=A29)*(Data!$E$2:$E$2277=C29)*(Data!$M$2:$M$2277="Valerii Zaluzhniy"))&gt;0,SUMPRODUCT((Data!$D$2:$D$2277=A29)*(Data!$E$2:$E$2277=C29)*(Data!$M$2:$M$2277="Valerii Zaluzhniy")*IF(ISNUMBER(Data!$W$2:$W$2277),Data!$W$2:$W$2277,0))/SUMPRODUCT((Data!$D$2:$D$2277=A29)*(Data!$E$2:$E$2277=C29)*(Data!$M$2:$M$2277="Valerii Zaluzhniy")),"")</f>
        <v/>
      </c>
      <c r="F29" s="9">
        <f>IF(SUMPRODUCT((Data!$D$2:$D$2277=A29)*(Data!$E$2:$E$2277=C29)*(Data!$M$2:$M$2277="Kyrylo Budanov"))&gt;0,SUMPRODUCT((Data!$D$2:$D$2277=A29)*(Data!$E$2:$E$2277=C29)*(Data!$M$2:$M$2277="Kyrylo Budanov")*IF(ISNUMBER(Data!$W$2:$W$2277),Data!$W$2:$W$2277,0))/SUMPRODUCT((Data!$D$2:$D$2277=A29)*(Data!$E$2:$E$2277=C29)*(Data!$M$2:$M$2277="Kyrylo Budanov")),"")</f>
        <v>1.816733068</v>
      </c>
      <c r="G29" s="9">
        <f>IF(SUMPRODUCT((Data!$D$2:$D$2277=A29)*(Data!$E$2:$E$2277=C29)*(Data!$M$2:$M$2277="Pyotr Poroshenko"))&gt;0,SUMPRODUCT((Data!$D$2:$D$2277=A29)*(Data!$E$2:$E$2277=C29)*(Data!$M$2:$M$2277="Pyotr Poroshenko")*IF(ISNUMBER(Data!$W$2:$W$2277),Data!$W$2:$W$2277,0))/SUMPRODUCT((Data!$D$2:$D$2277=A29)*(Data!$E$2:$E$2277=C29)*(Data!$M$2:$M$2277="Pyotr Poroshenko")),"")</f>
        <v>8.414342629</v>
      </c>
      <c r="H29" s="10">
        <f t="array" ref="H29">IFERROR(INDEX(Avg!$F$2:$F$50,MATCH(DATE(YEAR(A29),MONTH(A29),1),Avg!$A$2:$A$50,0)),"")</f>
        <v>21.78705205</v>
      </c>
      <c r="I29" s="10">
        <f t="array" ref="I29">IFERROR(INDEX(Avg!$G$2:$G$50,MATCH(DATE(YEAR(A29),MONTH(A29),1),Avg!$A$2:$A$50,0)),"")</f>
        <v>30.9998899</v>
      </c>
      <c r="J29" s="10">
        <f t="array" ref="J29">IFERROR(INDEX(Avg!$H$2:$H$50,MATCH(DATE(YEAR(A29),MONTH(A29),1),Avg!$A$2:$A$50,0)),"")</f>
        <v>1.011639946</v>
      </c>
      <c r="K29" s="10">
        <f t="array" ref="K29">IFERROR(INDEX(Avg!$I$2:$I$50,MATCH(DATE(YEAR(A29),MONTH(A29),1),Avg!$A$2:$A$50,0)),"")</f>
        <v>8.533606444</v>
      </c>
      <c r="L29" s="11">
        <f t="array" ref="L29">IFERROR(INDEX(Avg!$L$2:$L$50,MATCH(DATE(YEAR(A29),MONTH(A29),1),Avg!$A$2:$A$50,0)),"")</f>
        <v>22.79411354</v>
      </c>
      <c r="M29" s="11">
        <f t="array" ref="M29">IFERROR(INDEX(Avg!$M$2:$M$50,MATCH(DATE(YEAR(A29),MONTH(A29),1),Avg!$A$2:$A$50,0)),"")</f>
        <v>30.9998899</v>
      </c>
      <c r="N29" s="11">
        <f t="array" ref="N29">IFERROR(INDEX(Avg!$N$2:$N$50,MATCH(DATE(YEAR(A29),MONTH(A29),1),Avg!$A$2:$A$50,0)),"")</f>
        <v>0.7883879759</v>
      </c>
      <c r="O29" s="11">
        <f t="array" ref="O29">IFERROR(INDEX(Avg!$O$2:$O$50,MATCH(DATE(YEAR(A29),MONTH(A29),1),Avg!$A$2:$A$50,0)),"")</f>
        <v>8.566678248</v>
      </c>
    </row>
    <row r="30" ht="15.75" customHeight="1">
      <c r="A30" s="7" t="s">
        <v>70</v>
      </c>
      <c r="B30" s="7" t="s">
        <v>71</v>
      </c>
      <c r="C30" s="8" t="s">
        <v>72</v>
      </c>
      <c r="D30" s="9">
        <f>IF(SUMPRODUCT((Data!$D$2:$D$2277=A30)*(Data!$E$2:$E$2277=C30)*(Data!$M$2:$M$2277="Vladimir Zelenskiy"))&gt;0,SUMPRODUCT((Data!$D$2:$D$2277=A30)*(Data!$E$2:$E$2277=C30)*(Data!$M$2:$M$2277="Vladimir Zelenskiy")*IF(ISNUMBER(Data!$W$2:$W$2277),Data!$W$2:$W$2277,0))/SUMPRODUCT((Data!$D$2:$D$2277=A30)*(Data!$E$2:$E$2277=C30)*(Data!$M$2:$M$2277="Vladimir Zelenskiy")),"")</f>
        <v>27</v>
      </c>
      <c r="E30" s="9">
        <f>IF(SUMPRODUCT((Data!$D$2:$D$2277=A30)*(Data!$E$2:$E$2277=C30)*(Data!$M$2:$M$2277="Valerii Zaluzhniy"))&gt;0,SUMPRODUCT((Data!$D$2:$D$2277=A30)*(Data!$E$2:$E$2277=C30)*(Data!$M$2:$M$2277="Valerii Zaluzhniy")*IF(ISNUMBER(Data!$W$2:$W$2277),Data!$W$2:$W$2277,0))/SUMPRODUCT((Data!$D$2:$D$2277=A30)*(Data!$E$2:$E$2277=C30)*(Data!$M$2:$M$2277="Valerii Zaluzhniy")),"")</f>
        <v>27</v>
      </c>
      <c r="F30" s="9" t="str">
        <f>IF(SUMPRODUCT((Data!$D$2:$D$2277=A30)*(Data!$E$2:$E$2277=C30)*(Data!$M$2:$M$2277="Kyrylo Budanov"))&gt;0,SUMPRODUCT((Data!$D$2:$D$2277=A30)*(Data!$E$2:$E$2277=C30)*(Data!$M$2:$M$2277="Kyrylo Budanov")*IF(ISNUMBER(Data!$W$2:$W$2277),Data!$W$2:$W$2277,0))/SUMPRODUCT((Data!$D$2:$D$2277=A30)*(Data!$E$2:$E$2277=C30)*(Data!$M$2:$M$2277="Kyrylo Budanov")),"")</f>
        <v/>
      </c>
      <c r="G30" s="9">
        <f>IF(SUMPRODUCT((Data!$D$2:$D$2277=A30)*(Data!$E$2:$E$2277=C30)*(Data!$M$2:$M$2277="Pyotr Poroshenko"))&gt;0,SUMPRODUCT((Data!$D$2:$D$2277=A30)*(Data!$E$2:$E$2277=C30)*(Data!$M$2:$M$2277="Pyotr Poroshenko")*IF(ISNUMBER(Data!$W$2:$W$2277),Data!$W$2:$W$2277,0))/SUMPRODUCT((Data!$D$2:$D$2277=A30)*(Data!$E$2:$E$2277=C30)*(Data!$M$2:$M$2277="Pyotr Poroshenko")),"")</f>
        <v>7</v>
      </c>
      <c r="H30" s="10">
        <f t="array" ref="H30">IFERROR(INDEX(Avg!$F$2:$F$50,MATCH(DATE(YEAR(A30),MONTH(A30),1),Avg!$A$2:$A$50,0)),"")</f>
        <v>23.80117504</v>
      </c>
      <c r="I30" s="10">
        <f t="array" ref="I30">IFERROR(INDEX(Avg!$G$2:$G$50,MATCH(DATE(YEAR(A30),MONTH(A30),1),Avg!$A$2:$A$50,0)),"")</f>
        <v>30.9998899</v>
      </c>
      <c r="J30" s="10">
        <f t="array" ref="J30">IFERROR(INDEX(Avg!$H$2:$H$50,MATCH(DATE(YEAR(A30),MONTH(A30),1),Avg!$A$2:$A$50,0)),"")</f>
        <v>0.5651360056</v>
      </c>
      <c r="K30" s="10">
        <f t="array" ref="K30">IFERROR(INDEX(Avg!$I$2:$I$50,MATCH(DATE(YEAR(A30),MONTH(A30),1),Avg!$A$2:$A$50,0)),"")</f>
        <v>8.599750052</v>
      </c>
      <c r="L30" s="11">
        <f t="array" ref="L30">IFERROR(INDEX(Avg!$L$2:$L$50,MATCH(DATE(YEAR(A30),MONTH(A30),1),Avg!$A$2:$A$50,0)),"")</f>
        <v>22.88942369</v>
      </c>
      <c r="M30" s="11">
        <f t="array" ref="M30">IFERROR(INDEX(Avg!$M$2:$M$50,MATCH(DATE(YEAR(A30),MONTH(A30),1),Avg!$A$2:$A$50,0)),"")</f>
        <v>32.49900501</v>
      </c>
      <c r="N30" s="11">
        <f t="array" ref="N30">IFERROR(INDEX(Avg!$N$2:$N$50,MATCH(DATE(YEAR(A30),MONTH(A30),1),Avg!$A$2:$A$50,0)),"")</f>
        <v>0.5651360056</v>
      </c>
      <c r="O30" s="11">
        <f t="array" ref="O30">IFERROR(INDEX(Avg!$O$2:$O$50,MATCH(DATE(YEAR(A30),MONTH(A30),1),Avg!$A$2:$A$50,0)),"")</f>
        <v>8.535607577</v>
      </c>
    </row>
    <row r="31" ht="15.75" customHeight="1">
      <c r="A31" s="7" t="s">
        <v>73</v>
      </c>
      <c r="B31" s="7" t="s">
        <v>74</v>
      </c>
      <c r="C31" s="8" t="s">
        <v>61</v>
      </c>
      <c r="D31" s="9">
        <f>IF(SUMPRODUCT((Data!$D$2:$D$2277=A31)*(Data!$E$2:$E$2277=C31)*(Data!$M$2:$M$2277="Vladimir Zelenskiy"))&gt;0,SUMPRODUCT((Data!$D$2:$D$2277=A31)*(Data!$E$2:$E$2277=C31)*(Data!$M$2:$M$2277="Vladimir Zelenskiy")*IF(ISNUMBER(Data!$W$2:$W$2277),Data!$W$2:$W$2277,0))/SUMPRODUCT((Data!$D$2:$D$2277=A31)*(Data!$E$2:$E$2277=C31)*(Data!$M$2:$M$2277="Vladimir Zelenskiy")),"")</f>
        <v>15.77</v>
      </c>
      <c r="E31" s="9" t="str">
        <f>IF(SUMPRODUCT((Data!$D$2:$D$2277=A31)*(Data!$E$2:$E$2277=C31)*(Data!$M$2:$M$2277="Valerii Zaluzhniy"))&gt;0,SUMPRODUCT((Data!$D$2:$D$2277=A31)*(Data!$E$2:$E$2277=C31)*(Data!$M$2:$M$2277="Valerii Zaluzhniy")*IF(ISNUMBER(Data!$W$2:$W$2277),Data!$W$2:$W$2277,0))/SUMPRODUCT((Data!$D$2:$D$2277=A31)*(Data!$E$2:$E$2277=C31)*(Data!$M$2:$M$2277="Valerii Zaluzhniy")),"")</f>
        <v/>
      </c>
      <c r="F31" s="9">
        <f>IF(SUMPRODUCT((Data!$D$2:$D$2277=A31)*(Data!$E$2:$E$2277=C31)*(Data!$M$2:$M$2277="Kyrylo Budanov"))&gt;0,SUMPRODUCT((Data!$D$2:$D$2277=A31)*(Data!$E$2:$E$2277=C31)*(Data!$M$2:$M$2277="Kyrylo Budanov")*IF(ISNUMBER(Data!$W$2:$W$2277),Data!$W$2:$W$2277,0))/SUMPRODUCT((Data!$D$2:$D$2277=A31)*(Data!$E$2:$E$2277=C31)*(Data!$M$2:$M$2277="Kyrylo Budanov")),"")</f>
        <v>0.14</v>
      </c>
      <c r="G31" s="9">
        <f>IF(SUMPRODUCT((Data!$D$2:$D$2277=A31)*(Data!$E$2:$E$2277=C31)*(Data!$M$2:$M$2277="Pyotr Poroshenko"))&gt;0,SUMPRODUCT((Data!$D$2:$D$2277=A31)*(Data!$E$2:$E$2277=C31)*(Data!$M$2:$M$2277="Pyotr Poroshenko")*IF(ISNUMBER(Data!$W$2:$W$2277),Data!$W$2:$W$2277,0))/SUMPRODUCT((Data!$D$2:$D$2277=A31)*(Data!$E$2:$E$2277=C31)*(Data!$M$2:$M$2277="Pyotr Poroshenko")),"")</f>
        <v>7.66</v>
      </c>
      <c r="H31" s="10">
        <f t="array" ref="H31">IFERROR(INDEX(Avg!$F$2:$F$50,MATCH(DATE(YEAR(A31),MONTH(A31),1),Avg!$A$2:$A$50,0)),"")</f>
        <v>21.97767234</v>
      </c>
      <c r="I31" s="10">
        <f t="array" ref="I31">IFERROR(INDEX(Avg!$G$2:$G$50,MATCH(DATE(YEAR(A31),MONTH(A31),1),Avg!$A$2:$A$50,0)),"")</f>
        <v>33.99812013</v>
      </c>
      <c r="J31" s="10">
        <f t="array" ref="J31">IFERROR(INDEX(Avg!$H$2:$H$50,MATCH(DATE(YEAR(A31),MONTH(A31),1),Avg!$A$2:$A$50,0)),"")</f>
        <v>0.5651360056</v>
      </c>
      <c r="K31" s="10">
        <f t="array" ref="K31">IFERROR(INDEX(Avg!$I$2:$I$50,MATCH(DATE(YEAR(A31),MONTH(A31),1),Avg!$A$2:$A$50,0)),"")</f>
        <v>8.471465103</v>
      </c>
      <c r="L31" s="11">
        <f t="array" ref="L31">IFERROR(INDEX(Avg!$L$2:$L$50,MATCH(DATE(YEAR(A31),MONTH(A31),1),Avg!$A$2:$A$50,0)),"")</f>
        <v>26.94773032</v>
      </c>
      <c r="M31" s="11">
        <f t="array" ref="M31">IFERROR(INDEX(Avg!$M$2:$M$50,MATCH(DATE(YEAR(A31),MONTH(A31),1),Avg!$A$2:$A$50,0)),"")</f>
        <v>32.22514691</v>
      </c>
      <c r="N31" s="11">
        <f t="array" ref="N31">IFERROR(INDEX(Avg!$N$2:$N$50,MATCH(DATE(YEAR(A31),MONTH(A31),1),Avg!$A$2:$A$50,0)),"")</f>
        <v>0.3925680028</v>
      </c>
      <c r="O31" s="11">
        <f t="array" ref="O31">IFERROR(INDEX(Avg!$O$2:$O$50,MATCH(DATE(YEAR(A31),MONTH(A31),1),Avg!$A$2:$A$50,0)),"")</f>
        <v>8.980736118</v>
      </c>
    </row>
    <row r="32" ht="15.75" customHeight="1">
      <c r="A32" s="7" t="s">
        <v>75</v>
      </c>
      <c r="B32" s="7" t="s">
        <v>74</v>
      </c>
      <c r="C32" s="8" t="s">
        <v>50</v>
      </c>
      <c r="D32" s="9">
        <f>IF(SUMPRODUCT((Data!$D$2:$D$2277=A32)*(Data!$E$2:$E$2277=C32)*(Data!$M$2:$M$2277="Vladimir Zelenskiy"))&gt;0,SUMPRODUCT((Data!$D$2:$D$2277=A32)*(Data!$E$2:$E$2277=C32)*(Data!$M$2:$M$2277="Vladimir Zelenskiy")*IF(ISNUMBER(Data!$W$2:$W$2277),Data!$W$2:$W$2277,0))/SUMPRODUCT((Data!$D$2:$D$2277=A32)*(Data!$E$2:$E$2277=C32)*(Data!$M$2:$M$2277="Vladimir Zelenskiy")),"")</f>
        <v>24.98007968</v>
      </c>
      <c r="E32" s="9">
        <f>IF(SUMPRODUCT((Data!$D$2:$D$2277=A32)*(Data!$E$2:$E$2277=C32)*(Data!$M$2:$M$2277="Valerii Zaluzhniy"))&gt;0,SUMPRODUCT((Data!$D$2:$D$2277=A32)*(Data!$E$2:$E$2277=C32)*(Data!$M$2:$M$2277="Valerii Zaluzhniy")*IF(ISNUMBER(Data!$W$2:$W$2277),Data!$W$2:$W$2277,0))/SUMPRODUCT((Data!$D$2:$D$2277=A32)*(Data!$E$2:$E$2277=C32)*(Data!$M$2:$M$2277="Valerii Zaluzhniy")),"")</f>
        <v>28.20717131</v>
      </c>
      <c r="F32" s="9" t="str">
        <f>IF(SUMPRODUCT((Data!$D$2:$D$2277=A32)*(Data!$E$2:$E$2277=C32)*(Data!$M$2:$M$2277="Kyrylo Budanov"))&gt;0,SUMPRODUCT((Data!$D$2:$D$2277=A32)*(Data!$E$2:$E$2277=C32)*(Data!$M$2:$M$2277="Kyrylo Budanov")*IF(ISNUMBER(Data!$W$2:$W$2277),Data!$W$2:$W$2277,0))/SUMPRODUCT((Data!$D$2:$D$2277=A32)*(Data!$E$2:$E$2277=C32)*(Data!$M$2:$M$2277="Kyrylo Budanov")),"")</f>
        <v/>
      </c>
      <c r="G32" s="9">
        <f>IF(SUMPRODUCT((Data!$D$2:$D$2277=A32)*(Data!$E$2:$E$2277=C32)*(Data!$M$2:$M$2277="Pyotr Poroshenko"))&gt;0,SUMPRODUCT((Data!$D$2:$D$2277=A32)*(Data!$E$2:$E$2277=C32)*(Data!$M$2:$M$2277="Pyotr Poroshenko")*IF(ISNUMBER(Data!$W$2:$W$2277),Data!$W$2:$W$2277,0))/SUMPRODUCT((Data!$D$2:$D$2277=A32)*(Data!$E$2:$E$2277=C32)*(Data!$M$2:$M$2277="Pyotr Poroshenko")),"")</f>
        <v>9.920318725</v>
      </c>
      <c r="H32" s="10">
        <f t="array" ref="H32">IFERROR(INDEX(Avg!$F$2:$F$50,MATCH(DATE(YEAR(A32),MONTH(A32),1),Avg!$A$2:$A$50,0)),"")</f>
        <v>23.80117504</v>
      </c>
      <c r="I32" s="10">
        <f t="array" ref="I32">IFERROR(INDEX(Avg!$G$2:$G$50,MATCH(DATE(YEAR(A32),MONTH(A32),1),Avg!$A$2:$A$50,0)),"")</f>
        <v>30.9998899</v>
      </c>
      <c r="J32" s="10">
        <f t="array" ref="J32">IFERROR(INDEX(Avg!$H$2:$H$50,MATCH(DATE(YEAR(A32),MONTH(A32),1),Avg!$A$2:$A$50,0)),"")</f>
        <v>0.5651360056</v>
      </c>
      <c r="K32" s="10">
        <f t="array" ref="K32">IFERROR(INDEX(Avg!$I$2:$I$50,MATCH(DATE(YEAR(A32),MONTH(A32),1),Avg!$A$2:$A$50,0)),"")</f>
        <v>8.599750052</v>
      </c>
      <c r="L32" s="11">
        <f t="array" ref="L32">IFERROR(INDEX(Avg!$L$2:$L$50,MATCH(DATE(YEAR(A32),MONTH(A32),1),Avg!$A$2:$A$50,0)),"")</f>
        <v>22.88942369</v>
      </c>
      <c r="M32" s="11">
        <f t="array" ref="M32">IFERROR(INDEX(Avg!$M$2:$M$50,MATCH(DATE(YEAR(A32),MONTH(A32),1),Avg!$A$2:$A$50,0)),"")</f>
        <v>32.49900501</v>
      </c>
      <c r="N32" s="11">
        <f t="array" ref="N32">IFERROR(INDEX(Avg!$N$2:$N$50,MATCH(DATE(YEAR(A32),MONTH(A32),1),Avg!$A$2:$A$50,0)),"")</f>
        <v>0.5651360056</v>
      </c>
      <c r="O32" s="11">
        <f t="array" ref="O32">IFERROR(INDEX(Avg!$O$2:$O$50,MATCH(DATE(YEAR(A32),MONTH(A32),1),Avg!$A$2:$A$50,0)),"")</f>
        <v>8.535607577</v>
      </c>
    </row>
    <row r="33" ht="15.75" customHeight="1">
      <c r="A33" s="7" t="s">
        <v>76</v>
      </c>
      <c r="B33" s="7" t="s">
        <v>77</v>
      </c>
      <c r="C33" s="8" t="s">
        <v>17</v>
      </c>
      <c r="D33" s="9">
        <f>IF(SUMPRODUCT((Data!$D$2:$D$2277=A33)*(Data!$E$2:$E$2277=C33)*(Data!$M$2:$M$2277="Vladimir Zelenskiy"))&gt;0,SUMPRODUCT((Data!$D$2:$D$2277=A33)*(Data!$E$2:$E$2277=C33)*(Data!$M$2:$M$2277="Vladimir Zelenskiy")*IF(ISNUMBER(Data!$W$2:$W$2277),Data!$W$2:$W$2277,0))/SUMPRODUCT((Data!$D$2:$D$2277=A33)*(Data!$E$2:$E$2277=C33)*(Data!$M$2:$M$2277="Vladimir Zelenskiy")),"")</f>
        <v>23.7</v>
      </c>
      <c r="E33" s="9">
        <f>IF(SUMPRODUCT((Data!$D$2:$D$2277=A33)*(Data!$E$2:$E$2277=C33)*(Data!$M$2:$M$2277="Valerii Zaluzhniy"))&gt;0,SUMPRODUCT((Data!$D$2:$D$2277=A33)*(Data!$E$2:$E$2277=C33)*(Data!$M$2:$M$2277="Valerii Zaluzhniy")*IF(ISNUMBER(Data!$W$2:$W$2277),Data!$W$2:$W$2277,0))/SUMPRODUCT((Data!$D$2:$D$2277=A33)*(Data!$E$2:$E$2277=C33)*(Data!$M$2:$M$2277="Valerii Zaluzhniy")),"")</f>
        <v>41.4</v>
      </c>
      <c r="F33" s="9">
        <f>IF(SUMPRODUCT((Data!$D$2:$D$2277=A33)*(Data!$E$2:$E$2277=C33)*(Data!$M$2:$M$2277="Kyrylo Budanov"))&gt;0,SUMPRODUCT((Data!$D$2:$D$2277=A33)*(Data!$E$2:$E$2277=C33)*(Data!$M$2:$M$2277="Kyrylo Budanov")*IF(ISNUMBER(Data!$W$2:$W$2277),Data!$W$2:$W$2277,0))/SUMPRODUCT((Data!$D$2:$D$2277=A33)*(Data!$E$2:$E$2277=C33)*(Data!$M$2:$M$2277="Kyrylo Budanov")),"")</f>
        <v>3.2</v>
      </c>
      <c r="G33" s="9">
        <f>IF(SUMPRODUCT((Data!$D$2:$D$2277=A33)*(Data!$E$2:$E$2277=C33)*(Data!$M$2:$M$2277="Pyotr Poroshenko"))&gt;0,SUMPRODUCT((Data!$D$2:$D$2277=A33)*(Data!$E$2:$E$2277=C33)*(Data!$M$2:$M$2277="Pyotr Poroshenko")*IF(ISNUMBER(Data!$W$2:$W$2277),Data!$W$2:$W$2277,0))/SUMPRODUCT((Data!$D$2:$D$2277=A33)*(Data!$E$2:$E$2277=C33)*(Data!$M$2:$M$2277="Pyotr Poroshenko")),"")</f>
        <v>6.4</v>
      </c>
      <c r="H33" s="10">
        <f t="array" ref="H33">IFERROR(INDEX(Avg!$F$2:$F$50,MATCH(DATE(YEAR(A33),MONTH(A33),1),Avg!$A$2:$A$50,0)),"")</f>
        <v>21.97767234</v>
      </c>
      <c r="I33" s="10">
        <f t="array" ref="I33">IFERROR(INDEX(Avg!$G$2:$G$50,MATCH(DATE(YEAR(A33),MONTH(A33),1),Avg!$A$2:$A$50,0)),"")</f>
        <v>33.99812013</v>
      </c>
      <c r="J33" s="10">
        <f t="array" ref="J33">IFERROR(INDEX(Avg!$H$2:$H$50,MATCH(DATE(YEAR(A33),MONTH(A33),1),Avg!$A$2:$A$50,0)),"")</f>
        <v>0.5651360056</v>
      </c>
      <c r="K33" s="10">
        <f t="array" ref="K33">IFERROR(INDEX(Avg!$I$2:$I$50,MATCH(DATE(YEAR(A33),MONTH(A33),1),Avg!$A$2:$A$50,0)),"")</f>
        <v>8.471465103</v>
      </c>
      <c r="L33" s="11">
        <f t="array" ref="L33">IFERROR(INDEX(Avg!$L$2:$L$50,MATCH(DATE(YEAR(A33),MONTH(A33),1),Avg!$A$2:$A$50,0)),"")</f>
        <v>26.94773032</v>
      </c>
      <c r="M33" s="11">
        <f t="array" ref="M33">IFERROR(INDEX(Avg!$M$2:$M$50,MATCH(DATE(YEAR(A33),MONTH(A33),1),Avg!$A$2:$A$50,0)),"")</f>
        <v>32.22514691</v>
      </c>
      <c r="N33" s="11">
        <f t="array" ref="N33">IFERROR(INDEX(Avg!$N$2:$N$50,MATCH(DATE(YEAR(A33),MONTH(A33),1),Avg!$A$2:$A$50,0)),"")</f>
        <v>0.3925680028</v>
      </c>
      <c r="O33" s="11">
        <f t="array" ref="O33">IFERROR(INDEX(Avg!$O$2:$O$50,MATCH(DATE(YEAR(A33),MONTH(A33),1),Avg!$A$2:$A$50,0)),"")</f>
        <v>8.980736118</v>
      </c>
    </row>
    <row r="34" ht="15.75" customHeight="1">
      <c r="A34" s="7" t="s">
        <v>78</v>
      </c>
      <c r="B34" s="7" t="s">
        <v>77</v>
      </c>
      <c r="C34" s="8" t="s">
        <v>61</v>
      </c>
      <c r="D34" s="9">
        <f>IF(SUMPRODUCT((Data!$D$2:$D$2277=A34)*(Data!$E$2:$E$2277=C34)*(Data!$M$2:$M$2277="Vladimir Zelenskiy"))&gt;0,SUMPRODUCT((Data!$D$2:$D$2277=A34)*(Data!$E$2:$E$2277=C34)*(Data!$M$2:$M$2277="Vladimir Zelenskiy")*IF(ISNUMBER(Data!$W$2:$W$2277),Data!$W$2:$W$2277,0))/SUMPRODUCT((Data!$D$2:$D$2277=A34)*(Data!$E$2:$E$2277=C34)*(Data!$M$2:$M$2277="Vladimir Zelenskiy")),"")</f>
        <v>18.59</v>
      </c>
      <c r="E34" s="9">
        <f>IF(SUMPRODUCT((Data!$D$2:$D$2277=A34)*(Data!$E$2:$E$2277=C34)*(Data!$M$2:$M$2277="Valerii Zaluzhniy"))&gt;0,SUMPRODUCT((Data!$D$2:$D$2277=A34)*(Data!$E$2:$E$2277=C34)*(Data!$M$2:$M$2277="Valerii Zaluzhniy")*IF(ISNUMBER(Data!$W$2:$W$2277),Data!$W$2:$W$2277,0))/SUMPRODUCT((Data!$D$2:$D$2277=A34)*(Data!$E$2:$E$2277=C34)*(Data!$M$2:$M$2277="Valerii Zaluzhniy")),"")</f>
        <v>38.16</v>
      </c>
      <c r="F34" s="9" t="str">
        <f>IF(SUMPRODUCT((Data!$D$2:$D$2277=A34)*(Data!$E$2:$E$2277=C34)*(Data!$M$2:$M$2277="Kyrylo Budanov"))&gt;0,SUMPRODUCT((Data!$D$2:$D$2277=A34)*(Data!$E$2:$E$2277=C34)*(Data!$M$2:$M$2277="Kyrylo Budanov")*IF(ISNUMBER(Data!$W$2:$W$2277),Data!$W$2:$W$2277,0))/SUMPRODUCT((Data!$D$2:$D$2277=A34)*(Data!$E$2:$E$2277=C34)*(Data!$M$2:$M$2277="Kyrylo Budanov")),"")</f>
        <v/>
      </c>
      <c r="G34" s="9">
        <f>IF(SUMPRODUCT((Data!$D$2:$D$2277=A34)*(Data!$E$2:$E$2277=C34)*(Data!$M$2:$M$2277="Pyotr Poroshenko"))&gt;0,SUMPRODUCT((Data!$D$2:$D$2277=A34)*(Data!$E$2:$E$2277=C34)*(Data!$M$2:$M$2277="Pyotr Poroshenko")*IF(ISNUMBER(Data!$W$2:$W$2277),Data!$W$2:$W$2277,0))/SUMPRODUCT((Data!$D$2:$D$2277=A34)*(Data!$E$2:$E$2277=C34)*(Data!$M$2:$M$2277="Pyotr Poroshenko")),"")</f>
        <v>11.11</v>
      </c>
      <c r="H34" s="10">
        <f t="array" ref="H34">IFERROR(INDEX(Avg!$F$2:$F$50,MATCH(DATE(YEAR(A34),MONTH(A34),1),Avg!$A$2:$A$50,0)),"")</f>
        <v>28.05160663</v>
      </c>
      <c r="I34" s="10">
        <f t="array" ref="I34">IFERROR(INDEX(Avg!$G$2:$G$50,MATCH(DATE(YEAR(A34),MONTH(A34),1),Avg!$A$2:$A$50,0)),"")</f>
        <v>31.75979317</v>
      </c>
      <c r="J34" s="10">
        <f t="array" ref="J34">IFERROR(INDEX(Avg!$H$2:$H$50,MATCH(DATE(YEAR(A34),MONTH(A34),1),Avg!$A$2:$A$50,0)),"")</f>
        <v>0.22</v>
      </c>
      <c r="K34" s="10">
        <f t="array" ref="K34">IFERROR(INDEX(Avg!$I$2:$I$50,MATCH(DATE(YEAR(A34),MONTH(A34),1),Avg!$A$2:$A$50,0)),"")</f>
        <v>9.959941573</v>
      </c>
      <c r="L34" s="11">
        <f t="array" ref="L34">IFERROR(INDEX(Avg!$L$2:$L$50,MATCH(DATE(YEAR(A34),MONTH(A34),1),Avg!$A$2:$A$50,0)),"")</f>
        <v>36.81152816</v>
      </c>
      <c r="M34" s="11">
        <f t="array" ref="M34">IFERROR(INDEX(Avg!$M$2:$M$50,MATCH(DATE(YEAR(A34),MONTH(A34),1),Avg!$A$2:$A$50,0)),"")</f>
        <v>28.99245393</v>
      </c>
      <c r="N34" s="11">
        <f t="array" ref="N34">IFERROR(INDEX(Avg!$N$2:$N$50,MATCH(DATE(YEAR(A34),MONTH(A34),1),Avg!$A$2:$A$50,0)),"")</f>
        <v>0.22</v>
      </c>
      <c r="O34" s="11">
        <f t="array" ref="O34">IFERROR(INDEX(Avg!$O$2:$O$50,MATCH(DATE(YEAR(A34),MONTH(A34),1),Avg!$A$2:$A$50,0)),"")</f>
        <v>9.065976463</v>
      </c>
    </row>
    <row r="35" ht="15.75" customHeight="1">
      <c r="A35" s="7" t="s">
        <v>79</v>
      </c>
      <c r="B35" s="7" t="s">
        <v>80</v>
      </c>
      <c r="C35" s="8" t="s">
        <v>61</v>
      </c>
      <c r="D35" s="9">
        <f>IF(SUMPRODUCT((Data!$D$2:$D$2277=A35)*(Data!$E$2:$E$2277=C35)*(Data!$M$2:$M$2277="Vladimir Zelenskiy"))&gt;0,SUMPRODUCT((Data!$D$2:$D$2277=A35)*(Data!$E$2:$E$2277=C35)*(Data!$M$2:$M$2277="Vladimir Zelenskiy")*IF(ISNUMBER(Data!$W$2:$W$2277),Data!$W$2:$W$2277,0))/SUMPRODUCT((Data!$D$2:$D$2277=A35)*(Data!$E$2:$E$2277=C35)*(Data!$M$2:$M$2277="Vladimir Zelenskiy")),"")</f>
        <v>22.74</v>
      </c>
      <c r="E35" s="9">
        <f>IF(SUMPRODUCT((Data!$D$2:$D$2277=A35)*(Data!$E$2:$E$2277=C35)*(Data!$M$2:$M$2277="Valerii Zaluzhniy"))&gt;0,SUMPRODUCT((Data!$D$2:$D$2277=A35)*(Data!$E$2:$E$2277=C35)*(Data!$M$2:$M$2277="Valerii Zaluzhniy")*IF(ISNUMBER(Data!$W$2:$W$2277),Data!$W$2:$W$2277,0))/SUMPRODUCT((Data!$D$2:$D$2277=A35)*(Data!$E$2:$E$2277=C35)*(Data!$M$2:$M$2277="Valerii Zaluzhniy")),"")</f>
        <v>32.44</v>
      </c>
      <c r="F35" s="9">
        <f>IF(SUMPRODUCT((Data!$D$2:$D$2277=A35)*(Data!$E$2:$E$2277=C35)*(Data!$M$2:$M$2277="Kyrylo Budanov"))&gt;0,SUMPRODUCT((Data!$D$2:$D$2277=A35)*(Data!$E$2:$E$2277=C35)*(Data!$M$2:$M$2277="Kyrylo Budanov")*IF(ISNUMBER(Data!$W$2:$W$2277),Data!$W$2:$W$2277,0))/SUMPRODUCT((Data!$D$2:$D$2277=A35)*(Data!$E$2:$E$2277=C35)*(Data!$M$2:$M$2277="Kyrylo Budanov")),"")</f>
        <v>0.22</v>
      </c>
      <c r="G35" s="9">
        <f>IF(SUMPRODUCT((Data!$D$2:$D$2277=A35)*(Data!$E$2:$E$2277=C35)*(Data!$M$2:$M$2277="Pyotr Poroshenko"))&gt;0,SUMPRODUCT((Data!$D$2:$D$2277=A35)*(Data!$E$2:$E$2277=C35)*(Data!$M$2:$M$2277="Pyotr Poroshenko")*IF(ISNUMBER(Data!$W$2:$W$2277),Data!$W$2:$W$2277,0))/SUMPRODUCT((Data!$D$2:$D$2277=A35)*(Data!$E$2:$E$2277=C35)*(Data!$M$2:$M$2277="Pyotr Poroshenko")),"")</f>
        <v>9.63</v>
      </c>
      <c r="H35" s="10">
        <f t="array" ref="H35">IFERROR(INDEX(Avg!$F$2:$F$50,MATCH(DATE(YEAR(A35),MONTH(A35),1),Avg!$A$2:$A$50,0)),"")</f>
        <v>39.65015163</v>
      </c>
      <c r="I35" s="10">
        <f t="array" ref="I35">IFERROR(INDEX(Avg!$G$2:$G$50,MATCH(DATE(YEAR(A35),MONTH(A35),1),Avg!$A$2:$A$50,0)),"")</f>
        <v>27.83693473</v>
      </c>
      <c r="J35" s="10">
        <f t="array" ref="J35">IFERROR(INDEX(Avg!$H$2:$H$50,MATCH(DATE(YEAR(A35),MONTH(A35),1),Avg!$A$2:$A$50,0)),"")</f>
        <v>0.22</v>
      </c>
      <c r="K35" s="10">
        <f t="array" ref="K35">IFERROR(INDEX(Avg!$I$2:$I$50,MATCH(DATE(YEAR(A35),MONTH(A35),1),Avg!$A$2:$A$50,0)),"")</f>
        <v>8.550138255</v>
      </c>
      <c r="L35" s="11">
        <f t="array" ref="L35">IFERROR(INDEX(Avg!$L$2:$L$50,MATCH(DATE(YEAR(A35),MONTH(A35),1),Avg!$A$2:$A$50,0)),"")</f>
        <v>49.59089442</v>
      </c>
      <c r="M35" s="11">
        <f t="array" ref="M35">IFERROR(INDEX(Avg!$M$2:$M$50,MATCH(DATE(YEAR(A35),MONTH(A35),1),Avg!$A$2:$A$50,0)),"")</f>
        <v>25.39395342</v>
      </c>
      <c r="N35" s="11">
        <f t="array" ref="N35">IFERROR(INDEX(Avg!$N$2:$N$50,MATCH(DATE(YEAR(A35),MONTH(A35),1),Avg!$A$2:$A$50,0)),"")</f>
        <v>0.22</v>
      </c>
      <c r="O35" s="11">
        <f t="array" ref="O35">IFERROR(INDEX(Avg!$O$2:$O$50,MATCH(DATE(YEAR(A35),MONTH(A35),1),Avg!$A$2:$A$50,0)),"")</f>
        <v>8.188018089</v>
      </c>
    </row>
    <row r="36" ht="15.75" customHeight="1">
      <c r="A36" s="7" t="s">
        <v>81</v>
      </c>
      <c r="B36" s="7" t="s">
        <v>82</v>
      </c>
      <c r="C36" s="8" t="s">
        <v>30</v>
      </c>
      <c r="D36" s="9">
        <f>IF(SUMPRODUCT((Data!$D$2:$D$2277=A36)*(Data!$E$2:$E$2277=C36)*(Data!$M$2:$M$2277="Vladimir Zelenskiy"))&gt;0,SUMPRODUCT((Data!$D$2:$D$2277=A36)*(Data!$E$2:$E$2277=C36)*(Data!$M$2:$M$2277="Vladimir Zelenskiy")*IF(ISNUMBER(Data!$W$2:$W$2277),Data!$W$2:$W$2277,0))/SUMPRODUCT((Data!$D$2:$D$2277=A36)*(Data!$E$2:$E$2277=C36)*(Data!$M$2:$M$2277="Vladimir Zelenskiy")),"")</f>
        <v>53.7</v>
      </c>
      <c r="E36" s="9">
        <f>IF(SUMPRODUCT((Data!$D$2:$D$2277=A36)*(Data!$E$2:$E$2277=C36)*(Data!$M$2:$M$2277="Valerii Zaluzhniy"))&gt;0,SUMPRODUCT((Data!$D$2:$D$2277=A36)*(Data!$E$2:$E$2277=C36)*(Data!$M$2:$M$2277="Valerii Zaluzhniy")*IF(ISNUMBER(Data!$W$2:$W$2277),Data!$W$2:$W$2277,0))/SUMPRODUCT((Data!$D$2:$D$2277=A36)*(Data!$E$2:$E$2277=C36)*(Data!$M$2:$M$2277="Valerii Zaluzhniy")),"")</f>
        <v>17.1</v>
      </c>
      <c r="F36" s="9" t="str">
        <f>IF(SUMPRODUCT((Data!$D$2:$D$2277=A36)*(Data!$E$2:$E$2277=C36)*(Data!$M$2:$M$2277="Kyrylo Budanov"))&gt;0,SUMPRODUCT((Data!$D$2:$D$2277=A36)*(Data!$E$2:$E$2277=C36)*(Data!$M$2:$M$2277="Kyrylo Budanov")*IF(ISNUMBER(Data!$W$2:$W$2277),Data!$W$2:$W$2277,0))/SUMPRODUCT((Data!$D$2:$D$2277=A36)*(Data!$E$2:$E$2277=C36)*(Data!$M$2:$M$2277="Kyrylo Budanov")),"")</f>
        <v/>
      </c>
      <c r="G36" s="9">
        <f>IF(SUMPRODUCT((Data!$D$2:$D$2277=A36)*(Data!$E$2:$E$2277=C36)*(Data!$M$2:$M$2277="Pyotr Poroshenko"))&gt;0,SUMPRODUCT((Data!$D$2:$D$2277=A36)*(Data!$E$2:$E$2277=C36)*(Data!$M$2:$M$2277="Pyotr Poroshenko")*IF(ISNUMBER(Data!$W$2:$W$2277),Data!$W$2:$W$2277,0))/SUMPRODUCT((Data!$D$2:$D$2277=A36)*(Data!$E$2:$E$2277=C36)*(Data!$M$2:$M$2277="Pyotr Poroshenko")),"")</f>
        <v>7.4</v>
      </c>
      <c r="H36" s="10">
        <f t="array" ref="H36">IFERROR(INDEX(Avg!$F$2:$F$50,MATCH(DATE(YEAR(A36),MONTH(A36),1),Avg!$A$2:$A$50,0)),"")</f>
        <v>57.41404577</v>
      </c>
      <c r="I36" s="10">
        <f t="array" ref="I36">IFERROR(INDEX(Avg!$G$2:$G$50,MATCH(DATE(YEAR(A36),MONTH(A36),1),Avg!$A$2:$A$50,0)),"")</f>
        <v>23.00147459</v>
      </c>
      <c r="J36" s="10" t="str">
        <f t="array" ref="J36">IFERROR(INDEX(Avg!$H$2:$H$50,MATCH(DATE(YEAR(A36),MONTH(A36),1),Avg!$A$2:$A$50,0)),"")</f>
        <v/>
      </c>
      <c r="K36" s="10">
        <f t="array" ref="K36">IFERROR(INDEX(Avg!$I$2:$I$50,MATCH(DATE(YEAR(A36),MONTH(A36),1),Avg!$A$2:$A$50,0)),"")</f>
        <v>7.415757551</v>
      </c>
      <c r="L36" s="11">
        <f t="array" ref="L36">IFERROR(INDEX(Avg!$L$2:$L$50,MATCH(DATE(YEAR(A36),MONTH(A36),1),Avg!$A$2:$A$50,0)),"")</f>
        <v>61.03269711</v>
      </c>
      <c r="M36" s="11">
        <f t="array" ref="M36">IFERROR(INDEX(Avg!$M$2:$M$50,MATCH(DATE(YEAR(A36),MONTH(A36),1),Avg!$A$2:$A$50,0)),"")</f>
        <v>23.11071541</v>
      </c>
      <c r="N36" s="11" t="str">
        <f t="array" ref="N36">IFERROR(INDEX(Avg!$N$2:$N$50,MATCH(DATE(YEAR(A36),MONTH(A36),1),Avg!$A$2:$A$50,0)),"")</f>
        <v/>
      </c>
      <c r="O36" s="11">
        <f t="array" ref="O36">IFERROR(INDEX(Avg!$O$2:$O$50,MATCH(DATE(YEAR(A36),MONTH(A36),1),Avg!$A$2:$A$50,0)),"")</f>
        <v>7.78696702</v>
      </c>
    </row>
    <row r="37" ht="15.75" customHeight="1">
      <c r="A37" s="7" t="s">
        <v>80</v>
      </c>
      <c r="B37" s="7" t="s">
        <v>82</v>
      </c>
      <c r="C37" s="8" t="s">
        <v>40</v>
      </c>
      <c r="D37" s="9">
        <f>IF(SUMPRODUCT((Data!$D$2:$D$2277=A37)*(Data!$E$2:$E$2277=C37)*(Data!$M$2:$M$2277="Vladimir Zelenskiy"))&gt;0,SUMPRODUCT((Data!$D$2:$D$2277=A37)*(Data!$E$2:$E$2277=C37)*(Data!$M$2:$M$2277="Vladimir Zelenskiy")*IF(ISNUMBER(Data!$W$2:$W$2277),Data!$W$2:$W$2277,0))/SUMPRODUCT((Data!$D$2:$D$2277=A37)*(Data!$E$2:$E$2277=C37)*(Data!$M$2:$M$2277="Vladimir Zelenskiy")),"")</f>
        <v>47.4</v>
      </c>
      <c r="E37" s="9">
        <f>IF(SUMPRODUCT((Data!$D$2:$D$2277=A37)*(Data!$E$2:$E$2277=C37)*(Data!$M$2:$M$2277="Valerii Zaluzhniy"))&gt;0,SUMPRODUCT((Data!$D$2:$D$2277=A37)*(Data!$E$2:$E$2277=C37)*(Data!$M$2:$M$2277="Valerii Zaluzhniy")*IF(ISNUMBER(Data!$W$2:$W$2277),Data!$W$2:$W$2277,0))/SUMPRODUCT((Data!$D$2:$D$2277=A37)*(Data!$E$2:$E$2277=C37)*(Data!$M$2:$M$2277="Valerii Zaluzhniy")),"")</f>
        <v>30.7</v>
      </c>
      <c r="F37" s="9" t="str">
        <f>IF(SUMPRODUCT((Data!$D$2:$D$2277=A37)*(Data!$E$2:$E$2277=C37)*(Data!$M$2:$M$2277="Kyrylo Budanov"))&gt;0,SUMPRODUCT((Data!$D$2:$D$2277=A37)*(Data!$E$2:$E$2277=C37)*(Data!$M$2:$M$2277="Kyrylo Budanov")*IF(ISNUMBER(Data!$W$2:$W$2277),Data!$W$2:$W$2277,0))/SUMPRODUCT((Data!$D$2:$D$2277=A37)*(Data!$E$2:$E$2277=C37)*(Data!$M$2:$M$2277="Kyrylo Budanov")),"")</f>
        <v/>
      </c>
      <c r="G37" s="9">
        <f>IF(SUMPRODUCT((Data!$D$2:$D$2277=A37)*(Data!$E$2:$E$2277=C37)*(Data!$M$2:$M$2277="Pyotr Poroshenko"))&gt;0,SUMPRODUCT((Data!$D$2:$D$2277=A37)*(Data!$E$2:$E$2277=C37)*(Data!$M$2:$M$2277="Pyotr Poroshenko")*IF(ISNUMBER(Data!$W$2:$W$2277),Data!$W$2:$W$2277,0))/SUMPRODUCT((Data!$D$2:$D$2277=A37)*(Data!$E$2:$E$2277=C37)*(Data!$M$2:$M$2277="Pyotr Poroshenko")),"")</f>
        <v>4.6</v>
      </c>
      <c r="H37" s="10">
        <f t="array" ref="H37">IFERROR(INDEX(Avg!$F$2:$F$50,MATCH(DATE(YEAR(A37),MONTH(A37),1),Avg!$A$2:$A$50,0)),"")</f>
        <v>57.41404577</v>
      </c>
      <c r="I37" s="10">
        <f t="array" ref="I37">IFERROR(INDEX(Avg!$G$2:$G$50,MATCH(DATE(YEAR(A37),MONTH(A37),1),Avg!$A$2:$A$50,0)),"")</f>
        <v>23.00147459</v>
      </c>
      <c r="J37" s="10" t="str">
        <f t="array" ref="J37">IFERROR(INDEX(Avg!$H$2:$H$50,MATCH(DATE(YEAR(A37),MONTH(A37),1),Avg!$A$2:$A$50,0)),"")</f>
        <v/>
      </c>
      <c r="K37" s="10">
        <f t="array" ref="K37">IFERROR(INDEX(Avg!$I$2:$I$50,MATCH(DATE(YEAR(A37),MONTH(A37),1),Avg!$A$2:$A$50,0)),"")</f>
        <v>7.415757551</v>
      </c>
      <c r="L37" s="11">
        <f t="array" ref="L37">IFERROR(INDEX(Avg!$L$2:$L$50,MATCH(DATE(YEAR(A37),MONTH(A37),1),Avg!$A$2:$A$50,0)),"")</f>
        <v>61.03269711</v>
      </c>
      <c r="M37" s="11">
        <f t="array" ref="M37">IFERROR(INDEX(Avg!$M$2:$M$50,MATCH(DATE(YEAR(A37),MONTH(A37),1),Avg!$A$2:$A$50,0)),"")</f>
        <v>23.11071541</v>
      </c>
      <c r="N37" s="11" t="str">
        <f t="array" ref="N37">IFERROR(INDEX(Avg!$N$2:$N$50,MATCH(DATE(YEAR(A37),MONTH(A37),1),Avg!$A$2:$A$50,0)),"")</f>
        <v/>
      </c>
      <c r="O37" s="11">
        <f t="array" ref="O37">IFERROR(INDEX(Avg!$O$2:$O$50,MATCH(DATE(YEAR(A37),MONTH(A37),1),Avg!$A$2:$A$50,0)),"")</f>
        <v>7.78696702</v>
      </c>
    </row>
    <row r="38" ht="15.75" customHeight="1">
      <c r="A38" s="7" t="s">
        <v>83</v>
      </c>
      <c r="B38" s="7" t="s">
        <v>84</v>
      </c>
      <c r="C38" s="8" t="s">
        <v>85</v>
      </c>
      <c r="D38" s="9">
        <f>IF(SUMPRODUCT((Data!$D$2:$D$2277=A38)*(Data!$E$2:$E$2277=C38)*(Data!$M$2:$M$2277="Vladimir Zelenskiy"))&gt;0,SUMPRODUCT((Data!$D$2:$D$2277=A38)*(Data!$E$2:$E$2277=C38)*(Data!$M$2:$M$2277="Vladimir Zelenskiy")*IF(ISNUMBER(Data!$W$2:$W$2277),Data!$W$2:$W$2277,0))/SUMPRODUCT((Data!$D$2:$D$2277=A38)*(Data!$E$2:$E$2277=C38)*(Data!$M$2:$M$2277="Vladimir Zelenskiy")),"")</f>
        <v>45</v>
      </c>
      <c r="E38" s="9">
        <f>IF(SUMPRODUCT((Data!$D$2:$D$2277=A38)*(Data!$E$2:$E$2277=C38)*(Data!$M$2:$M$2277="Valerii Zaluzhniy"))&gt;0,SUMPRODUCT((Data!$D$2:$D$2277=A38)*(Data!$E$2:$E$2277=C38)*(Data!$M$2:$M$2277="Valerii Zaluzhniy")*IF(ISNUMBER(Data!$W$2:$W$2277),Data!$W$2:$W$2277,0))/SUMPRODUCT((Data!$D$2:$D$2277=A38)*(Data!$E$2:$E$2277=C38)*(Data!$M$2:$M$2277="Valerii Zaluzhniy")),"")</f>
        <v>15</v>
      </c>
      <c r="F38" s="9" t="str">
        <f>IF(SUMPRODUCT((Data!$D$2:$D$2277=A38)*(Data!$E$2:$E$2277=C38)*(Data!$M$2:$M$2277="Kyrylo Budanov"))&gt;0,SUMPRODUCT((Data!$D$2:$D$2277=A38)*(Data!$E$2:$E$2277=C38)*(Data!$M$2:$M$2277="Kyrylo Budanov")*IF(ISNUMBER(Data!$W$2:$W$2277),Data!$W$2:$W$2277,0))/SUMPRODUCT((Data!$D$2:$D$2277=A38)*(Data!$E$2:$E$2277=C38)*(Data!$M$2:$M$2277="Kyrylo Budanov")),"")</f>
        <v/>
      </c>
      <c r="G38" s="9">
        <f>IF(SUMPRODUCT((Data!$D$2:$D$2277=A38)*(Data!$E$2:$E$2277=C38)*(Data!$M$2:$M$2277="Pyotr Poroshenko"))&gt;0,SUMPRODUCT((Data!$D$2:$D$2277=A38)*(Data!$E$2:$E$2277=C38)*(Data!$M$2:$M$2277="Pyotr Poroshenko")*IF(ISNUMBER(Data!$W$2:$W$2277),Data!$W$2:$W$2277,0))/SUMPRODUCT((Data!$D$2:$D$2277=A38)*(Data!$E$2:$E$2277=C38)*(Data!$M$2:$M$2277="Pyotr Poroshenko")),"")</f>
        <v>19</v>
      </c>
      <c r="H38" s="10">
        <f t="array" ref="H38">IFERROR(INDEX(Avg!$F$2:$F$50,MATCH(DATE(YEAR(A38),MONTH(A38),1),Avg!$A$2:$A$50,0)),"")</f>
        <v>63.76682004</v>
      </c>
      <c r="I38" s="10">
        <f t="array" ref="I38">IFERROR(INDEX(Avg!$G$2:$G$50,MATCH(DATE(YEAR(A38),MONTH(A38),1),Avg!$A$2:$A$50,0)),"")</f>
        <v>22.84996714</v>
      </c>
      <c r="J38" s="10" t="str">
        <f t="array" ref="J38">IFERROR(INDEX(Avg!$H$2:$H$50,MATCH(DATE(YEAR(A38),MONTH(A38),1),Avg!$A$2:$A$50,0)),"")</f>
        <v/>
      </c>
      <c r="K38" s="10">
        <f t="array" ref="K38">IFERROR(INDEX(Avg!$I$2:$I$50,MATCH(DATE(YEAR(A38),MONTH(A38),1),Avg!$A$2:$A$50,0)),"")</f>
        <v>8.646178669</v>
      </c>
      <c r="L38" s="11">
        <f t="array" ref="L38">IFERROR(INDEX(Avg!$L$2:$L$50,MATCH(DATE(YEAR(A38),MONTH(A38),1),Avg!$A$2:$A$50,0)),"")</f>
        <v>65.09361265</v>
      </c>
      <c r="M38" s="11">
        <f t="array" ref="M38">IFERROR(INDEX(Avg!$M$2:$M$50,MATCH(DATE(YEAR(A38),MONTH(A38),1),Avg!$A$2:$A$50,0)),"")</f>
        <v>23.40495079</v>
      </c>
      <c r="N38" s="11" t="str">
        <f t="array" ref="N38">IFERROR(INDEX(Avg!$N$2:$N$50,MATCH(DATE(YEAR(A38),MONTH(A38),1),Avg!$A$2:$A$50,0)),"")</f>
        <v/>
      </c>
      <c r="O38" s="11">
        <f t="array" ref="O38">IFERROR(INDEX(Avg!$O$2:$O$50,MATCH(DATE(YEAR(A38),MONTH(A38),1),Avg!$A$2:$A$50,0)),"")</f>
        <v>7.914175397</v>
      </c>
    </row>
    <row r="39" ht="15.75" customHeight="1">
      <c r="A39" s="7" t="s">
        <v>86</v>
      </c>
      <c r="B39" s="7" t="s">
        <v>87</v>
      </c>
      <c r="C39" s="8" t="s">
        <v>85</v>
      </c>
      <c r="D39" s="9">
        <f>IF(SUMPRODUCT((Data!$D$2:$D$2277=A39)*(Data!$E$2:$E$2277=C39)*(Data!$M$2:$M$2277="Vladimir Zelenskiy"))&gt;0,SUMPRODUCT((Data!$D$2:$D$2277=A39)*(Data!$E$2:$E$2277=C39)*(Data!$M$2:$M$2277="Vladimir Zelenskiy")*IF(ISNUMBER(Data!$W$2:$W$2277),Data!$W$2:$W$2277,0))/SUMPRODUCT((Data!$D$2:$D$2277=A39)*(Data!$E$2:$E$2277=C39)*(Data!$M$2:$M$2277="Vladimir Zelenskiy")),"")</f>
        <v>54</v>
      </c>
      <c r="E39" s="9">
        <f>IF(SUMPRODUCT((Data!$D$2:$D$2277=A39)*(Data!$E$2:$E$2277=C39)*(Data!$M$2:$M$2277="Valerii Zaluzhniy"))&gt;0,SUMPRODUCT((Data!$D$2:$D$2277=A39)*(Data!$E$2:$E$2277=C39)*(Data!$M$2:$M$2277="Valerii Zaluzhniy")*IF(ISNUMBER(Data!$W$2:$W$2277),Data!$W$2:$W$2277,0))/SUMPRODUCT((Data!$D$2:$D$2277=A39)*(Data!$E$2:$E$2277=C39)*(Data!$M$2:$M$2277="Valerii Zaluzhniy")),"")</f>
        <v>17</v>
      </c>
      <c r="F39" s="9">
        <f>IF(SUMPRODUCT((Data!$D$2:$D$2277=A39)*(Data!$E$2:$E$2277=C39)*(Data!$M$2:$M$2277="Kyrylo Budanov"))&gt;0,SUMPRODUCT((Data!$D$2:$D$2277=A39)*(Data!$E$2:$E$2277=C39)*(Data!$M$2:$M$2277="Kyrylo Budanov")*IF(ISNUMBER(Data!$W$2:$W$2277),Data!$W$2:$W$2277,0))/SUMPRODUCT((Data!$D$2:$D$2277=A39)*(Data!$E$2:$E$2277=C39)*(Data!$M$2:$M$2277="Kyrylo Budanov")),"")</f>
        <v>1</v>
      </c>
      <c r="G39" s="9">
        <f>IF(SUMPRODUCT((Data!$D$2:$D$2277=A39)*(Data!$E$2:$E$2277=C39)*(Data!$M$2:$M$2277="Pyotr Poroshenko"))&gt;0,SUMPRODUCT((Data!$D$2:$D$2277=A39)*(Data!$E$2:$E$2277=C39)*(Data!$M$2:$M$2277="Pyotr Poroshenko")*IF(ISNUMBER(Data!$W$2:$W$2277),Data!$W$2:$W$2277,0))/SUMPRODUCT((Data!$D$2:$D$2277=A39)*(Data!$E$2:$E$2277=C39)*(Data!$M$2:$M$2277="Pyotr Poroshenko")),"")</f>
        <v>7</v>
      </c>
      <c r="H39" s="10">
        <f t="array" ref="H39">IFERROR(INDEX(Avg!$F$2:$F$50,MATCH(DATE(YEAR(A39),MONTH(A39),1),Avg!$A$2:$A$50,0)),"")</f>
        <v>66.42040527</v>
      </c>
      <c r="I39" s="10">
        <f t="array" ref="I39">IFERROR(INDEX(Avg!$G$2:$G$50,MATCH(DATE(YEAR(A39),MONTH(A39),1),Avg!$A$2:$A$50,0)),"")</f>
        <v>23.95993445</v>
      </c>
      <c r="J39" s="10" t="str">
        <f t="array" ref="J39">IFERROR(INDEX(Avg!$H$2:$H$50,MATCH(DATE(YEAR(A39),MONTH(A39),1),Avg!$A$2:$A$50,0)),"")</f>
        <v/>
      </c>
      <c r="K39" s="10">
        <f t="array" ref="K39">IFERROR(INDEX(Avg!$I$2:$I$50,MATCH(DATE(YEAR(A39),MONTH(A39),1),Avg!$A$2:$A$50,0)),"")</f>
        <v>7.182172126</v>
      </c>
      <c r="L39" s="11">
        <f t="array" ref="L39">IFERROR(INDEX(Avg!$L$2:$L$50,MATCH(DATE(YEAR(A39),MONTH(A39),1),Avg!$A$2:$A$50,0)),"")</f>
        <v>68.3235671</v>
      </c>
      <c r="M39" s="11">
        <f t="array" ref="M39">IFERROR(INDEX(Avg!$M$2:$M$50,MATCH(DATE(YEAR(A39),MONTH(A39),1),Avg!$A$2:$A$50,0)),"")</f>
        <v>25.01241039</v>
      </c>
      <c r="N39" s="11" t="str">
        <f t="array" ref="N39">IFERROR(INDEX(Avg!$N$2:$N$50,MATCH(DATE(YEAR(A39),MONTH(A39),1),Avg!$A$2:$A$50,0)),"")</f>
        <v/>
      </c>
      <c r="O39" s="11">
        <f t="array" ref="O39">IFERROR(INDEX(Avg!$O$2:$O$50,MATCH(DATE(YEAR(A39),MONTH(A39),1),Avg!$A$2:$A$50,0)),"")</f>
        <v>7.210552693</v>
      </c>
    </row>
    <row r="40" ht="15.75" customHeight="1">
      <c r="A40" s="7" t="s">
        <v>88</v>
      </c>
      <c r="B40" s="7" t="s">
        <v>89</v>
      </c>
      <c r="C40" s="8" t="s">
        <v>85</v>
      </c>
      <c r="D40" s="9">
        <f>IF(SUMPRODUCT((Data!$D$2:$D$2277=A40)*(Data!$E$2:$E$2277=C40)*(Data!$M$2:$M$2277="Vladimir Zelenskiy"))&gt;0,SUMPRODUCT((Data!$D$2:$D$2277=A40)*(Data!$E$2:$E$2277=C40)*(Data!$M$2:$M$2277="Vladimir Zelenskiy")*IF(ISNUMBER(Data!$W$2:$W$2277),Data!$W$2:$W$2277,0))/SUMPRODUCT((Data!$D$2:$D$2277=A40)*(Data!$E$2:$E$2277=C40)*(Data!$M$2:$M$2277="Vladimir Zelenskiy")),"")</f>
        <v>55</v>
      </c>
      <c r="E40" s="9">
        <f>IF(SUMPRODUCT((Data!$D$2:$D$2277=A40)*(Data!$E$2:$E$2277=C40)*(Data!$M$2:$M$2277="Valerii Zaluzhniy"))&gt;0,SUMPRODUCT((Data!$D$2:$D$2277=A40)*(Data!$E$2:$E$2277=C40)*(Data!$M$2:$M$2277="Valerii Zaluzhniy")*IF(ISNUMBER(Data!$W$2:$W$2277),Data!$W$2:$W$2277,0))/SUMPRODUCT((Data!$D$2:$D$2277=A40)*(Data!$E$2:$E$2277=C40)*(Data!$M$2:$M$2277="Valerii Zaluzhniy")),"")</f>
        <v>18</v>
      </c>
      <c r="F40" s="9" t="str">
        <f>IF(SUMPRODUCT((Data!$D$2:$D$2277=A40)*(Data!$E$2:$E$2277=C40)*(Data!$M$2:$M$2277="Kyrylo Budanov"))&gt;0,SUMPRODUCT((Data!$D$2:$D$2277=A40)*(Data!$E$2:$E$2277=C40)*(Data!$M$2:$M$2277="Kyrylo Budanov")*IF(ISNUMBER(Data!$W$2:$W$2277),Data!$W$2:$W$2277,0))/SUMPRODUCT((Data!$D$2:$D$2277=A40)*(Data!$E$2:$E$2277=C40)*(Data!$M$2:$M$2277="Kyrylo Budanov")),"")</f>
        <v/>
      </c>
      <c r="G40" s="9">
        <f>IF(SUMPRODUCT((Data!$D$2:$D$2277=A40)*(Data!$E$2:$E$2277=C40)*(Data!$M$2:$M$2277="Pyotr Poroshenko"))&gt;0,SUMPRODUCT((Data!$D$2:$D$2277=A40)*(Data!$E$2:$E$2277=C40)*(Data!$M$2:$M$2277="Pyotr Poroshenko")*IF(ISNUMBER(Data!$W$2:$W$2277),Data!$W$2:$W$2277,0))/SUMPRODUCT((Data!$D$2:$D$2277=A40)*(Data!$E$2:$E$2277=C40)*(Data!$M$2:$M$2277="Pyotr Poroshenko")),"")</f>
        <v>7</v>
      </c>
      <c r="H40" s="10">
        <f t="array" ref="H40">IFERROR(INDEX(Avg!$F$2:$F$50,MATCH(DATE(YEAR(A40),MONTH(A40),1),Avg!$A$2:$A$50,0)),"")</f>
        <v>69.3159172</v>
      </c>
      <c r="I40" s="10">
        <f t="array" ref="I40">IFERROR(INDEX(Avg!$G$2:$G$50,MATCH(DATE(YEAR(A40),MONTH(A40),1),Avg!$A$2:$A$50,0)),"")</f>
        <v>25.58247195</v>
      </c>
      <c r="J40" s="10" t="str">
        <f t="array" ref="J40">IFERROR(INDEX(Avg!$H$2:$H$50,MATCH(DATE(YEAR(A40),MONTH(A40),1),Avg!$A$2:$A$50,0)),"")</f>
        <v/>
      </c>
      <c r="K40" s="10">
        <f t="array" ref="K40">IFERROR(INDEX(Avg!$I$2:$I$50,MATCH(DATE(YEAR(A40),MONTH(A40),1),Avg!$A$2:$A$50,0)),"")</f>
        <v>7.224641075</v>
      </c>
      <c r="L40" s="11">
        <f t="array" ref="L40">IFERROR(INDEX(Avg!$L$2:$L$50,MATCH(DATE(YEAR(A40),MONTH(A40),1),Avg!$A$2:$A$50,0)),"")</f>
        <v>70.19305226</v>
      </c>
      <c r="M40" s="11">
        <f t="array" ref="M40">IFERROR(INDEX(Avg!$M$2:$M$50,MATCH(DATE(YEAR(A40),MONTH(A40),1),Avg!$A$2:$A$50,0)),"")</f>
        <v>26.30609353</v>
      </c>
      <c r="N40" s="11" t="str">
        <f t="array" ref="N40">IFERROR(INDEX(Avg!$N$2:$N$50,MATCH(DATE(YEAR(A40),MONTH(A40),1),Avg!$A$2:$A$50,0)),"")</f>
        <v/>
      </c>
      <c r="O40" s="11">
        <f t="array" ref="O40">IFERROR(INDEX(Avg!$O$2:$O$50,MATCH(DATE(YEAR(A40),MONTH(A40),1),Avg!$A$2:$A$50,0)),"")</f>
        <v>7.046187698</v>
      </c>
    </row>
    <row r="41" ht="15.75" customHeight="1">
      <c r="A41" s="7" t="s">
        <v>89</v>
      </c>
      <c r="B41" s="7" t="s">
        <v>90</v>
      </c>
      <c r="C41" s="8" t="s">
        <v>91</v>
      </c>
      <c r="D41" s="9">
        <f>IF(SUMPRODUCT((Data!$D$2:$D$2277=A41)*(Data!$E$2:$E$2277=C41)*(Data!$M$2:$M$2277="Vladimir Zelenskiy"))&gt;0,SUMPRODUCT((Data!$D$2:$D$2277=A41)*(Data!$E$2:$E$2277=C41)*(Data!$M$2:$M$2277="Vladimir Zelenskiy")*IF(ISNUMBER(Data!$W$2:$W$2277),Data!$W$2:$W$2277,0))/SUMPRODUCT((Data!$D$2:$D$2277=A41)*(Data!$E$2:$E$2277=C41)*(Data!$M$2:$M$2277="Vladimir Zelenskiy")),"")</f>
        <v>78</v>
      </c>
      <c r="E41" s="9" t="str">
        <f>IF(SUMPRODUCT((Data!$D$2:$D$2277=A41)*(Data!$E$2:$E$2277=C41)*(Data!$M$2:$M$2277="Valerii Zaluzhniy"))&gt;0,SUMPRODUCT((Data!$D$2:$D$2277=A41)*(Data!$E$2:$E$2277=C41)*(Data!$M$2:$M$2277="Valerii Zaluzhniy")*IF(ISNUMBER(Data!$W$2:$W$2277),Data!$W$2:$W$2277,0))/SUMPRODUCT((Data!$D$2:$D$2277=A41)*(Data!$E$2:$E$2277=C41)*(Data!$M$2:$M$2277="Valerii Zaluzhniy")),"")</f>
        <v/>
      </c>
      <c r="F41" s="9" t="str">
        <f>IF(SUMPRODUCT((Data!$D$2:$D$2277=A41)*(Data!$E$2:$E$2277=C41)*(Data!$M$2:$M$2277="Kyrylo Budanov"))&gt;0,SUMPRODUCT((Data!$D$2:$D$2277=A41)*(Data!$E$2:$E$2277=C41)*(Data!$M$2:$M$2277="Kyrylo Budanov")*IF(ISNUMBER(Data!$W$2:$W$2277),Data!$W$2:$W$2277,0))/SUMPRODUCT((Data!$D$2:$D$2277=A41)*(Data!$E$2:$E$2277=C41)*(Data!$M$2:$M$2277="Kyrylo Budanov")),"")</f>
        <v/>
      </c>
      <c r="G41" s="9">
        <f>IF(SUMPRODUCT((Data!$D$2:$D$2277=A41)*(Data!$E$2:$E$2277=C41)*(Data!$M$2:$M$2277="Pyotr Poroshenko"))&gt;0,SUMPRODUCT((Data!$D$2:$D$2277=A41)*(Data!$E$2:$E$2277=C41)*(Data!$M$2:$M$2277="Pyotr Poroshenko")*IF(ISNUMBER(Data!$W$2:$W$2277),Data!$W$2:$W$2277,0))/SUMPRODUCT((Data!$D$2:$D$2277=A41)*(Data!$E$2:$E$2277=C41)*(Data!$M$2:$M$2277="Pyotr Poroshenko")),"")</f>
        <v>9.7</v>
      </c>
      <c r="H41" s="10">
        <f t="array" ref="H41">IFERROR(INDEX(Avg!$F$2:$F$50,MATCH(DATE(YEAR(A41),MONTH(A41),1),Avg!$A$2:$A$50,0)),"")</f>
        <v>72.04835242</v>
      </c>
      <c r="I41" s="10">
        <f t="array" ref="I41">IFERROR(INDEX(Avg!$G$2:$G$50,MATCH(DATE(YEAR(A41),MONTH(A41),1),Avg!$A$2:$A$50,0)),"")</f>
        <v>27.02971511</v>
      </c>
      <c r="J41" s="10" t="str">
        <f t="array" ref="J41">IFERROR(INDEX(Avg!$H$2:$H$50,MATCH(DATE(YEAR(A41),MONTH(A41),1),Avg!$A$2:$A$50,0)),"")</f>
        <v/>
      </c>
      <c r="K41" s="10">
        <f t="array" ref="K41">IFERROR(INDEX(Avg!$I$2:$I$50,MATCH(DATE(YEAR(A41),MONTH(A41),1),Avg!$A$2:$A$50,0)),"")</f>
        <v>7.267517628</v>
      </c>
      <c r="L41" s="11">
        <f t="array" ref="L41">IFERROR(INDEX(Avg!$L$2:$L$50,MATCH(DATE(YEAR(A41),MONTH(A41),1),Avg!$A$2:$A$50,0)),"")</f>
        <v>71.00665815</v>
      </c>
      <c r="M41" s="11">
        <f t="array" ref="M41">IFERROR(INDEX(Avg!$M$2:$M$50,MATCH(DATE(YEAR(A41),MONTH(A41),1),Avg!$A$2:$A$50,0)),"")</f>
        <v>27.87043727</v>
      </c>
      <c r="N41" s="11" t="str">
        <f t="array" ref="N41">IFERROR(INDEX(Avg!$N$2:$N$50,MATCH(DATE(YEAR(A41),MONTH(A41),1),Avg!$A$2:$A$50,0)),"")</f>
        <v/>
      </c>
      <c r="O41" s="11">
        <f t="array" ref="O41">IFERROR(INDEX(Avg!$O$2:$O$50,MATCH(DATE(YEAR(A41),MONTH(A41),1),Avg!$A$2:$A$50,0)),"")</f>
        <v>6.56652245</v>
      </c>
    </row>
    <row r="42" ht="15.75" customHeight="1">
      <c r="A42" s="7" t="s">
        <v>92</v>
      </c>
      <c r="B42" s="7" t="s">
        <v>93</v>
      </c>
      <c r="C42" s="8" t="s">
        <v>85</v>
      </c>
      <c r="D42" s="9">
        <f>IF(SUMPRODUCT((Data!$D$2:$D$2277=A42)*(Data!$E$2:$E$2277=C42)*(Data!$M$2:$M$2277="Vladimir Zelenskiy"))&gt;0,SUMPRODUCT((Data!$D$2:$D$2277=A42)*(Data!$E$2:$E$2277=C42)*(Data!$M$2:$M$2277="Vladimir Zelenskiy")*IF(ISNUMBER(Data!$W$2:$W$2277),Data!$W$2:$W$2277,0))/SUMPRODUCT((Data!$D$2:$D$2277=A42)*(Data!$E$2:$E$2277=C42)*(Data!$M$2:$M$2277="Vladimir Zelenskiy")),"")</f>
        <v>61</v>
      </c>
      <c r="E42" s="9">
        <f>IF(SUMPRODUCT((Data!$D$2:$D$2277=A42)*(Data!$E$2:$E$2277=C42)*(Data!$M$2:$M$2277="Valerii Zaluzhniy"))&gt;0,SUMPRODUCT((Data!$D$2:$D$2277=A42)*(Data!$E$2:$E$2277=C42)*(Data!$M$2:$M$2277="Valerii Zaluzhniy")*IF(ISNUMBER(Data!$W$2:$W$2277),Data!$W$2:$W$2277,0))/SUMPRODUCT((Data!$D$2:$D$2277=A42)*(Data!$E$2:$E$2277=C42)*(Data!$M$2:$M$2277="Valerii Zaluzhniy")),"")</f>
        <v>11</v>
      </c>
      <c r="F42" s="9" t="str">
        <f>IF(SUMPRODUCT((Data!$D$2:$D$2277=A42)*(Data!$E$2:$E$2277=C42)*(Data!$M$2:$M$2277="Kyrylo Budanov"))&gt;0,SUMPRODUCT((Data!$D$2:$D$2277=A42)*(Data!$E$2:$E$2277=C42)*(Data!$M$2:$M$2277="Kyrylo Budanov")*IF(ISNUMBER(Data!$W$2:$W$2277),Data!$W$2:$W$2277,0))/SUMPRODUCT((Data!$D$2:$D$2277=A42)*(Data!$E$2:$E$2277=C42)*(Data!$M$2:$M$2277="Kyrylo Budanov")),"")</f>
        <v/>
      </c>
      <c r="G42" s="9">
        <f>IF(SUMPRODUCT((Data!$D$2:$D$2277=A42)*(Data!$E$2:$E$2277=C42)*(Data!$M$2:$M$2277="Pyotr Poroshenko"))&gt;0,SUMPRODUCT((Data!$D$2:$D$2277=A42)*(Data!$E$2:$E$2277=C42)*(Data!$M$2:$M$2277="Pyotr Poroshenko")*IF(ISNUMBER(Data!$W$2:$W$2277),Data!$W$2:$W$2277,0))/SUMPRODUCT((Data!$D$2:$D$2277=A42)*(Data!$E$2:$E$2277=C42)*(Data!$M$2:$M$2277="Pyotr Poroshenko")),"")</f>
        <v>8</v>
      </c>
      <c r="H42" s="10">
        <f t="array" ref="H42">IFERROR(INDEX(Avg!$F$2:$F$50,MATCH(DATE(YEAR(A42),MONTH(A42),1),Avg!$A$2:$A$50,0)),"")</f>
        <v>69.11385713</v>
      </c>
      <c r="I42" s="10">
        <f t="array" ref="I42">IFERROR(INDEX(Avg!$G$2:$G$50,MATCH(DATE(YEAR(A42),MONTH(A42),1),Avg!$A$2:$A$50,0)),"")</f>
        <v>27.02971511</v>
      </c>
      <c r="J42" s="10" t="str">
        <f t="array" ref="J42">IFERROR(INDEX(Avg!$H$2:$H$50,MATCH(DATE(YEAR(A42),MONTH(A42),1),Avg!$A$2:$A$50,0)),"")</f>
        <v/>
      </c>
      <c r="K42" s="10">
        <f t="array" ref="K42">IFERROR(INDEX(Avg!$I$2:$I$50,MATCH(DATE(YEAR(A42),MONTH(A42),1),Avg!$A$2:$A$50,0)),"")</f>
        <v>6.068167705</v>
      </c>
      <c r="L42" s="11">
        <f t="array" ref="L42">IFERROR(INDEX(Avg!$L$2:$L$50,MATCH(DATE(YEAR(A42),MONTH(A42),1),Avg!$A$2:$A$50,0)),"")</f>
        <v>70.48865299</v>
      </c>
      <c r="M42" s="11">
        <f t="array" ref="M42">IFERROR(INDEX(Avg!$M$2:$M$50,MATCH(DATE(YEAR(A42),MONTH(A42),1),Avg!$A$2:$A$50,0)),"")</f>
        <v>26.03738754</v>
      </c>
      <c r="N42" s="11" t="str">
        <f t="array" ref="N42">IFERROR(INDEX(Avg!$N$2:$N$50,MATCH(DATE(YEAR(A42),MONTH(A42),1),Avg!$A$2:$A$50,0)),"")</f>
        <v/>
      </c>
      <c r="O42" s="11">
        <f t="array" ref="O42">IFERROR(INDEX(Avg!$O$2:$O$50,MATCH(DATE(YEAR(A42),MONTH(A42),1),Avg!$A$2:$A$50,0)),"")</f>
        <v>5.88983505</v>
      </c>
    </row>
    <row r="43" ht="15.75" customHeight="1">
      <c r="A43" s="7" t="s">
        <v>94</v>
      </c>
      <c r="B43" s="7" t="s">
        <v>95</v>
      </c>
      <c r="C43" s="8" t="s">
        <v>85</v>
      </c>
      <c r="D43" s="9">
        <f>IF(SUMPRODUCT((Data!$D$2:$D$2277=A43)*(Data!$E$2:$E$2277=C43)*(Data!$M$2:$M$2277="Vladimir Zelenskiy"))&gt;0,SUMPRODUCT((Data!$D$2:$D$2277=A43)*(Data!$E$2:$E$2277=C43)*(Data!$M$2:$M$2277="Vladimir Zelenskiy")*IF(ISNUMBER(Data!$W$2:$W$2277),Data!$W$2:$W$2277,0))/SUMPRODUCT((Data!$D$2:$D$2277=A43)*(Data!$E$2:$E$2277=C43)*(Data!$M$2:$M$2277="Vladimir Zelenskiy")),"")</f>
        <v>60</v>
      </c>
      <c r="E43" s="9">
        <f>IF(SUMPRODUCT((Data!$D$2:$D$2277=A43)*(Data!$E$2:$E$2277=C43)*(Data!$M$2:$M$2277="Valerii Zaluzhniy"))&gt;0,SUMPRODUCT((Data!$D$2:$D$2277=A43)*(Data!$E$2:$E$2277=C43)*(Data!$M$2:$M$2277="Valerii Zaluzhniy")*IF(ISNUMBER(Data!$W$2:$W$2277),Data!$W$2:$W$2277,0))/SUMPRODUCT((Data!$D$2:$D$2277=A43)*(Data!$E$2:$E$2277=C43)*(Data!$M$2:$M$2277="Valerii Zaluzhniy")),"")</f>
        <v>12</v>
      </c>
      <c r="F43" s="9" t="str">
        <f>IF(SUMPRODUCT((Data!$D$2:$D$2277=A43)*(Data!$E$2:$E$2277=C43)*(Data!$M$2:$M$2277="Kyrylo Budanov"))&gt;0,SUMPRODUCT((Data!$D$2:$D$2277=A43)*(Data!$E$2:$E$2277=C43)*(Data!$M$2:$M$2277="Kyrylo Budanov")*IF(ISNUMBER(Data!$W$2:$W$2277),Data!$W$2:$W$2277,0))/SUMPRODUCT((Data!$D$2:$D$2277=A43)*(Data!$E$2:$E$2277=C43)*(Data!$M$2:$M$2277="Kyrylo Budanov")),"")</f>
        <v/>
      </c>
      <c r="G43" s="9">
        <f>IF(SUMPRODUCT((Data!$D$2:$D$2277=A43)*(Data!$E$2:$E$2277=C43)*(Data!$M$2:$M$2277="Pyotr Poroshenko"))&gt;0,SUMPRODUCT((Data!$D$2:$D$2277=A43)*(Data!$E$2:$E$2277=C43)*(Data!$M$2:$M$2277="Pyotr Poroshenko")*IF(ISNUMBER(Data!$W$2:$W$2277),Data!$W$2:$W$2277,0))/SUMPRODUCT((Data!$D$2:$D$2277=A43)*(Data!$E$2:$E$2277=C43)*(Data!$M$2:$M$2277="Pyotr Poroshenko")),"")</f>
        <v>8</v>
      </c>
      <c r="H43" s="10">
        <f t="array" ref="H43">IFERROR(INDEX(Avg!$F$2:$F$50,MATCH(DATE(YEAR(A43),MONTH(A43),1),Avg!$A$2:$A$50,0)),"")</f>
        <v>71.6671774</v>
      </c>
      <c r="I43" s="10">
        <f t="array" ref="I43">IFERROR(INDEX(Avg!$G$2:$G$50,MATCH(DATE(YEAR(A43),MONTH(A43),1),Avg!$A$2:$A$50,0)),"")</f>
        <v>32.07404803</v>
      </c>
      <c r="J43" s="10" t="str">
        <f t="array" ref="J43">IFERROR(INDEX(Avg!$H$2:$H$50,MATCH(DATE(YEAR(A43),MONTH(A43),1),Avg!$A$2:$A$50,0)),"")</f>
        <v/>
      </c>
      <c r="K43" s="10">
        <f t="array" ref="K43">IFERROR(INDEX(Avg!$I$2:$I$50,MATCH(DATE(YEAR(A43),MONTH(A43),1),Avg!$A$2:$A$50,0)),"")</f>
        <v>5.460246406</v>
      </c>
      <c r="L43" s="11">
        <f t="array" ref="L43">IFERROR(INDEX(Avg!$L$2:$L$50,MATCH(DATE(YEAR(A43),MONTH(A43),1),Avg!$A$2:$A$50,0)),"")</f>
        <v>72.1569514</v>
      </c>
      <c r="M43" s="11">
        <f t="array" ref="M43">IFERROR(INDEX(Avg!$M$2:$M$50,MATCH(DATE(YEAR(A43),MONTH(A43),1),Avg!$A$2:$A$50,0)),"")</f>
        <v>21.50329328</v>
      </c>
      <c r="N43" s="11" t="str">
        <f t="array" ref="N43">IFERROR(INDEX(Avg!$N$2:$N$50,MATCH(DATE(YEAR(A43),MONTH(A43),1),Avg!$A$2:$A$50,0)),"")</f>
        <v/>
      </c>
      <c r="O43" s="11">
        <f t="array" ref="O43">IFERROR(INDEX(Avg!$O$2:$O$50,MATCH(DATE(YEAR(A43),MONTH(A43),1),Avg!$A$2:$A$50,0)),"")</f>
        <v>5.815967808</v>
      </c>
    </row>
    <row r="44" ht="15.75" customHeight="1">
      <c r="A44" s="7" t="s">
        <v>94</v>
      </c>
      <c r="B44" s="7" t="s">
        <v>96</v>
      </c>
      <c r="C44" s="8" t="s">
        <v>97</v>
      </c>
      <c r="D44" s="9">
        <f>IF(SUMPRODUCT((Data!$D$2:$D$2277=A44)*(Data!$E$2:$E$2277=C44)*(Data!$M$2:$M$2277="Vladimir Zelenskiy"))&gt;0,SUMPRODUCT((Data!$D$2:$D$2277=A44)*(Data!$E$2:$E$2277=C44)*(Data!$M$2:$M$2277="Vladimir Zelenskiy")*IF(ISNUMBER(Data!$W$2:$W$2277),Data!$W$2:$W$2277,0))/SUMPRODUCT((Data!$D$2:$D$2277=A44)*(Data!$E$2:$E$2277=C44)*(Data!$M$2:$M$2277="Vladimir Zelenskiy")),"")</f>
        <v>72.76119403</v>
      </c>
      <c r="E44" s="9">
        <f>IF(SUMPRODUCT((Data!$D$2:$D$2277=A44)*(Data!$E$2:$E$2277=C44)*(Data!$M$2:$M$2277="Valerii Zaluzhniy"))&gt;0,SUMPRODUCT((Data!$D$2:$D$2277=A44)*(Data!$E$2:$E$2277=C44)*(Data!$M$2:$M$2277="Valerii Zaluzhniy")*IF(ISNUMBER(Data!$W$2:$W$2277),Data!$W$2:$W$2277,0))/SUMPRODUCT((Data!$D$2:$D$2277=A44)*(Data!$E$2:$E$2277=C44)*(Data!$M$2:$M$2277="Valerii Zaluzhniy")),"")</f>
        <v>52.6119403</v>
      </c>
      <c r="F44" s="9">
        <f>IF(SUMPRODUCT((Data!$D$2:$D$2277=A44)*(Data!$E$2:$E$2277=C44)*(Data!$M$2:$M$2277="Kyrylo Budanov"))&gt;0,SUMPRODUCT((Data!$D$2:$D$2277=A44)*(Data!$E$2:$E$2277=C44)*(Data!$M$2:$M$2277="Kyrylo Budanov")*IF(ISNUMBER(Data!$W$2:$W$2277),Data!$W$2:$W$2277,0))/SUMPRODUCT((Data!$D$2:$D$2277=A44)*(Data!$E$2:$E$2277=C44)*(Data!$M$2:$M$2277="Kyrylo Budanov")),"")</f>
        <v>5.597014925</v>
      </c>
      <c r="G44" s="9">
        <f>IF(SUMPRODUCT((Data!$D$2:$D$2277=A44)*(Data!$E$2:$E$2277=C44)*(Data!$M$2:$M$2277="Pyotr Poroshenko"))&gt;0,SUMPRODUCT((Data!$D$2:$D$2277=A44)*(Data!$E$2:$E$2277=C44)*(Data!$M$2:$M$2277="Pyotr Poroshenko")*IF(ISNUMBER(Data!$W$2:$W$2277),Data!$W$2:$W$2277,0))/SUMPRODUCT((Data!$D$2:$D$2277=A44)*(Data!$E$2:$E$2277=C44)*(Data!$M$2:$M$2277="Pyotr Poroshenko")),"")</f>
        <v>4.47761194</v>
      </c>
      <c r="H44" s="10">
        <f t="array" ref="H44">IFERROR(INDEX(Avg!$F$2:$F$50,MATCH(DATE(YEAR(A44),MONTH(A44),1),Avg!$A$2:$A$50,0)),"")</f>
        <v>71.6671774</v>
      </c>
      <c r="I44" s="10">
        <f t="array" ref="I44">IFERROR(INDEX(Avg!$G$2:$G$50,MATCH(DATE(YEAR(A44),MONTH(A44),1),Avg!$A$2:$A$50,0)),"")</f>
        <v>32.07404803</v>
      </c>
      <c r="J44" s="10" t="str">
        <f t="array" ref="J44">IFERROR(INDEX(Avg!$H$2:$H$50,MATCH(DATE(YEAR(A44),MONTH(A44),1),Avg!$A$2:$A$50,0)),"")</f>
        <v/>
      </c>
      <c r="K44" s="10">
        <f t="array" ref="K44">IFERROR(INDEX(Avg!$I$2:$I$50,MATCH(DATE(YEAR(A44),MONTH(A44),1),Avg!$A$2:$A$50,0)),"")</f>
        <v>5.460246406</v>
      </c>
      <c r="L44" s="11">
        <f t="array" ref="L44">IFERROR(INDEX(Avg!$L$2:$L$50,MATCH(DATE(YEAR(A44),MONTH(A44),1),Avg!$A$2:$A$50,0)),"")</f>
        <v>72.1569514</v>
      </c>
      <c r="M44" s="11">
        <f t="array" ref="M44">IFERROR(INDEX(Avg!$M$2:$M$50,MATCH(DATE(YEAR(A44),MONTH(A44),1),Avg!$A$2:$A$50,0)),"")</f>
        <v>21.50329328</v>
      </c>
      <c r="N44" s="11" t="str">
        <f t="array" ref="N44">IFERROR(INDEX(Avg!$N$2:$N$50,MATCH(DATE(YEAR(A44),MONTH(A44),1),Avg!$A$2:$A$50,0)),"")</f>
        <v/>
      </c>
      <c r="O44" s="11">
        <f t="array" ref="O44">IFERROR(INDEX(Avg!$O$2:$O$50,MATCH(DATE(YEAR(A44),MONTH(A44),1),Avg!$A$2:$A$50,0)),"")</f>
        <v>5.815967808</v>
      </c>
    </row>
    <row r="45" ht="15.75" customHeight="1">
      <c r="A45" s="7" t="s">
        <v>98</v>
      </c>
      <c r="B45" s="7" t="s">
        <v>96</v>
      </c>
      <c r="C45" s="8" t="s">
        <v>85</v>
      </c>
      <c r="D45" s="9">
        <f>IF(SUMPRODUCT((Data!$D$2:$D$2277=A45)*(Data!$E$2:$E$2277=C45)*(Data!$M$2:$M$2277="Vladimir Zelenskiy"))&gt;0,SUMPRODUCT((Data!$D$2:$D$2277=A45)*(Data!$E$2:$E$2277=C45)*(Data!$M$2:$M$2277="Vladimir Zelenskiy")*IF(ISNUMBER(Data!$W$2:$W$2277),Data!$W$2:$W$2277,0))/SUMPRODUCT((Data!$D$2:$D$2277=A45)*(Data!$E$2:$E$2277=C45)*(Data!$M$2:$M$2277="Vladimir Zelenskiy")),"")</f>
        <v>65</v>
      </c>
      <c r="E45" s="9">
        <f>IF(SUMPRODUCT((Data!$D$2:$D$2277=A45)*(Data!$E$2:$E$2277=C45)*(Data!$M$2:$M$2277="Valerii Zaluzhniy"))&gt;0,SUMPRODUCT((Data!$D$2:$D$2277=A45)*(Data!$E$2:$E$2277=C45)*(Data!$M$2:$M$2277="Valerii Zaluzhniy")*IF(ISNUMBER(Data!$W$2:$W$2277),Data!$W$2:$W$2277,0))/SUMPRODUCT((Data!$D$2:$D$2277=A45)*(Data!$E$2:$E$2277=C45)*(Data!$M$2:$M$2277="Valerii Zaluzhniy")),"")</f>
        <v>12</v>
      </c>
      <c r="F45" s="9" t="str">
        <f>IF(SUMPRODUCT((Data!$D$2:$D$2277=A45)*(Data!$E$2:$E$2277=C45)*(Data!$M$2:$M$2277="Kyrylo Budanov"))&gt;0,SUMPRODUCT((Data!$D$2:$D$2277=A45)*(Data!$E$2:$E$2277=C45)*(Data!$M$2:$M$2277="Kyrylo Budanov")*IF(ISNUMBER(Data!$W$2:$W$2277),Data!$W$2:$W$2277,0))/SUMPRODUCT((Data!$D$2:$D$2277=A45)*(Data!$E$2:$E$2277=C45)*(Data!$M$2:$M$2277="Kyrylo Budanov")),"")</f>
        <v/>
      </c>
      <c r="G45" s="9">
        <f>IF(SUMPRODUCT((Data!$D$2:$D$2277=A45)*(Data!$E$2:$E$2277=C45)*(Data!$M$2:$M$2277="Pyotr Poroshenko"))&gt;0,SUMPRODUCT((Data!$D$2:$D$2277=A45)*(Data!$E$2:$E$2277=C45)*(Data!$M$2:$M$2277="Pyotr Poroshenko")*IF(ISNUMBER(Data!$W$2:$W$2277),Data!$W$2:$W$2277,0))/SUMPRODUCT((Data!$D$2:$D$2277=A45)*(Data!$E$2:$E$2277=C45)*(Data!$M$2:$M$2277="Pyotr Poroshenko")),"")</f>
        <v>7</v>
      </c>
      <c r="H45" s="10">
        <f t="array" ref="H45">IFERROR(INDEX(Avg!$F$2:$F$50,MATCH(DATE(YEAR(A45),MONTH(A45),1),Avg!$A$2:$A$50,0)),"")</f>
        <v>72.25599176</v>
      </c>
      <c r="I45" s="10">
        <f t="array" ref="I45">IFERROR(INDEX(Avg!$G$2:$G$50,MATCH(DATE(YEAR(A45),MONTH(A45),1),Avg!$A$2:$A$50,0)),"")</f>
        <v>10.98708386</v>
      </c>
      <c r="J45" s="10" t="str">
        <f t="array" ref="J45">IFERROR(INDEX(Avg!$H$2:$H$50,MATCH(DATE(YEAR(A45),MONTH(A45),1),Avg!$A$2:$A$50,0)),"")</f>
        <v/>
      </c>
      <c r="K45" s="10">
        <f t="array" ref="K45">IFERROR(INDEX(Avg!$I$2:$I$50,MATCH(DATE(YEAR(A45),MONTH(A45),1),Avg!$A$2:$A$50,0)),"")</f>
        <v>6.214014372</v>
      </c>
      <c r="L45" s="11">
        <f t="array" ref="L45">IFERROR(INDEX(Avg!$L$2:$L$50,MATCH(DATE(YEAR(A45),MONTH(A45),1),Avg!$A$2:$A$50,0)),"")</f>
        <v>72.90618471</v>
      </c>
      <c r="M45" s="11">
        <f t="array" ref="M45">IFERROR(INDEX(Avg!$M$2:$M$50,MATCH(DATE(YEAR(A45),MONTH(A45),1),Avg!$A$2:$A$50,0)),"")</f>
        <v>10.5305717</v>
      </c>
      <c r="N45" s="11" t="str">
        <f t="array" ref="N45">IFERROR(INDEX(Avg!$N$2:$N$50,MATCH(DATE(YEAR(A45),MONTH(A45),1),Avg!$A$2:$A$50,0)),"")</f>
        <v/>
      </c>
      <c r="O45" s="11">
        <f t="array" ref="O45">IFERROR(INDEX(Avg!$O$2:$O$50,MATCH(DATE(YEAR(A45),MONTH(A45),1),Avg!$A$2:$A$50,0)),"")</f>
        <v>6.135838149</v>
      </c>
    </row>
    <row r="46" ht="15.75" customHeight="1">
      <c r="A46" s="7" t="s">
        <v>96</v>
      </c>
      <c r="B46" s="7" t="s">
        <v>99</v>
      </c>
      <c r="C46" s="8" t="s">
        <v>91</v>
      </c>
      <c r="D46" s="9">
        <f>IF(SUMPRODUCT((Data!$D$2:$D$2277=A46)*(Data!$E$2:$E$2277=C46)*(Data!$M$2:$M$2277="Vladimir Zelenskiy"))&gt;0,SUMPRODUCT((Data!$D$2:$D$2277=A46)*(Data!$E$2:$E$2277=C46)*(Data!$M$2:$M$2277="Vladimir Zelenskiy")*IF(ISNUMBER(Data!$W$2:$W$2277),Data!$W$2:$W$2277,0))/SUMPRODUCT((Data!$D$2:$D$2277=A46)*(Data!$E$2:$E$2277=C46)*(Data!$M$2:$M$2277="Vladimir Zelenskiy")),"")</f>
        <v>69.7</v>
      </c>
      <c r="E46" s="9" t="str">
        <f>IF(SUMPRODUCT((Data!$D$2:$D$2277=A46)*(Data!$E$2:$E$2277=C46)*(Data!$M$2:$M$2277="Valerii Zaluzhniy"))&gt;0,SUMPRODUCT((Data!$D$2:$D$2277=A46)*(Data!$E$2:$E$2277=C46)*(Data!$M$2:$M$2277="Valerii Zaluzhniy")*IF(ISNUMBER(Data!$W$2:$W$2277),Data!$W$2:$W$2277,0))/SUMPRODUCT((Data!$D$2:$D$2277=A46)*(Data!$E$2:$E$2277=C46)*(Data!$M$2:$M$2277="Valerii Zaluzhniy")),"")</f>
        <v/>
      </c>
      <c r="F46" s="9" t="str">
        <f>IF(SUMPRODUCT((Data!$D$2:$D$2277=A46)*(Data!$E$2:$E$2277=C46)*(Data!$M$2:$M$2277="Kyrylo Budanov"))&gt;0,SUMPRODUCT((Data!$D$2:$D$2277=A46)*(Data!$E$2:$E$2277=C46)*(Data!$M$2:$M$2277="Kyrylo Budanov")*IF(ISNUMBER(Data!$W$2:$W$2277),Data!$W$2:$W$2277,0))/SUMPRODUCT((Data!$D$2:$D$2277=A46)*(Data!$E$2:$E$2277=C46)*(Data!$M$2:$M$2277="Kyrylo Budanov")),"")</f>
        <v/>
      </c>
      <c r="G46" s="9">
        <f>IF(SUMPRODUCT((Data!$D$2:$D$2277=A46)*(Data!$E$2:$E$2277=C46)*(Data!$M$2:$M$2277="Pyotr Poroshenko"))&gt;0,SUMPRODUCT((Data!$D$2:$D$2277=A46)*(Data!$E$2:$E$2277=C46)*(Data!$M$2:$M$2277="Pyotr Poroshenko")*IF(ISNUMBER(Data!$W$2:$W$2277),Data!$W$2:$W$2277,0))/SUMPRODUCT((Data!$D$2:$D$2277=A46)*(Data!$E$2:$E$2277=C46)*(Data!$M$2:$M$2277="Pyotr Poroshenko")),"")</f>
        <v>8</v>
      </c>
      <c r="H46" s="10">
        <f t="array" ref="H46">IFERROR(INDEX(Avg!$F$2:$F$50,MATCH(DATE(YEAR(A46),MONTH(A46),1),Avg!$A$2:$A$50,0)),"")</f>
        <v>73.42819267</v>
      </c>
      <c r="I46" s="10">
        <f t="array" ref="I46">IFERROR(INDEX(Avg!$G$2:$G$50,MATCH(DATE(YEAR(A46),MONTH(A46),1),Avg!$A$2:$A$50,0)),"")</f>
        <v>10.8234479</v>
      </c>
      <c r="J46" s="10" t="str">
        <f t="array" ref="J46">IFERROR(INDEX(Avg!$H$2:$H$50,MATCH(DATE(YEAR(A46),MONTH(A46),1),Avg!$A$2:$A$50,0)),"")</f>
        <v/>
      </c>
      <c r="K46" s="10">
        <f t="array" ref="K46">IFERROR(INDEX(Avg!$I$2:$I$50,MATCH(DATE(YEAR(A46),MONTH(A46),1),Avg!$A$2:$A$50,0)),"")</f>
        <v>6.087038887</v>
      </c>
      <c r="L46" s="11">
        <f t="array" ref="L46">IFERROR(INDEX(Avg!$L$2:$L$50,MATCH(DATE(YEAR(A46),MONTH(A46),1),Avg!$A$2:$A$50,0)),"")</f>
        <v>73.35711385</v>
      </c>
      <c r="M46" s="11">
        <f t="array" ref="M46">IFERROR(INDEX(Avg!$M$2:$M$50,MATCH(DATE(YEAR(A46),MONTH(A46),1),Avg!$A$2:$A$50,0)),"")</f>
        <v>9.699365345</v>
      </c>
      <c r="N46" s="11" t="str">
        <f t="array" ref="N46">IFERROR(INDEX(Avg!$N$2:$N$50,MATCH(DATE(YEAR(A46),MONTH(A46),1),Avg!$A$2:$A$50,0)),"")</f>
        <v/>
      </c>
      <c r="O46" s="11">
        <f t="array" ref="O46">IFERROR(INDEX(Avg!$O$2:$O$50,MATCH(DATE(YEAR(A46),MONTH(A46),1),Avg!$A$2:$A$50,0)),"")</f>
        <v>6.073866405</v>
      </c>
    </row>
    <row r="47" ht="15.75" customHeight="1">
      <c r="A47" s="7" t="s">
        <v>100</v>
      </c>
      <c r="B47" s="7" t="s">
        <v>99</v>
      </c>
      <c r="C47" s="8" t="s">
        <v>85</v>
      </c>
      <c r="D47" s="9">
        <f>IF(SUMPRODUCT((Data!$D$2:$D$2277=A47)*(Data!$E$2:$E$2277=C47)*(Data!$M$2:$M$2277="Vladimir Zelenskiy"))&gt;0,SUMPRODUCT((Data!$D$2:$D$2277=A47)*(Data!$E$2:$E$2277=C47)*(Data!$M$2:$M$2277="Vladimir Zelenskiy")*IF(ISNUMBER(Data!$W$2:$W$2277),Data!$W$2:$W$2277,0))/SUMPRODUCT((Data!$D$2:$D$2277=A47)*(Data!$E$2:$E$2277=C47)*(Data!$M$2:$M$2277="Vladimir Zelenskiy")),"")</f>
        <v>66</v>
      </c>
      <c r="E47" s="9">
        <f>IF(SUMPRODUCT((Data!$D$2:$D$2277=A47)*(Data!$E$2:$E$2277=C47)*(Data!$M$2:$M$2277="Valerii Zaluzhniy"))&gt;0,SUMPRODUCT((Data!$D$2:$D$2277=A47)*(Data!$E$2:$E$2277=C47)*(Data!$M$2:$M$2277="Valerii Zaluzhniy")*IF(ISNUMBER(Data!$W$2:$W$2277),Data!$W$2:$W$2277,0))/SUMPRODUCT((Data!$D$2:$D$2277=A47)*(Data!$E$2:$E$2277=C47)*(Data!$M$2:$M$2277="Valerii Zaluzhniy")),"")</f>
        <v>11</v>
      </c>
      <c r="F47" s="9" t="str">
        <f>IF(SUMPRODUCT((Data!$D$2:$D$2277=A47)*(Data!$E$2:$E$2277=C47)*(Data!$M$2:$M$2277="Kyrylo Budanov"))&gt;0,SUMPRODUCT((Data!$D$2:$D$2277=A47)*(Data!$E$2:$E$2277=C47)*(Data!$M$2:$M$2277="Kyrylo Budanov")*IF(ISNUMBER(Data!$W$2:$W$2277),Data!$W$2:$W$2277,0))/SUMPRODUCT((Data!$D$2:$D$2277=A47)*(Data!$E$2:$E$2277=C47)*(Data!$M$2:$M$2277="Kyrylo Budanov")),"")</f>
        <v/>
      </c>
      <c r="G47" s="9">
        <f>IF(SUMPRODUCT((Data!$D$2:$D$2277=A47)*(Data!$E$2:$E$2277=C47)*(Data!$M$2:$M$2277="Pyotr Poroshenko"))&gt;0,SUMPRODUCT((Data!$D$2:$D$2277=A47)*(Data!$E$2:$E$2277=C47)*(Data!$M$2:$M$2277="Pyotr Poroshenko")*IF(ISNUMBER(Data!$W$2:$W$2277),Data!$W$2:$W$2277,0))/SUMPRODUCT((Data!$D$2:$D$2277=A47)*(Data!$E$2:$E$2277=C47)*(Data!$M$2:$M$2277="Pyotr Poroshenko")),"")</f>
        <v>8</v>
      </c>
      <c r="H47" s="10">
        <f t="array" ref="H47">IFERROR(INDEX(Avg!$F$2:$F$50,MATCH(DATE(YEAR(A47),MONTH(A47),1),Avg!$A$2:$A$50,0)),"")</f>
        <v>73.42819267</v>
      </c>
      <c r="I47" s="10">
        <f t="array" ref="I47">IFERROR(INDEX(Avg!$G$2:$G$50,MATCH(DATE(YEAR(A47),MONTH(A47),1),Avg!$A$2:$A$50,0)),"")</f>
        <v>10.8234479</v>
      </c>
      <c r="J47" s="10" t="str">
        <f t="array" ref="J47">IFERROR(INDEX(Avg!$H$2:$H$50,MATCH(DATE(YEAR(A47),MONTH(A47),1),Avg!$A$2:$A$50,0)),"")</f>
        <v/>
      </c>
      <c r="K47" s="10">
        <f t="array" ref="K47">IFERROR(INDEX(Avg!$I$2:$I$50,MATCH(DATE(YEAR(A47),MONTH(A47),1),Avg!$A$2:$A$50,0)),"")</f>
        <v>6.087038887</v>
      </c>
      <c r="L47" s="11">
        <f t="array" ref="L47">IFERROR(INDEX(Avg!$L$2:$L$50,MATCH(DATE(YEAR(A47),MONTH(A47),1),Avg!$A$2:$A$50,0)),"")</f>
        <v>73.35711385</v>
      </c>
      <c r="M47" s="11">
        <f t="array" ref="M47">IFERROR(INDEX(Avg!$M$2:$M$50,MATCH(DATE(YEAR(A47),MONTH(A47),1),Avg!$A$2:$A$50,0)),"")</f>
        <v>9.699365345</v>
      </c>
      <c r="N47" s="11" t="str">
        <f t="array" ref="N47">IFERROR(INDEX(Avg!$N$2:$N$50,MATCH(DATE(YEAR(A47),MONTH(A47),1),Avg!$A$2:$A$50,0)),"")</f>
        <v/>
      </c>
      <c r="O47" s="11">
        <f t="array" ref="O47">IFERROR(INDEX(Avg!$O$2:$O$50,MATCH(DATE(YEAR(A47),MONTH(A47),1),Avg!$A$2:$A$50,0)),"")</f>
        <v>6.073866405</v>
      </c>
    </row>
    <row r="48" ht="15.75" customHeight="1">
      <c r="A48" s="7" t="s">
        <v>96</v>
      </c>
      <c r="B48" s="7" t="s">
        <v>99</v>
      </c>
      <c r="C48" s="8" t="s">
        <v>40</v>
      </c>
      <c r="D48" s="9">
        <f>IF(SUMPRODUCT((Data!$D$2:$D$2277=A48)*(Data!$E$2:$E$2277=C48)*(Data!$M$2:$M$2277="Vladimir Zelenskiy"))&gt;0,SUMPRODUCT((Data!$D$2:$D$2277=A48)*(Data!$E$2:$E$2277=C48)*(Data!$M$2:$M$2277="Vladimir Zelenskiy")*IF(ISNUMBER(Data!$W$2:$W$2277),Data!$W$2:$W$2277,0))/SUMPRODUCT((Data!$D$2:$D$2277=A48)*(Data!$E$2:$E$2277=C48)*(Data!$M$2:$M$2277="Vladimir Zelenskiy")),"")</f>
        <v>77.91044776</v>
      </c>
      <c r="E48" s="9">
        <f>IF(SUMPRODUCT((Data!$D$2:$D$2277=A48)*(Data!$E$2:$E$2277=C48)*(Data!$M$2:$M$2277="Valerii Zaluzhniy"))&gt;0,SUMPRODUCT((Data!$D$2:$D$2277=A48)*(Data!$E$2:$E$2277=C48)*(Data!$M$2:$M$2277="Valerii Zaluzhniy")*IF(ISNUMBER(Data!$W$2:$W$2277),Data!$W$2:$W$2277,0))/SUMPRODUCT((Data!$D$2:$D$2277=A48)*(Data!$E$2:$E$2277=C48)*(Data!$M$2:$M$2277="Valerii Zaluzhniy")),"")</f>
        <v>12.87313433</v>
      </c>
      <c r="F48" s="9" t="str">
        <f>IF(SUMPRODUCT((Data!$D$2:$D$2277=A48)*(Data!$E$2:$E$2277=C48)*(Data!$M$2:$M$2277="Kyrylo Budanov"))&gt;0,SUMPRODUCT((Data!$D$2:$D$2277=A48)*(Data!$E$2:$E$2277=C48)*(Data!$M$2:$M$2277="Kyrylo Budanov")*IF(ISNUMBER(Data!$W$2:$W$2277),Data!$W$2:$W$2277,0))/SUMPRODUCT((Data!$D$2:$D$2277=A48)*(Data!$E$2:$E$2277=C48)*(Data!$M$2:$M$2277="Kyrylo Budanov")),"")</f>
        <v/>
      </c>
      <c r="G48" s="9">
        <f>IF(SUMPRODUCT((Data!$D$2:$D$2277=A48)*(Data!$E$2:$E$2277=C48)*(Data!$M$2:$M$2277="Pyotr Poroshenko"))&gt;0,SUMPRODUCT((Data!$D$2:$D$2277=A48)*(Data!$E$2:$E$2277=C48)*(Data!$M$2:$M$2277="Pyotr Poroshenko")*IF(ISNUMBER(Data!$W$2:$W$2277),Data!$W$2:$W$2277,0))/SUMPRODUCT((Data!$D$2:$D$2277=A48)*(Data!$E$2:$E$2277=C48)*(Data!$M$2:$M$2277="Pyotr Poroshenko")),"")</f>
        <v>3.917910448</v>
      </c>
      <c r="H48" s="10">
        <f t="array" ref="H48">IFERROR(INDEX(Avg!$F$2:$F$50,MATCH(DATE(YEAR(A48),MONTH(A48),1),Avg!$A$2:$A$50,0)),"")</f>
        <v>73.42819267</v>
      </c>
      <c r="I48" s="10">
        <f t="array" ref="I48">IFERROR(INDEX(Avg!$G$2:$G$50,MATCH(DATE(YEAR(A48),MONTH(A48),1),Avg!$A$2:$A$50,0)),"")</f>
        <v>10.8234479</v>
      </c>
      <c r="J48" s="10" t="str">
        <f t="array" ref="J48">IFERROR(INDEX(Avg!$H$2:$H$50,MATCH(DATE(YEAR(A48),MONTH(A48),1),Avg!$A$2:$A$50,0)),"")</f>
        <v/>
      </c>
      <c r="K48" s="10">
        <f t="array" ref="K48">IFERROR(INDEX(Avg!$I$2:$I$50,MATCH(DATE(YEAR(A48),MONTH(A48),1),Avg!$A$2:$A$50,0)),"")</f>
        <v>6.087038887</v>
      </c>
      <c r="L48" s="11">
        <f t="array" ref="L48">IFERROR(INDEX(Avg!$L$2:$L$50,MATCH(DATE(YEAR(A48),MONTH(A48),1),Avg!$A$2:$A$50,0)),"")</f>
        <v>73.35711385</v>
      </c>
      <c r="M48" s="11">
        <f t="array" ref="M48">IFERROR(INDEX(Avg!$M$2:$M$50,MATCH(DATE(YEAR(A48),MONTH(A48),1),Avg!$A$2:$A$50,0)),"")</f>
        <v>9.699365345</v>
      </c>
      <c r="N48" s="11" t="str">
        <f t="array" ref="N48">IFERROR(INDEX(Avg!$N$2:$N$50,MATCH(DATE(YEAR(A48),MONTH(A48),1),Avg!$A$2:$A$50,0)),"")</f>
        <v/>
      </c>
      <c r="O48" s="11">
        <f t="array" ref="O48">IFERROR(INDEX(Avg!$O$2:$O$50,MATCH(DATE(YEAR(A48),MONTH(A48),1),Avg!$A$2:$A$50,0)),"")</f>
        <v>6.073866405</v>
      </c>
    </row>
    <row r="49" ht="15.75" customHeight="1">
      <c r="A49" s="7" t="s">
        <v>101</v>
      </c>
      <c r="B49" s="7" t="s">
        <v>102</v>
      </c>
      <c r="C49" s="8" t="s">
        <v>85</v>
      </c>
      <c r="D49" s="9">
        <f>IF(SUMPRODUCT((Data!$D$2:$D$2277=A49)*(Data!$E$2:$E$2277=C49)*(Data!$M$2:$M$2277="Vladimir Zelenskiy"))&gt;0,SUMPRODUCT((Data!$D$2:$D$2277=A49)*(Data!$E$2:$E$2277=C49)*(Data!$M$2:$M$2277="Vladimir Zelenskiy")*IF(ISNUMBER(Data!$W$2:$W$2277),Data!$W$2:$W$2277,0))/SUMPRODUCT((Data!$D$2:$D$2277=A49)*(Data!$E$2:$E$2277=C49)*(Data!$M$2:$M$2277="Vladimir Zelenskiy")),"")</f>
        <v>68</v>
      </c>
      <c r="E49" s="9">
        <f>IF(SUMPRODUCT((Data!$D$2:$D$2277=A49)*(Data!$E$2:$E$2277=C49)*(Data!$M$2:$M$2277="Valerii Zaluzhniy"))&gt;0,SUMPRODUCT((Data!$D$2:$D$2277=A49)*(Data!$E$2:$E$2277=C49)*(Data!$M$2:$M$2277="Valerii Zaluzhniy")*IF(ISNUMBER(Data!$W$2:$W$2277),Data!$W$2:$W$2277,0))/SUMPRODUCT((Data!$D$2:$D$2277=A49)*(Data!$E$2:$E$2277=C49)*(Data!$M$2:$M$2277="Valerii Zaluzhniy")),"")</f>
        <v>9</v>
      </c>
      <c r="F49" s="9" t="str">
        <f>IF(SUMPRODUCT((Data!$D$2:$D$2277=A49)*(Data!$E$2:$E$2277=C49)*(Data!$M$2:$M$2277="Kyrylo Budanov"))&gt;0,SUMPRODUCT((Data!$D$2:$D$2277=A49)*(Data!$E$2:$E$2277=C49)*(Data!$M$2:$M$2277="Kyrylo Budanov")*IF(ISNUMBER(Data!$W$2:$W$2277),Data!$W$2:$W$2277,0))/SUMPRODUCT((Data!$D$2:$D$2277=A49)*(Data!$E$2:$E$2277=C49)*(Data!$M$2:$M$2277="Kyrylo Budanov")),"")</f>
        <v/>
      </c>
      <c r="G49" s="9">
        <f>IF(SUMPRODUCT((Data!$D$2:$D$2277=A49)*(Data!$E$2:$E$2277=C49)*(Data!$M$2:$M$2277="Pyotr Poroshenko"))&gt;0,SUMPRODUCT((Data!$D$2:$D$2277=A49)*(Data!$E$2:$E$2277=C49)*(Data!$M$2:$M$2277="Pyotr Poroshenko")*IF(ISNUMBER(Data!$W$2:$W$2277),Data!$W$2:$W$2277,0))/SUMPRODUCT((Data!$D$2:$D$2277=A49)*(Data!$E$2:$E$2277=C49)*(Data!$M$2:$M$2277="Pyotr Poroshenko")),"")</f>
        <v>7</v>
      </c>
      <c r="H49" s="10">
        <f t="array" ref="H49">IFERROR(INDEX(Avg!$F$2:$F$50,MATCH(DATE(YEAR(A49),MONTH(A49),1),Avg!$A$2:$A$50,0)),"")</f>
        <v>72.23260978</v>
      </c>
      <c r="I49" s="10">
        <f t="array" ref="I49">IFERROR(INDEX(Avg!$G$2:$G$50,MATCH(DATE(YEAR(A49),MONTH(A49),1),Avg!$A$2:$A$50,0)),"")</f>
        <v>8.575282793</v>
      </c>
      <c r="J49" s="10" t="str">
        <f t="array" ref="J49">IFERROR(INDEX(Avg!$H$2:$H$50,MATCH(DATE(YEAR(A49),MONTH(A49),1),Avg!$A$2:$A$50,0)),"")</f>
        <v/>
      </c>
      <c r="K49" s="10">
        <f t="array" ref="K49">IFERROR(INDEX(Avg!$I$2:$I$50,MATCH(DATE(YEAR(A49),MONTH(A49),1),Avg!$A$2:$A$50,0)),"")</f>
        <v>6.184265761</v>
      </c>
      <c r="L49" s="11">
        <f t="array" ref="L49">IFERROR(INDEX(Avg!$L$2:$L$50,MATCH(DATE(YEAR(A49),MONTH(A49),1),Avg!$A$2:$A$50,0)),"")</f>
        <v>73.90076344</v>
      </c>
      <c r="M49" s="11">
        <f t="array" ref="M49">IFERROR(INDEX(Avg!$M$2:$M$50,MATCH(DATE(YEAR(A49),MONTH(A49),1),Avg!$A$2:$A$50,0)),"")</f>
        <v>7.931464298</v>
      </c>
      <c r="N49" s="11" t="str">
        <f t="array" ref="N49">IFERROR(INDEX(Avg!$N$2:$N$50,MATCH(DATE(YEAR(A49),MONTH(A49),1),Avg!$A$2:$A$50,0)),"")</f>
        <v/>
      </c>
      <c r="O49" s="11">
        <f t="array" ref="O49">IFERROR(INDEX(Avg!$O$2:$O$50,MATCH(DATE(YEAR(A49),MONTH(A49),1),Avg!$A$2:$A$50,0)),"")</f>
        <v>6.560802547</v>
      </c>
    </row>
    <row r="50" ht="15.75" customHeight="1">
      <c r="A50" s="7" t="s">
        <v>103</v>
      </c>
      <c r="B50" s="7" t="s">
        <v>102</v>
      </c>
      <c r="C50" s="8" t="s">
        <v>27</v>
      </c>
      <c r="D50" s="9">
        <f>IF(SUMPRODUCT((Data!$D$2:$D$2277=A50)*(Data!$E$2:$E$2277=C50)*(Data!$M$2:$M$2277="Vladimir Zelenskiy"))&gt;0,SUMPRODUCT((Data!$D$2:$D$2277=A50)*(Data!$E$2:$E$2277=C50)*(Data!$M$2:$M$2277="Vladimir Zelenskiy")*IF(ISNUMBER(Data!$W$2:$W$2277),Data!$W$2:$W$2277,0))/SUMPRODUCT((Data!$D$2:$D$2277=A50)*(Data!$E$2:$E$2277=C50)*(Data!$M$2:$M$2277="Vladimir Zelenskiy")),"")</f>
        <v>77.23880597</v>
      </c>
      <c r="E50" s="9" t="str">
        <f>IF(SUMPRODUCT((Data!$D$2:$D$2277=A50)*(Data!$E$2:$E$2277=C50)*(Data!$M$2:$M$2277="Valerii Zaluzhniy"))&gt;0,SUMPRODUCT((Data!$D$2:$D$2277=A50)*(Data!$E$2:$E$2277=C50)*(Data!$M$2:$M$2277="Valerii Zaluzhniy")*IF(ISNUMBER(Data!$W$2:$W$2277),Data!$W$2:$W$2277,0))/SUMPRODUCT((Data!$D$2:$D$2277=A50)*(Data!$E$2:$E$2277=C50)*(Data!$M$2:$M$2277="Valerii Zaluzhniy")),"")</f>
        <v/>
      </c>
      <c r="F50" s="9" t="str">
        <f>IF(SUMPRODUCT((Data!$D$2:$D$2277=A50)*(Data!$E$2:$E$2277=C50)*(Data!$M$2:$M$2277="Kyrylo Budanov"))&gt;0,SUMPRODUCT((Data!$D$2:$D$2277=A50)*(Data!$E$2:$E$2277=C50)*(Data!$M$2:$M$2277="Kyrylo Budanov")*IF(ISNUMBER(Data!$W$2:$W$2277),Data!$W$2:$W$2277,0))/SUMPRODUCT((Data!$D$2:$D$2277=A50)*(Data!$E$2:$E$2277=C50)*(Data!$M$2:$M$2277="Kyrylo Budanov")),"")</f>
        <v/>
      </c>
      <c r="G50" s="9">
        <f>IF(SUMPRODUCT((Data!$D$2:$D$2277=A50)*(Data!$E$2:$E$2277=C50)*(Data!$M$2:$M$2277="Pyotr Poroshenko"))&gt;0,SUMPRODUCT((Data!$D$2:$D$2277=A50)*(Data!$E$2:$E$2277=C50)*(Data!$M$2:$M$2277="Pyotr Poroshenko")*IF(ISNUMBER(Data!$W$2:$W$2277),Data!$W$2:$W$2277,0))/SUMPRODUCT((Data!$D$2:$D$2277=A50)*(Data!$E$2:$E$2277=C50)*(Data!$M$2:$M$2277="Pyotr Poroshenko")),"")</f>
        <v>5.597014925</v>
      </c>
      <c r="H50" s="10">
        <f t="array" ref="H50">IFERROR(INDEX(Avg!$F$2:$F$50,MATCH(DATE(YEAR(A50),MONTH(A50),1),Avg!$A$2:$A$50,0)),"")</f>
        <v>73.81274766</v>
      </c>
      <c r="I50" s="10">
        <f t="array" ref="I50">IFERROR(INDEX(Avg!$G$2:$G$50,MATCH(DATE(YEAR(A50),MONTH(A50),1),Avg!$A$2:$A$50,0)),"")</f>
        <v>8.575282793</v>
      </c>
      <c r="J50" s="10" t="str">
        <f t="array" ref="J50">IFERROR(INDEX(Avg!$H$2:$H$50,MATCH(DATE(YEAR(A50),MONTH(A50),1),Avg!$A$2:$A$50,0)),"")</f>
        <v/>
      </c>
      <c r="K50" s="10">
        <f t="array" ref="K50">IFERROR(INDEX(Avg!$I$2:$I$50,MATCH(DATE(YEAR(A50),MONTH(A50),1),Avg!$A$2:$A$50,0)),"")</f>
        <v>5.998908005</v>
      </c>
      <c r="L50" s="11">
        <f t="array" ref="L50">IFERROR(INDEX(Avg!$L$2:$L$50,MATCH(DATE(YEAR(A50),MONTH(A50),1),Avg!$A$2:$A$50,0)),"")</f>
        <v>73.69435352</v>
      </c>
      <c r="M50" s="11">
        <f t="array" ref="M50">IFERROR(INDEX(Avg!$M$2:$M$50,MATCH(DATE(YEAR(A50),MONTH(A50),1),Avg!$A$2:$A$50,0)),"")</f>
        <v>8.372727825</v>
      </c>
      <c r="N50" s="11" t="str">
        <f t="array" ref="N50">IFERROR(INDEX(Avg!$N$2:$N$50,MATCH(DATE(YEAR(A50),MONTH(A50),1),Avg!$A$2:$A$50,0)),"")</f>
        <v/>
      </c>
      <c r="O50" s="11">
        <f t="array" ref="O50">IFERROR(INDEX(Avg!$O$2:$O$50,MATCH(DATE(YEAR(A50),MONTH(A50),1),Avg!$A$2:$A$50,0)),"")</f>
        <v>6.251232827</v>
      </c>
    </row>
    <row r="51" ht="15.75" customHeight="1">
      <c r="A51" s="7" t="s">
        <v>104</v>
      </c>
      <c r="B51" s="7" t="s">
        <v>105</v>
      </c>
      <c r="C51" s="8" t="s">
        <v>106</v>
      </c>
      <c r="D51" s="9">
        <f>IF(SUMPRODUCT((Data!$D$2:$D$2277=A51)*(Data!$E$2:$E$2277=C51)*(Data!$M$2:$M$2277="Vladimir Zelenskiy"))&gt;0,SUMPRODUCT((Data!$D$2:$D$2277=A51)*(Data!$E$2:$E$2277=C51)*(Data!$M$2:$M$2277="Vladimir Zelenskiy")*IF(ISNUMBER(Data!$W$2:$W$2277),Data!$W$2:$W$2277,0))/SUMPRODUCT((Data!$D$2:$D$2277=A51)*(Data!$E$2:$E$2277=C51)*(Data!$M$2:$M$2277="Vladimir Zelenskiy")),"")</f>
        <v>66.04477612</v>
      </c>
      <c r="E51" s="9">
        <f>IF(SUMPRODUCT((Data!$D$2:$D$2277=A51)*(Data!$E$2:$E$2277=C51)*(Data!$M$2:$M$2277="Valerii Zaluzhniy"))&gt;0,SUMPRODUCT((Data!$D$2:$D$2277=A51)*(Data!$E$2:$E$2277=C51)*(Data!$M$2:$M$2277="Valerii Zaluzhniy")*IF(ISNUMBER(Data!$W$2:$W$2277),Data!$W$2:$W$2277,0))/SUMPRODUCT((Data!$D$2:$D$2277=A51)*(Data!$E$2:$E$2277=C51)*(Data!$M$2:$M$2277="Valerii Zaluzhniy")),"")</f>
        <v>11.19402985</v>
      </c>
      <c r="F51" s="9" t="str">
        <f>IF(SUMPRODUCT((Data!$D$2:$D$2277=A51)*(Data!$E$2:$E$2277=C51)*(Data!$M$2:$M$2277="Kyrylo Budanov"))&gt;0,SUMPRODUCT((Data!$D$2:$D$2277=A51)*(Data!$E$2:$E$2277=C51)*(Data!$M$2:$M$2277="Kyrylo Budanov")*IF(ISNUMBER(Data!$W$2:$W$2277),Data!$W$2:$W$2277,0))/SUMPRODUCT((Data!$D$2:$D$2277=A51)*(Data!$E$2:$E$2277=C51)*(Data!$M$2:$M$2277="Kyrylo Budanov")),"")</f>
        <v/>
      </c>
      <c r="G51" s="9">
        <f>IF(SUMPRODUCT((Data!$D$2:$D$2277=A51)*(Data!$E$2:$E$2277=C51)*(Data!$M$2:$M$2277="Pyotr Poroshenko"))&gt;0,SUMPRODUCT((Data!$D$2:$D$2277=A51)*(Data!$E$2:$E$2277=C51)*(Data!$M$2:$M$2277="Pyotr Poroshenko")*IF(ISNUMBER(Data!$W$2:$W$2277),Data!$W$2:$W$2277,0))/SUMPRODUCT((Data!$D$2:$D$2277=A51)*(Data!$E$2:$E$2277=C51)*(Data!$M$2:$M$2277="Pyotr Poroshenko")),"")</f>
        <v>2.686567164</v>
      </c>
      <c r="H51" s="10">
        <f t="array" ref="H51">IFERROR(INDEX(Avg!$F$2:$F$50,MATCH(DATE(YEAR(A51),MONTH(A51),1),Avg!$A$2:$A$50,0)),"")</f>
        <v>72.23260978</v>
      </c>
      <c r="I51" s="10">
        <f t="array" ref="I51">IFERROR(INDEX(Avg!$G$2:$G$50,MATCH(DATE(YEAR(A51),MONTH(A51),1),Avg!$A$2:$A$50,0)),"")</f>
        <v>8.575282793</v>
      </c>
      <c r="J51" s="10" t="str">
        <f t="array" ref="J51">IFERROR(INDEX(Avg!$H$2:$H$50,MATCH(DATE(YEAR(A51),MONTH(A51),1),Avg!$A$2:$A$50,0)),"")</f>
        <v/>
      </c>
      <c r="K51" s="10">
        <f t="array" ref="K51">IFERROR(INDEX(Avg!$I$2:$I$50,MATCH(DATE(YEAR(A51),MONTH(A51),1),Avg!$A$2:$A$50,0)),"")</f>
        <v>6.184265761</v>
      </c>
      <c r="L51" s="11">
        <f t="array" ref="L51">IFERROR(INDEX(Avg!$L$2:$L$50,MATCH(DATE(YEAR(A51),MONTH(A51),1),Avg!$A$2:$A$50,0)),"")</f>
        <v>73.90076344</v>
      </c>
      <c r="M51" s="11">
        <f t="array" ref="M51">IFERROR(INDEX(Avg!$M$2:$M$50,MATCH(DATE(YEAR(A51),MONTH(A51),1),Avg!$A$2:$A$50,0)),"")</f>
        <v>7.931464298</v>
      </c>
      <c r="N51" s="11" t="str">
        <f t="array" ref="N51">IFERROR(INDEX(Avg!$N$2:$N$50,MATCH(DATE(YEAR(A51),MONTH(A51),1),Avg!$A$2:$A$50,0)),"")</f>
        <v/>
      </c>
      <c r="O51" s="11">
        <f t="array" ref="O51">IFERROR(INDEX(Avg!$O$2:$O$50,MATCH(DATE(YEAR(A51),MONTH(A51),1),Avg!$A$2:$A$50,0)),"")</f>
        <v>6.560802547</v>
      </c>
    </row>
    <row r="52" ht="15.75" customHeight="1">
      <c r="A52" s="7" t="s">
        <v>107</v>
      </c>
      <c r="B52" s="7" t="s">
        <v>105</v>
      </c>
      <c r="C52" s="8" t="s">
        <v>85</v>
      </c>
      <c r="D52" s="9">
        <f>IF(SUMPRODUCT((Data!$D$2:$D$2277=A52)*(Data!$E$2:$E$2277=C52)*(Data!$M$2:$M$2277="Vladimir Zelenskiy"))&gt;0,SUMPRODUCT((Data!$D$2:$D$2277=A52)*(Data!$E$2:$E$2277=C52)*(Data!$M$2:$M$2277="Vladimir Zelenskiy")*IF(ISNUMBER(Data!$W$2:$W$2277),Data!$W$2:$W$2277,0))/SUMPRODUCT((Data!$D$2:$D$2277=A52)*(Data!$E$2:$E$2277=C52)*(Data!$M$2:$M$2277="Vladimir Zelenskiy")),"")</f>
        <v>67</v>
      </c>
      <c r="E52" s="9">
        <f>IF(SUMPRODUCT((Data!$D$2:$D$2277=A52)*(Data!$E$2:$E$2277=C52)*(Data!$M$2:$M$2277="Valerii Zaluzhniy"))&gt;0,SUMPRODUCT((Data!$D$2:$D$2277=A52)*(Data!$E$2:$E$2277=C52)*(Data!$M$2:$M$2277="Valerii Zaluzhniy")*IF(ISNUMBER(Data!$W$2:$W$2277),Data!$W$2:$W$2277,0))/SUMPRODUCT((Data!$D$2:$D$2277=A52)*(Data!$E$2:$E$2277=C52)*(Data!$M$2:$M$2277="Valerii Zaluzhniy")),"")</f>
        <v>10</v>
      </c>
      <c r="F52" s="9" t="str">
        <f>IF(SUMPRODUCT((Data!$D$2:$D$2277=A52)*(Data!$E$2:$E$2277=C52)*(Data!$M$2:$M$2277="Kyrylo Budanov"))&gt;0,SUMPRODUCT((Data!$D$2:$D$2277=A52)*(Data!$E$2:$E$2277=C52)*(Data!$M$2:$M$2277="Kyrylo Budanov")*IF(ISNUMBER(Data!$W$2:$W$2277),Data!$W$2:$W$2277,0))/SUMPRODUCT((Data!$D$2:$D$2277=A52)*(Data!$E$2:$E$2277=C52)*(Data!$M$2:$M$2277="Kyrylo Budanov")),"")</f>
        <v/>
      </c>
      <c r="G52" s="9">
        <f>IF(SUMPRODUCT((Data!$D$2:$D$2277=A52)*(Data!$E$2:$E$2277=C52)*(Data!$M$2:$M$2277="Pyotr Poroshenko"))&gt;0,SUMPRODUCT((Data!$D$2:$D$2277=A52)*(Data!$E$2:$E$2277=C52)*(Data!$M$2:$M$2277="Pyotr Poroshenko")*IF(ISNUMBER(Data!$W$2:$W$2277),Data!$W$2:$W$2277,0))/SUMPRODUCT((Data!$D$2:$D$2277=A52)*(Data!$E$2:$E$2277=C52)*(Data!$M$2:$M$2277="Pyotr Poroshenko")),"")</f>
        <v>7</v>
      </c>
      <c r="H52" s="10">
        <f t="array" ref="H52">IFERROR(INDEX(Avg!$F$2:$F$50,MATCH(DATE(YEAR(A52),MONTH(A52),1),Avg!$A$2:$A$50,0)),"")</f>
        <v>72.23260978</v>
      </c>
      <c r="I52" s="10">
        <f t="array" ref="I52">IFERROR(INDEX(Avg!$G$2:$G$50,MATCH(DATE(YEAR(A52),MONTH(A52),1),Avg!$A$2:$A$50,0)),"")</f>
        <v>8.575282793</v>
      </c>
      <c r="J52" s="10" t="str">
        <f t="array" ref="J52">IFERROR(INDEX(Avg!$H$2:$H$50,MATCH(DATE(YEAR(A52),MONTH(A52),1),Avg!$A$2:$A$50,0)),"")</f>
        <v/>
      </c>
      <c r="K52" s="10">
        <f t="array" ref="K52">IFERROR(INDEX(Avg!$I$2:$I$50,MATCH(DATE(YEAR(A52),MONTH(A52),1),Avg!$A$2:$A$50,0)),"")</f>
        <v>6.184265761</v>
      </c>
      <c r="L52" s="11">
        <f t="array" ref="L52">IFERROR(INDEX(Avg!$L$2:$L$50,MATCH(DATE(YEAR(A52),MONTH(A52),1),Avg!$A$2:$A$50,0)),"")</f>
        <v>73.90076344</v>
      </c>
      <c r="M52" s="11">
        <f t="array" ref="M52">IFERROR(INDEX(Avg!$M$2:$M$50,MATCH(DATE(YEAR(A52),MONTH(A52),1),Avg!$A$2:$A$50,0)),"")</f>
        <v>7.931464298</v>
      </c>
      <c r="N52" s="11" t="str">
        <f t="array" ref="N52">IFERROR(INDEX(Avg!$N$2:$N$50,MATCH(DATE(YEAR(A52),MONTH(A52),1),Avg!$A$2:$A$50,0)),"")</f>
        <v/>
      </c>
      <c r="O52" s="11">
        <f t="array" ref="O52">IFERROR(INDEX(Avg!$O$2:$O$50,MATCH(DATE(YEAR(A52),MONTH(A52),1),Avg!$A$2:$A$50,0)),"")</f>
        <v>6.560802547</v>
      </c>
    </row>
    <row r="53" ht="15.75" customHeight="1">
      <c r="A53" s="7" t="s">
        <v>108</v>
      </c>
      <c r="B53" s="7" t="s">
        <v>105</v>
      </c>
      <c r="C53" s="8" t="s">
        <v>91</v>
      </c>
      <c r="D53" s="9">
        <f>IF(SUMPRODUCT((Data!$D$2:$D$2277=A53)*(Data!$E$2:$E$2277=C53)*(Data!$M$2:$M$2277="Vladimir Zelenskiy"))&gt;0,SUMPRODUCT((Data!$D$2:$D$2277=A53)*(Data!$E$2:$E$2277=C53)*(Data!$M$2:$M$2277="Vladimir Zelenskiy")*IF(ISNUMBER(Data!$W$2:$W$2277),Data!$W$2:$W$2277,0))/SUMPRODUCT((Data!$D$2:$D$2277=A53)*(Data!$E$2:$E$2277=C53)*(Data!$M$2:$M$2277="Vladimir Zelenskiy")),"")</f>
        <v>80.4</v>
      </c>
      <c r="E53" s="9" t="str">
        <f>IF(SUMPRODUCT((Data!$D$2:$D$2277=A53)*(Data!$E$2:$E$2277=C53)*(Data!$M$2:$M$2277="Valerii Zaluzhniy"))&gt;0,SUMPRODUCT((Data!$D$2:$D$2277=A53)*(Data!$E$2:$E$2277=C53)*(Data!$M$2:$M$2277="Valerii Zaluzhniy")*IF(ISNUMBER(Data!$W$2:$W$2277),Data!$W$2:$W$2277,0))/SUMPRODUCT((Data!$D$2:$D$2277=A53)*(Data!$E$2:$E$2277=C53)*(Data!$M$2:$M$2277="Valerii Zaluzhniy")),"")</f>
        <v/>
      </c>
      <c r="F53" s="9" t="str">
        <f>IF(SUMPRODUCT((Data!$D$2:$D$2277=A53)*(Data!$E$2:$E$2277=C53)*(Data!$M$2:$M$2277="Kyrylo Budanov"))&gt;0,SUMPRODUCT((Data!$D$2:$D$2277=A53)*(Data!$E$2:$E$2277=C53)*(Data!$M$2:$M$2277="Kyrylo Budanov")*IF(ISNUMBER(Data!$W$2:$W$2277),Data!$W$2:$W$2277,0))/SUMPRODUCT((Data!$D$2:$D$2277=A53)*(Data!$E$2:$E$2277=C53)*(Data!$M$2:$M$2277="Kyrylo Budanov")),"")</f>
        <v/>
      </c>
      <c r="G53" s="9">
        <f>IF(SUMPRODUCT((Data!$D$2:$D$2277=A53)*(Data!$E$2:$E$2277=C53)*(Data!$M$2:$M$2277="Pyotr Poroshenko"))&gt;0,SUMPRODUCT((Data!$D$2:$D$2277=A53)*(Data!$E$2:$E$2277=C53)*(Data!$M$2:$M$2277="Pyotr Poroshenko")*IF(ISNUMBER(Data!$W$2:$W$2277),Data!$W$2:$W$2277,0))/SUMPRODUCT((Data!$D$2:$D$2277=A53)*(Data!$E$2:$E$2277=C53)*(Data!$M$2:$M$2277="Pyotr Poroshenko")),"")</f>
        <v>8.1</v>
      </c>
      <c r="H53" s="10">
        <f t="array" ref="H53">IFERROR(INDEX(Avg!$F$2:$F$50,MATCH(DATE(YEAR(A53),MONTH(A53),1),Avg!$A$2:$A$50,0)),"")</f>
        <v>76.26265856</v>
      </c>
      <c r="I53" s="10">
        <f t="array" ref="I53">IFERROR(INDEX(Avg!$G$2:$G$50,MATCH(DATE(YEAR(A53),MONTH(A53),1),Avg!$A$2:$A$50,0)),"")</f>
        <v>7.359952982</v>
      </c>
      <c r="J53" s="10" t="str">
        <f t="array" ref="J53">IFERROR(INDEX(Avg!$H$2:$H$50,MATCH(DATE(YEAR(A53),MONTH(A53),1),Avg!$A$2:$A$50,0)),"")</f>
        <v/>
      </c>
      <c r="K53" s="10">
        <f t="array" ref="K53">IFERROR(INDEX(Avg!$I$2:$I$50,MATCH(DATE(YEAR(A53),MONTH(A53),1),Avg!$A$2:$A$50,0)),"")</f>
        <v>7.142141426</v>
      </c>
      <c r="L53" s="11">
        <f t="array" ref="L53">IFERROR(INDEX(Avg!$L$2:$L$50,MATCH(DATE(YEAR(A53),MONTH(A53),1),Avg!$A$2:$A$50,0)),"")</f>
        <v>75.04725929</v>
      </c>
      <c r="M53" s="11">
        <f t="array" ref="M53">IFERROR(INDEX(Avg!$M$2:$M$50,MATCH(DATE(YEAR(A53),MONTH(A53),1),Avg!$A$2:$A$50,0)),"")</f>
        <v>6.77214201</v>
      </c>
      <c r="N53" s="11" t="str">
        <f t="array" ref="N53">IFERROR(INDEX(Avg!$N$2:$N$50,MATCH(DATE(YEAR(A53),MONTH(A53),1),Avg!$A$2:$A$50,0)),"")</f>
        <v/>
      </c>
      <c r="O53" s="11">
        <f t="array" ref="O53">IFERROR(INDEX(Avg!$O$2:$O$50,MATCH(DATE(YEAR(A53),MONTH(A53),1),Avg!$A$2:$A$50,0)),"")</f>
        <v>6.868886595</v>
      </c>
    </row>
    <row r="54" ht="15.75" customHeight="1">
      <c r="A54" s="7" t="s">
        <v>109</v>
      </c>
      <c r="B54" s="7" t="s">
        <v>110</v>
      </c>
      <c r="C54" s="8" t="s">
        <v>85</v>
      </c>
      <c r="D54" s="9">
        <f>IF(SUMPRODUCT((Data!$D$2:$D$2277=A54)*(Data!$E$2:$E$2277=C54)*(Data!$M$2:$M$2277="Vladimir Zelenskiy"))&gt;0,SUMPRODUCT((Data!$D$2:$D$2277=A54)*(Data!$E$2:$E$2277=C54)*(Data!$M$2:$M$2277="Vladimir Zelenskiy")*IF(ISNUMBER(Data!$W$2:$W$2277),Data!$W$2:$W$2277,0))/SUMPRODUCT((Data!$D$2:$D$2277=A54)*(Data!$E$2:$E$2277=C54)*(Data!$M$2:$M$2277="Vladimir Zelenskiy")),"")</f>
        <v>67</v>
      </c>
      <c r="E54" s="9">
        <f>IF(SUMPRODUCT((Data!$D$2:$D$2277=A54)*(Data!$E$2:$E$2277=C54)*(Data!$M$2:$M$2277="Valerii Zaluzhniy"))&gt;0,SUMPRODUCT((Data!$D$2:$D$2277=A54)*(Data!$E$2:$E$2277=C54)*(Data!$M$2:$M$2277="Valerii Zaluzhniy")*IF(ISNUMBER(Data!$W$2:$W$2277),Data!$W$2:$W$2277,0))/SUMPRODUCT((Data!$D$2:$D$2277=A54)*(Data!$E$2:$E$2277=C54)*(Data!$M$2:$M$2277="Valerii Zaluzhniy")),"")</f>
        <v>9</v>
      </c>
      <c r="F54" s="9" t="str">
        <f>IF(SUMPRODUCT((Data!$D$2:$D$2277=A54)*(Data!$E$2:$E$2277=C54)*(Data!$M$2:$M$2277="Kyrylo Budanov"))&gt;0,SUMPRODUCT((Data!$D$2:$D$2277=A54)*(Data!$E$2:$E$2277=C54)*(Data!$M$2:$M$2277="Kyrylo Budanov")*IF(ISNUMBER(Data!$W$2:$W$2277),Data!$W$2:$W$2277,0))/SUMPRODUCT((Data!$D$2:$D$2277=A54)*(Data!$E$2:$E$2277=C54)*(Data!$M$2:$M$2277="Kyrylo Budanov")),"")</f>
        <v/>
      </c>
      <c r="G54" s="9">
        <f>IF(SUMPRODUCT((Data!$D$2:$D$2277=A54)*(Data!$E$2:$E$2277=C54)*(Data!$M$2:$M$2277="Pyotr Poroshenko"))&gt;0,SUMPRODUCT((Data!$D$2:$D$2277=A54)*(Data!$E$2:$E$2277=C54)*(Data!$M$2:$M$2277="Pyotr Poroshenko")*IF(ISNUMBER(Data!$W$2:$W$2277),Data!$W$2:$W$2277,0))/SUMPRODUCT((Data!$D$2:$D$2277=A54)*(Data!$E$2:$E$2277=C54)*(Data!$M$2:$M$2277="Pyotr Poroshenko")),"")</f>
        <v>6</v>
      </c>
      <c r="H54" s="10">
        <f t="array" ref="H54">IFERROR(INDEX(Avg!$F$2:$F$50,MATCH(DATE(YEAR(A54),MONTH(A54),1),Avg!$A$2:$A$50,0)),"")</f>
        <v>76.26265856</v>
      </c>
      <c r="I54" s="10">
        <f t="array" ref="I54">IFERROR(INDEX(Avg!$G$2:$G$50,MATCH(DATE(YEAR(A54),MONTH(A54),1),Avg!$A$2:$A$50,0)),"")</f>
        <v>7.359952982</v>
      </c>
      <c r="J54" s="10" t="str">
        <f t="array" ref="J54">IFERROR(INDEX(Avg!$H$2:$H$50,MATCH(DATE(YEAR(A54),MONTH(A54),1),Avg!$A$2:$A$50,0)),"")</f>
        <v/>
      </c>
      <c r="K54" s="10">
        <f t="array" ref="K54">IFERROR(INDEX(Avg!$I$2:$I$50,MATCH(DATE(YEAR(A54),MONTH(A54),1),Avg!$A$2:$A$50,0)),"")</f>
        <v>7.142141426</v>
      </c>
      <c r="L54" s="11">
        <f t="array" ref="L54">IFERROR(INDEX(Avg!$L$2:$L$50,MATCH(DATE(YEAR(A54),MONTH(A54),1),Avg!$A$2:$A$50,0)),"")</f>
        <v>75.04725929</v>
      </c>
      <c r="M54" s="11">
        <f t="array" ref="M54">IFERROR(INDEX(Avg!$M$2:$M$50,MATCH(DATE(YEAR(A54),MONTH(A54),1),Avg!$A$2:$A$50,0)),"")</f>
        <v>6.77214201</v>
      </c>
      <c r="N54" s="11" t="str">
        <f t="array" ref="N54">IFERROR(INDEX(Avg!$N$2:$N$50,MATCH(DATE(YEAR(A54),MONTH(A54),1),Avg!$A$2:$A$50,0)),"")</f>
        <v/>
      </c>
      <c r="O54" s="11">
        <f t="array" ref="O54">IFERROR(INDEX(Avg!$O$2:$O$50,MATCH(DATE(YEAR(A54),MONTH(A54),1),Avg!$A$2:$A$50,0)),"")</f>
        <v>6.868886595</v>
      </c>
    </row>
    <row r="55" ht="15.75" customHeight="1">
      <c r="A55" s="7" t="s">
        <v>111</v>
      </c>
      <c r="B55" s="7" t="s">
        <v>112</v>
      </c>
      <c r="C55" s="8" t="s">
        <v>91</v>
      </c>
      <c r="D55" s="9">
        <f>IF(SUMPRODUCT((Data!$D$2:$D$2277=A55)*(Data!$E$2:$E$2277=C55)*(Data!$M$2:$M$2277="Vladimir Zelenskiy"))&gt;0,SUMPRODUCT((Data!$D$2:$D$2277=A55)*(Data!$E$2:$E$2277=C55)*(Data!$M$2:$M$2277="Vladimir Zelenskiy")*IF(ISNUMBER(Data!$W$2:$W$2277),Data!$W$2:$W$2277,0))/SUMPRODUCT((Data!$D$2:$D$2277=A55)*(Data!$E$2:$E$2277=C55)*(Data!$M$2:$M$2277="Vladimir Zelenskiy")),"")</f>
        <v>76.5</v>
      </c>
      <c r="E55" s="9" t="str">
        <f>IF(SUMPRODUCT((Data!$D$2:$D$2277=A55)*(Data!$E$2:$E$2277=C55)*(Data!$M$2:$M$2277="Valerii Zaluzhniy"))&gt;0,SUMPRODUCT((Data!$D$2:$D$2277=A55)*(Data!$E$2:$E$2277=C55)*(Data!$M$2:$M$2277="Valerii Zaluzhniy")*IF(ISNUMBER(Data!$W$2:$W$2277),Data!$W$2:$W$2277,0))/SUMPRODUCT((Data!$D$2:$D$2277=A55)*(Data!$E$2:$E$2277=C55)*(Data!$M$2:$M$2277="Valerii Zaluzhniy")),"")</f>
        <v/>
      </c>
      <c r="F55" s="9" t="str">
        <f>IF(SUMPRODUCT((Data!$D$2:$D$2277=A55)*(Data!$E$2:$E$2277=C55)*(Data!$M$2:$M$2277="Kyrylo Budanov"))&gt;0,SUMPRODUCT((Data!$D$2:$D$2277=A55)*(Data!$E$2:$E$2277=C55)*(Data!$M$2:$M$2277="Kyrylo Budanov")*IF(ISNUMBER(Data!$W$2:$W$2277),Data!$W$2:$W$2277,0))/SUMPRODUCT((Data!$D$2:$D$2277=A55)*(Data!$E$2:$E$2277=C55)*(Data!$M$2:$M$2277="Kyrylo Budanov")),"")</f>
        <v/>
      </c>
      <c r="G55" s="9">
        <f>IF(SUMPRODUCT((Data!$D$2:$D$2277=A55)*(Data!$E$2:$E$2277=C55)*(Data!$M$2:$M$2277="Pyotr Poroshenko"))&gt;0,SUMPRODUCT((Data!$D$2:$D$2277=A55)*(Data!$E$2:$E$2277=C55)*(Data!$M$2:$M$2277="Pyotr Poroshenko")*IF(ISNUMBER(Data!$W$2:$W$2277),Data!$W$2:$W$2277,0))/SUMPRODUCT((Data!$D$2:$D$2277=A55)*(Data!$E$2:$E$2277=C55)*(Data!$M$2:$M$2277="Pyotr Poroshenko")),"")</f>
        <v>7.1</v>
      </c>
      <c r="H55" s="10">
        <f t="array" ref="H55">IFERROR(INDEX(Avg!$F$2:$F$50,MATCH(DATE(YEAR(A55),MONTH(A55),1),Avg!$A$2:$A$50,0)),"")</f>
        <v>74.18143419</v>
      </c>
      <c r="I55" s="10">
        <f t="array" ref="I55">IFERROR(INDEX(Avg!$G$2:$G$50,MATCH(DATE(YEAR(A55),MONTH(A55),1),Avg!$A$2:$A$50,0)),"")</f>
        <v>7.143031443</v>
      </c>
      <c r="J55" s="10" t="str">
        <f t="array" ref="J55">IFERROR(INDEX(Avg!$H$2:$H$50,MATCH(DATE(YEAR(A55),MONTH(A55),1),Avg!$A$2:$A$50,0)),"")</f>
        <v/>
      </c>
      <c r="K55" s="10">
        <f t="array" ref="K55">IFERROR(INDEX(Avg!$I$2:$I$50,MATCH(DATE(YEAR(A55),MONTH(A55),1),Avg!$A$2:$A$50,0)),"")</f>
        <v>6.527735149</v>
      </c>
      <c r="L55" s="11">
        <f t="array" ref="L55">IFERROR(INDEX(Avg!$L$2:$L$50,MATCH(DATE(YEAR(A55),MONTH(A55),1),Avg!$A$2:$A$50,0)),"")</f>
        <v>73.47488928</v>
      </c>
      <c r="M55" s="11">
        <f t="array" ref="M55">IFERROR(INDEX(Avg!$M$2:$M$50,MATCH(DATE(YEAR(A55),MONTH(A55),1),Avg!$A$2:$A$50,0)),"")</f>
        <v>5.610492464</v>
      </c>
      <c r="N55" s="11" t="str">
        <f t="array" ref="N55">IFERROR(INDEX(Avg!$N$2:$N$50,MATCH(DATE(YEAR(A55),MONTH(A55),1),Avg!$A$2:$A$50,0)),"")</f>
        <v/>
      </c>
      <c r="O55" s="11">
        <f t="array" ref="O55">IFERROR(INDEX(Avg!$O$2:$O$50,MATCH(DATE(YEAR(A55),MONTH(A55),1),Avg!$A$2:$A$50,0)),"")</f>
        <v>6.611629049</v>
      </c>
    </row>
    <row r="56" ht="15.75" customHeight="1">
      <c r="A56" s="7" t="s">
        <v>113</v>
      </c>
      <c r="B56" s="7" t="s">
        <v>112</v>
      </c>
      <c r="C56" s="8" t="s">
        <v>85</v>
      </c>
      <c r="D56" s="9">
        <f>IF(SUMPRODUCT((Data!$D$2:$D$2277=A56)*(Data!$E$2:$E$2277=C56)*(Data!$M$2:$M$2277="Vladimir Zelenskiy"))&gt;0,SUMPRODUCT((Data!$D$2:$D$2277=A56)*(Data!$E$2:$E$2277=C56)*(Data!$M$2:$M$2277="Vladimir Zelenskiy")*IF(ISNUMBER(Data!$W$2:$W$2277),Data!$W$2:$W$2277,0))/SUMPRODUCT((Data!$D$2:$D$2277=A56)*(Data!$E$2:$E$2277=C56)*(Data!$M$2:$M$2277="Vladimir Zelenskiy")),"")</f>
        <v>68</v>
      </c>
      <c r="E56" s="9">
        <f>IF(SUMPRODUCT((Data!$D$2:$D$2277=A56)*(Data!$E$2:$E$2277=C56)*(Data!$M$2:$M$2277="Valerii Zaluzhniy"))&gt;0,SUMPRODUCT((Data!$D$2:$D$2277=A56)*(Data!$E$2:$E$2277=C56)*(Data!$M$2:$M$2277="Valerii Zaluzhniy")*IF(ISNUMBER(Data!$W$2:$W$2277),Data!$W$2:$W$2277,0))/SUMPRODUCT((Data!$D$2:$D$2277=A56)*(Data!$E$2:$E$2277=C56)*(Data!$M$2:$M$2277="Valerii Zaluzhniy")),"")</f>
        <v>9</v>
      </c>
      <c r="F56" s="9" t="str">
        <f>IF(SUMPRODUCT((Data!$D$2:$D$2277=A56)*(Data!$E$2:$E$2277=C56)*(Data!$M$2:$M$2277="Kyrylo Budanov"))&gt;0,SUMPRODUCT((Data!$D$2:$D$2277=A56)*(Data!$E$2:$E$2277=C56)*(Data!$M$2:$M$2277="Kyrylo Budanov")*IF(ISNUMBER(Data!$W$2:$W$2277),Data!$W$2:$W$2277,0))/SUMPRODUCT((Data!$D$2:$D$2277=A56)*(Data!$E$2:$E$2277=C56)*(Data!$M$2:$M$2277="Kyrylo Budanov")),"")</f>
        <v/>
      </c>
      <c r="G56" s="9">
        <f>IF(SUMPRODUCT((Data!$D$2:$D$2277=A56)*(Data!$E$2:$E$2277=C56)*(Data!$M$2:$M$2277="Pyotr Poroshenko"))&gt;0,SUMPRODUCT((Data!$D$2:$D$2277=A56)*(Data!$E$2:$E$2277=C56)*(Data!$M$2:$M$2277="Pyotr Poroshenko")*IF(ISNUMBER(Data!$W$2:$W$2277),Data!$W$2:$W$2277,0))/SUMPRODUCT((Data!$D$2:$D$2277=A56)*(Data!$E$2:$E$2277=C56)*(Data!$M$2:$M$2277="Pyotr Poroshenko")),"")</f>
        <v>6</v>
      </c>
      <c r="H56" s="10">
        <f t="array" ref="H56">IFERROR(INDEX(Avg!$F$2:$F$50,MATCH(DATE(YEAR(A56),MONTH(A56),1),Avg!$A$2:$A$50,0)),"")</f>
        <v>74.18143419</v>
      </c>
      <c r="I56" s="10">
        <f t="array" ref="I56">IFERROR(INDEX(Avg!$G$2:$G$50,MATCH(DATE(YEAR(A56),MONTH(A56),1),Avg!$A$2:$A$50,0)),"")</f>
        <v>7.143031443</v>
      </c>
      <c r="J56" s="10" t="str">
        <f t="array" ref="J56">IFERROR(INDEX(Avg!$H$2:$H$50,MATCH(DATE(YEAR(A56),MONTH(A56),1),Avg!$A$2:$A$50,0)),"")</f>
        <v/>
      </c>
      <c r="K56" s="10">
        <f t="array" ref="K56">IFERROR(INDEX(Avg!$I$2:$I$50,MATCH(DATE(YEAR(A56),MONTH(A56),1),Avg!$A$2:$A$50,0)),"")</f>
        <v>6.527735149</v>
      </c>
      <c r="L56" s="11">
        <f t="array" ref="L56">IFERROR(INDEX(Avg!$L$2:$L$50,MATCH(DATE(YEAR(A56),MONTH(A56),1),Avg!$A$2:$A$50,0)),"")</f>
        <v>73.47488928</v>
      </c>
      <c r="M56" s="11">
        <f t="array" ref="M56">IFERROR(INDEX(Avg!$M$2:$M$50,MATCH(DATE(YEAR(A56),MONTH(A56),1),Avg!$A$2:$A$50,0)),"")</f>
        <v>5.610492464</v>
      </c>
      <c r="N56" s="11" t="str">
        <f t="array" ref="N56">IFERROR(INDEX(Avg!$N$2:$N$50,MATCH(DATE(YEAR(A56),MONTH(A56),1),Avg!$A$2:$A$50,0)),"")</f>
        <v/>
      </c>
      <c r="O56" s="11">
        <f t="array" ref="O56">IFERROR(INDEX(Avg!$O$2:$O$50,MATCH(DATE(YEAR(A56),MONTH(A56),1),Avg!$A$2:$A$50,0)),"")</f>
        <v>6.611629049</v>
      </c>
    </row>
    <row r="57" ht="15.75" customHeight="1">
      <c r="A57" s="7" t="s">
        <v>114</v>
      </c>
      <c r="B57" s="7" t="s">
        <v>112</v>
      </c>
      <c r="C57" s="8" t="s">
        <v>115</v>
      </c>
      <c r="D57" s="9">
        <f>IF(SUMPRODUCT((Data!$D$2:$D$2277=A57)*(Data!$E$2:$E$2277=C57)*(Data!$M$2:$M$2277="Vladimir Zelenskiy"))&gt;0,SUMPRODUCT((Data!$D$2:$D$2277=A57)*(Data!$E$2:$E$2277=C57)*(Data!$M$2:$M$2277="Vladimir Zelenskiy")*IF(ISNUMBER(Data!$W$2:$W$2277),Data!$W$2:$W$2277,0))/SUMPRODUCT((Data!$D$2:$D$2277=A57)*(Data!$E$2:$E$2277=C57)*(Data!$M$2:$M$2277="Vladimir Zelenskiy")),"")</f>
        <v>73.5</v>
      </c>
      <c r="E57" s="9">
        <f>IF(SUMPRODUCT((Data!$D$2:$D$2277=A57)*(Data!$E$2:$E$2277=C57)*(Data!$M$2:$M$2277="Valerii Zaluzhniy"))&gt;0,SUMPRODUCT((Data!$D$2:$D$2277=A57)*(Data!$E$2:$E$2277=C57)*(Data!$M$2:$M$2277="Valerii Zaluzhniy")*IF(ISNUMBER(Data!$W$2:$W$2277),Data!$W$2:$W$2277,0))/SUMPRODUCT((Data!$D$2:$D$2277=A57)*(Data!$E$2:$E$2277=C57)*(Data!$M$2:$M$2277="Valerii Zaluzhniy")),"")</f>
        <v>11.6</v>
      </c>
      <c r="F57" s="9" t="str">
        <f>IF(SUMPRODUCT((Data!$D$2:$D$2277=A57)*(Data!$E$2:$E$2277=C57)*(Data!$M$2:$M$2277="Kyrylo Budanov"))&gt;0,SUMPRODUCT((Data!$D$2:$D$2277=A57)*(Data!$E$2:$E$2277=C57)*(Data!$M$2:$M$2277="Kyrylo Budanov")*IF(ISNUMBER(Data!$W$2:$W$2277),Data!$W$2:$W$2277,0))/SUMPRODUCT((Data!$D$2:$D$2277=A57)*(Data!$E$2:$E$2277=C57)*(Data!$M$2:$M$2277="Kyrylo Budanov")),"")</f>
        <v/>
      </c>
      <c r="G57" s="9">
        <f>IF(SUMPRODUCT((Data!$D$2:$D$2277=A57)*(Data!$E$2:$E$2277=C57)*(Data!$M$2:$M$2277="Pyotr Poroshenko"))&gt;0,SUMPRODUCT((Data!$D$2:$D$2277=A57)*(Data!$E$2:$E$2277=C57)*(Data!$M$2:$M$2277="Pyotr Poroshenko")*IF(ISNUMBER(Data!$W$2:$W$2277),Data!$W$2:$W$2277,0))/SUMPRODUCT((Data!$D$2:$D$2277=A57)*(Data!$E$2:$E$2277=C57)*(Data!$M$2:$M$2277="Pyotr Poroshenko")),"")</f>
        <v>5.3</v>
      </c>
      <c r="H57" s="10">
        <f t="array" ref="H57">IFERROR(INDEX(Avg!$F$2:$F$50,MATCH(DATE(YEAR(A57),MONTH(A57),1),Avg!$A$2:$A$50,0)),"")</f>
        <v>74.18143419</v>
      </c>
      <c r="I57" s="10">
        <f t="array" ref="I57">IFERROR(INDEX(Avg!$G$2:$G$50,MATCH(DATE(YEAR(A57),MONTH(A57),1),Avg!$A$2:$A$50,0)),"")</f>
        <v>7.143031443</v>
      </c>
      <c r="J57" s="10" t="str">
        <f t="array" ref="J57">IFERROR(INDEX(Avg!$H$2:$H$50,MATCH(DATE(YEAR(A57),MONTH(A57),1),Avg!$A$2:$A$50,0)),"")</f>
        <v/>
      </c>
      <c r="K57" s="10">
        <f t="array" ref="K57">IFERROR(INDEX(Avg!$I$2:$I$50,MATCH(DATE(YEAR(A57),MONTH(A57),1),Avg!$A$2:$A$50,0)),"")</f>
        <v>6.527735149</v>
      </c>
      <c r="L57" s="11">
        <f t="array" ref="L57">IFERROR(INDEX(Avg!$L$2:$L$50,MATCH(DATE(YEAR(A57),MONTH(A57),1),Avg!$A$2:$A$50,0)),"")</f>
        <v>73.47488928</v>
      </c>
      <c r="M57" s="11">
        <f t="array" ref="M57">IFERROR(INDEX(Avg!$M$2:$M$50,MATCH(DATE(YEAR(A57),MONTH(A57),1),Avg!$A$2:$A$50,0)),"")</f>
        <v>5.610492464</v>
      </c>
      <c r="N57" s="11" t="str">
        <f t="array" ref="N57">IFERROR(INDEX(Avg!$N$2:$N$50,MATCH(DATE(YEAR(A57),MONTH(A57),1),Avg!$A$2:$A$50,0)),"")</f>
        <v/>
      </c>
      <c r="O57" s="11">
        <f t="array" ref="O57">IFERROR(INDEX(Avg!$O$2:$O$50,MATCH(DATE(YEAR(A57),MONTH(A57),1),Avg!$A$2:$A$50,0)),"")</f>
        <v>6.611629049</v>
      </c>
    </row>
    <row r="58" ht="15.75" customHeight="1">
      <c r="A58" s="7" t="s">
        <v>116</v>
      </c>
      <c r="B58" s="7" t="s">
        <v>117</v>
      </c>
      <c r="C58" s="8" t="s">
        <v>91</v>
      </c>
      <c r="D58" s="9">
        <f>IF(SUMPRODUCT((Data!$D$2:$D$2277=A58)*(Data!$E$2:$E$2277=C58)*(Data!$M$2:$M$2277="Vladimir Zelenskiy"))&gt;0,SUMPRODUCT((Data!$D$2:$D$2277=A58)*(Data!$E$2:$E$2277=C58)*(Data!$M$2:$M$2277="Vladimir Zelenskiy")*IF(ISNUMBER(Data!$W$2:$W$2277),Data!$W$2:$W$2277,0))/SUMPRODUCT((Data!$D$2:$D$2277=A58)*(Data!$E$2:$E$2277=C58)*(Data!$M$2:$M$2277="Vladimir Zelenskiy")),"")</f>
        <v>75</v>
      </c>
      <c r="E58" s="9" t="str">
        <f>IF(SUMPRODUCT((Data!$D$2:$D$2277=A58)*(Data!$E$2:$E$2277=C58)*(Data!$M$2:$M$2277="Valerii Zaluzhniy"))&gt;0,SUMPRODUCT((Data!$D$2:$D$2277=A58)*(Data!$E$2:$E$2277=C58)*(Data!$M$2:$M$2277="Valerii Zaluzhniy")*IF(ISNUMBER(Data!$W$2:$W$2277),Data!$W$2:$W$2277,0))/SUMPRODUCT((Data!$D$2:$D$2277=A58)*(Data!$E$2:$E$2277=C58)*(Data!$M$2:$M$2277="Valerii Zaluzhniy")),"")</f>
        <v/>
      </c>
      <c r="F58" s="9" t="str">
        <f>IF(SUMPRODUCT((Data!$D$2:$D$2277=A58)*(Data!$E$2:$E$2277=C58)*(Data!$M$2:$M$2277="Kyrylo Budanov"))&gt;0,SUMPRODUCT((Data!$D$2:$D$2277=A58)*(Data!$E$2:$E$2277=C58)*(Data!$M$2:$M$2277="Kyrylo Budanov")*IF(ISNUMBER(Data!$W$2:$W$2277),Data!$W$2:$W$2277,0))/SUMPRODUCT((Data!$D$2:$D$2277=A58)*(Data!$E$2:$E$2277=C58)*(Data!$M$2:$M$2277="Kyrylo Budanov")),"")</f>
        <v/>
      </c>
      <c r="G58" s="9">
        <f>IF(SUMPRODUCT((Data!$D$2:$D$2277=A58)*(Data!$E$2:$E$2277=C58)*(Data!$M$2:$M$2277="Pyotr Poroshenko"))&gt;0,SUMPRODUCT((Data!$D$2:$D$2277=A58)*(Data!$E$2:$E$2277=C58)*(Data!$M$2:$M$2277="Pyotr Poroshenko")*IF(ISNUMBER(Data!$W$2:$W$2277),Data!$W$2:$W$2277,0))/SUMPRODUCT((Data!$D$2:$D$2277=A58)*(Data!$E$2:$E$2277=C58)*(Data!$M$2:$M$2277="Pyotr Poroshenko")),"")</f>
        <v>7.1</v>
      </c>
      <c r="H58" s="10">
        <f t="array" ref="H58">IFERROR(INDEX(Avg!$F$2:$F$50,MATCH(DATE(YEAR(A58),MONTH(A58),1),Avg!$A$2:$A$50,0)),"")</f>
        <v>73.1327117</v>
      </c>
      <c r="I58" s="10">
        <f t="array" ref="I58">IFERROR(INDEX(Avg!$G$2:$G$50,MATCH(DATE(YEAR(A58),MONTH(A58),1),Avg!$A$2:$A$50,0)),"")</f>
        <v>4.266930228</v>
      </c>
      <c r="J58" s="10" t="str">
        <f t="array" ref="J58">IFERROR(INDEX(Avg!$H$2:$H$50,MATCH(DATE(YEAR(A58),MONTH(A58),1),Avg!$A$2:$A$50,0)),"")</f>
        <v/>
      </c>
      <c r="K58" s="10">
        <f t="array" ref="K58">IFERROR(INDEX(Avg!$I$2:$I$50,MATCH(DATE(YEAR(A58),MONTH(A58),1),Avg!$A$2:$A$50,0)),"")</f>
        <v>6.731424993</v>
      </c>
      <c r="L58" s="11">
        <f t="array" ref="L58">IFERROR(INDEX(Avg!$L$2:$L$50,MATCH(DATE(YEAR(A58),MONTH(A58),1),Avg!$A$2:$A$50,0)),"")</f>
        <v>72.71408264</v>
      </c>
      <c r="M58" s="11">
        <f t="array" ref="M58">IFERROR(INDEX(Avg!$M$2:$M$50,MATCH(DATE(YEAR(A58),MONTH(A58),1),Avg!$A$2:$A$50,0)),"")</f>
        <v>3.983465114</v>
      </c>
      <c r="N58" s="11" t="str">
        <f t="array" ref="N58">IFERROR(INDEX(Avg!$N$2:$N$50,MATCH(DATE(YEAR(A58),MONTH(A58),1),Avg!$A$2:$A$50,0)),"")</f>
        <v/>
      </c>
      <c r="O58" s="11">
        <f t="array" ref="O58">IFERROR(INDEX(Avg!$O$2:$O$50,MATCH(DATE(YEAR(A58),MONTH(A58),1),Avg!$A$2:$A$50,0)),"")</f>
        <v>6.622315702</v>
      </c>
    </row>
    <row r="59" ht="15.75" customHeight="1">
      <c r="A59" s="7" t="s">
        <v>118</v>
      </c>
      <c r="B59" s="7" t="s">
        <v>117</v>
      </c>
      <c r="C59" s="8" t="s">
        <v>85</v>
      </c>
      <c r="D59" s="9">
        <f>IF(SUMPRODUCT((Data!$D$2:$D$2277=A59)*(Data!$E$2:$E$2277=C59)*(Data!$M$2:$M$2277="Vladimir Zelenskiy"))&gt;0,SUMPRODUCT((Data!$D$2:$D$2277=A59)*(Data!$E$2:$E$2277=C59)*(Data!$M$2:$M$2277="Vladimir Zelenskiy")*IF(ISNUMBER(Data!$W$2:$W$2277),Data!$W$2:$W$2277,0))/SUMPRODUCT((Data!$D$2:$D$2277=A59)*(Data!$E$2:$E$2277=C59)*(Data!$M$2:$M$2277="Vladimir Zelenskiy")),"")</f>
        <v>67</v>
      </c>
      <c r="E59" s="9">
        <f>IF(SUMPRODUCT((Data!$D$2:$D$2277=A59)*(Data!$E$2:$E$2277=C59)*(Data!$M$2:$M$2277="Valerii Zaluzhniy"))&gt;0,SUMPRODUCT((Data!$D$2:$D$2277=A59)*(Data!$E$2:$E$2277=C59)*(Data!$M$2:$M$2277="Valerii Zaluzhniy")*IF(ISNUMBER(Data!$W$2:$W$2277),Data!$W$2:$W$2277,0))/SUMPRODUCT((Data!$D$2:$D$2277=A59)*(Data!$E$2:$E$2277=C59)*(Data!$M$2:$M$2277="Valerii Zaluzhniy")),"")</f>
        <v>7</v>
      </c>
      <c r="F59" s="9" t="str">
        <f>IF(SUMPRODUCT((Data!$D$2:$D$2277=A59)*(Data!$E$2:$E$2277=C59)*(Data!$M$2:$M$2277="Kyrylo Budanov"))&gt;0,SUMPRODUCT((Data!$D$2:$D$2277=A59)*(Data!$E$2:$E$2277=C59)*(Data!$M$2:$M$2277="Kyrylo Budanov")*IF(ISNUMBER(Data!$W$2:$W$2277),Data!$W$2:$W$2277,0))/SUMPRODUCT((Data!$D$2:$D$2277=A59)*(Data!$E$2:$E$2277=C59)*(Data!$M$2:$M$2277="Kyrylo Budanov")),"")</f>
        <v/>
      </c>
      <c r="G59" s="9">
        <f>IF(SUMPRODUCT((Data!$D$2:$D$2277=A59)*(Data!$E$2:$E$2277=C59)*(Data!$M$2:$M$2277="Pyotr Poroshenko"))&gt;0,SUMPRODUCT((Data!$D$2:$D$2277=A59)*(Data!$E$2:$E$2277=C59)*(Data!$M$2:$M$2277="Pyotr Poroshenko")*IF(ISNUMBER(Data!$W$2:$W$2277),Data!$W$2:$W$2277,0))/SUMPRODUCT((Data!$D$2:$D$2277=A59)*(Data!$E$2:$E$2277=C59)*(Data!$M$2:$M$2277="Pyotr Poroshenko")),"")</f>
        <v>5</v>
      </c>
      <c r="H59" s="10">
        <f t="array" ref="H59">IFERROR(INDEX(Avg!$F$2:$F$50,MATCH(DATE(YEAR(A59),MONTH(A59),1),Avg!$A$2:$A$50,0)),"")</f>
        <v>73.1327117</v>
      </c>
      <c r="I59" s="10">
        <f t="array" ref="I59">IFERROR(INDEX(Avg!$G$2:$G$50,MATCH(DATE(YEAR(A59),MONTH(A59),1),Avg!$A$2:$A$50,0)),"")</f>
        <v>4.266930228</v>
      </c>
      <c r="J59" s="10" t="str">
        <f t="array" ref="J59">IFERROR(INDEX(Avg!$H$2:$H$50,MATCH(DATE(YEAR(A59),MONTH(A59),1),Avg!$A$2:$A$50,0)),"")</f>
        <v/>
      </c>
      <c r="K59" s="10">
        <f t="array" ref="K59">IFERROR(INDEX(Avg!$I$2:$I$50,MATCH(DATE(YEAR(A59),MONTH(A59),1),Avg!$A$2:$A$50,0)),"")</f>
        <v>6.731424993</v>
      </c>
      <c r="L59" s="11">
        <f t="array" ref="L59">IFERROR(INDEX(Avg!$L$2:$L$50,MATCH(DATE(YEAR(A59),MONTH(A59),1),Avg!$A$2:$A$50,0)),"")</f>
        <v>72.71408264</v>
      </c>
      <c r="M59" s="11">
        <f t="array" ref="M59">IFERROR(INDEX(Avg!$M$2:$M$50,MATCH(DATE(YEAR(A59),MONTH(A59),1),Avg!$A$2:$A$50,0)),"")</f>
        <v>3.983465114</v>
      </c>
      <c r="N59" s="11" t="str">
        <f t="array" ref="N59">IFERROR(INDEX(Avg!$N$2:$N$50,MATCH(DATE(YEAR(A59),MONTH(A59),1),Avg!$A$2:$A$50,0)),"")</f>
        <v/>
      </c>
      <c r="O59" s="11">
        <f t="array" ref="O59">IFERROR(INDEX(Avg!$O$2:$O$50,MATCH(DATE(YEAR(A59),MONTH(A59),1),Avg!$A$2:$A$50,0)),"")</f>
        <v>6.622315702</v>
      </c>
    </row>
    <row r="60" ht="15.75" customHeight="1">
      <c r="A60" s="7" t="s">
        <v>119</v>
      </c>
      <c r="B60" s="7" t="s">
        <v>120</v>
      </c>
      <c r="C60" s="8" t="s">
        <v>91</v>
      </c>
      <c r="D60" s="9">
        <f>IF(SUMPRODUCT((Data!$D$2:$D$2277=A60)*(Data!$E$2:$E$2277=C60)*(Data!$M$2:$M$2277="Vladimir Zelenskiy"))&gt;0,SUMPRODUCT((Data!$D$2:$D$2277=A60)*(Data!$E$2:$E$2277=C60)*(Data!$M$2:$M$2277="Vladimir Zelenskiy")*IF(ISNUMBER(Data!$W$2:$W$2277),Data!$W$2:$W$2277,0))/SUMPRODUCT((Data!$D$2:$D$2277=A60)*(Data!$E$2:$E$2277=C60)*(Data!$M$2:$M$2277="Vladimir Zelenskiy")),"")</f>
        <v>71.4</v>
      </c>
      <c r="E60" s="9" t="str">
        <f>IF(SUMPRODUCT((Data!$D$2:$D$2277=A60)*(Data!$E$2:$E$2277=C60)*(Data!$M$2:$M$2277="Valerii Zaluzhniy"))&gt;0,SUMPRODUCT((Data!$D$2:$D$2277=A60)*(Data!$E$2:$E$2277=C60)*(Data!$M$2:$M$2277="Valerii Zaluzhniy")*IF(ISNUMBER(Data!$W$2:$W$2277),Data!$W$2:$W$2277,0))/SUMPRODUCT((Data!$D$2:$D$2277=A60)*(Data!$E$2:$E$2277=C60)*(Data!$M$2:$M$2277="Valerii Zaluzhniy")),"")</f>
        <v/>
      </c>
      <c r="F60" s="9" t="str">
        <f>IF(SUMPRODUCT((Data!$D$2:$D$2277=A60)*(Data!$E$2:$E$2277=C60)*(Data!$M$2:$M$2277="Kyrylo Budanov"))&gt;0,SUMPRODUCT((Data!$D$2:$D$2277=A60)*(Data!$E$2:$E$2277=C60)*(Data!$M$2:$M$2277="Kyrylo Budanov")*IF(ISNUMBER(Data!$W$2:$W$2277),Data!$W$2:$W$2277,0))/SUMPRODUCT((Data!$D$2:$D$2277=A60)*(Data!$E$2:$E$2277=C60)*(Data!$M$2:$M$2277="Kyrylo Budanov")),"")</f>
        <v/>
      </c>
      <c r="G60" s="9">
        <f>IF(SUMPRODUCT((Data!$D$2:$D$2277=A60)*(Data!$E$2:$E$2277=C60)*(Data!$M$2:$M$2277="Pyotr Poroshenko"))&gt;0,SUMPRODUCT((Data!$D$2:$D$2277=A60)*(Data!$E$2:$E$2277=C60)*(Data!$M$2:$M$2277="Pyotr Poroshenko")*IF(ISNUMBER(Data!$W$2:$W$2277),Data!$W$2:$W$2277,0))/SUMPRODUCT((Data!$D$2:$D$2277=A60)*(Data!$E$2:$E$2277=C60)*(Data!$M$2:$M$2277="Pyotr Poroshenko")),"")</f>
        <v>6.9</v>
      </c>
      <c r="H60" s="10">
        <f t="array" ref="H60">IFERROR(INDEX(Avg!$F$2:$F$50,MATCH(DATE(YEAR(A60),MONTH(A60),1),Avg!$A$2:$A$50,0)),"")</f>
        <v>72.03960971</v>
      </c>
      <c r="I60" s="10">
        <f t="array" ref="I60">IFERROR(INDEX(Avg!$G$2:$G$50,MATCH(DATE(YEAR(A60),MONTH(A60),1),Avg!$A$2:$A$50,0)),"")</f>
        <v>3.7</v>
      </c>
      <c r="J60" s="10" t="str">
        <f t="array" ref="J60">IFERROR(INDEX(Avg!$H$2:$H$50,MATCH(DATE(YEAR(A60),MONTH(A60),1),Avg!$A$2:$A$50,0)),"")</f>
        <v/>
      </c>
      <c r="K60" s="10">
        <f t="array" ref="K60">IFERROR(INDEX(Avg!$I$2:$I$50,MATCH(DATE(YEAR(A60),MONTH(A60),1),Avg!$A$2:$A$50,0)),"")</f>
        <v>6.623718864</v>
      </c>
      <c r="L60" s="11">
        <f t="array" ref="L60">IFERROR(INDEX(Avg!$L$2:$L$50,MATCH(DATE(YEAR(A60),MONTH(A60),1),Avg!$A$2:$A$50,0)),"")</f>
        <v>72.65780735</v>
      </c>
      <c r="M60" s="11">
        <f t="array" ref="M60">IFERROR(INDEX(Avg!$M$2:$M$50,MATCH(DATE(YEAR(A60),MONTH(A60),1),Avg!$A$2:$A$50,0)),"")</f>
        <v>3.7</v>
      </c>
      <c r="N60" s="11" t="str">
        <f t="array" ref="N60">IFERROR(INDEX(Avg!$N$2:$N$50,MATCH(DATE(YEAR(A60),MONTH(A60),1),Avg!$A$2:$A$50,0)),"")</f>
        <v/>
      </c>
      <c r="O60" s="11">
        <f t="array" ref="O60">IFERROR(INDEX(Avg!$O$2:$O$50,MATCH(DATE(YEAR(A60),MONTH(A60),1),Avg!$A$2:$A$50,0)),"")</f>
        <v>6.474644353</v>
      </c>
    </row>
    <row r="61" ht="15.75" customHeight="1">
      <c r="A61" s="7" t="s">
        <v>121</v>
      </c>
      <c r="B61" s="7" t="s">
        <v>120</v>
      </c>
      <c r="C61" s="8" t="s">
        <v>27</v>
      </c>
      <c r="D61" s="9">
        <f>IF(SUMPRODUCT((Data!$D$2:$D$2277=A61)*(Data!$E$2:$E$2277=C61)*(Data!$M$2:$M$2277="Vladimir Zelenskiy"))&gt;0,SUMPRODUCT((Data!$D$2:$D$2277=A61)*(Data!$E$2:$E$2277=C61)*(Data!$M$2:$M$2277="Vladimir Zelenskiy")*IF(ISNUMBER(Data!$W$2:$W$2277),Data!$W$2:$W$2277,0))/SUMPRODUCT((Data!$D$2:$D$2277=A61)*(Data!$E$2:$E$2277=C61)*(Data!$M$2:$M$2277="Vladimir Zelenskiy")),"")</f>
        <v>70.52631579</v>
      </c>
      <c r="E61" s="9" t="str">
        <f>IF(SUMPRODUCT((Data!$D$2:$D$2277=A61)*(Data!$E$2:$E$2277=C61)*(Data!$M$2:$M$2277="Valerii Zaluzhniy"))&gt;0,SUMPRODUCT((Data!$D$2:$D$2277=A61)*(Data!$E$2:$E$2277=C61)*(Data!$M$2:$M$2277="Valerii Zaluzhniy")*IF(ISNUMBER(Data!$W$2:$W$2277),Data!$W$2:$W$2277,0))/SUMPRODUCT((Data!$D$2:$D$2277=A61)*(Data!$E$2:$E$2277=C61)*(Data!$M$2:$M$2277="Valerii Zaluzhniy")),"")</f>
        <v/>
      </c>
      <c r="F61" s="9" t="str">
        <f>IF(SUMPRODUCT((Data!$D$2:$D$2277=A61)*(Data!$E$2:$E$2277=C61)*(Data!$M$2:$M$2277="Kyrylo Budanov"))&gt;0,SUMPRODUCT((Data!$D$2:$D$2277=A61)*(Data!$E$2:$E$2277=C61)*(Data!$M$2:$M$2277="Kyrylo Budanov")*IF(ISNUMBER(Data!$W$2:$W$2277),Data!$W$2:$W$2277,0))/SUMPRODUCT((Data!$D$2:$D$2277=A61)*(Data!$E$2:$E$2277=C61)*(Data!$M$2:$M$2277="Kyrylo Budanov")),"")</f>
        <v/>
      </c>
      <c r="G61" s="9">
        <f>IF(SUMPRODUCT((Data!$D$2:$D$2277=A61)*(Data!$E$2:$E$2277=C61)*(Data!$M$2:$M$2277="Pyotr Poroshenko"))&gt;0,SUMPRODUCT((Data!$D$2:$D$2277=A61)*(Data!$E$2:$E$2277=C61)*(Data!$M$2:$M$2277="Pyotr Poroshenko")*IF(ISNUMBER(Data!$W$2:$W$2277),Data!$W$2:$W$2277,0))/SUMPRODUCT((Data!$D$2:$D$2277=A61)*(Data!$E$2:$E$2277=C61)*(Data!$M$2:$M$2277="Pyotr Poroshenko")),"")</f>
        <v>5.263157895</v>
      </c>
      <c r="H61" s="10">
        <f t="array" ref="H61">IFERROR(INDEX(Avg!$F$2:$F$50,MATCH(DATE(YEAR(A61),MONTH(A61),1),Avg!$A$2:$A$50,0)),"")</f>
        <v>72.80714135</v>
      </c>
      <c r="I61" s="10">
        <f t="array" ref="I61">IFERROR(INDEX(Avg!$G$2:$G$50,MATCH(DATE(YEAR(A61),MONTH(A61),1),Avg!$A$2:$A$50,0)),"")</f>
        <v>3.7</v>
      </c>
      <c r="J61" s="10" t="str">
        <f t="array" ref="J61">IFERROR(INDEX(Avg!$H$2:$H$50,MATCH(DATE(YEAR(A61),MONTH(A61),1),Avg!$A$2:$A$50,0)),"")</f>
        <v/>
      </c>
      <c r="K61" s="10">
        <f t="array" ref="K61">IFERROR(INDEX(Avg!$I$2:$I$50,MATCH(DATE(YEAR(A61),MONTH(A61),1),Avg!$A$2:$A$50,0)),"")</f>
        <v>6.292181501</v>
      </c>
      <c r="L61" s="11">
        <f t="array" ref="L61">IFERROR(INDEX(Avg!$L$2:$L$50,MATCH(DATE(YEAR(A61),MONTH(A61),1),Avg!$A$2:$A$50,0)),"")</f>
        <v>73.51043681</v>
      </c>
      <c r="M61" s="11">
        <f t="array" ref="M61">IFERROR(INDEX(Avg!$M$2:$M$50,MATCH(DATE(YEAR(A61),MONTH(A61),1),Avg!$A$2:$A$50,0)),"")</f>
        <v>3.7</v>
      </c>
      <c r="N61" s="11" t="str">
        <f t="array" ref="N61">IFERROR(INDEX(Avg!$N$2:$N$50,MATCH(DATE(YEAR(A61),MONTH(A61),1),Avg!$A$2:$A$50,0)),"")</f>
        <v/>
      </c>
      <c r="O61" s="11">
        <f t="array" ref="O61">IFERROR(INDEX(Avg!$O$2:$O$50,MATCH(DATE(YEAR(A61),MONTH(A61),1),Avg!$A$2:$A$50,0)),"")</f>
        <v>6.342264013</v>
      </c>
    </row>
    <row r="62" ht="15.75" customHeight="1">
      <c r="A62" s="7" t="s">
        <v>120</v>
      </c>
      <c r="B62" s="7" t="s">
        <v>122</v>
      </c>
      <c r="C62" s="8" t="s">
        <v>91</v>
      </c>
      <c r="D62" s="9">
        <f>IF(SUMPRODUCT((Data!$D$2:$D$2277=A62)*(Data!$E$2:$E$2277=C62)*(Data!$M$2:$M$2277="Vladimir Zelenskiy"))&gt;0,SUMPRODUCT((Data!$D$2:$D$2277=A62)*(Data!$E$2:$E$2277=C62)*(Data!$M$2:$M$2277="Vladimir Zelenskiy")*IF(ISNUMBER(Data!$W$2:$W$2277),Data!$W$2:$W$2277,0))/SUMPRODUCT((Data!$D$2:$D$2277=A62)*(Data!$E$2:$E$2277=C62)*(Data!$M$2:$M$2277="Vladimir Zelenskiy")),"")</f>
        <v>74.1</v>
      </c>
      <c r="E62" s="9" t="str">
        <f>IF(SUMPRODUCT((Data!$D$2:$D$2277=A62)*(Data!$E$2:$E$2277=C62)*(Data!$M$2:$M$2277="Valerii Zaluzhniy"))&gt;0,SUMPRODUCT((Data!$D$2:$D$2277=A62)*(Data!$E$2:$E$2277=C62)*(Data!$M$2:$M$2277="Valerii Zaluzhniy")*IF(ISNUMBER(Data!$W$2:$W$2277),Data!$W$2:$W$2277,0))/SUMPRODUCT((Data!$D$2:$D$2277=A62)*(Data!$E$2:$E$2277=C62)*(Data!$M$2:$M$2277="Valerii Zaluzhniy")),"")</f>
        <v/>
      </c>
      <c r="F62" s="9" t="str">
        <f>IF(SUMPRODUCT((Data!$D$2:$D$2277=A62)*(Data!$E$2:$E$2277=C62)*(Data!$M$2:$M$2277="Kyrylo Budanov"))&gt;0,SUMPRODUCT((Data!$D$2:$D$2277=A62)*(Data!$E$2:$E$2277=C62)*(Data!$M$2:$M$2277="Kyrylo Budanov")*IF(ISNUMBER(Data!$W$2:$W$2277),Data!$W$2:$W$2277,0))/SUMPRODUCT((Data!$D$2:$D$2277=A62)*(Data!$E$2:$E$2277=C62)*(Data!$M$2:$M$2277="Kyrylo Budanov")),"")</f>
        <v/>
      </c>
      <c r="G62" s="9">
        <f>IF(SUMPRODUCT((Data!$D$2:$D$2277=A62)*(Data!$E$2:$E$2277=C62)*(Data!$M$2:$M$2277="Pyotr Poroshenko"))&gt;0,SUMPRODUCT((Data!$D$2:$D$2277=A62)*(Data!$E$2:$E$2277=C62)*(Data!$M$2:$M$2277="Pyotr Poroshenko")*IF(ISNUMBER(Data!$W$2:$W$2277),Data!$W$2:$W$2277,0))/SUMPRODUCT((Data!$D$2:$D$2277=A62)*(Data!$E$2:$E$2277=C62)*(Data!$M$2:$M$2277="Pyotr Poroshenko")),"")</f>
        <v>6.5</v>
      </c>
      <c r="H62" s="10">
        <f t="array" ref="H62">IFERROR(INDEX(Avg!$F$2:$F$50,MATCH(DATE(YEAR(A62),MONTH(A62),1),Avg!$A$2:$A$50,0)),"")</f>
        <v>72.80714135</v>
      </c>
      <c r="I62" s="10">
        <f t="array" ref="I62">IFERROR(INDEX(Avg!$G$2:$G$50,MATCH(DATE(YEAR(A62),MONTH(A62),1),Avg!$A$2:$A$50,0)),"")</f>
        <v>3.7</v>
      </c>
      <c r="J62" s="10" t="str">
        <f t="array" ref="J62">IFERROR(INDEX(Avg!$H$2:$H$50,MATCH(DATE(YEAR(A62),MONTH(A62),1),Avg!$A$2:$A$50,0)),"")</f>
        <v/>
      </c>
      <c r="K62" s="10">
        <f t="array" ref="K62">IFERROR(INDEX(Avg!$I$2:$I$50,MATCH(DATE(YEAR(A62),MONTH(A62),1),Avg!$A$2:$A$50,0)),"")</f>
        <v>6.292181501</v>
      </c>
      <c r="L62" s="11">
        <f t="array" ref="L62">IFERROR(INDEX(Avg!$L$2:$L$50,MATCH(DATE(YEAR(A62),MONTH(A62),1),Avg!$A$2:$A$50,0)),"")</f>
        <v>73.51043681</v>
      </c>
      <c r="M62" s="11">
        <f t="array" ref="M62">IFERROR(INDEX(Avg!$M$2:$M$50,MATCH(DATE(YEAR(A62),MONTH(A62),1),Avg!$A$2:$A$50,0)),"")</f>
        <v>3.7</v>
      </c>
      <c r="N62" s="11" t="str">
        <f t="array" ref="N62">IFERROR(INDEX(Avg!$N$2:$N$50,MATCH(DATE(YEAR(A62),MONTH(A62),1),Avg!$A$2:$A$50,0)),"")</f>
        <v/>
      </c>
      <c r="O62" s="11">
        <f t="array" ref="O62">IFERROR(INDEX(Avg!$O$2:$O$50,MATCH(DATE(YEAR(A62),MONTH(A62),1),Avg!$A$2:$A$50,0)),"")</f>
        <v>6.342264013</v>
      </c>
    </row>
    <row r="63" ht="15.75" customHeight="1">
      <c r="A63" s="7" t="s">
        <v>123</v>
      </c>
      <c r="B63" s="7" t="s">
        <v>124</v>
      </c>
      <c r="C63" s="8" t="s">
        <v>91</v>
      </c>
      <c r="D63" s="9">
        <f>IF(SUMPRODUCT((Data!$D$2:$D$2277=A63)*(Data!$E$2:$E$2277=C63)*(Data!$M$2:$M$2277="Vladimir Zelenskiy"))&gt;0,SUMPRODUCT((Data!$D$2:$D$2277=A63)*(Data!$E$2:$E$2277=C63)*(Data!$M$2:$M$2277="Vladimir Zelenskiy")*IF(ISNUMBER(Data!$W$2:$W$2277),Data!$W$2:$W$2277,0))/SUMPRODUCT((Data!$D$2:$D$2277=A63)*(Data!$E$2:$E$2277=C63)*(Data!$M$2:$M$2277="Vladimir Zelenskiy")),"")</f>
        <v>74.6</v>
      </c>
      <c r="E63" s="9" t="str">
        <f>IF(SUMPRODUCT((Data!$D$2:$D$2277=A63)*(Data!$E$2:$E$2277=C63)*(Data!$M$2:$M$2277="Valerii Zaluzhniy"))&gt;0,SUMPRODUCT((Data!$D$2:$D$2277=A63)*(Data!$E$2:$E$2277=C63)*(Data!$M$2:$M$2277="Valerii Zaluzhniy")*IF(ISNUMBER(Data!$W$2:$W$2277),Data!$W$2:$W$2277,0))/SUMPRODUCT((Data!$D$2:$D$2277=A63)*(Data!$E$2:$E$2277=C63)*(Data!$M$2:$M$2277="Valerii Zaluzhniy")),"")</f>
        <v/>
      </c>
      <c r="F63" s="9" t="str">
        <f>IF(SUMPRODUCT((Data!$D$2:$D$2277=A63)*(Data!$E$2:$E$2277=C63)*(Data!$M$2:$M$2277="Kyrylo Budanov"))&gt;0,SUMPRODUCT((Data!$D$2:$D$2277=A63)*(Data!$E$2:$E$2277=C63)*(Data!$M$2:$M$2277="Kyrylo Budanov")*IF(ISNUMBER(Data!$W$2:$W$2277),Data!$W$2:$W$2277,0))/SUMPRODUCT((Data!$D$2:$D$2277=A63)*(Data!$E$2:$E$2277=C63)*(Data!$M$2:$M$2277="Kyrylo Budanov")),"")</f>
        <v/>
      </c>
      <c r="G63" s="9">
        <f>IF(SUMPRODUCT((Data!$D$2:$D$2277=A63)*(Data!$E$2:$E$2277=C63)*(Data!$M$2:$M$2277="Pyotr Poroshenko"))&gt;0,SUMPRODUCT((Data!$D$2:$D$2277=A63)*(Data!$E$2:$E$2277=C63)*(Data!$M$2:$M$2277="Pyotr Poroshenko")*IF(ISNUMBER(Data!$W$2:$W$2277),Data!$W$2:$W$2277,0))/SUMPRODUCT((Data!$D$2:$D$2277=A63)*(Data!$E$2:$E$2277=C63)*(Data!$M$2:$M$2277="Pyotr Poroshenko")),"")</f>
        <v>7.6</v>
      </c>
      <c r="H63" s="10">
        <f t="array" ref="H63">IFERROR(INDEX(Avg!$F$2:$F$50,MATCH(DATE(YEAR(A63),MONTH(A63),1),Avg!$A$2:$A$50,0)),"")</f>
        <v>74.21373226</v>
      </c>
      <c r="I63" s="10">
        <f t="array" ref="I63">IFERROR(INDEX(Avg!$G$2:$G$50,MATCH(DATE(YEAR(A63),MONTH(A63),1),Avg!$A$2:$A$50,0)),"")</f>
        <v>3.7</v>
      </c>
      <c r="J63" s="10" t="str">
        <f t="array" ref="J63">IFERROR(INDEX(Avg!$H$2:$H$50,MATCH(DATE(YEAR(A63),MONTH(A63),1),Avg!$A$2:$A$50,0)),"")</f>
        <v/>
      </c>
      <c r="K63" s="10">
        <f t="array" ref="K63">IFERROR(INDEX(Avg!$I$2:$I$50,MATCH(DATE(YEAR(A63),MONTH(A63),1),Avg!$A$2:$A$50,0)),"")</f>
        <v>6.392346526</v>
      </c>
      <c r="L63" s="11">
        <f t="array" ref="L63">IFERROR(INDEX(Avg!$L$2:$L$50,MATCH(DATE(YEAR(A63),MONTH(A63),1),Avg!$A$2:$A$50,0)),"")</f>
        <v>75.33186181</v>
      </c>
      <c r="M63" s="11">
        <f t="array" ref="M63">IFERROR(INDEX(Avg!$M$2:$M$50,MATCH(DATE(YEAR(A63),MONTH(A63),1),Avg!$A$2:$A$50,0)),"")</f>
        <v>3.7</v>
      </c>
      <c r="N63" s="11" t="str">
        <f t="array" ref="N63">IFERROR(INDEX(Avg!$N$2:$N$50,MATCH(DATE(YEAR(A63),MONTH(A63),1),Avg!$A$2:$A$50,0)),"")</f>
        <v/>
      </c>
      <c r="O63" s="11">
        <f t="array" ref="O63">IFERROR(INDEX(Avg!$O$2:$O$50,MATCH(DATE(YEAR(A63),MONTH(A63),1),Avg!$A$2:$A$50,0)),"")</f>
        <v>6.83791459</v>
      </c>
    </row>
    <row r="64" ht="15.75" customHeight="1">
      <c r="A64" s="7" t="s">
        <v>125</v>
      </c>
      <c r="B64" s="7" t="s">
        <v>124</v>
      </c>
      <c r="C64" s="8" t="s">
        <v>27</v>
      </c>
      <c r="D64" s="9">
        <f>IF(SUMPRODUCT((Data!$D$2:$D$2277=A64)*(Data!$E$2:$E$2277=C64)*(Data!$M$2:$M$2277="Vladimir Zelenskiy"))&gt;0,SUMPRODUCT((Data!$D$2:$D$2277=A64)*(Data!$E$2:$E$2277=C64)*(Data!$M$2:$M$2277="Vladimir Zelenskiy")*IF(ISNUMBER(Data!$W$2:$W$2277),Data!$W$2:$W$2277,0))/SUMPRODUCT((Data!$D$2:$D$2277=A64)*(Data!$E$2:$E$2277=C64)*(Data!$M$2:$M$2277="Vladimir Zelenskiy")),"")</f>
        <v>68.42105263</v>
      </c>
      <c r="E64" s="9" t="str">
        <f>IF(SUMPRODUCT((Data!$D$2:$D$2277=A64)*(Data!$E$2:$E$2277=C64)*(Data!$M$2:$M$2277="Valerii Zaluzhniy"))&gt;0,SUMPRODUCT((Data!$D$2:$D$2277=A64)*(Data!$E$2:$E$2277=C64)*(Data!$M$2:$M$2277="Valerii Zaluzhniy")*IF(ISNUMBER(Data!$W$2:$W$2277),Data!$W$2:$W$2277,0))/SUMPRODUCT((Data!$D$2:$D$2277=A64)*(Data!$E$2:$E$2277=C64)*(Data!$M$2:$M$2277="Valerii Zaluzhniy")),"")</f>
        <v/>
      </c>
      <c r="F64" s="9" t="str">
        <f>IF(SUMPRODUCT((Data!$D$2:$D$2277=A64)*(Data!$E$2:$E$2277=C64)*(Data!$M$2:$M$2277="Kyrylo Budanov"))&gt;0,SUMPRODUCT((Data!$D$2:$D$2277=A64)*(Data!$E$2:$E$2277=C64)*(Data!$M$2:$M$2277="Kyrylo Budanov")*IF(ISNUMBER(Data!$W$2:$W$2277),Data!$W$2:$W$2277,0))/SUMPRODUCT((Data!$D$2:$D$2277=A64)*(Data!$E$2:$E$2277=C64)*(Data!$M$2:$M$2277="Kyrylo Budanov")),"")</f>
        <v/>
      </c>
      <c r="G64" s="9">
        <f>IF(SUMPRODUCT((Data!$D$2:$D$2277=A64)*(Data!$E$2:$E$2277=C64)*(Data!$M$2:$M$2277="Pyotr Poroshenko"))&gt;0,SUMPRODUCT((Data!$D$2:$D$2277=A64)*(Data!$E$2:$E$2277=C64)*(Data!$M$2:$M$2277="Pyotr Poroshenko")*IF(ISNUMBER(Data!$W$2:$W$2277),Data!$W$2:$W$2277,0))/SUMPRODUCT((Data!$D$2:$D$2277=A64)*(Data!$E$2:$E$2277=C64)*(Data!$M$2:$M$2277="Pyotr Poroshenko")),"")</f>
        <v>6.315789474</v>
      </c>
      <c r="H64" s="10">
        <f t="array" ref="H64">IFERROR(INDEX(Avg!$F$2:$F$50,MATCH(DATE(YEAR(A64),MONTH(A64),1),Avg!$A$2:$A$50,0)),"")</f>
        <v>72.80714135</v>
      </c>
      <c r="I64" s="10">
        <f t="array" ref="I64">IFERROR(INDEX(Avg!$G$2:$G$50,MATCH(DATE(YEAR(A64),MONTH(A64),1),Avg!$A$2:$A$50,0)),"")</f>
        <v>3.7</v>
      </c>
      <c r="J64" s="10" t="str">
        <f t="array" ref="J64">IFERROR(INDEX(Avg!$H$2:$H$50,MATCH(DATE(YEAR(A64),MONTH(A64),1),Avg!$A$2:$A$50,0)),"")</f>
        <v/>
      </c>
      <c r="K64" s="10">
        <f t="array" ref="K64">IFERROR(INDEX(Avg!$I$2:$I$50,MATCH(DATE(YEAR(A64),MONTH(A64),1),Avg!$A$2:$A$50,0)),"")</f>
        <v>6.292181501</v>
      </c>
      <c r="L64" s="11">
        <f t="array" ref="L64">IFERROR(INDEX(Avg!$L$2:$L$50,MATCH(DATE(YEAR(A64),MONTH(A64),1),Avg!$A$2:$A$50,0)),"")</f>
        <v>73.51043681</v>
      </c>
      <c r="M64" s="11">
        <f t="array" ref="M64">IFERROR(INDEX(Avg!$M$2:$M$50,MATCH(DATE(YEAR(A64),MONTH(A64),1),Avg!$A$2:$A$50,0)),"")</f>
        <v>3.7</v>
      </c>
      <c r="N64" s="11" t="str">
        <f t="array" ref="N64">IFERROR(INDEX(Avg!$N$2:$N$50,MATCH(DATE(YEAR(A64),MONTH(A64),1),Avg!$A$2:$A$50,0)),"")</f>
        <v/>
      </c>
      <c r="O64" s="11">
        <f t="array" ref="O64">IFERROR(INDEX(Avg!$O$2:$O$50,MATCH(DATE(YEAR(A64),MONTH(A64),1),Avg!$A$2:$A$50,0)),"")</f>
        <v>6.342264013</v>
      </c>
    </row>
    <row r="65" ht="15.75" customHeight="1">
      <c r="A65" s="7" t="s">
        <v>126</v>
      </c>
      <c r="B65" s="7" t="s">
        <v>124</v>
      </c>
      <c r="C65" s="8" t="s">
        <v>27</v>
      </c>
      <c r="D65" s="9">
        <f>IF(SUMPRODUCT((Data!$D$2:$D$2277=A65)*(Data!$E$2:$E$2277=C65)*(Data!$M$2:$M$2277="Vladimir Zelenskiy"))&gt;0,SUMPRODUCT((Data!$D$2:$D$2277=A65)*(Data!$E$2:$E$2277=C65)*(Data!$M$2:$M$2277="Vladimir Zelenskiy")*IF(ISNUMBER(Data!$W$2:$W$2277),Data!$W$2:$W$2277,0))/SUMPRODUCT((Data!$D$2:$D$2277=A65)*(Data!$E$2:$E$2277=C65)*(Data!$M$2:$M$2277="Vladimir Zelenskiy")),"")</f>
        <v>73.68421053</v>
      </c>
      <c r="E65" s="9" t="str">
        <f>IF(SUMPRODUCT((Data!$D$2:$D$2277=A65)*(Data!$E$2:$E$2277=C65)*(Data!$M$2:$M$2277="Valerii Zaluzhniy"))&gt;0,SUMPRODUCT((Data!$D$2:$D$2277=A65)*(Data!$E$2:$E$2277=C65)*(Data!$M$2:$M$2277="Valerii Zaluzhniy")*IF(ISNUMBER(Data!$W$2:$W$2277),Data!$W$2:$W$2277,0))/SUMPRODUCT((Data!$D$2:$D$2277=A65)*(Data!$E$2:$E$2277=C65)*(Data!$M$2:$M$2277="Valerii Zaluzhniy")),"")</f>
        <v/>
      </c>
      <c r="F65" s="9" t="str">
        <f>IF(SUMPRODUCT((Data!$D$2:$D$2277=A65)*(Data!$E$2:$E$2277=C65)*(Data!$M$2:$M$2277="Kyrylo Budanov"))&gt;0,SUMPRODUCT((Data!$D$2:$D$2277=A65)*(Data!$E$2:$E$2277=C65)*(Data!$M$2:$M$2277="Kyrylo Budanov")*IF(ISNUMBER(Data!$W$2:$W$2277),Data!$W$2:$W$2277,0))/SUMPRODUCT((Data!$D$2:$D$2277=A65)*(Data!$E$2:$E$2277=C65)*(Data!$M$2:$M$2277="Kyrylo Budanov")),"")</f>
        <v/>
      </c>
      <c r="G65" s="9">
        <f>IF(SUMPRODUCT((Data!$D$2:$D$2277=A65)*(Data!$E$2:$E$2277=C65)*(Data!$M$2:$M$2277="Pyotr Poroshenko"))&gt;0,SUMPRODUCT((Data!$D$2:$D$2277=A65)*(Data!$E$2:$E$2277=C65)*(Data!$M$2:$M$2277="Pyotr Poroshenko")*IF(ISNUMBER(Data!$W$2:$W$2277),Data!$W$2:$W$2277,0))/SUMPRODUCT((Data!$D$2:$D$2277=A65)*(Data!$E$2:$E$2277=C65)*(Data!$M$2:$M$2277="Pyotr Poroshenko")),"")</f>
        <v>5.263157895</v>
      </c>
      <c r="H65" s="10">
        <f t="array" ref="H65">IFERROR(INDEX(Avg!$F$2:$F$50,MATCH(DATE(YEAR(A65),MONTH(A65),1),Avg!$A$2:$A$50,0)),"")</f>
        <v>74.21373226</v>
      </c>
      <c r="I65" s="10">
        <f t="array" ref="I65">IFERROR(INDEX(Avg!$G$2:$G$50,MATCH(DATE(YEAR(A65),MONTH(A65),1),Avg!$A$2:$A$50,0)),"")</f>
        <v>3.7</v>
      </c>
      <c r="J65" s="10" t="str">
        <f t="array" ref="J65">IFERROR(INDEX(Avg!$H$2:$H$50,MATCH(DATE(YEAR(A65),MONTH(A65),1),Avg!$A$2:$A$50,0)),"")</f>
        <v/>
      </c>
      <c r="K65" s="10">
        <f t="array" ref="K65">IFERROR(INDEX(Avg!$I$2:$I$50,MATCH(DATE(YEAR(A65),MONTH(A65),1),Avg!$A$2:$A$50,0)),"")</f>
        <v>6.392346526</v>
      </c>
      <c r="L65" s="11">
        <f t="array" ref="L65">IFERROR(INDEX(Avg!$L$2:$L$50,MATCH(DATE(YEAR(A65),MONTH(A65),1),Avg!$A$2:$A$50,0)),"")</f>
        <v>75.33186181</v>
      </c>
      <c r="M65" s="11">
        <f t="array" ref="M65">IFERROR(INDEX(Avg!$M$2:$M$50,MATCH(DATE(YEAR(A65),MONTH(A65),1),Avg!$A$2:$A$50,0)),"")</f>
        <v>3.7</v>
      </c>
      <c r="N65" s="11" t="str">
        <f t="array" ref="N65">IFERROR(INDEX(Avg!$N$2:$N$50,MATCH(DATE(YEAR(A65),MONTH(A65),1),Avg!$A$2:$A$50,0)),"")</f>
        <v/>
      </c>
      <c r="O65" s="11">
        <f t="array" ref="O65">IFERROR(INDEX(Avg!$O$2:$O$50,MATCH(DATE(YEAR(A65),MONTH(A65),1),Avg!$A$2:$A$50,0)),"")</f>
        <v>6.83791459</v>
      </c>
    </row>
    <row r="66" ht="15.75" customHeight="1">
      <c r="A66" s="7" t="s">
        <v>124</v>
      </c>
      <c r="B66" s="7" t="s">
        <v>127</v>
      </c>
      <c r="C66" s="8" t="s">
        <v>27</v>
      </c>
      <c r="D66" s="9">
        <f>IF(SUMPRODUCT((Data!$D$2:$D$2277=A66)*(Data!$E$2:$E$2277=C66)*(Data!$M$2:$M$2277="Vladimir Zelenskiy"))&gt;0,SUMPRODUCT((Data!$D$2:$D$2277=A66)*(Data!$E$2:$E$2277=C66)*(Data!$M$2:$M$2277="Vladimir Zelenskiy")*IF(ISNUMBER(Data!$W$2:$W$2277),Data!$W$2:$W$2277,0))/SUMPRODUCT((Data!$D$2:$D$2277=A66)*(Data!$E$2:$E$2277=C66)*(Data!$M$2:$M$2277="Vladimir Zelenskiy")),"")</f>
        <v>74.73684211</v>
      </c>
      <c r="E66" s="9" t="str">
        <f>IF(SUMPRODUCT((Data!$D$2:$D$2277=A66)*(Data!$E$2:$E$2277=C66)*(Data!$M$2:$M$2277="Valerii Zaluzhniy"))&gt;0,SUMPRODUCT((Data!$D$2:$D$2277=A66)*(Data!$E$2:$E$2277=C66)*(Data!$M$2:$M$2277="Valerii Zaluzhniy")*IF(ISNUMBER(Data!$W$2:$W$2277),Data!$W$2:$W$2277,0))/SUMPRODUCT((Data!$D$2:$D$2277=A66)*(Data!$E$2:$E$2277=C66)*(Data!$M$2:$M$2277="Valerii Zaluzhniy")),"")</f>
        <v/>
      </c>
      <c r="F66" s="9" t="str">
        <f>IF(SUMPRODUCT((Data!$D$2:$D$2277=A66)*(Data!$E$2:$E$2277=C66)*(Data!$M$2:$M$2277="Kyrylo Budanov"))&gt;0,SUMPRODUCT((Data!$D$2:$D$2277=A66)*(Data!$E$2:$E$2277=C66)*(Data!$M$2:$M$2277="Kyrylo Budanov")*IF(ISNUMBER(Data!$W$2:$W$2277),Data!$W$2:$W$2277,0))/SUMPRODUCT((Data!$D$2:$D$2277=A66)*(Data!$E$2:$E$2277=C66)*(Data!$M$2:$M$2277="Kyrylo Budanov")),"")</f>
        <v/>
      </c>
      <c r="G66" s="9">
        <f>IF(SUMPRODUCT((Data!$D$2:$D$2277=A66)*(Data!$E$2:$E$2277=C66)*(Data!$M$2:$M$2277="Pyotr Poroshenko"))&gt;0,SUMPRODUCT((Data!$D$2:$D$2277=A66)*(Data!$E$2:$E$2277=C66)*(Data!$M$2:$M$2277="Pyotr Poroshenko")*IF(ISNUMBER(Data!$W$2:$W$2277),Data!$W$2:$W$2277,0))/SUMPRODUCT((Data!$D$2:$D$2277=A66)*(Data!$E$2:$E$2277=C66)*(Data!$M$2:$M$2277="Pyotr Poroshenko")),"")</f>
        <v>3.157894737</v>
      </c>
      <c r="H66" s="10">
        <f t="array" ref="H66">IFERROR(INDEX(Avg!$F$2:$F$50,MATCH(DATE(YEAR(A66),MONTH(A66),1),Avg!$A$2:$A$50,0)),"")</f>
        <v>74.21373226</v>
      </c>
      <c r="I66" s="10">
        <f t="array" ref="I66">IFERROR(INDEX(Avg!$G$2:$G$50,MATCH(DATE(YEAR(A66),MONTH(A66),1),Avg!$A$2:$A$50,0)),"")</f>
        <v>3.7</v>
      </c>
      <c r="J66" s="10" t="str">
        <f t="array" ref="J66">IFERROR(INDEX(Avg!$H$2:$H$50,MATCH(DATE(YEAR(A66),MONTH(A66),1),Avg!$A$2:$A$50,0)),"")</f>
        <v/>
      </c>
      <c r="K66" s="10">
        <f t="array" ref="K66">IFERROR(INDEX(Avg!$I$2:$I$50,MATCH(DATE(YEAR(A66),MONTH(A66),1),Avg!$A$2:$A$50,0)),"")</f>
        <v>6.392346526</v>
      </c>
      <c r="L66" s="11">
        <f t="array" ref="L66">IFERROR(INDEX(Avg!$L$2:$L$50,MATCH(DATE(YEAR(A66),MONTH(A66),1),Avg!$A$2:$A$50,0)),"")</f>
        <v>75.33186181</v>
      </c>
      <c r="M66" s="11">
        <f t="array" ref="M66">IFERROR(INDEX(Avg!$M$2:$M$50,MATCH(DATE(YEAR(A66),MONTH(A66),1),Avg!$A$2:$A$50,0)),"")</f>
        <v>3.7</v>
      </c>
      <c r="N66" s="11" t="str">
        <f t="array" ref="N66">IFERROR(INDEX(Avg!$N$2:$N$50,MATCH(DATE(YEAR(A66),MONTH(A66),1),Avg!$A$2:$A$50,0)),"")</f>
        <v/>
      </c>
      <c r="O66" s="11">
        <f t="array" ref="O66">IFERROR(INDEX(Avg!$O$2:$O$50,MATCH(DATE(YEAR(A66),MONTH(A66),1),Avg!$A$2:$A$50,0)),"")</f>
        <v>6.83791459</v>
      </c>
    </row>
    <row r="67" ht="15.75" customHeight="1">
      <c r="A67" s="7" t="s">
        <v>128</v>
      </c>
      <c r="B67" s="7" t="s">
        <v>127</v>
      </c>
      <c r="C67" s="8" t="s">
        <v>91</v>
      </c>
      <c r="D67" s="9">
        <f>IF(SUMPRODUCT((Data!$D$2:$D$2277=A67)*(Data!$E$2:$E$2277=C67)*(Data!$M$2:$M$2277="Vladimir Zelenskiy"))&gt;0,SUMPRODUCT((Data!$D$2:$D$2277=A67)*(Data!$E$2:$E$2277=C67)*(Data!$M$2:$M$2277="Vladimir Zelenskiy")*IF(ISNUMBER(Data!$W$2:$W$2277),Data!$W$2:$W$2277,0))/SUMPRODUCT((Data!$D$2:$D$2277=A67)*(Data!$E$2:$E$2277=C67)*(Data!$M$2:$M$2277="Vladimir Zelenskiy")),"")</f>
        <v>66.2</v>
      </c>
      <c r="E67" s="9" t="str">
        <f>IF(SUMPRODUCT((Data!$D$2:$D$2277=A67)*(Data!$E$2:$E$2277=C67)*(Data!$M$2:$M$2277="Valerii Zaluzhniy"))&gt;0,SUMPRODUCT((Data!$D$2:$D$2277=A67)*(Data!$E$2:$E$2277=C67)*(Data!$M$2:$M$2277="Valerii Zaluzhniy")*IF(ISNUMBER(Data!$W$2:$W$2277),Data!$W$2:$W$2277,0))/SUMPRODUCT((Data!$D$2:$D$2277=A67)*(Data!$E$2:$E$2277=C67)*(Data!$M$2:$M$2277="Valerii Zaluzhniy")),"")</f>
        <v/>
      </c>
      <c r="F67" s="9" t="str">
        <f>IF(SUMPRODUCT((Data!$D$2:$D$2277=A67)*(Data!$E$2:$E$2277=C67)*(Data!$M$2:$M$2277="Kyrylo Budanov"))&gt;0,SUMPRODUCT((Data!$D$2:$D$2277=A67)*(Data!$E$2:$E$2277=C67)*(Data!$M$2:$M$2277="Kyrylo Budanov")*IF(ISNUMBER(Data!$W$2:$W$2277),Data!$W$2:$W$2277,0))/SUMPRODUCT((Data!$D$2:$D$2277=A67)*(Data!$E$2:$E$2277=C67)*(Data!$M$2:$M$2277="Kyrylo Budanov")),"")</f>
        <v/>
      </c>
      <c r="G67" s="9">
        <f>IF(SUMPRODUCT((Data!$D$2:$D$2277=A67)*(Data!$E$2:$E$2277=C67)*(Data!$M$2:$M$2277="Pyotr Poroshenko"))&gt;0,SUMPRODUCT((Data!$D$2:$D$2277=A67)*(Data!$E$2:$E$2277=C67)*(Data!$M$2:$M$2277="Pyotr Poroshenko")*IF(ISNUMBER(Data!$W$2:$W$2277),Data!$W$2:$W$2277,0))/SUMPRODUCT((Data!$D$2:$D$2277=A67)*(Data!$E$2:$E$2277=C67)*(Data!$M$2:$M$2277="Pyotr Poroshenko")),"")</f>
        <v>10.8</v>
      </c>
      <c r="H67" s="10">
        <f t="array" ref="H67">IFERROR(INDEX(Avg!$F$2:$F$50,MATCH(DATE(YEAR(A67),MONTH(A67),1),Avg!$A$2:$A$50,0)),"")</f>
        <v>73.9264209</v>
      </c>
      <c r="I67" s="10">
        <f t="array" ref="I67">IFERROR(INDEX(Avg!$G$2:$G$50,MATCH(DATE(YEAR(A67),MONTH(A67),1),Avg!$A$2:$A$50,0)),"")</f>
        <v>3.7</v>
      </c>
      <c r="J67" s="10" t="str">
        <f t="array" ref="J67">IFERROR(INDEX(Avg!$H$2:$H$50,MATCH(DATE(YEAR(A67),MONTH(A67),1),Avg!$A$2:$A$50,0)),"")</f>
        <v/>
      </c>
      <c r="K67" s="10">
        <f t="array" ref="K67">IFERROR(INDEX(Avg!$I$2:$I$50,MATCH(DATE(YEAR(A67),MONTH(A67),1),Avg!$A$2:$A$50,0)),"")</f>
        <v>8.149256975</v>
      </c>
      <c r="L67" s="11">
        <f t="array" ref="L67">IFERROR(INDEX(Avg!$L$2:$L$50,MATCH(DATE(YEAR(A67),MONTH(A67),1),Avg!$A$2:$A$50,0)),"")</f>
        <v>77.67892122</v>
      </c>
      <c r="M67" s="11">
        <f t="array" ref="M67">IFERROR(INDEX(Avg!$M$2:$M$50,MATCH(DATE(YEAR(A67),MONTH(A67),1),Avg!$A$2:$A$50,0)),"")</f>
        <v>3.7</v>
      </c>
      <c r="N67" s="11" t="str">
        <f t="array" ref="N67">IFERROR(INDEX(Avg!$N$2:$N$50,MATCH(DATE(YEAR(A67),MONTH(A67),1),Avg!$A$2:$A$50,0)),"")</f>
        <v/>
      </c>
      <c r="O67" s="11">
        <f t="array" ref="O67">IFERROR(INDEX(Avg!$O$2:$O$50,MATCH(DATE(YEAR(A67),MONTH(A67),1),Avg!$A$2:$A$50,0)),"")</f>
        <v>6.908606491</v>
      </c>
    </row>
    <row r="68" ht="15.75" customHeight="1">
      <c r="A68" s="7" t="s">
        <v>129</v>
      </c>
      <c r="B68" s="7" t="s">
        <v>130</v>
      </c>
      <c r="C68" s="8" t="s">
        <v>91</v>
      </c>
      <c r="D68" s="9">
        <f>IF(SUMPRODUCT((Data!$D$2:$D$2277=A68)*(Data!$E$2:$E$2277=C68)*(Data!$M$2:$M$2277="Vladimir Zelenskiy"))&gt;0,SUMPRODUCT((Data!$D$2:$D$2277=A68)*(Data!$E$2:$E$2277=C68)*(Data!$M$2:$M$2277="Vladimir Zelenskiy")*IF(ISNUMBER(Data!$W$2:$W$2277),Data!$W$2:$W$2277,0))/SUMPRODUCT((Data!$D$2:$D$2277=A68)*(Data!$E$2:$E$2277=C68)*(Data!$M$2:$M$2277="Vladimir Zelenskiy")),"")</f>
        <v>82.5</v>
      </c>
      <c r="E68" s="9">
        <f>IF(SUMPRODUCT((Data!$D$2:$D$2277=A68)*(Data!$E$2:$E$2277=C68)*(Data!$M$2:$M$2277="Valerii Zaluzhniy"))&gt;0,SUMPRODUCT((Data!$D$2:$D$2277=A68)*(Data!$E$2:$E$2277=C68)*(Data!$M$2:$M$2277="Valerii Zaluzhniy")*IF(ISNUMBER(Data!$W$2:$W$2277),Data!$W$2:$W$2277,0))/SUMPRODUCT((Data!$D$2:$D$2277=A68)*(Data!$E$2:$E$2277=C68)*(Data!$M$2:$M$2277="Valerii Zaluzhniy")),"")</f>
        <v>3.7</v>
      </c>
      <c r="F68" s="9" t="str">
        <f>IF(SUMPRODUCT((Data!$D$2:$D$2277=A68)*(Data!$E$2:$E$2277=C68)*(Data!$M$2:$M$2277="Kyrylo Budanov"))&gt;0,SUMPRODUCT((Data!$D$2:$D$2277=A68)*(Data!$E$2:$E$2277=C68)*(Data!$M$2:$M$2277="Kyrylo Budanov")*IF(ISNUMBER(Data!$W$2:$W$2277),Data!$W$2:$W$2277,0))/SUMPRODUCT((Data!$D$2:$D$2277=A68)*(Data!$E$2:$E$2277=C68)*(Data!$M$2:$M$2277="Kyrylo Budanov")),"")</f>
        <v/>
      </c>
      <c r="G68" s="9">
        <f>IF(SUMPRODUCT((Data!$D$2:$D$2277=A68)*(Data!$E$2:$E$2277=C68)*(Data!$M$2:$M$2277="Pyotr Poroshenko"))&gt;0,SUMPRODUCT((Data!$D$2:$D$2277=A68)*(Data!$E$2:$E$2277=C68)*(Data!$M$2:$M$2277="Pyotr Poroshenko")*IF(ISNUMBER(Data!$W$2:$W$2277),Data!$W$2:$W$2277,0))/SUMPRODUCT((Data!$D$2:$D$2277=A68)*(Data!$E$2:$E$2277=C68)*(Data!$M$2:$M$2277="Pyotr Poroshenko")),"")</f>
        <v>4.8</v>
      </c>
      <c r="H68" s="10">
        <f t="array" ref="H68">IFERROR(INDEX(Avg!$F$2:$F$50,MATCH(DATE(YEAR(A68),MONTH(A68),1),Avg!$A$2:$A$50,0)),"")</f>
        <v>81.4971323</v>
      </c>
      <c r="I68" s="10">
        <f t="array" ref="I68">IFERROR(INDEX(Avg!$G$2:$G$50,MATCH(DATE(YEAR(A68),MONTH(A68),1),Avg!$A$2:$A$50,0)),"")</f>
        <v>3.7</v>
      </c>
      <c r="J68" s="10" t="str">
        <f t="array" ref="J68">IFERROR(INDEX(Avg!$H$2:$H$50,MATCH(DATE(YEAR(A68),MONTH(A68),1),Avg!$A$2:$A$50,0)),"")</f>
        <v/>
      </c>
      <c r="K68" s="10">
        <f t="array" ref="K68">IFERROR(INDEX(Avg!$I$2:$I$50,MATCH(DATE(YEAR(A68),MONTH(A68),1),Avg!$A$2:$A$50,0)),"")</f>
        <v>5.551934009</v>
      </c>
      <c r="L68" s="11">
        <f t="array" ref="L68">IFERROR(INDEX(Avg!$L$2:$L$50,MATCH(DATE(YEAR(A68),MONTH(A68),1),Avg!$A$2:$A$50,0)),"")</f>
        <v>81.41827938</v>
      </c>
      <c r="M68" s="11">
        <f t="array" ref="M68">IFERROR(INDEX(Avg!$M$2:$M$50,MATCH(DATE(YEAR(A68),MONTH(A68),1),Avg!$A$2:$A$50,0)),"")</f>
        <v>3.7</v>
      </c>
      <c r="N68" s="11" t="str">
        <f t="array" ref="N68">IFERROR(INDEX(Avg!$N$2:$N$50,MATCH(DATE(YEAR(A68),MONTH(A68),1),Avg!$A$2:$A$50,0)),"")</f>
        <v/>
      </c>
      <c r="O68" s="11">
        <f t="array" ref="O68">IFERROR(INDEX(Avg!$O$2:$O$50,MATCH(DATE(YEAR(A68),MONTH(A68),1),Avg!$A$2:$A$50,0)),"")</f>
        <v>5.691160405</v>
      </c>
    </row>
    <row r="69" ht="15.75" customHeight="1">
      <c r="A69" s="7" t="s">
        <v>131</v>
      </c>
      <c r="B69" s="7" t="s">
        <v>130</v>
      </c>
      <c r="C69" s="8" t="s">
        <v>27</v>
      </c>
      <c r="D69" s="9">
        <f>IF(SUMPRODUCT((Data!$D$2:$D$2277=A69)*(Data!$E$2:$E$2277=C69)*(Data!$M$2:$M$2277="Vladimir Zelenskiy"))&gt;0,SUMPRODUCT((Data!$D$2:$D$2277=A69)*(Data!$E$2:$E$2277=C69)*(Data!$M$2:$M$2277="Vladimir Zelenskiy")*IF(ISNUMBER(Data!$W$2:$W$2277),Data!$W$2:$W$2277,0))/SUMPRODUCT((Data!$D$2:$D$2277=A69)*(Data!$E$2:$E$2277=C69)*(Data!$M$2:$M$2277="Vladimir Zelenskiy")),"")</f>
        <v>80</v>
      </c>
      <c r="E69" s="9" t="str">
        <f>IF(SUMPRODUCT((Data!$D$2:$D$2277=A69)*(Data!$E$2:$E$2277=C69)*(Data!$M$2:$M$2277="Valerii Zaluzhniy"))&gt;0,SUMPRODUCT((Data!$D$2:$D$2277=A69)*(Data!$E$2:$E$2277=C69)*(Data!$M$2:$M$2277="Valerii Zaluzhniy")*IF(ISNUMBER(Data!$W$2:$W$2277),Data!$W$2:$W$2277,0))/SUMPRODUCT((Data!$D$2:$D$2277=A69)*(Data!$E$2:$E$2277=C69)*(Data!$M$2:$M$2277="Valerii Zaluzhniy")),"")</f>
        <v/>
      </c>
      <c r="F69" s="9" t="str">
        <f>IF(SUMPRODUCT((Data!$D$2:$D$2277=A69)*(Data!$E$2:$E$2277=C69)*(Data!$M$2:$M$2277="Kyrylo Budanov"))&gt;0,SUMPRODUCT((Data!$D$2:$D$2277=A69)*(Data!$E$2:$E$2277=C69)*(Data!$M$2:$M$2277="Kyrylo Budanov")*IF(ISNUMBER(Data!$W$2:$W$2277),Data!$W$2:$W$2277,0))/SUMPRODUCT((Data!$D$2:$D$2277=A69)*(Data!$E$2:$E$2277=C69)*(Data!$M$2:$M$2277="Kyrylo Budanov")),"")</f>
        <v/>
      </c>
      <c r="G69" s="9">
        <f>IF(SUMPRODUCT((Data!$D$2:$D$2277=A69)*(Data!$E$2:$E$2277=C69)*(Data!$M$2:$M$2277="Pyotr Poroshenko"))&gt;0,SUMPRODUCT((Data!$D$2:$D$2277=A69)*(Data!$E$2:$E$2277=C69)*(Data!$M$2:$M$2277="Pyotr Poroshenko")*IF(ISNUMBER(Data!$W$2:$W$2277),Data!$W$2:$W$2277,0))/SUMPRODUCT((Data!$D$2:$D$2277=A69)*(Data!$E$2:$E$2277=C69)*(Data!$M$2:$M$2277="Pyotr Poroshenko")),"")</f>
        <v>6.315789474</v>
      </c>
      <c r="H69" s="10">
        <f t="array" ref="H69">IFERROR(INDEX(Avg!$F$2:$F$50,MATCH(DATE(YEAR(A69),MONTH(A69),1),Avg!$A$2:$A$50,0)),"")</f>
        <v>81.4971323</v>
      </c>
      <c r="I69" s="10">
        <f t="array" ref="I69">IFERROR(INDEX(Avg!$G$2:$G$50,MATCH(DATE(YEAR(A69),MONTH(A69),1),Avg!$A$2:$A$50,0)),"")</f>
        <v>3.7</v>
      </c>
      <c r="J69" s="10" t="str">
        <f t="array" ref="J69">IFERROR(INDEX(Avg!$H$2:$H$50,MATCH(DATE(YEAR(A69),MONTH(A69),1),Avg!$A$2:$A$50,0)),"")</f>
        <v/>
      </c>
      <c r="K69" s="10">
        <f t="array" ref="K69">IFERROR(INDEX(Avg!$I$2:$I$50,MATCH(DATE(YEAR(A69),MONTH(A69),1),Avg!$A$2:$A$50,0)),"")</f>
        <v>5.551934009</v>
      </c>
      <c r="L69" s="11">
        <f t="array" ref="L69">IFERROR(INDEX(Avg!$L$2:$L$50,MATCH(DATE(YEAR(A69),MONTH(A69),1),Avg!$A$2:$A$50,0)),"")</f>
        <v>81.41827938</v>
      </c>
      <c r="M69" s="11">
        <f t="array" ref="M69">IFERROR(INDEX(Avg!$M$2:$M$50,MATCH(DATE(YEAR(A69),MONTH(A69),1),Avg!$A$2:$A$50,0)),"")</f>
        <v>3.7</v>
      </c>
      <c r="N69" s="11" t="str">
        <f t="array" ref="N69">IFERROR(INDEX(Avg!$N$2:$N$50,MATCH(DATE(YEAR(A69),MONTH(A69),1),Avg!$A$2:$A$50,0)),"")</f>
        <v/>
      </c>
      <c r="O69" s="11">
        <f t="array" ref="O69">IFERROR(INDEX(Avg!$O$2:$O$50,MATCH(DATE(YEAR(A69),MONTH(A69),1),Avg!$A$2:$A$50,0)),"")</f>
        <v>5.691160405</v>
      </c>
    </row>
    <row r="70" ht="15.75" customHeight="1">
      <c r="A70" s="7" t="s">
        <v>132</v>
      </c>
      <c r="B70" s="7" t="s">
        <v>133</v>
      </c>
      <c r="C70" s="8" t="s">
        <v>27</v>
      </c>
      <c r="D70" s="9">
        <f>IF(SUMPRODUCT((Data!$D$2:$D$2277=A70)*(Data!$E$2:$E$2277=C70)*(Data!$M$2:$M$2277="Vladimir Zelenskiy"))&gt;0,SUMPRODUCT((Data!$D$2:$D$2277=A70)*(Data!$E$2:$E$2277=C70)*(Data!$M$2:$M$2277="Vladimir Zelenskiy")*IF(ISNUMBER(Data!$W$2:$W$2277),Data!$W$2:$W$2277,0))/SUMPRODUCT((Data!$D$2:$D$2277=A70)*(Data!$E$2:$E$2277=C70)*(Data!$M$2:$M$2277="Vladimir Zelenskiy")),"")</f>
        <v>81.3</v>
      </c>
      <c r="E70" s="9" t="str">
        <f>IF(SUMPRODUCT((Data!$D$2:$D$2277=A70)*(Data!$E$2:$E$2277=C70)*(Data!$M$2:$M$2277="Valerii Zaluzhniy"))&gt;0,SUMPRODUCT((Data!$D$2:$D$2277=A70)*(Data!$E$2:$E$2277=C70)*(Data!$M$2:$M$2277="Valerii Zaluzhniy")*IF(ISNUMBER(Data!$W$2:$W$2277),Data!$W$2:$W$2277,0))/SUMPRODUCT((Data!$D$2:$D$2277=A70)*(Data!$E$2:$E$2277=C70)*(Data!$M$2:$M$2277="Valerii Zaluzhniy")),"")</f>
        <v/>
      </c>
      <c r="F70" s="9" t="str">
        <f>IF(SUMPRODUCT((Data!$D$2:$D$2277=A70)*(Data!$E$2:$E$2277=C70)*(Data!$M$2:$M$2277="Kyrylo Budanov"))&gt;0,SUMPRODUCT((Data!$D$2:$D$2277=A70)*(Data!$E$2:$E$2277=C70)*(Data!$M$2:$M$2277="Kyrylo Budanov")*IF(ISNUMBER(Data!$W$2:$W$2277),Data!$W$2:$W$2277,0))/SUMPRODUCT((Data!$D$2:$D$2277=A70)*(Data!$E$2:$E$2277=C70)*(Data!$M$2:$M$2277="Kyrylo Budanov")),"")</f>
        <v/>
      </c>
      <c r="G70" s="9">
        <f>IF(SUMPRODUCT((Data!$D$2:$D$2277=A70)*(Data!$E$2:$E$2277=C70)*(Data!$M$2:$M$2277="Pyotr Poroshenko"))&gt;0,SUMPRODUCT((Data!$D$2:$D$2277=A70)*(Data!$E$2:$E$2277=C70)*(Data!$M$2:$M$2277="Pyotr Poroshenko")*IF(ISNUMBER(Data!$W$2:$W$2277),Data!$W$2:$W$2277,0))/SUMPRODUCT((Data!$D$2:$D$2277=A70)*(Data!$E$2:$E$2277=C70)*(Data!$M$2:$M$2277="Pyotr Poroshenko")),"")</f>
        <v>5.9</v>
      </c>
      <c r="H70" s="10">
        <f t="array" ref="H70">IFERROR(INDEX(Avg!$F$2:$F$50,MATCH(DATE(YEAR(A70),MONTH(A70),1),Avg!$A$2:$A$50,0)),"")</f>
        <v>81.3</v>
      </c>
      <c r="I70" s="10" t="str">
        <f t="array" ref="I70">IFERROR(INDEX(Avg!$G$2:$G$50,MATCH(DATE(YEAR(A70),MONTH(A70),1),Avg!$A$2:$A$50,0)),"")</f>
        <v/>
      </c>
      <c r="J70" s="10" t="str">
        <f t="array" ref="J70">IFERROR(INDEX(Avg!$H$2:$H$50,MATCH(DATE(YEAR(A70),MONTH(A70),1),Avg!$A$2:$A$50,0)),"")</f>
        <v/>
      </c>
      <c r="K70" s="10">
        <f t="array" ref="K70">IFERROR(INDEX(Avg!$I$2:$I$50,MATCH(DATE(YEAR(A70),MONTH(A70),1),Avg!$A$2:$A$50,0)),"")</f>
        <v>5.9</v>
      </c>
      <c r="L70" s="11">
        <f t="array" ref="L70">IFERROR(INDEX(Avg!$L$2:$L$50,MATCH(DATE(YEAR(A70),MONTH(A70),1),Avg!$A$2:$A$50,0)),"")</f>
        <v>81.3</v>
      </c>
      <c r="M70" s="11" t="str">
        <f t="array" ref="M70">IFERROR(INDEX(Avg!$M$2:$M$50,MATCH(DATE(YEAR(A70),MONTH(A70),1),Avg!$A$2:$A$50,0)),"")</f>
        <v/>
      </c>
      <c r="N70" s="11" t="str">
        <f t="array" ref="N70">IFERROR(INDEX(Avg!$N$2:$N$50,MATCH(DATE(YEAR(A70),MONTH(A70),1),Avg!$A$2:$A$50,0)),"")</f>
        <v/>
      </c>
      <c r="O70" s="11">
        <f t="array" ref="O70">IFERROR(INDEX(Avg!$O$2:$O$50,MATCH(DATE(YEAR(A70),MONTH(A70),1),Avg!$A$2:$A$50,0)),"")</f>
        <v>5.9</v>
      </c>
    </row>
    <row r="71" ht="15.75" customHeight="1">
      <c r="A71" s="7" t="s">
        <v>134</v>
      </c>
      <c r="B71" s="7" t="s">
        <v>135</v>
      </c>
      <c r="C71" s="8" t="s">
        <v>27</v>
      </c>
      <c r="D71" s="9">
        <f>IF(SUMPRODUCT((Data!$D$2:$D$2277=A71)*(Data!$E$2:$E$2277=C71)*(Data!$M$2:$M$2277="Vladimir Zelenskiy"))&gt;0,SUMPRODUCT((Data!$D$2:$D$2277=A71)*(Data!$E$2:$E$2277=C71)*(Data!$M$2:$M$2277="Vladimir Zelenskiy")*IF(ISNUMBER(Data!$W$2:$W$2277),Data!$W$2:$W$2277,0))/SUMPRODUCT((Data!$D$2:$D$2277=A71)*(Data!$E$2:$E$2277=C71)*(Data!$M$2:$M$2277="Vladimir Zelenskiy")),"")</f>
        <v>29.2</v>
      </c>
      <c r="E71" s="9" t="str">
        <f>IF(SUMPRODUCT((Data!$D$2:$D$2277=A71)*(Data!$E$2:$E$2277=C71)*(Data!$M$2:$M$2277="Valerii Zaluzhniy"))&gt;0,SUMPRODUCT((Data!$D$2:$D$2277=A71)*(Data!$E$2:$E$2277=C71)*(Data!$M$2:$M$2277="Valerii Zaluzhniy")*IF(ISNUMBER(Data!$W$2:$W$2277),Data!$W$2:$W$2277,0))/SUMPRODUCT((Data!$D$2:$D$2277=A71)*(Data!$E$2:$E$2277=C71)*(Data!$M$2:$M$2277="Valerii Zaluzhniy")),"")</f>
        <v/>
      </c>
      <c r="F71" s="9" t="str">
        <f>IF(SUMPRODUCT((Data!$D$2:$D$2277=A71)*(Data!$E$2:$E$2277=C71)*(Data!$M$2:$M$2277="Kyrylo Budanov"))&gt;0,SUMPRODUCT((Data!$D$2:$D$2277=A71)*(Data!$E$2:$E$2277=C71)*(Data!$M$2:$M$2277="Kyrylo Budanov")*IF(ISNUMBER(Data!$W$2:$W$2277),Data!$W$2:$W$2277,0))/SUMPRODUCT((Data!$D$2:$D$2277=A71)*(Data!$E$2:$E$2277=C71)*(Data!$M$2:$M$2277="Kyrylo Budanov")),"")</f>
        <v/>
      </c>
      <c r="G71" s="9">
        <f>IF(SUMPRODUCT((Data!$D$2:$D$2277=A71)*(Data!$E$2:$E$2277=C71)*(Data!$M$2:$M$2277="Pyotr Poroshenko"))&gt;0,SUMPRODUCT((Data!$D$2:$D$2277=A71)*(Data!$E$2:$E$2277=C71)*(Data!$M$2:$M$2277="Pyotr Poroshenko")*IF(ISNUMBER(Data!$W$2:$W$2277),Data!$W$2:$W$2277,0))/SUMPRODUCT((Data!$D$2:$D$2277=A71)*(Data!$E$2:$E$2277=C71)*(Data!$M$2:$M$2277="Pyotr Poroshenko")),"")</f>
        <v>17.3</v>
      </c>
      <c r="H71" s="10" t="str">
        <f t="array" ref="H71">IFERROR(INDEX(Avg!$F$2:$F$50,MATCH(DATE(YEAR(A71),MONTH(A71),1),Avg!$A$2:$A$50,0)),"")</f>
        <v/>
      </c>
      <c r="I71" s="10" t="str">
        <f t="array" ref="I71">IFERROR(INDEX(Avg!$G$2:$G$50,MATCH(DATE(YEAR(A71),MONTH(A71),1),Avg!$A$2:$A$50,0)),"")</f>
        <v/>
      </c>
      <c r="J71" s="10" t="str">
        <f t="array" ref="J71">IFERROR(INDEX(Avg!$H$2:$H$50,MATCH(DATE(YEAR(A71),MONTH(A71),1),Avg!$A$2:$A$50,0)),"")</f>
        <v/>
      </c>
      <c r="K71" s="10" t="str">
        <f t="array" ref="K71">IFERROR(INDEX(Avg!$I$2:$I$50,MATCH(DATE(YEAR(A71),MONTH(A71),1),Avg!$A$2:$A$50,0)),"")</f>
        <v/>
      </c>
      <c r="L71" s="11" t="str">
        <f t="array" ref="L71">IFERROR(INDEX(Avg!$L$2:$L$50,MATCH(DATE(YEAR(A71),MONTH(A71),1),Avg!$A$2:$A$50,0)),"")</f>
        <v/>
      </c>
      <c r="M71" s="11" t="str">
        <f t="array" ref="M71">IFERROR(INDEX(Avg!$M$2:$M$50,MATCH(DATE(YEAR(A71),MONTH(A71),1),Avg!$A$2:$A$50,0)),"")</f>
        <v/>
      </c>
      <c r="N71" s="11" t="str">
        <f t="array" ref="N71">IFERROR(INDEX(Avg!$N$2:$N$50,MATCH(DATE(YEAR(A71),MONTH(A71),1),Avg!$A$2:$A$50,0)),"")</f>
        <v/>
      </c>
      <c r="O71" s="11" t="str">
        <f t="array" ref="O71">IFERROR(INDEX(Avg!$O$2:$O$50,MATCH(DATE(YEAR(A71),MONTH(A71),1),Avg!$A$2:$A$50,0)),"")</f>
        <v/>
      </c>
    </row>
    <row r="72" ht="15.75" customHeight="1">
      <c r="A72" s="7" t="s">
        <v>134</v>
      </c>
      <c r="B72" s="7" t="s">
        <v>135</v>
      </c>
      <c r="C72" s="8" t="s">
        <v>40</v>
      </c>
      <c r="D72" s="9">
        <f>IF(SUMPRODUCT((Data!$D$2:$D$2277=A72)*(Data!$E$2:$E$2277=C72)*(Data!$M$2:$M$2277="Vladimir Zelenskiy"))&gt;0,SUMPRODUCT((Data!$D$2:$D$2277=A72)*(Data!$E$2:$E$2277=C72)*(Data!$M$2:$M$2277="Vladimir Zelenskiy")*IF(ISNUMBER(Data!$W$2:$W$2277),Data!$W$2:$W$2277,0))/SUMPRODUCT((Data!$D$2:$D$2277=A72)*(Data!$E$2:$E$2277=C72)*(Data!$M$2:$M$2277="Vladimir Zelenskiy")),"")</f>
        <v>24.6</v>
      </c>
      <c r="E72" s="9" t="str">
        <f>IF(SUMPRODUCT((Data!$D$2:$D$2277=A72)*(Data!$E$2:$E$2277=C72)*(Data!$M$2:$M$2277="Valerii Zaluzhniy"))&gt;0,SUMPRODUCT((Data!$D$2:$D$2277=A72)*(Data!$E$2:$E$2277=C72)*(Data!$M$2:$M$2277="Valerii Zaluzhniy")*IF(ISNUMBER(Data!$W$2:$W$2277),Data!$W$2:$W$2277,0))/SUMPRODUCT((Data!$D$2:$D$2277=A72)*(Data!$E$2:$E$2277=C72)*(Data!$M$2:$M$2277="Valerii Zaluzhniy")),"")</f>
        <v/>
      </c>
      <c r="F72" s="9" t="str">
        <f>IF(SUMPRODUCT((Data!$D$2:$D$2277=A72)*(Data!$E$2:$E$2277=C72)*(Data!$M$2:$M$2277="Kyrylo Budanov"))&gt;0,SUMPRODUCT((Data!$D$2:$D$2277=A72)*(Data!$E$2:$E$2277=C72)*(Data!$M$2:$M$2277="Kyrylo Budanov")*IF(ISNUMBER(Data!$W$2:$W$2277),Data!$W$2:$W$2277,0))/SUMPRODUCT((Data!$D$2:$D$2277=A72)*(Data!$E$2:$E$2277=C72)*(Data!$M$2:$M$2277="Kyrylo Budanov")),"")</f>
        <v/>
      </c>
      <c r="G72" s="9">
        <f>IF(SUMPRODUCT((Data!$D$2:$D$2277=A72)*(Data!$E$2:$E$2277=C72)*(Data!$M$2:$M$2277="Pyotr Poroshenko"))&gt;0,SUMPRODUCT((Data!$D$2:$D$2277=A72)*(Data!$E$2:$E$2277=C72)*(Data!$M$2:$M$2277="Pyotr Poroshenko")*IF(ISNUMBER(Data!$W$2:$W$2277),Data!$W$2:$W$2277,0))/SUMPRODUCT((Data!$D$2:$D$2277=A72)*(Data!$E$2:$E$2277=C72)*(Data!$M$2:$M$2277="Pyotr Poroshenko")),"")</f>
        <v>18</v>
      </c>
      <c r="H72" s="10" t="str">
        <f t="array" ref="H72">IFERROR(INDEX(Avg!$F$2:$F$50,MATCH(DATE(YEAR(A72),MONTH(A72),1),Avg!$A$2:$A$50,0)),"")</f>
        <v/>
      </c>
      <c r="I72" s="10" t="str">
        <f t="array" ref="I72">IFERROR(INDEX(Avg!$G$2:$G$50,MATCH(DATE(YEAR(A72),MONTH(A72),1),Avg!$A$2:$A$50,0)),"")</f>
        <v/>
      </c>
      <c r="J72" s="10" t="str">
        <f t="array" ref="J72">IFERROR(INDEX(Avg!$H$2:$H$50,MATCH(DATE(YEAR(A72),MONTH(A72),1),Avg!$A$2:$A$50,0)),"")</f>
        <v/>
      </c>
      <c r="K72" s="10" t="str">
        <f t="array" ref="K72">IFERROR(INDEX(Avg!$I$2:$I$50,MATCH(DATE(YEAR(A72),MONTH(A72),1),Avg!$A$2:$A$50,0)),"")</f>
        <v/>
      </c>
      <c r="L72" s="11" t="str">
        <f t="array" ref="L72">IFERROR(INDEX(Avg!$L$2:$L$50,MATCH(DATE(YEAR(A72),MONTH(A72),1),Avg!$A$2:$A$50,0)),"")</f>
        <v/>
      </c>
      <c r="M72" s="11" t="str">
        <f t="array" ref="M72">IFERROR(INDEX(Avg!$M$2:$M$50,MATCH(DATE(YEAR(A72),MONTH(A72),1),Avg!$A$2:$A$50,0)),"")</f>
        <v/>
      </c>
      <c r="N72" s="11" t="str">
        <f t="array" ref="N72">IFERROR(INDEX(Avg!$N$2:$N$50,MATCH(DATE(YEAR(A72),MONTH(A72),1),Avg!$A$2:$A$50,0)),"")</f>
        <v/>
      </c>
      <c r="O72" s="11" t="str">
        <f t="array" ref="O72">IFERROR(INDEX(Avg!$O$2:$O$50,MATCH(DATE(YEAR(A72),MONTH(A72),1),Avg!$A$2:$A$50,0)),"")</f>
        <v/>
      </c>
    </row>
    <row r="73" ht="15.75" customHeight="1">
      <c r="A73" s="7" t="s">
        <v>136</v>
      </c>
      <c r="B73" s="7" t="s">
        <v>135</v>
      </c>
      <c r="C73" s="8" t="s">
        <v>137</v>
      </c>
      <c r="D73" s="9">
        <f>IF(SUMPRODUCT((Data!$D$2:$D$2277=A73)*(Data!$E$2:$E$2277=C73)*(Data!$M$2:$M$2277="Vladimir Zelenskiy"))&gt;0,SUMPRODUCT((Data!$D$2:$D$2277=A73)*(Data!$E$2:$E$2277=C73)*(Data!$M$2:$M$2277="Vladimir Zelenskiy")*IF(ISNUMBER(Data!$W$2:$W$2277),Data!$W$2:$W$2277,0))/SUMPRODUCT((Data!$D$2:$D$2277=A73)*(Data!$E$2:$E$2277=C73)*(Data!$M$2:$M$2277="Vladimir Zelenskiy")),"")</f>
        <v>28</v>
      </c>
      <c r="E73" s="9" t="str">
        <f>IF(SUMPRODUCT((Data!$D$2:$D$2277=A73)*(Data!$E$2:$E$2277=C73)*(Data!$M$2:$M$2277="Valerii Zaluzhniy"))&gt;0,SUMPRODUCT((Data!$D$2:$D$2277=A73)*(Data!$E$2:$E$2277=C73)*(Data!$M$2:$M$2277="Valerii Zaluzhniy")*IF(ISNUMBER(Data!$W$2:$W$2277),Data!$W$2:$W$2277,0))/SUMPRODUCT((Data!$D$2:$D$2277=A73)*(Data!$E$2:$E$2277=C73)*(Data!$M$2:$M$2277="Valerii Zaluzhniy")),"")</f>
        <v/>
      </c>
      <c r="F73" s="9" t="str">
        <f>IF(SUMPRODUCT((Data!$D$2:$D$2277=A73)*(Data!$E$2:$E$2277=C73)*(Data!$M$2:$M$2277="Kyrylo Budanov"))&gt;0,SUMPRODUCT((Data!$D$2:$D$2277=A73)*(Data!$E$2:$E$2277=C73)*(Data!$M$2:$M$2277="Kyrylo Budanov")*IF(ISNUMBER(Data!$W$2:$W$2277),Data!$W$2:$W$2277,0))/SUMPRODUCT((Data!$D$2:$D$2277=A73)*(Data!$E$2:$E$2277=C73)*(Data!$M$2:$M$2277="Kyrylo Budanov")),"")</f>
        <v/>
      </c>
      <c r="G73" s="9">
        <f>IF(SUMPRODUCT((Data!$D$2:$D$2277=A73)*(Data!$E$2:$E$2277=C73)*(Data!$M$2:$M$2277="Pyotr Poroshenko"))&gt;0,SUMPRODUCT((Data!$D$2:$D$2277=A73)*(Data!$E$2:$E$2277=C73)*(Data!$M$2:$M$2277="Pyotr Poroshenko")*IF(ISNUMBER(Data!$W$2:$W$2277),Data!$W$2:$W$2277,0))/SUMPRODUCT((Data!$D$2:$D$2277=A73)*(Data!$E$2:$E$2277=C73)*(Data!$M$2:$M$2277="Pyotr Poroshenko")),"")</f>
        <v>15</v>
      </c>
      <c r="H73" s="10" t="str">
        <f t="array" ref="H73">IFERROR(INDEX(Avg!$F$2:$F$50,MATCH(DATE(YEAR(A73),MONTH(A73),1),Avg!$A$2:$A$50,0)),"")</f>
        <v/>
      </c>
      <c r="I73" s="10" t="str">
        <f t="array" ref="I73">IFERROR(INDEX(Avg!$G$2:$G$50,MATCH(DATE(YEAR(A73),MONTH(A73),1),Avg!$A$2:$A$50,0)),"")</f>
        <v/>
      </c>
      <c r="J73" s="10" t="str">
        <f t="array" ref="J73">IFERROR(INDEX(Avg!$H$2:$H$50,MATCH(DATE(YEAR(A73),MONTH(A73),1),Avg!$A$2:$A$50,0)),"")</f>
        <v/>
      </c>
      <c r="K73" s="10" t="str">
        <f t="array" ref="K73">IFERROR(INDEX(Avg!$I$2:$I$50,MATCH(DATE(YEAR(A73),MONTH(A73),1),Avg!$A$2:$A$50,0)),"")</f>
        <v/>
      </c>
      <c r="L73" s="11" t="str">
        <f t="array" ref="L73">IFERROR(INDEX(Avg!$L$2:$L$50,MATCH(DATE(YEAR(A73),MONTH(A73),1),Avg!$A$2:$A$50,0)),"")</f>
        <v/>
      </c>
      <c r="M73" s="11" t="str">
        <f t="array" ref="M73">IFERROR(INDEX(Avg!$M$2:$M$50,MATCH(DATE(YEAR(A73),MONTH(A73),1),Avg!$A$2:$A$50,0)),"")</f>
        <v/>
      </c>
      <c r="N73" s="11" t="str">
        <f t="array" ref="N73">IFERROR(INDEX(Avg!$N$2:$N$50,MATCH(DATE(YEAR(A73),MONTH(A73),1),Avg!$A$2:$A$50,0)),"")</f>
        <v/>
      </c>
      <c r="O73" s="11" t="str">
        <f t="array" ref="O73">IFERROR(INDEX(Avg!$O$2:$O$50,MATCH(DATE(YEAR(A73),MONTH(A73),1),Avg!$A$2:$A$50,0)),"")</f>
        <v/>
      </c>
    </row>
    <row r="74" ht="15.75" customHeight="1">
      <c r="A74" s="7" t="s">
        <v>136</v>
      </c>
      <c r="B74" s="7" t="s">
        <v>135</v>
      </c>
      <c r="C74" s="8" t="s">
        <v>17</v>
      </c>
      <c r="D74" s="9">
        <f>IF(SUMPRODUCT((Data!$D$2:$D$2277=A74)*(Data!$E$2:$E$2277=C74)*(Data!$M$2:$M$2277="Vladimir Zelenskiy"))&gt;0,SUMPRODUCT((Data!$D$2:$D$2277=A74)*(Data!$E$2:$E$2277=C74)*(Data!$M$2:$M$2277="Vladimir Zelenskiy")*IF(ISNUMBER(Data!$W$2:$W$2277),Data!$W$2:$W$2277,0))/SUMPRODUCT((Data!$D$2:$D$2277=A74)*(Data!$E$2:$E$2277=C74)*(Data!$M$2:$M$2277="Vladimir Zelenskiy")),"")</f>
        <v>23.7</v>
      </c>
      <c r="E74" s="9" t="str">
        <f>IF(SUMPRODUCT((Data!$D$2:$D$2277=A74)*(Data!$E$2:$E$2277=C74)*(Data!$M$2:$M$2277="Valerii Zaluzhniy"))&gt;0,SUMPRODUCT((Data!$D$2:$D$2277=A74)*(Data!$E$2:$E$2277=C74)*(Data!$M$2:$M$2277="Valerii Zaluzhniy")*IF(ISNUMBER(Data!$W$2:$W$2277),Data!$W$2:$W$2277,0))/SUMPRODUCT((Data!$D$2:$D$2277=A74)*(Data!$E$2:$E$2277=C74)*(Data!$M$2:$M$2277="Valerii Zaluzhniy")),"")</f>
        <v/>
      </c>
      <c r="F74" s="9" t="str">
        <f>IF(SUMPRODUCT((Data!$D$2:$D$2277=A74)*(Data!$E$2:$E$2277=C74)*(Data!$M$2:$M$2277="Kyrylo Budanov"))&gt;0,SUMPRODUCT((Data!$D$2:$D$2277=A74)*(Data!$E$2:$E$2277=C74)*(Data!$M$2:$M$2277="Kyrylo Budanov")*IF(ISNUMBER(Data!$W$2:$W$2277),Data!$W$2:$W$2277,0))/SUMPRODUCT((Data!$D$2:$D$2277=A74)*(Data!$E$2:$E$2277=C74)*(Data!$M$2:$M$2277="Kyrylo Budanov")),"")</f>
        <v/>
      </c>
      <c r="G74" s="9">
        <f>IF(SUMPRODUCT((Data!$D$2:$D$2277=A74)*(Data!$E$2:$E$2277=C74)*(Data!$M$2:$M$2277="Pyotr Poroshenko"))&gt;0,SUMPRODUCT((Data!$D$2:$D$2277=A74)*(Data!$E$2:$E$2277=C74)*(Data!$M$2:$M$2277="Pyotr Poroshenko")*IF(ISNUMBER(Data!$W$2:$W$2277),Data!$W$2:$W$2277,0))/SUMPRODUCT((Data!$D$2:$D$2277=A74)*(Data!$E$2:$E$2277=C74)*(Data!$M$2:$M$2277="Pyotr Poroshenko")),"")</f>
        <v>21.9</v>
      </c>
      <c r="H74" s="10" t="str">
        <f t="array" ref="H74">IFERROR(INDEX(Avg!$F$2:$F$50,MATCH(DATE(YEAR(A74),MONTH(A74),1),Avg!$A$2:$A$50,0)),"")</f>
        <v/>
      </c>
      <c r="I74" s="10" t="str">
        <f t="array" ref="I74">IFERROR(INDEX(Avg!$G$2:$G$50,MATCH(DATE(YEAR(A74),MONTH(A74),1),Avg!$A$2:$A$50,0)),"")</f>
        <v/>
      </c>
      <c r="J74" s="10" t="str">
        <f t="array" ref="J74">IFERROR(INDEX(Avg!$H$2:$H$50,MATCH(DATE(YEAR(A74),MONTH(A74),1),Avg!$A$2:$A$50,0)),"")</f>
        <v/>
      </c>
      <c r="K74" s="10" t="str">
        <f t="array" ref="K74">IFERROR(INDEX(Avg!$I$2:$I$50,MATCH(DATE(YEAR(A74),MONTH(A74),1),Avg!$A$2:$A$50,0)),"")</f>
        <v/>
      </c>
      <c r="L74" s="11" t="str">
        <f t="array" ref="L74">IFERROR(INDEX(Avg!$L$2:$L$50,MATCH(DATE(YEAR(A74),MONTH(A74),1),Avg!$A$2:$A$50,0)),"")</f>
        <v/>
      </c>
      <c r="M74" s="11" t="str">
        <f t="array" ref="M74">IFERROR(INDEX(Avg!$M$2:$M$50,MATCH(DATE(YEAR(A74),MONTH(A74),1),Avg!$A$2:$A$50,0)),"")</f>
        <v/>
      </c>
      <c r="N74" s="11" t="str">
        <f t="array" ref="N74">IFERROR(INDEX(Avg!$N$2:$N$50,MATCH(DATE(YEAR(A74),MONTH(A74),1),Avg!$A$2:$A$50,0)),"")</f>
        <v/>
      </c>
      <c r="O74" s="11" t="str">
        <f t="array" ref="O74">IFERROR(INDEX(Avg!$O$2:$O$50,MATCH(DATE(YEAR(A74),MONTH(A74),1),Avg!$A$2:$A$50,0)),"")</f>
        <v/>
      </c>
    </row>
    <row r="75" ht="15.75" customHeight="1">
      <c r="A75" s="7" t="s">
        <v>134</v>
      </c>
      <c r="B75" s="7" t="s">
        <v>135</v>
      </c>
      <c r="C75" s="8" t="s">
        <v>138</v>
      </c>
      <c r="D75" s="9">
        <f>IF(SUMPRODUCT((Data!$D$2:$D$2277=A75)*(Data!$E$2:$E$2277=C75)*(Data!$M$2:$M$2277="Vladimir Zelenskiy"))&gt;0,SUMPRODUCT((Data!$D$2:$D$2277=A75)*(Data!$E$2:$E$2277=C75)*(Data!$M$2:$M$2277="Vladimir Zelenskiy")*IF(ISNUMBER(Data!$W$2:$W$2277),Data!$W$2:$W$2277,0))/SUMPRODUCT((Data!$D$2:$D$2277=A75)*(Data!$E$2:$E$2277=C75)*(Data!$M$2:$M$2277="Vladimir Zelenskiy")),"")</f>
        <v>26.7</v>
      </c>
      <c r="E75" s="9" t="str">
        <f>IF(SUMPRODUCT((Data!$D$2:$D$2277=A75)*(Data!$E$2:$E$2277=C75)*(Data!$M$2:$M$2277="Valerii Zaluzhniy"))&gt;0,SUMPRODUCT((Data!$D$2:$D$2277=A75)*(Data!$E$2:$E$2277=C75)*(Data!$M$2:$M$2277="Valerii Zaluzhniy")*IF(ISNUMBER(Data!$W$2:$W$2277),Data!$W$2:$W$2277,0))/SUMPRODUCT((Data!$D$2:$D$2277=A75)*(Data!$E$2:$E$2277=C75)*(Data!$M$2:$M$2277="Valerii Zaluzhniy")),"")</f>
        <v/>
      </c>
      <c r="F75" s="9" t="str">
        <f>IF(SUMPRODUCT((Data!$D$2:$D$2277=A75)*(Data!$E$2:$E$2277=C75)*(Data!$M$2:$M$2277="Kyrylo Budanov"))&gt;0,SUMPRODUCT((Data!$D$2:$D$2277=A75)*(Data!$E$2:$E$2277=C75)*(Data!$M$2:$M$2277="Kyrylo Budanov")*IF(ISNUMBER(Data!$W$2:$W$2277),Data!$W$2:$W$2277,0))/SUMPRODUCT((Data!$D$2:$D$2277=A75)*(Data!$E$2:$E$2277=C75)*(Data!$M$2:$M$2277="Kyrylo Budanov")),"")</f>
        <v/>
      </c>
      <c r="G75" s="9">
        <f>IF(SUMPRODUCT((Data!$D$2:$D$2277=A75)*(Data!$E$2:$E$2277=C75)*(Data!$M$2:$M$2277="Pyotr Poroshenko"))&gt;0,SUMPRODUCT((Data!$D$2:$D$2277=A75)*(Data!$E$2:$E$2277=C75)*(Data!$M$2:$M$2277="Pyotr Poroshenko")*IF(ISNUMBER(Data!$W$2:$W$2277),Data!$W$2:$W$2277,0))/SUMPRODUCT((Data!$D$2:$D$2277=A75)*(Data!$E$2:$E$2277=C75)*(Data!$M$2:$M$2277="Pyotr Poroshenko")),"")</f>
        <v>16</v>
      </c>
      <c r="H75" s="10" t="str">
        <f t="array" ref="H75">IFERROR(INDEX(Avg!$F$2:$F$50,MATCH(DATE(YEAR(A75),MONTH(A75),1),Avg!$A$2:$A$50,0)),"")</f>
        <v/>
      </c>
      <c r="I75" s="10" t="str">
        <f t="array" ref="I75">IFERROR(INDEX(Avg!$G$2:$G$50,MATCH(DATE(YEAR(A75),MONTH(A75),1),Avg!$A$2:$A$50,0)),"")</f>
        <v/>
      </c>
      <c r="J75" s="10" t="str">
        <f t="array" ref="J75">IFERROR(INDEX(Avg!$H$2:$H$50,MATCH(DATE(YEAR(A75),MONTH(A75),1),Avg!$A$2:$A$50,0)),"")</f>
        <v/>
      </c>
      <c r="K75" s="10" t="str">
        <f t="array" ref="K75">IFERROR(INDEX(Avg!$I$2:$I$50,MATCH(DATE(YEAR(A75),MONTH(A75),1),Avg!$A$2:$A$50,0)),"")</f>
        <v/>
      </c>
      <c r="L75" s="11" t="str">
        <f t="array" ref="L75">IFERROR(INDEX(Avg!$L$2:$L$50,MATCH(DATE(YEAR(A75),MONTH(A75),1),Avg!$A$2:$A$50,0)),"")</f>
        <v/>
      </c>
      <c r="M75" s="11" t="str">
        <f t="array" ref="M75">IFERROR(INDEX(Avg!$M$2:$M$50,MATCH(DATE(YEAR(A75),MONTH(A75),1),Avg!$A$2:$A$50,0)),"")</f>
        <v/>
      </c>
      <c r="N75" s="11" t="str">
        <f t="array" ref="N75">IFERROR(INDEX(Avg!$N$2:$N$50,MATCH(DATE(YEAR(A75),MONTH(A75),1),Avg!$A$2:$A$50,0)),"")</f>
        <v/>
      </c>
      <c r="O75" s="11" t="str">
        <f t="array" ref="O75">IFERROR(INDEX(Avg!$O$2:$O$50,MATCH(DATE(YEAR(A75),MONTH(A75),1),Avg!$A$2:$A$50,0)),"")</f>
        <v/>
      </c>
    </row>
    <row r="76" ht="15.75" customHeight="1">
      <c r="A76" s="7" t="s">
        <v>139</v>
      </c>
      <c r="B76" s="7" t="s">
        <v>135</v>
      </c>
      <c r="C76" s="8" t="s">
        <v>40</v>
      </c>
      <c r="D76" s="9">
        <f>IF(SUMPRODUCT((Data!$D$2:$D$2277=A76)*(Data!$E$2:$E$2277=C76)*(Data!$M$2:$M$2277="Vladimir Zelenskiy"))&gt;0,SUMPRODUCT((Data!$D$2:$D$2277=A76)*(Data!$E$2:$E$2277=C76)*(Data!$M$2:$M$2277="Vladimir Zelenskiy")*IF(ISNUMBER(Data!$W$2:$W$2277),Data!$W$2:$W$2277,0))/SUMPRODUCT((Data!$D$2:$D$2277=A76)*(Data!$E$2:$E$2277=C76)*(Data!$M$2:$M$2277="Vladimir Zelenskiy")),"")</f>
        <v>24.6</v>
      </c>
      <c r="E76" s="9" t="str">
        <f>IF(SUMPRODUCT((Data!$D$2:$D$2277=A76)*(Data!$E$2:$E$2277=C76)*(Data!$M$2:$M$2277="Valerii Zaluzhniy"))&gt;0,SUMPRODUCT((Data!$D$2:$D$2277=A76)*(Data!$E$2:$E$2277=C76)*(Data!$M$2:$M$2277="Valerii Zaluzhniy")*IF(ISNUMBER(Data!$W$2:$W$2277),Data!$W$2:$W$2277,0))/SUMPRODUCT((Data!$D$2:$D$2277=A76)*(Data!$E$2:$E$2277=C76)*(Data!$M$2:$M$2277="Valerii Zaluzhniy")),"")</f>
        <v/>
      </c>
      <c r="F76" s="9" t="str">
        <f>IF(SUMPRODUCT((Data!$D$2:$D$2277=A76)*(Data!$E$2:$E$2277=C76)*(Data!$M$2:$M$2277="Kyrylo Budanov"))&gt;0,SUMPRODUCT((Data!$D$2:$D$2277=A76)*(Data!$E$2:$E$2277=C76)*(Data!$M$2:$M$2277="Kyrylo Budanov")*IF(ISNUMBER(Data!$W$2:$W$2277),Data!$W$2:$W$2277,0))/SUMPRODUCT((Data!$D$2:$D$2277=A76)*(Data!$E$2:$E$2277=C76)*(Data!$M$2:$M$2277="Kyrylo Budanov")),"")</f>
        <v/>
      </c>
      <c r="G76" s="9">
        <f>IF(SUMPRODUCT((Data!$D$2:$D$2277=A76)*(Data!$E$2:$E$2277=C76)*(Data!$M$2:$M$2277="Pyotr Poroshenko"))&gt;0,SUMPRODUCT((Data!$D$2:$D$2277=A76)*(Data!$E$2:$E$2277=C76)*(Data!$M$2:$M$2277="Pyotr Poroshenko")*IF(ISNUMBER(Data!$W$2:$W$2277),Data!$W$2:$W$2277,0))/SUMPRODUCT((Data!$D$2:$D$2277=A76)*(Data!$E$2:$E$2277=C76)*(Data!$M$2:$M$2277="Pyotr Poroshenko")),"")</f>
        <v>16.8</v>
      </c>
      <c r="H76" s="10" t="str">
        <f t="array" ref="H76">IFERROR(INDEX(Avg!$F$2:$F$50,MATCH(DATE(YEAR(A76),MONTH(A76),1),Avg!$A$2:$A$50,0)),"")</f>
        <v/>
      </c>
      <c r="I76" s="10" t="str">
        <f t="array" ref="I76">IFERROR(INDEX(Avg!$G$2:$G$50,MATCH(DATE(YEAR(A76),MONTH(A76),1),Avg!$A$2:$A$50,0)),"")</f>
        <v/>
      </c>
      <c r="J76" s="10" t="str">
        <f t="array" ref="J76">IFERROR(INDEX(Avg!$H$2:$H$50,MATCH(DATE(YEAR(A76),MONTH(A76),1),Avg!$A$2:$A$50,0)),"")</f>
        <v/>
      </c>
      <c r="K76" s="10" t="str">
        <f t="array" ref="K76">IFERROR(INDEX(Avg!$I$2:$I$50,MATCH(DATE(YEAR(A76),MONTH(A76),1),Avg!$A$2:$A$50,0)),"")</f>
        <v/>
      </c>
      <c r="L76" s="11" t="str">
        <f t="array" ref="L76">IFERROR(INDEX(Avg!$L$2:$L$50,MATCH(DATE(YEAR(A76),MONTH(A76),1),Avg!$A$2:$A$50,0)),"")</f>
        <v/>
      </c>
      <c r="M76" s="11" t="str">
        <f t="array" ref="M76">IFERROR(INDEX(Avg!$M$2:$M$50,MATCH(DATE(YEAR(A76),MONTH(A76),1),Avg!$A$2:$A$50,0)),"")</f>
        <v/>
      </c>
      <c r="N76" s="11" t="str">
        <f t="array" ref="N76">IFERROR(INDEX(Avg!$N$2:$N$50,MATCH(DATE(YEAR(A76),MONTH(A76),1),Avg!$A$2:$A$50,0)),"")</f>
        <v/>
      </c>
      <c r="O76" s="11" t="str">
        <f t="array" ref="O76">IFERROR(INDEX(Avg!$O$2:$O$50,MATCH(DATE(YEAR(A76),MONTH(A76),1),Avg!$A$2:$A$50,0)),"")</f>
        <v/>
      </c>
    </row>
    <row r="77" ht="15.75" customHeight="1">
      <c r="A77" s="7" t="s">
        <v>139</v>
      </c>
      <c r="B77" s="7" t="s">
        <v>135</v>
      </c>
      <c r="C77" s="8" t="s">
        <v>72</v>
      </c>
      <c r="D77" s="9">
        <f>IF(SUMPRODUCT((Data!$D$2:$D$2277=A77)*(Data!$E$2:$E$2277=C77)*(Data!$M$2:$M$2277="Vladimir Zelenskiy"))&gt;0,SUMPRODUCT((Data!$D$2:$D$2277=A77)*(Data!$E$2:$E$2277=C77)*(Data!$M$2:$M$2277="Vladimir Zelenskiy")*IF(ISNUMBER(Data!$W$2:$W$2277),Data!$W$2:$W$2277,0))/SUMPRODUCT((Data!$D$2:$D$2277=A77)*(Data!$E$2:$E$2277=C77)*(Data!$M$2:$M$2277="Vladimir Zelenskiy")),"")</f>
        <v>25.1</v>
      </c>
      <c r="E77" s="9" t="str">
        <f>IF(SUMPRODUCT((Data!$D$2:$D$2277=A77)*(Data!$E$2:$E$2277=C77)*(Data!$M$2:$M$2277="Valerii Zaluzhniy"))&gt;0,SUMPRODUCT((Data!$D$2:$D$2277=A77)*(Data!$E$2:$E$2277=C77)*(Data!$M$2:$M$2277="Valerii Zaluzhniy")*IF(ISNUMBER(Data!$W$2:$W$2277),Data!$W$2:$W$2277,0))/SUMPRODUCT((Data!$D$2:$D$2277=A77)*(Data!$E$2:$E$2277=C77)*(Data!$M$2:$M$2277="Valerii Zaluzhniy")),"")</f>
        <v/>
      </c>
      <c r="F77" s="9" t="str">
        <f>IF(SUMPRODUCT((Data!$D$2:$D$2277=A77)*(Data!$E$2:$E$2277=C77)*(Data!$M$2:$M$2277="Kyrylo Budanov"))&gt;0,SUMPRODUCT((Data!$D$2:$D$2277=A77)*(Data!$E$2:$E$2277=C77)*(Data!$M$2:$M$2277="Kyrylo Budanov")*IF(ISNUMBER(Data!$W$2:$W$2277),Data!$W$2:$W$2277,0))/SUMPRODUCT((Data!$D$2:$D$2277=A77)*(Data!$E$2:$E$2277=C77)*(Data!$M$2:$M$2277="Kyrylo Budanov")),"")</f>
        <v/>
      </c>
      <c r="G77" s="9">
        <f>IF(SUMPRODUCT((Data!$D$2:$D$2277=A77)*(Data!$E$2:$E$2277=C77)*(Data!$M$2:$M$2277="Pyotr Poroshenko"))&gt;0,SUMPRODUCT((Data!$D$2:$D$2277=A77)*(Data!$E$2:$E$2277=C77)*(Data!$M$2:$M$2277="Pyotr Poroshenko")*IF(ISNUMBER(Data!$W$2:$W$2277),Data!$W$2:$W$2277,0))/SUMPRODUCT((Data!$D$2:$D$2277=A77)*(Data!$E$2:$E$2277=C77)*(Data!$M$2:$M$2277="Pyotr Poroshenko")),"")</f>
        <v>21.8</v>
      </c>
      <c r="H77" s="10" t="str">
        <f t="array" ref="H77">IFERROR(INDEX(Avg!$F$2:$F$50,MATCH(DATE(YEAR(A77),MONTH(A77),1),Avg!$A$2:$A$50,0)),"")</f>
        <v/>
      </c>
      <c r="I77" s="10" t="str">
        <f t="array" ref="I77">IFERROR(INDEX(Avg!$G$2:$G$50,MATCH(DATE(YEAR(A77),MONTH(A77),1),Avg!$A$2:$A$50,0)),"")</f>
        <v/>
      </c>
      <c r="J77" s="10" t="str">
        <f t="array" ref="J77">IFERROR(INDEX(Avg!$H$2:$H$50,MATCH(DATE(YEAR(A77),MONTH(A77),1),Avg!$A$2:$A$50,0)),"")</f>
        <v/>
      </c>
      <c r="K77" s="10" t="str">
        <f t="array" ref="K77">IFERROR(INDEX(Avg!$I$2:$I$50,MATCH(DATE(YEAR(A77),MONTH(A77),1),Avg!$A$2:$A$50,0)),"")</f>
        <v/>
      </c>
      <c r="L77" s="11" t="str">
        <f t="array" ref="L77">IFERROR(INDEX(Avg!$L$2:$L$50,MATCH(DATE(YEAR(A77),MONTH(A77),1),Avg!$A$2:$A$50,0)),"")</f>
        <v/>
      </c>
      <c r="M77" s="11" t="str">
        <f t="array" ref="M77">IFERROR(INDEX(Avg!$M$2:$M$50,MATCH(DATE(YEAR(A77),MONTH(A77),1),Avg!$A$2:$A$50,0)),"")</f>
        <v/>
      </c>
      <c r="N77" s="11" t="str">
        <f t="array" ref="N77">IFERROR(INDEX(Avg!$N$2:$N$50,MATCH(DATE(YEAR(A77),MONTH(A77),1),Avg!$A$2:$A$50,0)),"")</f>
        <v/>
      </c>
      <c r="O77" s="11" t="str">
        <f t="array" ref="O77">IFERROR(INDEX(Avg!$O$2:$O$50,MATCH(DATE(YEAR(A77),MONTH(A77),1),Avg!$A$2:$A$50,0)),"")</f>
        <v/>
      </c>
    </row>
    <row r="78" ht="15.75" customHeight="1">
      <c r="A78" s="7" t="s">
        <v>140</v>
      </c>
      <c r="B78" s="7" t="s">
        <v>135</v>
      </c>
      <c r="C78" s="8" t="s">
        <v>20</v>
      </c>
      <c r="D78" s="9">
        <f>IF(SUMPRODUCT((Data!$D$2:$D$2277=A78)*(Data!$E$2:$E$2277=C78)*(Data!$M$2:$M$2277="Vladimir Zelenskiy"))&gt;0,SUMPRODUCT((Data!$D$2:$D$2277=A78)*(Data!$E$2:$E$2277=C78)*(Data!$M$2:$M$2277="Vladimir Zelenskiy")*IF(ISNUMBER(Data!$W$2:$W$2277),Data!$W$2:$W$2277,0))/SUMPRODUCT((Data!$D$2:$D$2277=A78)*(Data!$E$2:$E$2277=C78)*(Data!$M$2:$M$2277="Vladimir Zelenskiy")),"")</f>
        <v>21.8</v>
      </c>
      <c r="E78" s="9" t="str">
        <f>IF(SUMPRODUCT((Data!$D$2:$D$2277=A78)*(Data!$E$2:$E$2277=C78)*(Data!$M$2:$M$2277="Valerii Zaluzhniy"))&gt;0,SUMPRODUCT((Data!$D$2:$D$2277=A78)*(Data!$E$2:$E$2277=C78)*(Data!$M$2:$M$2277="Valerii Zaluzhniy")*IF(ISNUMBER(Data!$W$2:$W$2277),Data!$W$2:$W$2277,0))/SUMPRODUCT((Data!$D$2:$D$2277=A78)*(Data!$E$2:$E$2277=C78)*(Data!$M$2:$M$2277="Valerii Zaluzhniy")),"")</f>
        <v/>
      </c>
      <c r="F78" s="9" t="str">
        <f>IF(SUMPRODUCT((Data!$D$2:$D$2277=A78)*(Data!$E$2:$E$2277=C78)*(Data!$M$2:$M$2277="Kyrylo Budanov"))&gt;0,SUMPRODUCT((Data!$D$2:$D$2277=A78)*(Data!$E$2:$E$2277=C78)*(Data!$M$2:$M$2277="Kyrylo Budanov")*IF(ISNUMBER(Data!$W$2:$W$2277),Data!$W$2:$W$2277,0))/SUMPRODUCT((Data!$D$2:$D$2277=A78)*(Data!$E$2:$E$2277=C78)*(Data!$M$2:$M$2277="Kyrylo Budanov")),"")</f>
        <v/>
      </c>
      <c r="G78" s="9">
        <f>IF(SUMPRODUCT((Data!$D$2:$D$2277=A78)*(Data!$E$2:$E$2277=C78)*(Data!$M$2:$M$2277="Pyotr Poroshenko"))&gt;0,SUMPRODUCT((Data!$D$2:$D$2277=A78)*(Data!$E$2:$E$2277=C78)*(Data!$M$2:$M$2277="Pyotr Poroshenko")*IF(ISNUMBER(Data!$W$2:$W$2277),Data!$W$2:$W$2277,0))/SUMPRODUCT((Data!$D$2:$D$2277=A78)*(Data!$E$2:$E$2277=C78)*(Data!$M$2:$M$2277="Pyotr Poroshenko")),"")</f>
        <v>19.1</v>
      </c>
      <c r="H78" s="10" t="str">
        <f t="array" ref="H78">IFERROR(INDEX(Avg!$F$2:$F$50,MATCH(DATE(YEAR(A78),MONTH(A78),1),Avg!$A$2:$A$50,0)),"")</f>
        <v/>
      </c>
      <c r="I78" s="10" t="str">
        <f t="array" ref="I78">IFERROR(INDEX(Avg!$G$2:$G$50,MATCH(DATE(YEAR(A78),MONTH(A78),1),Avg!$A$2:$A$50,0)),"")</f>
        <v/>
      </c>
      <c r="J78" s="10" t="str">
        <f t="array" ref="J78">IFERROR(INDEX(Avg!$H$2:$H$50,MATCH(DATE(YEAR(A78),MONTH(A78),1),Avg!$A$2:$A$50,0)),"")</f>
        <v/>
      </c>
      <c r="K78" s="10" t="str">
        <f t="array" ref="K78">IFERROR(INDEX(Avg!$I$2:$I$50,MATCH(DATE(YEAR(A78),MONTH(A78),1),Avg!$A$2:$A$50,0)),"")</f>
        <v/>
      </c>
      <c r="L78" s="11" t="str">
        <f t="array" ref="L78">IFERROR(INDEX(Avg!$L$2:$L$50,MATCH(DATE(YEAR(A78),MONTH(A78),1),Avg!$A$2:$A$50,0)),"")</f>
        <v/>
      </c>
      <c r="M78" s="11" t="str">
        <f t="array" ref="M78">IFERROR(INDEX(Avg!$M$2:$M$50,MATCH(DATE(YEAR(A78),MONTH(A78),1),Avg!$A$2:$A$50,0)),"")</f>
        <v/>
      </c>
      <c r="N78" s="11" t="str">
        <f t="array" ref="N78">IFERROR(INDEX(Avg!$N$2:$N$50,MATCH(DATE(YEAR(A78),MONTH(A78),1),Avg!$A$2:$A$50,0)),"")</f>
        <v/>
      </c>
      <c r="O78" s="11" t="str">
        <f t="array" ref="O78">IFERROR(INDEX(Avg!$O$2:$O$50,MATCH(DATE(YEAR(A78),MONTH(A78),1),Avg!$A$2:$A$50,0)),"")</f>
        <v/>
      </c>
    </row>
    <row r="79" ht="15.75" customHeight="1">
      <c r="A79" s="7" t="s">
        <v>135</v>
      </c>
      <c r="B79" s="7" t="s">
        <v>141</v>
      </c>
      <c r="C79" s="8" t="s">
        <v>106</v>
      </c>
      <c r="D79" s="9">
        <f>IF(SUMPRODUCT((Data!$D$2:$D$2277=A79)*(Data!$E$2:$E$2277=C79)*(Data!$M$2:$M$2277="Vladimir Zelenskiy"))&gt;0,SUMPRODUCT((Data!$D$2:$D$2277=A79)*(Data!$E$2:$E$2277=C79)*(Data!$M$2:$M$2277="Vladimir Zelenskiy")*IF(ISNUMBER(Data!$W$2:$W$2277),Data!$W$2:$W$2277,0))/SUMPRODUCT((Data!$D$2:$D$2277=A79)*(Data!$E$2:$E$2277=C79)*(Data!$M$2:$M$2277="Vladimir Zelenskiy")),"")</f>
        <v>26</v>
      </c>
      <c r="E79" s="9" t="str">
        <f>IF(SUMPRODUCT((Data!$D$2:$D$2277=A79)*(Data!$E$2:$E$2277=C79)*(Data!$M$2:$M$2277="Valerii Zaluzhniy"))&gt;0,SUMPRODUCT((Data!$D$2:$D$2277=A79)*(Data!$E$2:$E$2277=C79)*(Data!$M$2:$M$2277="Valerii Zaluzhniy")*IF(ISNUMBER(Data!$W$2:$W$2277),Data!$W$2:$W$2277,0))/SUMPRODUCT((Data!$D$2:$D$2277=A79)*(Data!$E$2:$E$2277=C79)*(Data!$M$2:$M$2277="Valerii Zaluzhniy")),"")</f>
        <v/>
      </c>
      <c r="F79" s="9" t="str">
        <f>IF(SUMPRODUCT((Data!$D$2:$D$2277=A79)*(Data!$E$2:$E$2277=C79)*(Data!$M$2:$M$2277="Kyrylo Budanov"))&gt;0,SUMPRODUCT((Data!$D$2:$D$2277=A79)*(Data!$E$2:$E$2277=C79)*(Data!$M$2:$M$2277="Kyrylo Budanov")*IF(ISNUMBER(Data!$W$2:$W$2277),Data!$W$2:$W$2277,0))/SUMPRODUCT((Data!$D$2:$D$2277=A79)*(Data!$E$2:$E$2277=C79)*(Data!$M$2:$M$2277="Kyrylo Budanov")),"")</f>
        <v/>
      </c>
      <c r="G79" s="9">
        <f>IF(SUMPRODUCT((Data!$D$2:$D$2277=A79)*(Data!$E$2:$E$2277=C79)*(Data!$M$2:$M$2277="Pyotr Poroshenko"))&gt;0,SUMPRODUCT((Data!$D$2:$D$2277=A79)*(Data!$E$2:$E$2277=C79)*(Data!$M$2:$M$2277="Pyotr Poroshenko")*IF(ISNUMBER(Data!$W$2:$W$2277),Data!$W$2:$W$2277,0))/SUMPRODUCT((Data!$D$2:$D$2277=A79)*(Data!$E$2:$E$2277=C79)*(Data!$M$2:$M$2277="Pyotr Poroshenko")),"")</f>
        <v>24.2</v>
      </c>
      <c r="H79" s="10" t="str">
        <f t="array" ref="H79">IFERROR(INDEX(Avg!$F$2:$F$50,MATCH(DATE(YEAR(A79),MONTH(A79),1),Avg!$A$2:$A$50,0)),"")</f>
        <v/>
      </c>
      <c r="I79" s="10" t="str">
        <f t="array" ref="I79">IFERROR(INDEX(Avg!$G$2:$G$50,MATCH(DATE(YEAR(A79),MONTH(A79),1),Avg!$A$2:$A$50,0)),"")</f>
        <v/>
      </c>
      <c r="J79" s="10" t="str">
        <f t="array" ref="J79">IFERROR(INDEX(Avg!$H$2:$H$50,MATCH(DATE(YEAR(A79),MONTH(A79),1),Avg!$A$2:$A$50,0)),"")</f>
        <v/>
      </c>
      <c r="K79" s="10" t="str">
        <f t="array" ref="K79">IFERROR(INDEX(Avg!$I$2:$I$50,MATCH(DATE(YEAR(A79),MONTH(A79),1),Avg!$A$2:$A$50,0)),"")</f>
        <v/>
      </c>
      <c r="L79" s="11" t="str">
        <f t="array" ref="L79">IFERROR(INDEX(Avg!$L$2:$L$50,MATCH(DATE(YEAR(A79),MONTH(A79),1),Avg!$A$2:$A$50,0)),"")</f>
        <v/>
      </c>
      <c r="M79" s="11" t="str">
        <f t="array" ref="M79">IFERROR(INDEX(Avg!$M$2:$M$50,MATCH(DATE(YEAR(A79),MONTH(A79),1),Avg!$A$2:$A$50,0)),"")</f>
        <v/>
      </c>
      <c r="N79" s="11" t="str">
        <f t="array" ref="N79">IFERROR(INDEX(Avg!$N$2:$N$50,MATCH(DATE(YEAR(A79),MONTH(A79),1),Avg!$A$2:$A$50,0)),"")</f>
        <v/>
      </c>
      <c r="O79" s="11" t="str">
        <f t="array" ref="O79">IFERROR(INDEX(Avg!$O$2:$O$50,MATCH(DATE(YEAR(A79),MONTH(A79),1),Avg!$A$2:$A$50,0)),"")</f>
        <v/>
      </c>
    </row>
    <row r="80" ht="15.75" customHeight="1">
      <c r="A80" s="7" t="s">
        <v>142</v>
      </c>
      <c r="B80" s="7" t="s">
        <v>141</v>
      </c>
      <c r="C80" s="8" t="s">
        <v>72</v>
      </c>
      <c r="D80" s="9">
        <f>IF(SUMPRODUCT((Data!$D$2:$D$2277=A80)*(Data!$E$2:$E$2277=C80)*(Data!$M$2:$M$2277="Vladimir Zelenskiy"))&gt;0,SUMPRODUCT((Data!$D$2:$D$2277=A80)*(Data!$E$2:$E$2277=C80)*(Data!$M$2:$M$2277="Vladimir Zelenskiy")*IF(ISNUMBER(Data!$W$2:$W$2277),Data!$W$2:$W$2277,0))/SUMPRODUCT((Data!$D$2:$D$2277=A80)*(Data!$E$2:$E$2277=C80)*(Data!$M$2:$M$2277="Vladimir Zelenskiy")),"")</f>
        <v>23.5</v>
      </c>
      <c r="E80" s="9" t="str">
        <f>IF(SUMPRODUCT((Data!$D$2:$D$2277=A80)*(Data!$E$2:$E$2277=C80)*(Data!$M$2:$M$2277="Valerii Zaluzhniy"))&gt;0,SUMPRODUCT((Data!$D$2:$D$2277=A80)*(Data!$E$2:$E$2277=C80)*(Data!$M$2:$M$2277="Valerii Zaluzhniy")*IF(ISNUMBER(Data!$W$2:$W$2277),Data!$W$2:$W$2277,0))/SUMPRODUCT((Data!$D$2:$D$2277=A80)*(Data!$E$2:$E$2277=C80)*(Data!$M$2:$M$2277="Valerii Zaluzhniy")),"")</f>
        <v/>
      </c>
      <c r="F80" s="9" t="str">
        <f>IF(SUMPRODUCT((Data!$D$2:$D$2277=A80)*(Data!$E$2:$E$2277=C80)*(Data!$M$2:$M$2277="Kyrylo Budanov"))&gt;0,SUMPRODUCT((Data!$D$2:$D$2277=A80)*(Data!$E$2:$E$2277=C80)*(Data!$M$2:$M$2277="Kyrylo Budanov")*IF(ISNUMBER(Data!$W$2:$W$2277),Data!$W$2:$W$2277,0))/SUMPRODUCT((Data!$D$2:$D$2277=A80)*(Data!$E$2:$E$2277=C80)*(Data!$M$2:$M$2277="Kyrylo Budanov")),"")</f>
        <v/>
      </c>
      <c r="G80" s="9">
        <f>IF(SUMPRODUCT((Data!$D$2:$D$2277=A80)*(Data!$E$2:$E$2277=C80)*(Data!$M$2:$M$2277="Pyotr Poroshenko"))&gt;0,SUMPRODUCT((Data!$D$2:$D$2277=A80)*(Data!$E$2:$E$2277=C80)*(Data!$M$2:$M$2277="Pyotr Poroshenko")*IF(ISNUMBER(Data!$W$2:$W$2277),Data!$W$2:$W$2277,0))/SUMPRODUCT((Data!$D$2:$D$2277=A80)*(Data!$E$2:$E$2277=C80)*(Data!$M$2:$M$2277="Pyotr Poroshenko")),"")</f>
        <v>20.9</v>
      </c>
      <c r="H80" s="10" t="str">
        <f t="array" ref="H80">IFERROR(INDEX(Avg!$F$2:$F$50,MATCH(DATE(YEAR(A80),MONTH(A80),1),Avg!$A$2:$A$50,0)),"")</f>
        <v/>
      </c>
      <c r="I80" s="10" t="str">
        <f t="array" ref="I80">IFERROR(INDEX(Avg!$G$2:$G$50,MATCH(DATE(YEAR(A80),MONTH(A80),1),Avg!$A$2:$A$50,0)),"")</f>
        <v/>
      </c>
      <c r="J80" s="10" t="str">
        <f t="array" ref="J80">IFERROR(INDEX(Avg!$H$2:$H$50,MATCH(DATE(YEAR(A80),MONTH(A80),1),Avg!$A$2:$A$50,0)),"")</f>
        <v/>
      </c>
      <c r="K80" s="10" t="str">
        <f t="array" ref="K80">IFERROR(INDEX(Avg!$I$2:$I$50,MATCH(DATE(YEAR(A80),MONTH(A80),1),Avg!$A$2:$A$50,0)),"")</f>
        <v/>
      </c>
      <c r="L80" s="11" t="str">
        <f t="array" ref="L80">IFERROR(INDEX(Avg!$L$2:$L$50,MATCH(DATE(YEAR(A80),MONTH(A80),1),Avg!$A$2:$A$50,0)),"")</f>
        <v/>
      </c>
      <c r="M80" s="11" t="str">
        <f t="array" ref="M80">IFERROR(INDEX(Avg!$M$2:$M$50,MATCH(DATE(YEAR(A80),MONTH(A80),1),Avg!$A$2:$A$50,0)),"")</f>
        <v/>
      </c>
      <c r="N80" s="11" t="str">
        <f t="array" ref="N80">IFERROR(INDEX(Avg!$N$2:$N$50,MATCH(DATE(YEAR(A80),MONTH(A80),1),Avg!$A$2:$A$50,0)),"")</f>
        <v/>
      </c>
      <c r="O80" s="11" t="str">
        <f t="array" ref="O80">IFERROR(INDEX(Avg!$O$2:$O$50,MATCH(DATE(YEAR(A80),MONTH(A80),1),Avg!$A$2:$A$50,0)),"")</f>
        <v/>
      </c>
    </row>
    <row r="81" ht="15.75" customHeight="1">
      <c r="A81" s="7" t="s">
        <v>143</v>
      </c>
      <c r="B81" s="7" t="s">
        <v>144</v>
      </c>
      <c r="C81" s="8" t="s">
        <v>145</v>
      </c>
      <c r="D81" s="9">
        <f>IF(SUMPRODUCT((Data!$D$2:$D$2277=A81)*(Data!$E$2:$E$2277=C81)*(Data!$M$2:$M$2277="Vladimir Zelenskiy"))&gt;0,SUMPRODUCT((Data!$D$2:$D$2277=A81)*(Data!$E$2:$E$2277=C81)*(Data!$M$2:$M$2277="Vladimir Zelenskiy")*IF(ISNUMBER(Data!$W$2:$W$2277),Data!$W$2:$W$2277,0))/SUMPRODUCT((Data!$D$2:$D$2277=A81)*(Data!$E$2:$E$2277=C81)*(Data!$M$2:$M$2277="Vladimir Zelenskiy")),"")</f>
        <v>24.2</v>
      </c>
      <c r="E81" s="9" t="str">
        <f>IF(SUMPRODUCT((Data!$D$2:$D$2277=A81)*(Data!$E$2:$E$2277=C81)*(Data!$M$2:$M$2277="Valerii Zaluzhniy"))&gt;0,SUMPRODUCT((Data!$D$2:$D$2277=A81)*(Data!$E$2:$E$2277=C81)*(Data!$M$2:$M$2277="Valerii Zaluzhniy")*IF(ISNUMBER(Data!$W$2:$W$2277),Data!$W$2:$W$2277,0))/SUMPRODUCT((Data!$D$2:$D$2277=A81)*(Data!$E$2:$E$2277=C81)*(Data!$M$2:$M$2277="Valerii Zaluzhniy")),"")</f>
        <v/>
      </c>
      <c r="F81" s="9" t="str">
        <f>IF(SUMPRODUCT((Data!$D$2:$D$2277=A81)*(Data!$E$2:$E$2277=C81)*(Data!$M$2:$M$2277="Kyrylo Budanov"))&gt;0,SUMPRODUCT((Data!$D$2:$D$2277=A81)*(Data!$E$2:$E$2277=C81)*(Data!$M$2:$M$2277="Kyrylo Budanov")*IF(ISNUMBER(Data!$W$2:$W$2277),Data!$W$2:$W$2277,0))/SUMPRODUCT((Data!$D$2:$D$2277=A81)*(Data!$E$2:$E$2277=C81)*(Data!$M$2:$M$2277="Kyrylo Budanov")),"")</f>
        <v/>
      </c>
      <c r="G81" s="9">
        <f>IF(SUMPRODUCT((Data!$D$2:$D$2277=A81)*(Data!$E$2:$E$2277=C81)*(Data!$M$2:$M$2277="Pyotr Poroshenko"))&gt;0,SUMPRODUCT((Data!$D$2:$D$2277=A81)*(Data!$E$2:$E$2277=C81)*(Data!$M$2:$M$2277="Pyotr Poroshenko")*IF(ISNUMBER(Data!$W$2:$W$2277),Data!$W$2:$W$2277,0))/SUMPRODUCT((Data!$D$2:$D$2277=A81)*(Data!$E$2:$E$2277=C81)*(Data!$M$2:$M$2277="Pyotr Poroshenko")),"")</f>
        <v>16.1</v>
      </c>
      <c r="H81" s="10" t="str">
        <f t="array" ref="H81">IFERROR(INDEX(Avg!$F$2:$F$50,MATCH(DATE(YEAR(A81),MONTH(A81),1),Avg!$A$2:$A$50,0)),"")</f>
        <v/>
      </c>
      <c r="I81" s="10" t="str">
        <f t="array" ref="I81">IFERROR(INDEX(Avg!$G$2:$G$50,MATCH(DATE(YEAR(A81),MONTH(A81),1),Avg!$A$2:$A$50,0)),"")</f>
        <v/>
      </c>
      <c r="J81" s="10" t="str">
        <f t="array" ref="J81">IFERROR(INDEX(Avg!$H$2:$H$50,MATCH(DATE(YEAR(A81),MONTH(A81),1),Avg!$A$2:$A$50,0)),"")</f>
        <v/>
      </c>
      <c r="K81" s="10" t="str">
        <f t="array" ref="K81">IFERROR(INDEX(Avg!$I$2:$I$50,MATCH(DATE(YEAR(A81),MONTH(A81),1),Avg!$A$2:$A$50,0)),"")</f>
        <v/>
      </c>
      <c r="L81" s="11" t="str">
        <f t="array" ref="L81">IFERROR(INDEX(Avg!$L$2:$L$50,MATCH(DATE(YEAR(A81),MONTH(A81),1),Avg!$A$2:$A$50,0)),"")</f>
        <v/>
      </c>
      <c r="M81" s="11" t="str">
        <f t="array" ref="M81">IFERROR(INDEX(Avg!$M$2:$M$50,MATCH(DATE(YEAR(A81),MONTH(A81),1),Avg!$A$2:$A$50,0)),"")</f>
        <v/>
      </c>
      <c r="N81" s="11" t="str">
        <f t="array" ref="N81">IFERROR(INDEX(Avg!$N$2:$N$50,MATCH(DATE(YEAR(A81),MONTH(A81),1),Avg!$A$2:$A$50,0)),"")</f>
        <v/>
      </c>
      <c r="O81" s="11" t="str">
        <f t="array" ref="O81">IFERROR(INDEX(Avg!$O$2:$O$50,MATCH(DATE(YEAR(A81),MONTH(A81),1),Avg!$A$2:$A$50,0)),"")</f>
        <v/>
      </c>
    </row>
    <row r="82" ht="15.75" customHeight="1">
      <c r="A82" s="7" t="s">
        <v>146</v>
      </c>
      <c r="B82" s="7" t="s">
        <v>144</v>
      </c>
      <c r="C82" s="8" t="s">
        <v>61</v>
      </c>
      <c r="D82" s="9">
        <f>IF(SUMPRODUCT((Data!$D$2:$D$2277=A82)*(Data!$E$2:$E$2277=C82)*(Data!$M$2:$M$2277="Vladimir Zelenskiy"))&gt;0,SUMPRODUCT((Data!$D$2:$D$2277=A82)*(Data!$E$2:$E$2277=C82)*(Data!$M$2:$M$2277="Vladimir Zelenskiy")*IF(ISNUMBER(Data!$W$2:$W$2277),Data!$W$2:$W$2277,0))/SUMPRODUCT((Data!$D$2:$D$2277=A82)*(Data!$E$2:$E$2277=C82)*(Data!$M$2:$M$2277="Vladimir Zelenskiy")),"")</f>
        <v>26.36</v>
      </c>
      <c r="E82" s="9" t="str">
        <f>IF(SUMPRODUCT((Data!$D$2:$D$2277=A82)*(Data!$E$2:$E$2277=C82)*(Data!$M$2:$M$2277="Valerii Zaluzhniy"))&gt;0,SUMPRODUCT((Data!$D$2:$D$2277=A82)*(Data!$E$2:$E$2277=C82)*(Data!$M$2:$M$2277="Valerii Zaluzhniy")*IF(ISNUMBER(Data!$W$2:$W$2277),Data!$W$2:$W$2277,0))/SUMPRODUCT((Data!$D$2:$D$2277=A82)*(Data!$E$2:$E$2277=C82)*(Data!$M$2:$M$2277="Valerii Zaluzhniy")),"")</f>
        <v/>
      </c>
      <c r="F82" s="9" t="str">
        <f>IF(SUMPRODUCT((Data!$D$2:$D$2277=A82)*(Data!$E$2:$E$2277=C82)*(Data!$M$2:$M$2277="Kyrylo Budanov"))&gt;0,SUMPRODUCT((Data!$D$2:$D$2277=A82)*(Data!$E$2:$E$2277=C82)*(Data!$M$2:$M$2277="Kyrylo Budanov")*IF(ISNUMBER(Data!$W$2:$W$2277),Data!$W$2:$W$2277,0))/SUMPRODUCT((Data!$D$2:$D$2277=A82)*(Data!$E$2:$E$2277=C82)*(Data!$M$2:$M$2277="Kyrylo Budanov")),"")</f>
        <v/>
      </c>
      <c r="G82" s="9">
        <f>IF(SUMPRODUCT((Data!$D$2:$D$2277=A82)*(Data!$E$2:$E$2277=C82)*(Data!$M$2:$M$2277="Pyotr Poroshenko"))&gt;0,SUMPRODUCT((Data!$D$2:$D$2277=A82)*(Data!$E$2:$E$2277=C82)*(Data!$M$2:$M$2277="Pyotr Poroshenko")*IF(ISNUMBER(Data!$W$2:$W$2277),Data!$W$2:$W$2277,0))/SUMPRODUCT((Data!$D$2:$D$2277=A82)*(Data!$E$2:$E$2277=C82)*(Data!$M$2:$M$2277="Pyotr Poroshenko")),"")</f>
        <v>18.63</v>
      </c>
      <c r="H82" s="10" t="str">
        <f t="array" ref="H82">IFERROR(INDEX(Avg!$F$2:$F$50,MATCH(DATE(YEAR(A82),MONTH(A82),1),Avg!$A$2:$A$50,0)),"")</f>
        <v/>
      </c>
      <c r="I82" s="10" t="str">
        <f t="array" ref="I82">IFERROR(INDEX(Avg!$G$2:$G$50,MATCH(DATE(YEAR(A82),MONTH(A82),1),Avg!$A$2:$A$50,0)),"")</f>
        <v/>
      </c>
      <c r="J82" s="10" t="str">
        <f t="array" ref="J82">IFERROR(INDEX(Avg!$H$2:$H$50,MATCH(DATE(YEAR(A82),MONTH(A82),1),Avg!$A$2:$A$50,0)),"")</f>
        <v/>
      </c>
      <c r="K82" s="10" t="str">
        <f t="array" ref="K82">IFERROR(INDEX(Avg!$I$2:$I$50,MATCH(DATE(YEAR(A82),MONTH(A82),1),Avg!$A$2:$A$50,0)),"")</f>
        <v/>
      </c>
      <c r="L82" s="11" t="str">
        <f t="array" ref="L82">IFERROR(INDEX(Avg!$L$2:$L$50,MATCH(DATE(YEAR(A82),MONTH(A82),1),Avg!$A$2:$A$50,0)),"")</f>
        <v/>
      </c>
      <c r="M82" s="11" t="str">
        <f t="array" ref="M82">IFERROR(INDEX(Avg!$M$2:$M$50,MATCH(DATE(YEAR(A82),MONTH(A82),1),Avg!$A$2:$A$50,0)),"")</f>
        <v/>
      </c>
      <c r="N82" s="11" t="str">
        <f t="array" ref="N82">IFERROR(INDEX(Avg!$N$2:$N$50,MATCH(DATE(YEAR(A82),MONTH(A82),1),Avg!$A$2:$A$50,0)),"")</f>
        <v/>
      </c>
      <c r="O82" s="11" t="str">
        <f t="array" ref="O82">IFERROR(INDEX(Avg!$O$2:$O$50,MATCH(DATE(YEAR(A82),MONTH(A82),1),Avg!$A$2:$A$50,0)),"")</f>
        <v/>
      </c>
    </row>
    <row r="83" ht="15.75" customHeight="1">
      <c r="A83" s="7" t="s">
        <v>147</v>
      </c>
      <c r="B83" s="7" t="s">
        <v>144</v>
      </c>
      <c r="C83" s="8" t="s">
        <v>40</v>
      </c>
      <c r="D83" s="9">
        <f>IF(SUMPRODUCT((Data!$D$2:$D$2277=A83)*(Data!$E$2:$E$2277=C83)*(Data!$M$2:$M$2277="Vladimir Zelenskiy"))&gt;0,SUMPRODUCT((Data!$D$2:$D$2277=A83)*(Data!$E$2:$E$2277=C83)*(Data!$M$2:$M$2277="Vladimir Zelenskiy")*IF(ISNUMBER(Data!$W$2:$W$2277),Data!$W$2:$W$2277,0))/SUMPRODUCT((Data!$D$2:$D$2277=A83)*(Data!$E$2:$E$2277=C83)*(Data!$M$2:$M$2277="Vladimir Zelenskiy")),"")</f>
        <v>24.2</v>
      </c>
      <c r="E83" s="9" t="str">
        <f>IF(SUMPRODUCT((Data!$D$2:$D$2277=A83)*(Data!$E$2:$E$2277=C83)*(Data!$M$2:$M$2277="Valerii Zaluzhniy"))&gt;0,SUMPRODUCT((Data!$D$2:$D$2277=A83)*(Data!$E$2:$E$2277=C83)*(Data!$M$2:$M$2277="Valerii Zaluzhniy")*IF(ISNUMBER(Data!$W$2:$W$2277),Data!$W$2:$W$2277,0))/SUMPRODUCT((Data!$D$2:$D$2277=A83)*(Data!$E$2:$E$2277=C83)*(Data!$M$2:$M$2277="Valerii Zaluzhniy")),"")</f>
        <v/>
      </c>
      <c r="F83" s="9" t="str">
        <f>IF(SUMPRODUCT((Data!$D$2:$D$2277=A83)*(Data!$E$2:$E$2277=C83)*(Data!$M$2:$M$2277="Kyrylo Budanov"))&gt;0,SUMPRODUCT((Data!$D$2:$D$2277=A83)*(Data!$E$2:$E$2277=C83)*(Data!$M$2:$M$2277="Kyrylo Budanov")*IF(ISNUMBER(Data!$W$2:$W$2277),Data!$W$2:$W$2277,0))/SUMPRODUCT((Data!$D$2:$D$2277=A83)*(Data!$E$2:$E$2277=C83)*(Data!$M$2:$M$2277="Kyrylo Budanov")),"")</f>
        <v/>
      </c>
      <c r="G83" s="9">
        <f>IF(SUMPRODUCT((Data!$D$2:$D$2277=A83)*(Data!$E$2:$E$2277=C83)*(Data!$M$2:$M$2277="Pyotr Poroshenko"))&gt;0,SUMPRODUCT((Data!$D$2:$D$2277=A83)*(Data!$E$2:$E$2277=C83)*(Data!$M$2:$M$2277="Pyotr Poroshenko")*IF(ISNUMBER(Data!$W$2:$W$2277),Data!$W$2:$W$2277,0))/SUMPRODUCT((Data!$D$2:$D$2277=A83)*(Data!$E$2:$E$2277=C83)*(Data!$M$2:$M$2277="Pyotr Poroshenko")),"")</f>
        <v>13.7</v>
      </c>
      <c r="H83" s="10" t="str">
        <f t="array" ref="H83">IFERROR(INDEX(Avg!$F$2:$F$50,MATCH(DATE(YEAR(A83),MONTH(A83),1),Avg!$A$2:$A$50,0)),"")</f>
        <v/>
      </c>
      <c r="I83" s="10" t="str">
        <f t="array" ref="I83">IFERROR(INDEX(Avg!$G$2:$G$50,MATCH(DATE(YEAR(A83),MONTH(A83),1),Avg!$A$2:$A$50,0)),"")</f>
        <v/>
      </c>
      <c r="J83" s="10" t="str">
        <f t="array" ref="J83">IFERROR(INDEX(Avg!$H$2:$H$50,MATCH(DATE(YEAR(A83),MONTH(A83),1),Avg!$A$2:$A$50,0)),"")</f>
        <v/>
      </c>
      <c r="K83" s="10" t="str">
        <f t="array" ref="K83">IFERROR(INDEX(Avg!$I$2:$I$50,MATCH(DATE(YEAR(A83),MONTH(A83),1),Avg!$A$2:$A$50,0)),"")</f>
        <v/>
      </c>
      <c r="L83" s="11" t="str">
        <f t="array" ref="L83">IFERROR(INDEX(Avg!$L$2:$L$50,MATCH(DATE(YEAR(A83),MONTH(A83),1),Avg!$A$2:$A$50,0)),"")</f>
        <v/>
      </c>
      <c r="M83" s="11" t="str">
        <f t="array" ref="M83">IFERROR(INDEX(Avg!$M$2:$M$50,MATCH(DATE(YEAR(A83),MONTH(A83),1),Avg!$A$2:$A$50,0)),"")</f>
        <v/>
      </c>
      <c r="N83" s="11" t="str">
        <f t="array" ref="N83">IFERROR(INDEX(Avg!$N$2:$N$50,MATCH(DATE(YEAR(A83),MONTH(A83),1),Avg!$A$2:$A$50,0)),"")</f>
        <v/>
      </c>
      <c r="O83" s="11" t="str">
        <f t="array" ref="O83">IFERROR(INDEX(Avg!$O$2:$O$50,MATCH(DATE(YEAR(A83),MONTH(A83),1),Avg!$A$2:$A$50,0)),"")</f>
        <v/>
      </c>
    </row>
    <row r="84" ht="15.75" customHeight="1">
      <c r="A84" s="7" t="s">
        <v>148</v>
      </c>
      <c r="B84" s="7" t="s">
        <v>144</v>
      </c>
      <c r="C84" s="8" t="s">
        <v>72</v>
      </c>
      <c r="D84" s="9">
        <f>IF(SUMPRODUCT((Data!$D$2:$D$2277=A84)*(Data!$E$2:$E$2277=C84)*(Data!$M$2:$M$2277="Vladimir Zelenskiy"))&gt;0,SUMPRODUCT((Data!$D$2:$D$2277=A84)*(Data!$E$2:$E$2277=C84)*(Data!$M$2:$M$2277="Vladimir Zelenskiy")*IF(ISNUMBER(Data!$W$2:$W$2277),Data!$W$2:$W$2277,0))/SUMPRODUCT((Data!$D$2:$D$2277=A84)*(Data!$E$2:$E$2277=C84)*(Data!$M$2:$M$2277="Vladimir Zelenskiy")),"")</f>
        <v>27.6</v>
      </c>
      <c r="E84" s="9" t="str">
        <f>IF(SUMPRODUCT((Data!$D$2:$D$2277=A84)*(Data!$E$2:$E$2277=C84)*(Data!$M$2:$M$2277="Valerii Zaluzhniy"))&gt;0,SUMPRODUCT((Data!$D$2:$D$2277=A84)*(Data!$E$2:$E$2277=C84)*(Data!$M$2:$M$2277="Valerii Zaluzhniy")*IF(ISNUMBER(Data!$W$2:$W$2277),Data!$W$2:$W$2277,0))/SUMPRODUCT((Data!$D$2:$D$2277=A84)*(Data!$E$2:$E$2277=C84)*(Data!$M$2:$M$2277="Valerii Zaluzhniy")),"")</f>
        <v/>
      </c>
      <c r="F84" s="9" t="str">
        <f>IF(SUMPRODUCT((Data!$D$2:$D$2277=A84)*(Data!$E$2:$E$2277=C84)*(Data!$M$2:$M$2277="Kyrylo Budanov"))&gt;0,SUMPRODUCT((Data!$D$2:$D$2277=A84)*(Data!$E$2:$E$2277=C84)*(Data!$M$2:$M$2277="Kyrylo Budanov")*IF(ISNUMBER(Data!$W$2:$W$2277),Data!$W$2:$W$2277,0))/SUMPRODUCT((Data!$D$2:$D$2277=A84)*(Data!$E$2:$E$2277=C84)*(Data!$M$2:$M$2277="Kyrylo Budanov")),"")</f>
        <v/>
      </c>
      <c r="G84" s="9">
        <f>IF(SUMPRODUCT((Data!$D$2:$D$2277=A84)*(Data!$E$2:$E$2277=C84)*(Data!$M$2:$M$2277="Pyotr Poroshenko"))&gt;0,SUMPRODUCT((Data!$D$2:$D$2277=A84)*(Data!$E$2:$E$2277=C84)*(Data!$M$2:$M$2277="Pyotr Poroshenko")*IF(ISNUMBER(Data!$W$2:$W$2277),Data!$W$2:$W$2277,0))/SUMPRODUCT((Data!$D$2:$D$2277=A84)*(Data!$E$2:$E$2277=C84)*(Data!$M$2:$M$2277="Pyotr Poroshenko")),"")</f>
        <v>16</v>
      </c>
      <c r="H84" s="10" t="str">
        <f t="array" ref="H84">IFERROR(INDEX(Avg!$F$2:$F$50,MATCH(DATE(YEAR(A84),MONTH(A84),1),Avg!$A$2:$A$50,0)),"")</f>
        <v/>
      </c>
      <c r="I84" s="10" t="str">
        <f t="array" ref="I84">IFERROR(INDEX(Avg!$G$2:$G$50,MATCH(DATE(YEAR(A84),MONTH(A84),1),Avg!$A$2:$A$50,0)),"")</f>
        <v/>
      </c>
      <c r="J84" s="10" t="str">
        <f t="array" ref="J84">IFERROR(INDEX(Avg!$H$2:$H$50,MATCH(DATE(YEAR(A84),MONTH(A84),1),Avg!$A$2:$A$50,0)),"")</f>
        <v/>
      </c>
      <c r="K84" s="10" t="str">
        <f t="array" ref="K84">IFERROR(INDEX(Avg!$I$2:$I$50,MATCH(DATE(YEAR(A84),MONTH(A84),1),Avg!$A$2:$A$50,0)),"")</f>
        <v/>
      </c>
      <c r="L84" s="11" t="str">
        <f t="array" ref="L84">IFERROR(INDEX(Avg!$L$2:$L$50,MATCH(DATE(YEAR(A84),MONTH(A84),1),Avg!$A$2:$A$50,0)),"")</f>
        <v/>
      </c>
      <c r="M84" s="11" t="str">
        <f t="array" ref="M84">IFERROR(INDEX(Avg!$M$2:$M$50,MATCH(DATE(YEAR(A84),MONTH(A84),1),Avg!$A$2:$A$50,0)),"")</f>
        <v/>
      </c>
      <c r="N84" s="11" t="str">
        <f t="array" ref="N84">IFERROR(INDEX(Avg!$N$2:$N$50,MATCH(DATE(YEAR(A84),MONTH(A84),1),Avg!$A$2:$A$50,0)),"")</f>
        <v/>
      </c>
      <c r="O84" s="11" t="str">
        <f t="array" ref="O84">IFERROR(INDEX(Avg!$O$2:$O$50,MATCH(DATE(YEAR(A84),MONTH(A84),1),Avg!$A$2:$A$50,0)),"")</f>
        <v/>
      </c>
    </row>
    <row r="85" ht="15.75" customHeight="1">
      <c r="A85" s="7" t="s">
        <v>148</v>
      </c>
      <c r="B85" s="7" t="s">
        <v>144</v>
      </c>
      <c r="C85" s="8" t="s">
        <v>17</v>
      </c>
      <c r="D85" s="9">
        <f>IF(SUMPRODUCT((Data!$D$2:$D$2277=A85)*(Data!$E$2:$E$2277=C85)*(Data!$M$2:$M$2277="Vladimir Zelenskiy"))&gt;0,SUMPRODUCT((Data!$D$2:$D$2277=A85)*(Data!$E$2:$E$2277=C85)*(Data!$M$2:$M$2277="Vladimir Zelenskiy")*IF(ISNUMBER(Data!$W$2:$W$2277),Data!$W$2:$W$2277,0))/SUMPRODUCT((Data!$D$2:$D$2277=A85)*(Data!$E$2:$E$2277=C85)*(Data!$M$2:$M$2277="Vladimir Zelenskiy")),"")</f>
        <v>17.57894737</v>
      </c>
      <c r="E85" s="9" t="str">
        <f>IF(SUMPRODUCT((Data!$D$2:$D$2277=A85)*(Data!$E$2:$E$2277=C85)*(Data!$M$2:$M$2277="Valerii Zaluzhniy"))&gt;0,SUMPRODUCT((Data!$D$2:$D$2277=A85)*(Data!$E$2:$E$2277=C85)*(Data!$M$2:$M$2277="Valerii Zaluzhniy")*IF(ISNUMBER(Data!$W$2:$W$2277),Data!$W$2:$W$2277,0))/SUMPRODUCT((Data!$D$2:$D$2277=A85)*(Data!$E$2:$E$2277=C85)*(Data!$M$2:$M$2277="Valerii Zaluzhniy")),"")</f>
        <v/>
      </c>
      <c r="F85" s="9" t="str">
        <f>IF(SUMPRODUCT((Data!$D$2:$D$2277=A85)*(Data!$E$2:$E$2277=C85)*(Data!$M$2:$M$2277="Kyrylo Budanov"))&gt;0,SUMPRODUCT((Data!$D$2:$D$2277=A85)*(Data!$E$2:$E$2277=C85)*(Data!$M$2:$M$2277="Kyrylo Budanov")*IF(ISNUMBER(Data!$W$2:$W$2277),Data!$W$2:$W$2277,0))/SUMPRODUCT((Data!$D$2:$D$2277=A85)*(Data!$E$2:$E$2277=C85)*(Data!$M$2:$M$2277="Kyrylo Budanov")),"")</f>
        <v/>
      </c>
      <c r="G85" s="9">
        <f>IF(SUMPRODUCT((Data!$D$2:$D$2277=A85)*(Data!$E$2:$E$2277=C85)*(Data!$M$2:$M$2277="Pyotr Poroshenko"))&gt;0,SUMPRODUCT((Data!$D$2:$D$2277=A85)*(Data!$E$2:$E$2277=C85)*(Data!$M$2:$M$2277="Pyotr Poroshenko")*IF(ISNUMBER(Data!$W$2:$W$2277),Data!$W$2:$W$2277,0))/SUMPRODUCT((Data!$D$2:$D$2277=A85)*(Data!$E$2:$E$2277=C85)*(Data!$M$2:$M$2277="Pyotr Poroshenko")),"")</f>
        <v>12.94736842</v>
      </c>
      <c r="H85" s="10" t="str">
        <f t="array" ref="H85">IFERROR(INDEX(Avg!$F$2:$F$50,MATCH(DATE(YEAR(A85),MONTH(A85),1),Avg!$A$2:$A$50,0)),"")</f>
        <v/>
      </c>
      <c r="I85" s="10" t="str">
        <f t="array" ref="I85">IFERROR(INDEX(Avg!$G$2:$G$50,MATCH(DATE(YEAR(A85),MONTH(A85),1),Avg!$A$2:$A$50,0)),"")</f>
        <v/>
      </c>
      <c r="J85" s="10" t="str">
        <f t="array" ref="J85">IFERROR(INDEX(Avg!$H$2:$H$50,MATCH(DATE(YEAR(A85),MONTH(A85),1),Avg!$A$2:$A$50,0)),"")</f>
        <v/>
      </c>
      <c r="K85" s="10" t="str">
        <f t="array" ref="K85">IFERROR(INDEX(Avg!$I$2:$I$50,MATCH(DATE(YEAR(A85),MONTH(A85),1),Avg!$A$2:$A$50,0)),"")</f>
        <v/>
      </c>
      <c r="L85" s="11" t="str">
        <f t="array" ref="L85">IFERROR(INDEX(Avg!$L$2:$L$50,MATCH(DATE(YEAR(A85),MONTH(A85),1),Avg!$A$2:$A$50,0)),"")</f>
        <v/>
      </c>
      <c r="M85" s="11" t="str">
        <f t="array" ref="M85">IFERROR(INDEX(Avg!$M$2:$M$50,MATCH(DATE(YEAR(A85),MONTH(A85),1),Avg!$A$2:$A$50,0)),"")</f>
        <v/>
      </c>
      <c r="N85" s="11" t="str">
        <f t="array" ref="N85">IFERROR(INDEX(Avg!$N$2:$N$50,MATCH(DATE(YEAR(A85),MONTH(A85),1),Avg!$A$2:$A$50,0)),"")</f>
        <v/>
      </c>
      <c r="O85" s="11" t="str">
        <f t="array" ref="O85">IFERROR(INDEX(Avg!$O$2:$O$50,MATCH(DATE(YEAR(A85),MONTH(A85),1),Avg!$A$2:$A$50,0)),"")</f>
        <v/>
      </c>
    </row>
    <row r="86" ht="15.75" customHeight="1">
      <c r="A86" s="7" t="s">
        <v>149</v>
      </c>
      <c r="B86" s="7" t="s">
        <v>144</v>
      </c>
      <c r="C86" s="8" t="s">
        <v>150</v>
      </c>
      <c r="D86" s="9">
        <f>IF(SUMPRODUCT((Data!$D$2:$D$2277=A86)*(Data!$E$2:$E$2277=C86)*(Data!$M$2:$M$2277="Vladimir Zelenskiy"))&gt;0,SUMPRODUCT((Data!$D$2:$D$2277=A86)*(Data!$E$2:$E$2277=C86)*(Data!$M$2:$M$2277="Vladimir Zelenskiy")*IF(ISNUMBER(Data!$W$2:$W$2277),Data!$W$2:$W$2277,0))/SUMPRODUCT((Data!$D$2:$D$2277=A86)*(Data!$E$2:$E$2277=C86)*(Data!$M$2:$M$2277="Vladimir Zelenskiy")),"")</f>
        <v>21</v>
      </c>
      <c r="E86" s="9" t="str">
        <f>IF(SUMPRODUCT((Data!$D$2:$D$2277=A86)*(Data!$E$2:$E$2277=C86)*(Data!$M$2:$M$2277="Valerii Zaluzhniy"))&gt;0,SUMPRODUCT((Data!$D$2:$D$2277=A86)*(Data!$E$2:$E$2277=C86)*(Data!$M$2:$M$2277="Valerii Zaluzhniy")*IF(ISNUMBER(Data!$W$2:$W$2277),Data!$W$2:$W$2277,0))/SUMPRODUCT((Data!$D$2:$D$2277=A86)*(Data!$E$2:$E$2277=C86)*(Data!$M$2:$M$2277="Valerii Zaluzhniy")),"")</f>
        <v/>
      </c>
      <c r="F86" s="9" t="str">
        <f>IF(SUMPRODUCT((Data!$D$2:$D$2277=A86)*(Data!$E$2:$E$2277=C86)*(Data!$M$2:$M$2277="Kyrylo Budanov"))&gt;0,SUMPRODUCT((Data!$D$2:$D$2277=A86)*(Data!$E$2:$E$2277=C86)*(Data!$M$2:$M$2277="Kyrylo Budanov")*IF(ISNUMBER(Data!$W$2:$W$2277),Data!$W$2:$W$2277,0))/SUMPRODUCT((Data!$D$2:$D$2277=A86)*(Data!$E$2:$E$2277=C86)*(Data!$M$2:$M$2277="Kyrylo Budanov")),"")</f>
        <v/>
      </c>
      <c r="G86" s="9">
        <f>IF(SUMPRODUCT((Data!$D$2:$D$2277=A86)*(Data!$E$2:$E$2277=C86)*(Data!$M$2:$M$2277="Pyotr Poroshenko"))&gt;0,SUMPRODUCT((Data!$D$2:$D$2277=A86)*(Data!$E$2:$E$2277=C86)*(Data!$M$2:$M$2277="Pyotr Poroshenko")*IF(ISNUMBER(Data!$W$2:$W$2277),Data!$W$2:$W$2277,0))/SUMPRODUCT((Data!$D$2:$D$2277=A86)*(Data!$E$2:$E$2277=C86)*(Data!$M$2:$M$2277="Pyotr Poroshenko")),"")</f>
        <v>15.3</v>
      </c>
      <c r="H86" s="10" t="str">
        <f t="array" ref="H86">IFERROR(INDEX(Avg!$F$2:$F$50,MATCH(DATE(YEAR(A86),MONTH(A86),1),Avg!$A$2:$A$50,0)),"")</f>
        <v/>
      </c>
      <c r="I86" s="10" t="str">
        <f t="array" ref="I86">IFERROR(INDEX(Avg!$G$2:$G$50,MATCH(DATE(YEAR(A86),MONTH(A86),1),Avg!$A$2:$A$50,0)),"")</f>
        <v/>
      </c>
      <c r="J86" s="10" t="str">
        <f t="array" ref="J86">IFERROR(INDEX(Avg!$H$2:$H$50,MATCH(DATE(YEAR(A86),MONTH(A86),1),Avg!$A$2:$A$50,0)),"")</f>
        <v/>
      </c>
      <c r="K86" s="10" t="str">
        <f t="array" ref="K86">IFERROR(INDEX(Avg!$I$2:$I$50,MATCH(DATE(YEAR(A86),MONTH(A86),1),Avg!$A$2:$A$50,0)),"")</f>
        <v/>
      </c>
      <c r="L86" s="11" t="str">
        <f t="array" ref="L86">IFERROR(INDEX(Avg!$L$2:$L$50,MATCH(DATE(YEAR(A86),MONTH(A86),1),Avg!$A$2:$A$50,0)),"")</f>
        <v/>
      </c>
      <c r="M86" s="11" t="str">
        <f t="array" ref="M86">IFERROR(INDEX(Avg!$M$2:$M$50,MATCH(DATE(YEAR(A86),MONTH(A86),1),Avg!$A$2:$A$50,0)),"")</f>
        <v/>
      </c>
      <c r="N86" s="11" t="str">
        <f t="array" ref="N86">IFERROR(INDEX(Avg!$N$2:$N$50,MATCH(DATE(YEAR(A86),MONTH(A86),1),Avg!$A$2:$A$50,0)),"")</f>
        <v/>
      </c>
      <c r="O86" s="11" t="str">
        <f t="array" ref="O86">IFERROR(INDEX(Avg!$O$2:$O$50,MATCH(DATE(YEAR(A86),MONTH(A86),1),Avg!$A$2:$A$50,0)),"")</f>
        <v/>
      </c>
    </row>
    <row r="87" ht="15.75" customHeight="1">
      <c r="A87" s="7" t="s">
        <v>151</v>
      </c>
      <c r="B87" s="7" t="s">
        <v>144</v>
      </c>
      <c r="C87" s="8" t="s">
        <v>57</v>
      </c>
      <c r="D87" s="9">
        <f>IF(SUMPRODUCT((Data!$D$2:$D$2277=A87)*(Data!$E$2:$E$2277=C87)*(Data!$M$2:$M$2277="Vladimir Zelenskiy"))&gt;0,SUMPRODUCT((Data!$D$2:$D$2277=A87)*(Data!$E$2:$E$2277=C87)*(Data!$M$2:$M$2277="Vladimir Zelenskiy")*IF(ISNUMBER(Data!$W$2:$W$2277),Data!$W$2:$W$2277,0))/SUMPRODUCT((Data!$D$2:$D$2277=A87)*(Data!$E$2:$E$2277=C87)*(Data!$M$2:$M$2277="Vladimir Zelenskiy")),"")</f>
        <v>30</v>
      </c>
      <c r="E87" s="9" t="str">
        <f>IF(SUMPRODUCT((Data!$D$2:$D$2277=A87)*(Data!$E$2:$E$2277=C87)*(Data!$M$2:$M$2277="Valerii Zaluzhniy"))&gt;0,SUMPRODUCT((Data!$D$2:$D$2277=A87)*(Data!$E$2:$E$2277=C87)*(Data!$M$2:$M$2277="Valerii Zaluzhniy")*IF(ISNUMBER(Data!$W$2:$W$2277),Data!$W$2:$W$2277,0))/SUMPRODUCT((Data!$D$2:$D$2277=A87)*(Data!$E$2:$E$2277=C87)*(Data!$M$2:$M$2277="Valerii Zaluzhniy")),"")</f>
        <v/>
      </c>
      <c r="F87" s="9" t="str">
        <f>IF(SUMPRODUCT((Data!$D$2:$D$2277=A87)*(Data!$E$2:$E$2277=C87)*(Data!$M$2:$M$2277="Kyrylo Budanov"))&gt;0,SUMPRODUCT((Data!$D$2:$D$2277=A87)*(Data!$E$2:$E$2277=C87)*(Data!$M$2:$M$2277="Kyrylo Budanov")*IF(ISNUMBER(Data!$W$2:$W$2277),Data!$W$2:$W$2277,0))/SUMPRODUCT((Data!$D$2:$D$2277=A87)*(Data!$E$2:$E$2277=C87)*(Data!$M$2:$M$2277="Kyrylo Budanov")),"")</f>
        <v/>
      </c>
      <c r="G87" s="9">
        <f>IF(SUMPRODUCT((Data!$D$2:$D$2277=A87)*(Data!$E$2:$E$2277=C87)*(Data!$M$2:$M$2277="Pyotr Poroshenko"))&gt;0,SUMPRODUCT((Data!$D$2:$D$2277=A87)*(Data!$E$2:$E$2277=C87)*(Data!$M$2:$M$2277="Pyotr Poroshenko")*IF(ISNUMBER(Data!$W$2:$W$2277),Data!$W$2:$W$2277,0))/SUMPRODUCT((Data!$D$2:$D$2277=A87)*(Data!$E$2:$E$2277=C87)*(Data!$M$2:$M$2277="Pyotr Poroshenko")),"")</f>
        <v>22</v>
      </c>
      <c r="H87" s="10" t="str">
        <f t="array" ref="H87">IFERROR(INDEX(Avg!$F$2:$F$50,MATCH(DATE(YEAR(A87),MONTH(A87),1),Avg!$A$2:$A$50,0)),"")</f>
        <v/>
      </c>
      <c r="I87" s="10" t="str">
        <f t="array" ref="I87">IFERROR(INDEX(Avg!$G$2:$G$50,MATCH(DATE(YEAR(A87),MONTH(A87),1),Avg!$A$2:$A$50,0)),"")</f>
        <v/>
      </c>
      <c r="J87" s="10" t="str">
        <f t="array" ref="J87">IFERROR(INDEX(Avg!$H$2:$H$50,MATCH(DATE(YEAR(A87),MONTH(A87),1),Avg!$A$2:$A$50,0)),"")</f>
        <v/>
      </c>
      <c r="K87" s="10" t="str">
        <f t="array" ref="K87">IFERROR(INDEX(Avg!$I$2:$I$50,MATCH(DATE(YEAR(A87),MONTH(A87),1),Avg!$A$2:$A$50,0)),"")</f>
        <v/>
      </c>
      <c r="L87" s="11" t="str">
        <f t="array" ref="L87">IFERROR(INDEX(Avg!$L$2:$L$50,MATCH(DATE(YEAR(A87),MONTH(A87),1),Avg!$A$2:$A$50,0)),"")</f>
        <v/>
      </c>
      <c r="M87" s="11" t="str">
        <f t="array" ref="M87">IFERROR(INDEX(Avg!$M$2:$M$50,MATCH(DATE(YEAR(A87),MONTH(A87),1),Avg!$A$2:$A$50,0)),"")</f>
        <v/>
      </c>
      <c r="N87" s="11" t="str">
        <f t="array" ref="N87">IFERROR(INDEX(Avg!$N$2:$N$50,MATCH(DATE(YEAR(A87),MONTH(A87),1),Avg!$A$2:$A$50,0)),"")</f>
        <v/>
      </c>
      <c r="O87" s="11" t="str">
        <f t="array" ref="O87">IFERROR(INDEX(Avg!$O$2:$O$50,MATCH(DATE(YEAR(A87),MONTH(A87),1),Avg!$A$2:$A$50,0)),"")</f>
        <v/>
      </c>
    </row>
    <row r="88" ht="15.75" customHeight="1">
      <c r="A88" s="7" t="s">
        <v>152</v>
      </c>
      <c r="B88" s="7" t="s">
        <v>144</v>
      </c>
      <c r="C88" s="8" t="s">
        <v>72</v>
      </c>
      <c r="D88" s="9">
        <f>IF(SUMPRODUCT((Data!$D$2:$D$2277=A88)*(Data!$E$2:$E$2277=C88)*(Data!$M$2:$M$2277="Vladimir Zelenskiy"))&gt;0,SUMPRODUCT((Data!$D$2:$D$2277=A88)*(Data!$E$2:$E$2277=C88)*(Data!$M$2:$M$2277="Vladimir Zelenskiy")*IF(ISNUMBER(Data!$W$2:$W$2277),Data!$W$2:$W$2277,0))/SUMPRODUCT((Data!$D$2:$D$2277=A88)*(Data!$E$2:$E$2277=C88)*(Data!$M$2:$M$2277="Vladimir Zelenskiy")),"")</f>
        <v>27.1</v>
      </c>
      <c r="E88" s="9" t="str">
        <f>IF(SUMPRODUCT((Data!$D$2:$D$2277=A88)*(Data!$E$2:$E$2277=C88)*(Data!$M$2:$M$2277="Valerii Zaluzhniy"))&gt;0,SUMPRODUCT((Data!$D$2:$D$2277=A88)*(Data!$E$2:$E$2277=C88)*(Data!$M$2:$M$2277="Valerii Zaluzhniy")*IF(ISNUMBER(Data!$W$2:$W$2277),Data!$W$2:$W$2277,0))/SUMPRODUCT((Data!$D$2:$D$2277=A88)*(Data!$E$2:$E$2277=C88)*(Data!$M$2:$M$2277="Valerii Zaluzhniy")),"")</f>
        <v/>
      </c>
      <c r="F88" s="9" t="str">
        <f>IF(SUMPRODUCT((Data!$D$2:$D$2277=A88)*(Data!$E$2:$E$2277=C88)*(Data!$M$2:$M$2277="Kyrylo Budanov"))&gt;0,SUMPRODUCT((Data!$D$2:$D$2277=A88)*(Data!$E$2:$E$2277=C88)*(Data!$M$2:$M$2277="Kyrylo Budanov")*IF(ISNUMBER(Data!$W$2:$W$2277),Data!$W$2:$W$2277,0))/SUMPRODUCT((Data!$D$2:$D$2277=A88)*(Data!$E$2:$E$2277=C88)*(Data!$M$2:$M$2277="Kyrylo Budanov")),"")</f>
        <v/>
      </c>
      <c r="G88" s="9">
        <f>IF(SUMPRODUCT((Data!$D$2:$D$2277=A88)*(Data!$E$2:$E$2277=C88)*(Data!$M$2:$M$2277="Pyotr Poroshenko"))&gt;0,SUMPRODUCT((Data!$D$2:$D$2277=A88)*(Data!$E$2:$E$2277=C88)*(Data!$M$2:$M$2277="Pyotr Poroshenko")*IF(ISNUMBER(Data!$W$2:$W$2277),Data!$W$2:$W$2277,0))/SUMPRODUCT((Data!$D$2:$D$2277=A88)*(Data!$E$2:$E$2277=C88)*(Data!$M$2:$M$2277="Pyotr Poroshenko")),"")</f>
        <v>19.7</v>
      </c>
      <c r="H88" s="10" t="str">
        <f t="array" ref="H88">IFERROR(INDEX(Avg!$F$2:$F$50,MATCH(DATE(YEAR(A88),MONTH(A88),1),Avg!$A$2:$A$50,0)),"")</f>
        <v/>
      </c>
      <c r="I88" s="10" t="str">
        <f t="array" ref="I88">IFERROR(INDEX(Avg!$G$2:$G$50,MATCH(DATE(YEAR(A88),MONTH(A88),1),Avg!$A$2:$A$50,0)),"")</f>
        <v/>
      </c>
      <c r="J88" s="10" t="str">
        <f t="array" ref="J88">IFERROR(INDEX(Avg!$H$2:$H$50,MATCH(DATE(YEAR(A88),MONTH(A88),1),Avg!$A$2:$A$50,0)),"")</f>
        <v/>
      </c>
      <c r="K88" s="10" t="str">
        <f t="array" ref="K88">IFERROR(INDEX(Avg!$I$2:$I$50,MATCH(DATE(YEAR(A88),MONTH(A88),1),Avg!$A$2:$A$50,0)),"")</f>
        <v/>
      </c>
      <c r="L88" s="11" t="str">
        <f t="array" ref="L88">IFERROR(INDEX(Avg!$L$2:$L$50,MATCH(DATE(YEAR(A88),MONTH(A88),1),Avg!$A$2:$A$50,0)),"")</f>
        <v/>
      </c>
      <c r="M88" s="11" t="str">
        <f t="array" ref="M88">IFERROR(INDEX(Avg!$M$2:$M$50,MATCH(DATE(YEAR(A88),MONTH(A88),1),Avg!$A$2:$A$50,0)),"")</f>
        <v/>
      </c>
      <c r="N88" s="11" t="str">
        <f t="array" ref="N88">IFERROR(INDEX(Avg!$N$2:$N$50,MATCH(DATE(YEAR(A88),MONTH(A88),1),Avg!$A$2:$A$50,0)),"")</f>
        <v/>
      </c>
      <c r="O88" s="11" t="str">
        <f t="array" ref="O88">IFERROR(INDEX(Avg!$O$2:$O$50,MATCH(DATE(YEAR(A88),MONTH(A88),1),Avg!$A$2:$A$50,0)),"")</f>
        <v/>
      </c>
    </row>
    <row r="89" ht="15.75" customHeight="1">
      <c r="A89" s="7" t="s">
        <v>153</v>
      </c>
      <c r="B89" s="7" t="s">
        <v>144</v>
      </c>
      <c r="C89" s="8" t="s">
        <v>40</v>
      </c>
      <c r="D89" s="9">
        <f>IF(SUMPRODUCT((Data!$D$2:$D$2277=A89)*(Data!$E$2:$E$2277=C89)*(Data!$M$2:$M$2277="Vladimir Zelenskiy"))&gt;0,SUMPRODUCT((Data!$D$2:$D$2277=A89)*(Data!$E$2:$E$2277=C89)*(Data!$M$2:$M$2277="Vladimir Zelenskiy")*IF(ISNUMBER(Data!$W$2:$W$2277),Data!$W$2:$W$2277,0))/SUMPRODUCT((Data!$D$2:$D$2277=A89)*(Data!$E$2:$E$2277=C89)*(Data!$M$2:$M$2277="Vladimir Zelenskiy")),"")</f>
        <v>23.5</v>
      </c>
      <c r="E89" s="9" t="str">
        <f>IF(SUMPRODUCT((Data!$D$2:$D$2277=A89)*(Data!$E$2:$E$2277=C89)*(Data!$M$2:$M$2277="Valerii Zaluzhniy"))&gt;0,SUMPRODUCT((Data!$D$2:$D$2277=A89)*(Data!$E$2:$E$2277=C89)*(Data!$M$2:$M$2277="Valerii Zaluzhniy")*IF(ISNUMBER(Data!$W$2:$W$2277),Data!$W$2:$W$2277,0))/SUMPRODUCT((Data!$D$2:$D$2277=A89)*(Data!$E$2:$E$2277=C89)*(Data!$M$2:$M$2277="Valerii Zaluzhniy")),"")</f>
        <v/>
      </c>
      <c r="F89" s="9" t="str">
        <f>IF(SUMPRODUCT((Data!$D$2:$D$2277=A89)*(Data!$E$2:$E$2277=C89)*(Data!$M$2:$M$2277="Kyrylo Budanov"))&gt;0,SUMPRODUCT((Data!$D$2:$D$2277=A89)*(Data!$E$2:$E$2277=C89)*(Data!$M$2:$M$2277="Kyrylo Budanov")*IF(ISNUMBER(Data!$W$2:$W$2277),Data!$W$2:$W$2277,0))/SUMPRODUCT((Data!$D$2:$D$2277=A89)*(Data!$E$2:$E$2277=C89)*(Data!$M$2:$M$2277="Kyrylo Budanov")),"")</f>
        <v/>
      </c>
      <c r="G89" s="9">
        <f>IF(SUMPRODUCT((Data!$D$2:$D$2277=A89)*(Data!$E$2:$E$2277=C89)*(Data!$M$2:$M$2277="Pyotr Poroshenko"))&gt;0,SUMPRODUCT((Data!$D$2:$D$2277=A89)*(Data!$E$2:$E$2277=C89)*(Data!$M$2:$M$2277="Pyotr Poroshenko")*IF(ISNUMBER(Data!$W$2:$W$2277),Data!$W$2:$W$2277,0))/SUMPRODUCT((Data!$D$2:$D$2277=A89)*(Data!$E$2:$E$2277=C89)*(Data!$M$2:$M$2277="Pyotr Poroshenko")),"")</f>
        <v>13.4</v>
      </c>
      <c r="H89" s="10" t="str">
        <f t="array" ref="H89">IFERROR(INDEX(Avg!$F$2:$F$50,MATCH(DATE(YEAR(A89),MONTH(A89),1),Avg!$A$2:$A$50,0)),"")</f>
        <v/>
      </c>
      <c r="I89" s="10" t="str">
        <f t="array" ref="I89">IFERROR(INDEX(Avg!$G$2:$G$50,MATCH(DATE(YEAR(A89),MONTH(A89),1),Avg!$A$2:$A$50,0)),"")</f>
        <v/>
      </c>
      <c r="J89" s="10" t="str">
        <f t="array" ref="J89">IFERROR(INDEX(Avg!$H$2:$H$50,MATCH(DATE(YEAR(A89),MONTH(A89),1),Avg!$A$2:$A$50,0)),"")</f>
        <v/>
      </c>
      <c r="K89" s="10" t="str">
        <f t="array" ref="K89">IFERROR(INDEX(Avg!$I$2:$I$50,MATCH(DATE(YEAR(A89),MONTH(A89),1),Avg!$A$2:$A$50,0)),"")</f>
        <v/>
      </c>
      <c r="L89" s="11" t="str">
        <f t="array" ref="L89">IFERROR(INDEX(Avg!$L$2:$L$50,MATCH(DATE(YEAR(A89),MONTH(A89),1),Avg!$A$2:$A$50,0)),"")</f>
        <v/>
      </c>
      <c r="M89" s="11" t="str">
        <f t="array" ref="M89">IFERROR(INDEX(Avg!$M$2:$M$50,MATCH(DATE(YEAR(A89),MONTH(A89),1),Avg!$A$2:$A$50,0)),"")</f>
        <v/>
      </c>
      <c r="N89" s="11" t="str">
        <f t="array" ref="N89">IFERROR(INDEX(Avg!$N$2:$N$50,MATCH(DATE(YEAR(A89),MONTH(A89),1),Avg!$A$2:$A$50,0)),"")</f>
        <v/>
      </c>
      <c r="O89" s="11" t="str">
        <f t="array" ref="O89">IFERROR(INDEX(Avg!$O$2:$O$50,MATCH(DATE(YEAR(A89),MONTH(A89),1),Avg!$A$2:$A$50,0)),"")</f>
        <v/>
      </c>
    </row>
    <row r="90" ht="15.75" customHeight="1">
      <c r="A90" s="7" t="s">
        <v>154</v>
      </c>
      <c r="B90" s="7" t="s">
        <v>144</v>
      </c>
      <c r="C90" s="8" t="s">
        <v>155</v>
      </c>
      <c r="D90" s="9">
        <f>IF(SUMPRODUCT((Data!$D$2:$D$2277=A90)*(Data!$E$2:$E$2277=C90)*(Data!$M$2:$M$2277="Vladimir Zelenskiy"))&gt;0,SUMPRODUCT((Data!$D$2:$D$2277=A90)*(Data!$E$2:$E$2277=C90)*(Data!$M$2:$M$2277="Vladimir Zelenskiy")*IF(ISNUMBER(Data!$W$2:$W$2277),Data!$W$2:$W$2277,0))/SUMPRODUCT((Data!$D$2:$D$2277=A90)*(Data!$E$2:$E$2277=C90)*(Data!$M$2:$M$2277="Vladimir Zelenskiy")),"")</f>
        <v>23.6</v>
      </c>
      <c r="E90" s="9" t="str">
        <f>IF(SUMPRODUCT((Data!$D$2:$D$2277=A90)*(Data!$E$2:$E$2277=C90)*(Data!$M$2:$M$2277="Valerii Zaluzhniy"))&gt;0,SUMPRODUCT((Data!$D$2:$D$2277=A90)*(Data!$E$2:$E$2277=C90)*(Data!$M$2:$M$2277="Valerii Zaluzhniy")*IF(ISNUMBER(Data!$W$2:$W$2277),Data!$W$2:$W$2277,0))/SUMPRODUCT((Data!$D$2:$D$2277=A90)*(Data!$E$2:$E$2277=C90)*(Data!$M$2:$M$2277="Valerii Zaluzhniy")),"")</f>
        <v/>
      </c>
      <c r="F90" s="9" t="str">
        <f>IF(SUMPRODUCT((Data!$D$2:$D$2277=A90)*(Data!$E$2:$E$2277=C90)*(Data!$M$2:$M$2277="Kyrylo Budanov"))&gt;0,SUMPRODUCT((Data!$D$2:$D$2277=A90)*(Data!$E$2:$E$2277=C90)*(Data!$M$2:$M$2277="Kyrylo Budanov")*IF(ISNUMBER(Data!$W$2:$W$2277),Data!$W$2:$W$2277,0))/SUMPRODUCT((Data!$D$2:$D$2277=A90)*(Data!$E$2:$E$2277=C90)*(Data!$M$2:$M$2277="Kyrylo Budanov")),"")</f>
        <v/>
      </c>
      <c r="G90" s="9">
        <f>IF(SUMPRODUCT((Data!$D$2:$D$2277=A90)*(Data!$E$2:$E$2277=C90)*(Data!$M$2:$M$2277="Pyotr Poroshenko"))&gt;0,SUMPRODUCT((Data!$D$2:$D$2277=A90)*(Data!$E$2:$E$2277=C90)*(Data!$M$2:$M$2277="Pyotr Poroshenko")*IF(ISNUMBER(Data!$W$2:$W$2277),Data!$W$2:$W$2277,0))/SUMPRODUCT((Data!$D$2:$D$2277=A90)*(Data!$E$2:$E$2277=C90)*(Data!$M$2:$M$2277="Pyotr Poroshenko")),"")</f>
        <v>15.5</v>
      </c>
      <c r="H90" s="10" t="str">
        <f t="array" ref="H90">IFERROR(INDEX(Avg!$F$2:$F$50,MATCH(DATE(YEAR(A90),MONTH(A90),1),Avg!$A$2:$A$50,0)),"")</f>
        <v/>
      </c>
      <c r="I90" s="10" t="str">
        <f t="array" ref="I90">IFERROR(INDEX(Avg!$G$2:$G$50,MATCH(DATE(YEAR(A90),MONTH(A90),1),Avg!$A$2:$A$50,0)),"")</f>
        <v/>
      </c>
      <c r="J90" s="10" t="str">
        <f t="array" ref="J90">IFERROR(INDEX(Avg!$H$2:$H$50,MATCH(DATE(YEAR(A90),MONTH(A90),1),Avg!$A$2:$A$50,0)),"")</f>
        <v/>
      </c>
      <c r="K90" s="10" t="str">
        <f t="array" ref="K90">IFERROR(INDEX(Avg!$I$2:$I$50,MATCH(DATE(YEAR(A90),MONTH(A90),1),Avg!$A$2:$A$50,0)),"")</f>
        <v/>
      </c>
      <c r="L90" s="11" t="str">
        <f t="array" ref="L90">IFERROR(INDEX(Avg!$L$2:$L$50,MATCH(DATE(YEAR(A90),MONTH(A90),1),Avg!$A$2:$A$50,0)),"")</f>
        <v/>
      </c>
      <c r="M90" s="11" t="str">
        <f t="array" ref="M90">IFERROR(INDEX(Avg!$M$2:$M$50,MATCH(DATE(YEAR(A90),MONTH(A90),1),Avg!$A$2:$A$50,0)),"")</f>
        <v/>
      </c>
      <c r="N90" s="11" t="str">
        <f t="array" ref="N90">IFERROR(INDEX(Avg!$N$2:$N$50,MATCH(DATE(YEAR(A90),MONTH(A90),1),Avg!$A$2:$A$50,0)),"")</f>
        <v/>
      </c>
      <c r="O90" s="11" t="str">
        <f t="array" ref="O90">IFERROR(INDEX(Avg!$O$2:$O$50,MATCH(DATE(YEAR(A90),MONTH(A90),1),Avg!$A$2:$A$50,0)),"")</f>
        <v/>
      </c>
    </row>
    <row r="91" ht="15.75" customHeight="1">
      <c r="A91" s="7" t="s">
        <v>152</v>
      </c>
      <c r="B91" s="7" t="s">
        <v>144</v>
      </c>
      <c r="C91" s="8" t="s">
        <v>156</v>
      </c>
      <c r="D91" s="9">
        <f>IF(SUMPRODUCT((Data!$D$2:$D$2277=A91)*(Data!$E$2:$E$2277=C91)*(Data!$M$2:$M$2277="Vladimir Zelenskiy"))&gt;0,SUMPRODUCT((Data!$D$2:$D$2277=A91)*(Data!$E$2:$E$2277=C91)*(Data!$M$2:$M$2277="Vladimir Zelenskiy")*IF(ISNUMBER(Data!$W$2:$W$2277),Data!$W$2:$W$2277,0))/SUMPRODUCT((Data!$D$2:$D$2277=A91)*(Data!$E$2:$E$2277=C91)*(Data!$M$2:$M$2277="Vladimir Zelenskiy")),"")</f>
        <v>25</v>
      </c>
      <c r="E91" s="9" t="str">
        <f>IF(SUMPRODUCT((Data!$D$2:$D$2277=A91)*(Data!$E$2:$E$2277=C91)*(Data!$M$2:$M$2277="Valerii Zaluzhniy"))&gt;0,SUMPRODUCT((Data!$D$2:$D$2277=A91)*(Data!$E$2:$E$2277=C91)*(Data!$M$2:$M$2277="Valerii Zaluzhniy")*IF(ISNUMBER(Data!$W$2:$W$2277),Data!$W$2:$W$2277,0))/SUMPRODUCT((Data!$D$2:$D$2277=A91)*(Data!$E$2:$E$2277=C91)*(Data!$M$2:$M$2277="Valerii Zaluzhniy")),"")</f>
        <v/>
      </c>
      <c r="F91" s="9" t="str">
        <f>IF(SUMPRODUCT((Data!$D$2:$D$2277=A91)*(Data!$E$2:$E$2277=C91)*(Data!$M$2:$M$2277="Kyrylo Budanov"))&gt;0,SUMPRODUCT((Data!$D$2:$D$2277=A91)*(Data!$E$2:$E$2277=C91)*(Data!$M$2:$M$2277="Kyrylo Budanov")*IF(ISNUMBER(Data!$W$2:$W$2277),Data!$W$2:$W$2277,0))/SUMPRODUCT((Data!$D$2:$D$2277=A91)*(Data!$E$2:$E$2277=C91)*(Data!$M$2:$M$2277="Kyrylo Budanov")),"")</f>
        <v/>
      </c>
      <c r="G91" s="9">
        <f>IF(SUMPRODUCT((Data!$D$2:$D$2277=A91)*(Data!$E$2:$E$2277=C91)*(Data!$M$2:$M$2277="Pyotr Poroshenko"))&gt;0,SUMPRODUCT((Data!$D$2:$D$2277=A91)*(Data!$E$2:$E$2277=C91)*(Data!$M$2:$M$2277="Pyotr Poroshenko")*IF(ISNUMBER(Data!$W$2:$W$2277),Data!$W$2:$W$2277,0))/SUMPRODUCT((Data!$D$2:$D$2277=A91)*(Data!$E$2:$E$2277=C91)*(Data!$M$2:$M$2277="Pyotr Poroshenko")),"")</f>
        <v>16</v>
      </c>
      <c r="H91" s="10" t="str">
        <f t="array" ref="H91">IFERROR(INDEX(Avg!$F$2:$F$50,MATCH(DATE(YEAR(A91),MONTH(A91),1),Avg!$A$2:$A$50,0)),"")</f>
        <v/>
      </c>
      <c r="I91" s="10" t="str">
        <f t="array" ref="I91">IFERROR(INDEX(Avg!$G$2:$G$50,MATCH(DATE(YEAR(A91),MONTH(A91),1),Avg!$A$2:$A$50,0)),"")</f>
        <v/>
      </c>
      <c r="J91" s="10" t="str">
        <f t="array" ref="J91">IFERROR(INDEX(Avg!$H$2:$H$50,MATCH(DATE(YEAR(A91),MONTH(A91),1),Avg!$A$2:$A$50,0)),"")</f>
        <v/>
      </c>
      <c r="K91" s="10" t="str">
        <f t="array" ref="K91">IFERROR(INDEX(Avg!$I$2:$I$50,MATCH(DATE(YEAR(A91),MONTH(A91),1),Avg!$A$2:$A$50,0)),"")</f>
        <v/>
      </c>
      <c r="L91" s="11" t="str">
        <f t="array" ref="L91">IFERROR(INDEX(Avg!$L$2:$L$50,MATCH(DATE(YEAR(A91),MONTH(A91),1),Avg!$A$2:$A$50,0)),"")</f>
        <v/>
      </c>
      <c r="M91" s="11" t="str">
        <f t="array" ref="M91">IFERROR(INDEX(Avg!$M$2:$M$50,MATCH(DATE(YEAR(A91),MONTH(A91),1),Avg!$A$2:$A$50,0)),"")</f>
        <v/>
      </c>
      <c r="N91" s="11" t="str">
        <f t="array" ref="N91">IFERROR(INDEX(Avg!$N$2:$N$50,MATCH(DATE(YEAR(A91),MONTH(A91),1),Avg!$A$2:$A$50,0)),"")</f>
        <v/>
      </c>
      <c r="O91" s="11" t="str">
        <f t="array" ref="O91">IFERROR(INDEX(Avg!$O$2:$O$50,MATCH(DATE(YEAR(A91),MONTH(A91),1),Avg!$A$2:$A$50,0)),"")</f>
        <v/>
      </c>
    </row>
    <row r="92" ht="15.75" customHeight="1">
      <c r="A92" s="7" t="s">
        <v>153</v>
      </c>
      <c r="B92" s="7" t="s">
        <v>144</v>
      </c>
      <c r="C92" s="8" t="s">
        <v>150</v>
      </c>
      <c r="D92" s="9">
        <f>IF(SUMPRODUCT((Data!$D$2:$D$2277=A92)*(Data!$E$2:$E$2277=C92)*(Data!$M$2:$M$2277="Vladimir Zelenskiy"))&gt;0,SUMPRODUCT((Data!$D$2:$D$2277=A92)*(Data!$E$2:$E$2277=C92)*(Data!$M$2:$M$2277="Vladimir Zelenskiy")*IF(ISNUMBER(Data!$W$2:$W$2277),Data!$W$2:$W$2277,0))/SUMPRODUCT((Data!$D$2:$D$2277=A92)*(Data!$E$2:$E$2277=C92)*(Data!$M$2:$M$2277="Vladimir Zelenskiy")),"")</f>
        <v>21.6</v>
      </c>
      <c r="E92" s="9" t="str">
        <f>IF(SUMPRODUCT((Data!$D$2:$D$2277=A92)*(Data!$E$2:$E$2277=C92)*(Data!$M$2:$M$2277="Valerii Zaluzhniy"))&gt;0,SUMPRODUCT((Data!$D$2:$D$2277=A92)*(Data!$E$2:$E$2277=C92)*(Data!$M$2:$M$2277="Valerii Zaluzhniy")*IF(ISNUMBER(Data!$W$2:$W$2277),Data!$W$2:$W$2277,0))/SUMPRODUCT((Data!$D$2:$D$2277=A92)*(Data!$E$2:$E$2277=C92)*(Data!$M$2:$M$2277="Valerii Zaluzhniy")),"")</f>
        <v/>
      </c>
      <c r="F92" s="9" t="str">
        <f>IF(SUMPRODUCT((Data!$D$2:$D$2277=A92)*(Data!$E$2:$E$2277=C92)*(Data!$M$2:$M$2277="Kyrylo Budanov"))&gt;0,SUMPRODUCT((Data!$D$2:$D$2277=A92)*(Data!$E$2:$E$2277=C92)*(Data!$M$2:$M$2277="Kyrylo Budanov")*IF(ISNUMBER(Data!$W$2:$W$2277),Data!$W$2:$W$2277,0))/SUMPRODUCT((Data!$D$2:$D$2277=A92)*(Data!$E$2:$E$2277=C92)*(Data!$M$2:$M$2277="Kyrylo Budanov")),"")</f>
        <v/>
      </c>
      <c r="G92" s="9">
        <f>IF(SUMPRODUCT((Data!$D$2:$D$2277=A92)*(Data!$E$2:$E$2277=C92)*(Data!$M$2:$M$2277="Pyotr Poroshenko"))&gt;0,SUMPRODUCT((Data!$D$2:$D$2277=A92)*(Data!$E$2:$E$2277=C92)*(Data!$M$2:$M$2277="Pyotr Poroshenko")*IF(ISNUMBER(Data!$W$2:$W$2277),Data!$W$2:$W$2277,0))/SUMPRODUCT((Data!$D$2:$D$2277=A92)*(Data!$E$2:$E$2277=C92)*(Data!$M$2:$M$2277="Pyotr Poroshenko")),"")</f>
        <v>14.8</v>
      </c>
      <c r="H92" s="10" t="str">
        <f t="array" ref="H92">IFERROR(INDEX(Avg!$F$2:$F$50,MATCH(DATE(YEAR(A92),MONTH(A92),1),Avg!$A$2:$A$50,0)),"")</f>
        <v/>
      </c>
      <c r="I92" s="10" t="str">
        <f t="array" ref="I92">IFERROR(INDEX(Avg!$G$2:$G$50,MATCH(DATE(YEAR(A92),MONTH(A92),1),Avg!$A$2:$A$50,0)),"")</f>
        <v/>
      </c>
      <c r="J92" s="10" t="str">
        <f t="array" ref="J92">IFERROR(INDEX(Avg!$H$2:$H$50,MATCH(DATE(YEAR(A92),MONTH(A92),1),Avg!$A$2:$A$50,0)),"")</f>
        <v/>
      </c>
      <c r="K92" s="10" t="str">
        <f t="array" ref="K92">IFERROR(INDEX(Avg!$I$2:$I$50,MATCH(DATE(YEAR(A92),MONTH(A92),1),Avg!$A$2:$A$50,0)),"")</f>
        <v/>
      </c>
      <c r="L92" s="11" t="str">
        <f t="array" ref="L92">IFERROR(INDEX(Avg!$L$2:$L$50,MATCH(DATE(YEAR(A92),MONTH(A92),1),Avg!$A$2:$A$50,0)),"")</f>
        <v/>
      </c>
      <c r="M92" s="11" t="str">
        <f t="array" ref="M92">IFERROR(INDEX(Avg!$M$2:$M$50,MATCH(DATE(YEAR(A92),MONTH(A92),1),Avg!$A$2:$A$50,0)),"")</f>
        <v/>
      </c>
      <c r="N92" s="11" t="str">
        <f t="array" ref="N92">IFERROR(INDEX(Avg!$N$2:$N$50,MATCH(DATE(YEAR(A92),MONTH(A92),1),Avg!$A$2:$A$50,0)),"")</f>
        <v/>
      </c>
      <c r="O92" s="11" t="str">
        <f t="array" ref="O92">IFERROR(INDEX(Avg!$O$2:$O$50,MATCH(DATE(YEAR(A92),MONTH(A92),1),Avg!$A$2:$A$50,0)),"")</f>
        <v/>
      </c>
    </row>
    <row r="93" ht="15.75" customHeight="1">
      <c r="A93" s="7" t="s">
        <v>157</v>
      </c>
      <c r="B93" s="7" t="s">
        <v>144</v>
      </c>
      <c r="C93" s="8" t="s">
        <v>158</v>
      </c>
      <c r="D93" s="9">
        <f>IF(SUMPRODUCT((Data!$D$2:$D$2277=A93)*(Data!$E$2:$E$2277=C93)*(Data!$M$2:$M$2277="Vladimir Zelenskiy"))&gt;0,SUMPRODUCT((Data!$D$2:$D$2277=A93)*(Data!$E$2:$E$2277=C93)*(Data!$M$2:$M$2277="Vladimir Zelenskiy")*IF(ISNUMBER(Data!$W$2:$W$2277),Data!$W$2:$W$2277,0))/SUMPRODUCT((Data!$D$2:$D$2277=A93)*(Data!$E$2:$E$2277=C93)*(Data!$M$2:$M$2277="Vladimir Zelenskiy")),"")</f>
        <v>23.2</v>
      </c>
      <c r="E93" s="9" t="str">
        <f>IF(SUMPRODUCT((Data!$D$2:$D$2277=A93)*(Data!$E$2:$E$2277=C93)*(Data!$M$2:$M$2277="Valerii Zaluzhniy"))&gt;0,SUMPRODUCT((Data!$D$2:$D$2277=A93)*(Data!$E$2:$E$2277=C93)*(Data!$M$2:$M$2277="Valerii Zaluzhniy")*IF(ISNUMBER(Data!$W$2:$W$2277),Data!$W$2:$W$2277,0))/SUMPRODUCT((Data!$D$2:$D$2277=A93)*(Data!$E$2:$E$2277=C93)*(Data!$M$2:$M$2277="Valerii Zaluzhniy")),"")</f>
        <v/>
      </c>
      <c r="F93" s="9" t="str">
        <f>IF(SUMPRODUCT((Data!$D$2:$D$2277=A93)*(Data!$E$2:$E$2277=C93)*(Data!$M$2:$M$2277="Kyrylo Budanov"))&gt;0,SUMPRODUCT((Data!$D$2:$D$2277=A93)*(Data!$E$2:$E$2277=C93)*(Data!$M$2:$M$2277="Kyrylo Budanov")*IF(ISNUMBER(Data!$W$2:$W$2277),Data!$W$2:$W$2277,0))/SUMPRODUCT((Data!$D$2:$D$2277=A93)*(Data!$E$2:$E$2277=C93)*(Data!$M$2:$M$2277="Kyrylo Budanov")),"")</f>
        <v/>
      </c>
      <c r="G93" s="9">
        <f>IF(SUMPRODUCT((Data!$D$2:$D$2277=A93)*(Data!$E$2:$E$2277=C93)*(Data!$M$2:$M$2277="Pyotr Poroshenko"))&gt;0,SUMPRODUCT((Data!$D$2:$D$2277=A93)*(Data!$E$2:$E$2277=C93)*(Data!$M$2:$M$2277="Pyotr Poroshenko")*IF(ISNUMBER(Data!$W$2:$W$2277),Data!$W$2:$W$2277,0))/SUMPRODUCT((Data!$D$2:$D$2277=A93)*(Data!$E$2:$E$2277=C93)*(Data!$M$2:$M$2277="Pyotr Poroshenko")),"")</f>
        <v>15.6</v>
      </c>
      <c r="H93" s="10" t="str">
        <f t="array" ref="H93">IFERROR(INDEX(Avg!$F$2:$F$50,MATCH(DATE(YEAR(A93),MONTH(A93),1),Avg!$A$2:$A$50,0)),"")</f>
        <v/>
      </c>
      <c r="I93" s="10" t="str">
        <f t="array" ref="I93">IFERROR(INDEX(Avg!$G$2:$G$50,MATCH(DATE(YEAR(A93),MONTH(A93),1),Avg!$A$2:$A$50,0)),"")</f>
        <v/>
      </c>
      <c r="J93" s="10" t="str">
        <f t="array" ref="J93">IFERROR(INDEX(Avg!$H$2:$H$50,MATCH(DATE(YEAR(A93),MONTH(A93),1),Avg!$A$2:$A$50,0)),"")</f>
        <v/>
      </c>
      <c r="K93" s="10" t="str">
        <f t="array" ref="K93">IFERROR(INDEX(Avg!$I$2:$I$50,MATCH(DATE(YEAR(A93),MONTH(A93),1),Avg!$A$2:$A$50,0)),"")</f>
        <v/>
      </c>
      <c r="L93" s="11" t="str">
        <f t="array" ref="L93">IFERROR(INDEX(Avg!$L$2:$L$50,MATCH(DATE(YEAR(A93),MONTH(A93),1),Avg!$A$2:$A$50,0)),"")</f>
        <v/>
      </c>
      <c r="M93" s="11" t="str">
        <f t="array" ref="M93">IFERROR(INDEX(Avg!$M$2:$M$50,MATCH(DATE(YEAR(A93),MONTH(A93),1),Avg!$A$2:$A$50,0)),"")</f>
        <v/>
      </c>
      <c r="N93" s="11" t="str">
        <f t="array" ref="N93">IFERROR(INDEX(Avg!$N$2:$N$50,MATCH(DATE(YEAR(A93),MONTH(A93),1),Avg!$A$2:$A$50,0)),"")</f>
        <v/>
      </c>
      <c r="O93" s="11" t="str">
        <f t="array" ref="O93">IFERROR(INDEX(Avg!$O$2:$O$50,MATCH(DATE(YEAR(A93),MONTH(A93),1),Avg!$A$2:$A$50,0)),"")</f>
        <v/>
      </c>
    </row>
    <row r="94" ht="15.75" customHeight="1">
      <c r="A94" s="7" t="s">
        <v>159</v>
      </c>
      <c r="B94" s="7" t="s">
        <v>160</v>
      </c>
      <c r="C94" s="8" t="s">
        <v>106</v>
      </c>
      <c r="D94" s="9">
        <f>IF(SUMPRODUCT((Data!$D$2:$D$2277=A94)*(Data!$E$2:$E$2277=C94)*(Data!$M$2:$M$2277="Vladimir Zelenskiy"))&gt;0,SUMPRODUCT((Data!$D$2:$D$2277=A94)*(Data!$E$2:$E$2277=C94)*(Data!$M$2:$M$2277="Vladimir Zelenskiy")*IF(ISNUMBER(Data!$W$2:$W$2277),Data!$W$2:$W$2277,0))/SUMPRODUCT((Data!$D$2:$D$2277=A94)*(Data!$E$2:$E$2277=C94)*(Data!$M$2:$M$2277="Vladimir Zelenskiy")),"")</f>
        <v>25.2</v>
      </c>
      <c r="E94" s="9" t="str">
        <f>IF(SUMPRODUCT((Data!$D$2:$D$2277=A94)*(Data!$E$2:$E$2277=C94)*(Data!$M$2:$M$2277="Valerii Zaluzhniy"))&gt;0,SUMPRODUCT((Data!$D$2:$D$2277=A94)*(Data!$E$2:$E$2277=C94)*(Data!$M$2:$M$2277="Valerii Zaluzhniy")*IF(ISNUMBER(Data!$W$2:$W$2277),Data!$W$2:$W$2277,0))/SUMPRODUCT((Data!$D$2:$D$2277=A94)*(Data!$E$2:$E$2277=C94)*(Data!$M$2:$M$2277="Valerii Zaluzhniy")),"")</f>
        <v/>
      </c>
      <c r="F94" s="9" t="str">
        <f>IF(SUMPRODUCT((Data!$D$2:$D$2277=A94)*(Data!$E$2:$E$2277=C94)*(Data!$M$2:$M$2277="Kyrylo Budanov"))&gt;0,SUMPRODUCT((Data!$D$2:$D$2277=A94)*(Data!$E$2:$E$2277=C94)*(Data!$M$2:$M$2277="Kyrylo Budanov")*IF(ISNUMBER(Data!$W$2:$W$2277),Data!$W$2:$W$2277,0))/SUMPRODUCT((Data!$D$2:$D$2277=A94)*(Data!$E$2:$E$2277=C94)*(Data!$M$2:$M$2277="Kyrylo Budanov")),"")</f>
        <v/>
      </c>
      <c r="G94" s="9">
        <f>IF(SUMPRODUCT((Data!$D$2:$D$2277=A94)*(Data!$E$2:$E$2277=C94)*(Data!$M$2:$M$2277="Pyotr Poroshenko"))&gt;0,SUMPRODUCT((Data!$D$2:$D$2277=A94)*(Data!$E$2:$E$2277=C94)*(Data!$M$2:$M$2277="Pyotr Poroshenko")*IF(ISNUMBER(Data!$W$2:$W$2277),Data!$W$2:$W$2277,0))/SUMPRODUCT((Data!$D$2:$D$2277=A94)*(Data!$E$2:$E$2277=C94)*(Data!$M$2:$M$2277="Pyotr Poroshenko")),"")</f>
        <v>17.5</v>
      </c>
      <c r="H94" s="10" t="str">
        <f t="array" ref="H94">IFERROR(INDEX(Avg!$F$2:$F$50,MATCH(DATE(YEAR(A94),MONTH(A94),1),Avg!$A$2:$A$50,0)),"")</f>
        <v/>
      </c>
      <c r="I94" s="10" t="str">
        <f t="array" ref="I94">IFERROR(INDEX(Avg!$G$2:$G$50,MATCH(DATE(YEAR(A94),MONTH(A94),1),Avg!$A$2:$A$50,0)),"")</f>
        <v/>
      </c>
      <c r="J94" s="10" t="str">
        <f t="array" ref="J94">IFERROR(INDEX(Avg!$H$2:$H$50,MATCH(DATE(YEAR(A94),MONTH(A94),1),Avg!$A$2:$A$50,0)),"")</f>
        <v/>
      </c>
      <c r="K94" s="10" t="str">
        <f t="array" ref="K94">IFERROR(INDEX(Avg!$I$2:$I$50,MATCH(DATE(YEAR(A94),MONTH(A94),1),Avg!$A$2:$A$50,0)),"")</f>
        <v/>
      </c>
      <c r="L94" s="11" t="str">
        <f t="array" ref="L94">IFERROR(INDEX(Avg!$L$2:$L$50,MATCH(DATE(YEAR(A94),MONTH(A94),1),Avg!$A$2:$A$50,0)),"")</f>
        <v/>
      </c>
      <c r="M94" s="11" t="str">
        <f t="array" ref="M94">IFERROR(INDEX(Avg!$M$2:$M$50,MATCH(DATE(YEAR(A94),MONTH(A94),1),Avg!$A$2:$A$50,0)),"")</f>
        <v/>
      </c>
      <c r="N94" s="11" t="str">
        <f t="array" ref="N94">IFERROR(INDEX(Avg!$N$2:$N$50,MATCH(DATE(YEAR(A94),MONTH(A94),1),Avg!$A$2:$A$50,0)),"")</f>
        <v/>
      </c>
      <c r="O94" s="11" t="str">
        <f t="array" ref="O94">IFERROR(INDEX(Avg!$O$2:$O$50,MATCH(DATE(YEAR(A94),MONTH(A94),1),Avg!$A$2:$A$50,0)),"")</f>
        <v/>
      </c>
    </row>
    <row r="95" ht="15.75" customHeight="1">
      <c r="A95" s="7" t="s">
        <v>161</v>
      </c>
      <c r="B95" s="7" t="s">
        <v>160</v>
      </c>
      <c r="C95" s="8" t="s">
        <v>40</v>
      </c>
      <c r="D95" s="9">
        <f>IF(SUMPRODUCT((Data!$D$2:$D$2277=A95)*(Data!$E$2:$E$2277=C95)*(Data!$M$2:$M$2277="Vladimir Zelenskiy"))&gt;0,SUMPRODUCT((Data!$D$2:$D$2277=A95)*(Data!$E$2:$E$2277=C95)*(Data!$M$2:$M$2277="Vladimir Zelenskiy")*IF(ISNUMBER(Data!$W$2:$W$2277),Data!$W$2:$W$2277,0))/SUMPRODUCT((Data!$D$2:$D$2277=A95)*(Data!$E$2:$E$2277=C95)*(Data!$M$2:$M$2277="Vladimir Zelenskiy")),"")</f>
        <v>23.1</v>
      </c>
      <c r="E95" s="9" t="str">
        <f>IF(SUMPRODUCT((Data!$D$2:$D$2277=A95)*(Data!$E$2:$E$2277=C95)*(Data!$M$2:$M$2277="Valerii Zaluzhniy"))&gt;0,SUMPRODUCT((Data!$D$2:$D$2277=A95)*(Data!$E$2:$E$2277=C95)*(Data!$M$2:$M$2277="Valerii Zaluzhniy")*IF(ISNUMBER(Data!$W$2:$W$2277),Data!$W$2:$W$2277,0))/SUMPRODUCT((Data!$D$2:$D$2277=A95)*(Data!$E$2:$E$2277=C95)*(Data!$M$2:$M$2277="Valerii Zaluzhniy")),"")</f>
        <v/>
      </c>
      <c r="F95" s="9" t="str">
        <f>IF(SUMPRODUCT((Data!$D$2:$D$2277=A95)*(Data!$E$2:$E$2277=C95)*(Data!$M$2:$M$2277="Kyrylo Budanov"))&gt;0,SUMPRODUCT((Data!$D$2:$D$2277=A95)*(Data!$E$2:$E$2277=C95)*(Data!$M$2:$M$2277="Kyrylo Budanov")*IF(ISNUMBER(Data!$W$2:$W$2277),Data!$W$2:$W$2277,0))/SUMPRODUCT((Data!$D$2:$D$2277=A95)*(Data!$E$2:$E$2277=C95)*(Data!$M$2:$M$2277="Kyrylo Budanov")),"")</f>
        <v/>
      </c>
      <c r="G95" s="9">
        <f>IF(SUMPRODUCT((Data!$D$2:$D$2277=A95)*(Data!$E$2:$E$2277=C95)*(Data!$M$2:$M$2277="Pyotr Poroshenko"))&gt;0,SUMPRODUCT((Data!$D$2:$D$2277=A95)*(Data!$E$2:$E$2277=C95)*(Data!$M$2:$M$2277="Pyotr Poroshenko")*IF(ISNUMBER(Data!$W$2:$W$2277),Data!$W$2:$W$2277,0))/SUMPRODUCT((Data!$D$2:$D$2277=A95)*(Data!$E$2:$E$2277=C95)*(Data!$M$2:$M$2277="Pyotr Poroshenko")),"")</f>
        <v>13.3</v>
      </c>
      <c r="H95" s="10" t="str">
        <f t="array" ref="H95">IFERROR(INDEX(Avg!$F$2:$F$50,MATCH(DATE(YEAR(A95),MONTH(A95),1),Avg!$A$2:$A$50,0)),"")</f>
        <v/>
      </c>
      <c r="I95" s="10" t="str">
        <f t="array" ref="I95">IFERROR(INDEX(Avg!$G$2:$G$50,MATCH(DATE(YEAR(A95),MONTH(A95),1),Avg!$A$2:$A$50,0)),"")</f>
        <v/>
      </c>
      <c r="J95" s="10" t="str">
        <f t="array" ref="J95">IFERROR(INDEX(Avg!$H$2:$H$50,MATCH(DATE(YEAR(A95),MONTH(A95),1),Avg!$A$2:$A$50,0)),"")</f>
        <v/>
      </c>
      <c r="K95" s="10" t="str">
        <f t="array" ref="K95">IFERROR(INDEX(Avg!$I$2:$I$50,MATCH(DATE(YEAR(A95),MONTH(A95),1),Avg!$A$2:$A$50,0)),"")</f>
        <v/>
      </c>
      <c r="L95" s="11" t="str">
        <f t="array" ref="L95">IFERROR(INDEX(Avg!$L$2:$L$50,MATCH(DATE(YEAR(A95),MONTH(A95),1),Avg!$A$2:$A$50,0)),"")</f>
        <v/>
      </c>
      <c r="M95" s="11" t="str">
        <f t="array" ref="M95">IFERROR(INDEX(Avg!$M$2:$M$50,MATCH(DATE(YEAR(A95),MONTH(A95),1),Avg!$A$2:$A$50,0)),"")</f>
        <v/>
      </c>
      <c r="N95" s="11" t="str">
        <f t="array" ref="N95">IFERROR(INDEX(Avg!$N$2:$N$50,MATCH(DATE(YEAR(A95),MONTH(A95),1),Avg!$A$2:$A$50,0)),"")</f>
        <v/>
      </c>
      <c r="O95" s="11" t="str">
        <f t="array" ref="O95">IFERROR(INDEX(Avg!$O$2:$O$50,MATCH(DATE(YEAR(A95),MONTH(A95),1),Avg!$A$2:$A$50,0)),"")</f>
        <v/>
      </c>
    </row>
    <row r="96" ht="15.75" customHeight="1">
      <c r="A96" s="7" t="s">
        <v>162</v>
      </c>
      <c r="B96" s="7" t="s">
        <v>160</v>
      </c>
      <c r="C96" s="8" t="s">
        <v>163</v>
      </c>
      <c r="D96" s="9">
        <f>IF(SUMPRODUCT((Data!$D$2:$D$2277=A96)*(Data!$E$2:$E$2277=C96)*(Data!$M$2:$M$2277="Vladimir Zelenskiy"))&gt;0,SUMPRODUCT((Data!$D$2:$D$2277=A96)*(Data!$E$2:$E$2277=C96)*(Data!$M$2:$M$2277="Vladimir Zelenskiy")*IF(ISNUMBER(Data!$W$2:$W$2277),Data!$W$2:$W$2277,0))/SUMPRODUCT((Data!$D$2:$D$2277=A96)*(Data!$E$2:$E$2277=C96)*(Data!$M$2:$M$2277="Vladimir Zelenskiy")),"")</f>
        <v>17.8</v>
      </c>
      <c r="E96" s="9" t="str">
        <f>IF(SUMPRODUCT((Data!$D$2:$D$2277=A96)*(Data!$E$2:$E$2277=C96)*(Data!$M$2:$M$2277="Valerii Zaluzhniy"))&gt;0,SUMPRODUCT((Data!$D$2:$D$2277=A96)*(Data!$E$2:$E$2277=C96)*(Data!$M$2:$M$2277="Valerii Zaluzhniy")*IF(ISNUMBER(Data!$W$2:$W$2277),Data!$W$2:$W$2277,0))/SUMPRODUCT((Data!$D$2:$D$2277=A96)*(Data!$E$2:$E$2277=C96)*(Data!$M$2:$M$2277="Valerii Zaluzhniy")),"")</f>
        <v/>
      </c>
      <c r="F96" s="9" t="str">
        <f>IF(SUMPRODUCT((Data!$D$2:$D$2277=A96)*(Data!$E$2:$E$2277=C96)*(Data!$M$2:$M$2277="Kyrylo Budanov"))&gt;0,SUMPRODUCT((Data!$D$2:$D$2277=A96)*(Data!$E$2:$E$2277=C96)*(Data!$M$2:$M$2277="Kyrylo Budanov")*IF(ISNUMBER(Data!$W$2:$W$2277),Data!$W$2:$W$2277,0))/SUMPRODUCT((Data!$D$2:$D$2277=A96)*(Data!$E$2:$E$2277=C96)*(Data!$M$2:$M$2277="Kyrylo Budanov")),"")</f>
        <v/>
      </c>
      <c r="G96" s="9">
        <f>IF(SUMPRODUCT((Data!$D$2:$D$2277=A96)*(Data!$E$2:$E$2277=C96)*(Data!$M$2:$M$2277="Pyotr Poroshenko"))&gt;0,SUMPRODUCT((Data!$D$2:$D$2277=A96)*(Data!$E$2:$E$2277=C96)*(Data!$M$2:$M$2277="Pyotr Poroshenko")*IF(ISNUMBER(Data!$W$2:$W$2277),Data!$W$2:$W$2277,0))/SUMPRODUCT((Data!$D$2:$D$2277=A96)*(Data!$E$2:$E$2277=C96)*(Data!$M$2:$M$2277="Pyotr Poroshenko")),"")</f>
        <v>16.7</v>
      </c>
      <c r="H96" s="10" t="str">
        <f t="array" ref="H96">IFERROR(INDEX(Avg!$F$2:$F$50,MATCH(DATE(YEAR(A96),MONTH(A96),1),Avg!$A$2:$A$50,0)),"")</f>
        <v/>
      </c>
      <c r="I96" s="10" t="str">
        <f t="array" ref="I96">IFERROR(INDEX(Avg!$G$2:$G$50,MATCH(DATE(YEAR(A96),MONTH(A96),1),Avg!$A$2:$A$50,0)),"")</f>
        <v/>
      </c>
      <c r="J96" s="10" t="str">
        <f t="array" ref="J96">IFERROR(INDEX(Avg!$H$2:$H$50,MATCH(DATE(YEAR(A96),MONTH(A96),1),Avg!$A$2:$A$50,0)),"")</f>
        <v/>
      </c>
      <c r="K96" s="10" t="str">
        <f t="array" ref="K96">IFERROR(INDEX(Avg!$I$2:$I$50,MATCH(DATE(YEAR(A96),MONTH(A96),1),Avg!$A$2:$A$50,0)),"")</f>
        <v/>
      </c>
      <c r="L96" s="11" t="str">
        <f t="array" ref="L96">IFERROR(INDEX(Avg!$L$2:$L$50,MATCH(DATE(YEAR(A96),MONTH(A96),1),Avg!$A$2:$A$50,0)),"")</f>
        <v/>
      </c>
      <c r="M96" s="11" t="str">
        <f t="array" ref="M96">IFERROR(INDEX(Avg!$M$2:$M$50,MATCH(DATE(YEAR(A96),MONTH(A96),1),Avg!$A$2:$A$50,0)),"")</f>
        <v/>
      </c>
      <c r="N96" s="11" t="str">
        <f t="array" ref="N96">IFERROR(INDEX(Avg!$N$2:$N$50,MATCH(DATE(YEAR(A96),MONTH(A96),1),Avg!$A$2:$A$50,0)),"")</f>
        <v/>
      </c>
      <c r="O96" s="11" t="str">
        <f t="array" ref="O96">IFERROR(INDEX(Avg!$O$2:$O$50,MATCH(DATE(YEAR(A96),MONTH(A96),1),Avg!$A$2:$A$50,0)),"")</f>
        <v/>
      </c>
    </row>
    <row r="97" ht="15.75" customHeight="1">
      <c r="A97" s="7" t="s">
        <v>160</v>
      </c>
      <c r="B97" s="7" t="s">
        <v>160</v>
      </c>
      <c r="C97" s="8" t="s">
        <v>164</v>
      </c>
      <c r="D97" s="9">
        <f>IF(SUMPRODUCT((Data!$D$2:$D$2277=A97)*(Data!$E$2:$E$2277=C97)*(Data!$M$2:$M$2277="Vladimir Zelenskiy"))&gt;0,SUMPRODUCT((Data!$D$2:$D$2277=A97)*(Data!$E$2:$E$2277=C97)*(Data!$M$2:$M$2277="Vladimir Zelenskiy")*IF(ISNUMBER(Data!$W$2:$W$2277),Data!$W$2:$W$2277,0))/SUMPRODUCT((Data!$D$2:$D$2277=A97)*(Data!$E$2:$E$2277=C97)*(Data!$M$2:$M$2277="Vladimir Zelenskiy")),"")</f>
        <v>19.68421053</v>
      </c>
      <c r="E97" s="9" t="str">
        <f>IF(SUMPRODUCT((Data!$D$2:$D$2277=A97)*(Data!$E$2:$E$2277=C97)*(Data!$M$2:$M$2277="Valerii Zaluzhniy"))&gt;0,SUMPRODUCT((Data!$D$2:$D$2277=A97)*(Data!$E$2:$E$2277=C97)*(Data!$M$2:$M$2277="Valerii Zaluzhniy")*IF(ISNUMBER(Data!$W$2:$W$2277),Data!$W$2:$W$2277,0))/SUMPRODUCT((Data!$D$2:$D$2277=A97)*(Data!$E$2:$E$2277=C97)*(Data!$M$2:$M$2277="Valerii Zaluzhniy")),"")</f>
        <v/>
      </c>
      <c r="F97" s="9" t="str">
        <f>IF(SUMPRODUCT((Data!$D$2:$D$2277=A97)*(Data!$E$2:$E$2277=C97)*(Data!$M$2:$M$2277="Kyrylo Budanov"))&gt;0,SUMPRODUCT((Data!$D$2:$D$2277=A97)*(Data!$E$2:$E$2277=C97)*(Data!$M$2:$M$2277="Kyrylo Budanov")*IF(ISNUMBER(Data!$W$2:$W$2277),Data!$W$2:$W$2277,0))/SUMPRODUCT((Data!$D$2:$D$2277=A97)*(Data!$E$2:$E$2277=C97)*(Data!$M$2:$M$2277="Kyrylo Budanov")),"")</f>
        <v/>
      </c>
      <c r="G97" s="9">
        <f>IF(SUMPRODUCT((Data!$D$2:$D$2277=A97)*(Data!$E$2:$E$2277=C97)*(Data!$M$2:$M$2277="Pyotr Poroshenko"))&gt;0,SUMPRODUCT((Data!$D$2:$D$2277=A97)*(Data!$E$2:$E$2277=C97)*(Data!$M$2:$M$2277="Pyotr Poroshenko")*IF(ISNUMBER(Data!$W$2:$W$2277),Data!$W$2:$W$2277,0))/SUMPRODUCT((Data!$D$2:$D$2277=A97)*(Data!$E$2:$E$2277=C97)*(Data!$M$2:$M$2277="Pyotr Poroshenko")),"")</f>
        <v>13.36842105</v>
      </c>
      <c r="H97" s="10" t="str">
        <f t="array" ref="H97">IFERROR(INDEX(Avg!$F$2:$F$50,MATCH(DATE(YEAR(A97),MONTH(A97),1),Avg!$A$2:$A$50,0)),"")</f>
        <v/>
      </c>
      <c r="I97" s="10" t="str">
        <f t="array" ref="I97">IFERROR(INDEX(Avg!$G$2:$G$50,MATCH(DATE(YEAR(A97),MONTH(A97),1),Avg!$A$2:$A$50,0)),"")</f>
        <v/>
      </c>
      <c r="J97" s="10" t="str">
        <f t="array" ref="J97">IFERROR(INDEX(Avg!$H$2:$H$50,MATCH(DATE(YEAR(A97),MONTH(A97),1),Avg!$A$2:$A$50,0)),"")</f>
        <v/>
      </c>
      <c r="K97" s="10" t="str">
        <f t="array" ref="K97">IFERROR(INDEX(Avg!$I$2:$I$50,MATCH(DATE(YEAR(A97),MONTH(A97),1),Avg!$A$2:$A$50,0)),"")</f>
        <v/>
      </c>
      <c r="L97" s="11" t="str">
        <f t="array" ref="L97">IFERROR(INDEX(Avg!$L$2:$L$50,MATCH(DATE(YEAR(A97),MONTH(A97),1),Avg!$A$2:$A$50,0)),"")</f>
        <v/>
      </c>
      <c r="M97" s="11" t="str">
        <f t="array" ref="M97">IFERROR(INDEX(Avg!$M$2:$M$50,MATCH(DATE(YEAR(A97),MONTH(A97),1),Avg!$A$2:$A$50,0)),"")</f>
        <v/>
      </c>
      <c r="N97" s="11" t="str">
        <f t="array" ref="N97">IFERROR(INDEX(Avg!$N$2:$N$50,MATCH(DATE(YEAR(A97),MONTH(A97),1),Avg!$A$2:$A$50,0)),"")</f>
        <v/>
      </c>
      <c r="O97" s="11" t="str">
        <f t="array" ref="O97">IFERROR(INDEX(Avg!$O$2:$O$50,MATCH(DATE(YEAR(A97),MONTH(A97),1),Avg!$A$2:$A$50,0)),"")</f>
        <v/>
      </c>
    </row>
    <row r="98" ht="15.75" customHeight="1">
      <c r="A98" s="7" t="s">
        <v>165</v>
      </c>
      <c r="B98" s="7" t="s">
        <v>160</v>
      </c>
      <c r="C98" s="8" t="s">
        <v>150</v>
      </c>
      <c r="D98" s="9">
        <f>IF(SUMPRODUCT((Data!$D$2:$D$2277=A98)*(Data!$E$2:$E$2277=C98)*(Data!$M$2:$M$2277="Vladimir Zelenskiy"))&gt;0,SUMPRODUCT((Data!$D$2:$D$2277=A98)*(Data!$E$2:$E$2277=C98)*(Data!$M$2:$M$2277="Vladimir Zelenskiy")*IF(ISNUMBER(Data!$W$2:$W$2277),Data!$W$2:$W$2277,0))/SUMPRODUCT((Data!$D$2:$D$2277=A98)*(Data!$E$2:$E$2277=C98)*(Data!$M$2:$M$2277="Vladimir Zelenskiy")),"")</f>
        <v>23.4</v>
      </c>
      <c r="E98" s="9" t="str">
        <f>IF(SUMPRODUCT((Data!$D$2:$D$2277=A98)*(Data!$E$2:$E$2277=C98)*(Data!$M$2:$M$2277="Valerii Zaluzhniy"))&gt;0,SUMPRODUCT((Data!$D$2:$D$2277=A98)*(Data!$E$2:$E$2277=C98)*(Data!$M$2:$M$2277="Valerii Zaluzhniy")*IF(ISNUMBER(Data!$W$2:$W$2277),Data!$W$2:$W$2277,0))/SUMPRODUCT((Data!$D$2:$D$2277=A98)*(Data!$E$2:$E$2277=C98)*(Data!$M$2:$M$2277="Valerii Zaluzhniy")),"")</f>
        <v/>
      </c>
      <c r="F98" s="9" t="str">
        <f>IF(SUMPRODUCT((Data!$D$2:$D$2277=A98)*(Data!$E$2:$E$2277=C98)*(Data!$M$2:$M$2277="Kyrylo Budanov"))&gt;0,SUMPRODUCT((Data!$D$2:$D$2277=A98)*(Data!$E$2:$E$2277=C98)*(Data!$M$2:$M$2277="Kyrylo Budanov")*IF(ISNUMBER(Data!$W$2:$W$2277),Data!$W$2:$W$2277,0))/SUMPRODUCT((Data!$D$2:$D$2277=A98)*(Data!$E$2:$E$2277=C98)*(Data!$M$2:$M$2277="Kyrylo Budanov")),"")</f>
        <v/>
      </c>
      <c r="G98" s="9">
        <f>IF(SUMPRODUCT((Data!$D$2:$D$2277=A98)*(Data!$E$2:$E$2277=C98)*(Data!$M$2:$M$2277="Pyotr Poroshenko"))&gt;0,SUMPRODUCT((Data!$D$2:$D$2277=A98)*(Data!$E$2:$E$2277=C98)*(Data!$M$2:$M$2277="Pyotr Poroshenko")*IF(ISNUMBER(Data!$W$2:$W$2277),Data!$W$2:$W$2277,0))/SUMPRODUCT((Data!$D$2:$D$2277=A98)*(Data!$E$2:$E$2277=C98)*(Data!$M$2:$M$2277="Pyotr Poroshenko")),"")</f>
        <v>14.6</v>
      </c>
      <c r="H98" s="10" t="str">
        <f t="array" ref="H98">IFERROR(INDEX(Avg!$F$2:$F$50,MATCH(DATE(YEAR(A98),MONTH(A98),1),Avg!$A$2:$A$50,0)),"")</f>
        <v/>
      </c>
      <c r="I98" s="10" t="str">
        <f t="array" ref="I98">IFERROR(INDEX(Avg!$G$2:$G$50,MATCH(DATE(YEAR(A98),MONTH(A98),1),Avg!$A$2:$A$50,0)),"")</f>
        <v/>
      </c>
      <c r="J98" s="10" t="str">
        <f t="array" ref="J98">IFERROR(INDEX(Avg!$H$2:$H$50,MATCH(DATE(YEAR(A98),MONTH(A98),1),Avg!$A$2:$A$50,0)),"")</f>
        <v/>
      </c>
      <c r="K98" s="10" t="str">
        <f t="array" ref="K98">IFERROR(INDEX(Avg!$I$2:$I$50,MATCH(DATE(YEAR(A98),MONTH(A98),1),Avg!$A$2:$A$50,0)),"")</f>
        <v/>
      </c>
      <c r="L98" s="11" t="str">
        <f t="array" ref="L98">IFERROR(INDEX(Avg!$L$2:$L$50,MATCH(DATE(YEAR(A98),MONTH(A98),1),Avg!$A$2:$A$50,0)),"")</f>
        <v/>
      </c>
      <c r="M98" s="11" t="str">
        <f t="array" ref="M98">IFERROR(INDEX(Avg!$M$2:$M$50,MATCH(DATE(YEAR(A98),MONTH(A98),1),Avg!$A$2:$A$50,0)),"")</f>
        <v/>
      </c>
      <c r="N98" s="11" t="str">
        <f t="array" ref="N98">IFERROR(INDEX(Avg!$N$2:$N$50,MATCH(DATE(YEAR(A98),MONTH(A98),1),Avg!$A$2:$A$50,0)),"")</f>
        <v/>
      </c>
      <c r="O98" s="11" t="str">
        <f t="array" ref="O98">IFERROR(INDEX(Avg!$O$2:$O$50,MATCH(DATE(YEAR(A98),MONTH(A98),1),Avg!$A$2:$A$50,0)),"")</f>
        <v/>
      </c>
    </row>
    <row r="99" ht="15.75" customHeight="1">
      <c r="A99" s="7" t="s">
        <v>166</v>
      </c>
      <c r="B99" s="7" t="s">
        <v>160</v>
      </c>
      <c r="C99" s="8" t="s">
        <v>40</v>
      </c>
      <c r="D99" s="9">
        <f>IF(SUMPRODUCT((Data!$D$2:$D$2277=A99)*(Data!$E$2:$E$2277=C99)*(Data!$M$2:$M$2277="Vladimir Zelenskiy"))&gt;0,SUMPRODUCT((Data!$D$2:$D$2277=A99)*(Data!$E$2:$E$2277=C99)*(Data!$M$2:$M$2277="Vladimir Zelenskiy")*IF(ISNUMBER(Data!$W$2:$W$2277),Data!$W$2:$W$2277,0))/SUMPRODUCT((Data!$D$2:$D$2277=A99)*(Data!$E$2:$E$2277=C99)*(Data!$M$2:$M$2277="Vladimir Zelenskiy")),"")</f>
        <v>21.8</v>
      </c>
      <c r="E99" s="9" t="str">
        <f>IF(SUMPRODUCT((Data!$D$2:$D$2277=A99)*(Data!$E$2:$E$2277=C99)*(Data!$M$2:$M$2277="Valerii Zaluzhniy"))&gt;0,SUMPRODUCT((Data!$D$2:$D$2277=A99)*(Data!$E$2:$E$2277=C99)*(Data!$M$2:$M$2277="Valerii Zaluzhniy")*IF(ISNUMBER(Data!$W$2:$W$2277),Data!$W$2:$W$2277,0))/SUMPRODUCT((Data!$D$2:$D$2277=A99)*(Data!$E$2:$E$2277=C99)*(Data!$M$2:$M$2277="Valerii Zaluzhniy")),"")</f>
        <v/>
      </c>
      <c r="F99" s="9" t="str">
        <f>IF(SUMPRODUCT((Data!$D$2:$D$2277=A99)*(Data!$E$2:$E$2277=C99)*(Data!$M$2:$M$2277="Kyrylo Budanov"))&gt;0,SUMPRODUCT((Data!$D$2:$D$2277=A99)*(Data!$E$2:$E$2277=C99)*(Data!$M$2:$M$2277="Kyrylo Budanov")*IF(ISNUMBER(Data!$W$2:$W$2277),Data!$W$2:$W$2277,0))/SUMPRODUCT((Data!$D$2:$D$2277=A99)*(Data!$E$2:$E$2277=C99)*(Data!$M$2:$M$2277="Kyrylo Budanov")),"")</f>
        <v/>
      </c>
      <c r="G99" s="9">
        <f>IF(SUMPRODUCT((Data!$D$2:$D$2277=A99)*(Data!$E$2:$E$2277=C99)*(Data!$M$2:$M$2277="Pyotr Poroshenko"))&gt;0,SUMPRODUCT((Data!$D$2:$D$2277=A99)*(Data!$E$2:$E$2277=C99)*(Data!$M$2:$M$2277="Pyotr Poroshenko")*IF(ISNUMBER(Data!$W$2:$W$2277),Data!$W$2:$W$2277,0))/SUMPRODUCT((Data!$D$2:$D$2277=A99)*(Data!$E$2:$E$2277=C99)*(Data!$M$2:$M$2277="Pyotr Poroshenko")),"")</f>
        <v>14.5</v>
      </c>
      <c r="H99" s="10" t="str">
        <f t="array" ref="H99">IFERROR(INDEX(Avg!$F$2:$F$50,MATCH(DATE(YEAR(A99),MONTH(A99),1),Avg!$A$2:$A$50,0)),"")</f>
        <v/>
      </c>
      <c r="I99" s="10" t="str">
        <f t="array" ref="I99">IFERROR(INDEX(Avg!$G$2:$G$50,MATCH(DATE(YEAR(A99),MONTH(A99),1),Avg!$A$2:$A$50,0)),"")</f>
        <v/>
      </c>
      <c r="J99" s="10" t="str">
        <f t="array" ref="J99">IFERROR(INDEX(Avg!$H$2:$H$50,MATCH(DATE(YEAR(A99),MONTH(A99),1),Avg!$A$2:$A$50,0)),"")</f>
        <v/>
      </c>
      <c r="K99" s="10" t="str">
        <f t="array" ref="K99">IFERROR(INDEX(Avg!$I$2:$I$50,MATCH(DATE(YEAR(A99),MONTH(A99),1),Avg!$A$2:$A$50,0)),"")</f>
        <v/>
      </c>
      <c r="L99" s="11" t="str">
        <f t="array" ref="L99">IFERROR(INDEX(Avg!$L$2:$L$50,MATCH(DATE(YEAR(A99),MONTH(A99),1),Avg!$A$2:$A$50,0)),"")</f>
        <v/>
      </c>
      <c r="M99" s="11" t="str">
        <f t="array" ref="M99">IFERROR(INDEX(Avg!$M$2:$M$50,MATCH(DATE(YEAR(A99),MONTH(A99),1),Avg!$A$2:$A$50,0)),"")</f>
        <v/>
      </c>
      <c r="N99" s="11" t="str">
        <f t="array" ref="N99">IFERROR(INDEX(Avg!$N$2:$N$50,MATCH(DATE(YEAR(A99),MONTH(A99),1),Avg!$A$2:$A$50,0)),"")</f>
        <v/>
      </c>
      <c r="O99" s="11" t="str">
        <f t="array" ref="O99">IFERROR(INDEX(Avg!$O$2:$O$50,MATCH(DATE(YEAR(A99),MONTH(A99),1),Avg!$A$2:$A$50,0)),"")</f>
        <v/>
      </c>
    </row>
    <row r="100" ht="15.75" customHeight="1">
      <c r="A100" s="7" t="s">
        <v>167</v>
      </c>
      <c r="B100" s="7" t="s">
        <v>160</v>
      </c>
      <c r="C100" s="8" t="s">
        <v>40</v>
      </c>
      <c r="D100" s="9">
        <f>IF(SUMPRODUCT((Data!$D$2:$D$2277=A100)*(Data!$E$2:$E$2277=C100)*(Data!$M$2:$M$2277="Vladimir Zelenskiy"))&gt;0,SUMPRODUCT((Data!$D$2:$D$2277=A100)*(Data!$E$2:$E$2277=C100)*(Data!$M$2:$M$2277="Vladimir Zelenskiy")*IF(ISNUMBER(Data!$W$2:$W$2277),Data!$W$2:$W$2277,0))/SUMPRODUCT((Data!$D$2:$D$2277=A100)*(Data!$E$2:$E$2277=C100)*(Data!$M$2:$M$2277="Vladimir Zelenskiy")),"")</f>
        <v>25.1</v>
      </c>
      <c r="E100" s="9" t="str">
        <f>IF(SUMPRODUCT((Data!$D$2:$D$2277=A100)*(Data!$E$2:$E$2277=C100)*(Data!$M$2:$M$2277="Valerii Zaluzhniy"))&gt;0,SUMPRODUCT((Data!$D$2:$D$2277=A100)*(Data!$E$2:$E$2277=C100)*(Data!$M$2:$M$2277="Valerii Zaluzhniy")*IF(ISNUMBER(Data!$W$2:$W$2277),Data!$W$2:$W$2277,0))/SUMPRODUCT((Data!$D$2:$D$2277=A100)*(Data!$E$2:$E$2277=C100)*(Data!$M$2:$M$2277="Valerii Zaluzhniy")),"")</f>
        <v/>
      </c>
      <c r="F100" s="9" t="str">
        <f>IF(SUMPRODUCT((Data!$D$2:$D$2277=A100)*(Data!$E$2:$E$2277=C100)*(Data!$M$2:$M$2277="Kyrylo Budanov"))&gt;0,SUMPRODUCT((Data!$D$2:$D$2277=A100)*(Data!$E$2:$E$2277=C100)*(Data!$M$2:$M$2277="Kyrylo Budanov")*IF(ISNUMBER(Data!$W$2:$W$2277),Data!$W$2:$W$2277,0))/SUMPRODUCT((Data!$D$2:$D$2277=A100)*(Data!$E$2:$E$2277=C100)*(Data!$M$2:$M$2277="Kyrylo Budanov")),"")</f>
        <v/>
      </c>
      <c r="G100" s="9">
        <f>IF(SUMPRODUCT((Data!$D$2:$D$2277=A100)*(Data!$E$2:$E$2277=C100)*(Data!$M$2:$M$2277="Pyotr Poroshenko"))&gt;0,SUMPRODUCT((Data!$D$2:$D$2277=A100)*(Data!$E$2:$E$2277=C100)*(Data!$M$2:$M$2277="Pyotr Poroshenko")*IF(ISNUMBER(Data!$W$2:$W$2277),Data!$W$2:$W$2277,0))/SUMPRODUCT((Data!$D$2:$D$2277=A100)*(Data!$E$2:$E$2277=C100)*(Data!$M$2:$M$2277="Pyotr Poroshenko")),"")</f>
        <v>14.1</v>
      </c>
      <c r="H100" s="10" t="str">
        <f t="array" ref="H100">IFERROR(INDEX(Avg!$F$2:$F$50,MATCH(DATE(YEAR(A100),MONTH(A100),1),Avg!$A$2:$A$50,0)),"")</f>
        <v/>
      </c>
      <c r="I100" s="10" t="str">
        <f t="array" ref="I100">IFERROR(INDEX(Avg!$G$2:$G$50,MATCH(DATE(YEAR(A100),MONTH(A100),1),Avg!$A$2:$A$50,0)),"")</f>
        <v/>
      </c>
      <c r="J100" s="10" t="str">
        <f t="array" ref="J100">IFERROR(INDEX(Avg!$H$2:$H$50,MATCH(DATE(YEAR(A100),MONTH(A100),1),Avg!$A$2:$A$50,0)),"")</f>
        <v/>
      </c>
      <c r="K100" s="10" t="str">
        <f t="array" ref="K100">IFERROR(INDEX(Avg!$I$2:$I$50,MATCH(DATE(YEAR(A100),MONTH(A100),1),Avg!$A$2:$A$50,0)),"")</f>
        <v/>
      </c>
      <c r="L100" s="11" t="str">
        <f t="array" ref="L100">IFERROR(INDEX(Avg!$L$2:$L$50,MATCH(DATE(YEAR(A100),MONTH(A100),1),Avg!$A$2:$A$50,0)),"")</f>
        <v/>
      </c>
      <c r="M100" s="11" t="str">
        <f t="array" ref="M100">IFERROR(INDEX(Avg!$M$2:$M$50,MATCH(DATE(YEAR(A100),MONTH(A100),1),Avg!$A$2:$A$50,0)),"")</f>
        <v/>
      </c>
      <c r="N100" s="11" t="str">
        <f t="array" ref="N100">IFERROR(INDEX(Avg!$N$2:$N$50,MATCH(DATE(YEAR(A100),MONTH(A100),1),Avg!$A$2:$A$50,0)),"")</f>
        <v/>
      </c>
      <c r="O100" s="11" t="str">
        <f t="array" ref="O100">IFERROR(INDEX(Avg!$O$2:$O$50,MATCH(DATE(YEAR(A100),MONTH(A100),1),Avg!$A$2:$A$50,0)),"")</f>
        <v/>
      </c>
    </row>
    <row r="101" ht="15.75" customHeight="1">
      <c r="A101" s="7" t="s">
        <v>168</v>
      </c>
      <c r="B101" s="7" t="s">
        <v>160</v>
      </c>
      <c r="C101" s="8" t="s">
        <v>20</v>
      </c>
      <c r="D101" s="9">
        <f>IF(SUMPRODUCT((Data!$D$2:$D$2277=A101)*(Data!$E$2:$E$2277=C101)*(Data!$M$2:$M$2277="Vladimir Zelenskiy"))&gt;0,SUMPRODUCT((Data!$D$2:$D$2277=A101)*(Data!$E$2:$E$2277=C101)*(Data!$M$2:$M$2277="Vladimir Zelenskiy")*IF(ISNUMBER(Data!$W$2:$W$2277),Data!$W$2:$W$2277,0))/SUMPRODUCT((Data!$D$2:$D$2277=A101)*(Data!$E$2:$E$2277=C101)*(Data!$M$2:$M$2277="Vladimir Zelenskiy")),"")</f>
        <v>25.4</v>
      </c>
      <c r="E101" s="9" t="str">
        <f>IF(SUMPRODUCT((Data!$D$2:$D$2277=A101)*(Data!$E$2:$E$2277=C101)*(Data!$M$2:$M$2277="Valerii Zaluzhniy"))&gt;0,SUMPRODUCT((Data!$D$2:$D$2277=A101)*(Data!$E$2:$E$2277=C101)*(Data!$M$2:$M$2277="Valerii Zaluzhniy")*IF(ISNUMBER(Data!$W$2:$W$2277),Data!$W$2:$W$2277,0))/SUMPRODUCT((Data!$D$2:$D$2277=A101)*(Data!$E$2:$E$2277=C101)*(Data!$M$2:$M$2277="Valerii Zaluzhniy")),"")</f>
        <v/>
      </c>
      <c r="F101" s="9" t="str">
        <f>IF(SUMPRODUCT((Data!$D$2:$D$2277=A101)*(Data!$E$2:$E$2277=C101)*(Data!$M$2:$M$2277="Kyrylo Budanov"))&gt;0,SUMPRODUCT((Data!$D$2:$D$2277=A101)*(Data!$E$2:$E$2277=C101)*(Data!$M$2:$M$2277="Kyrylo Budanov")*IF(ISNUMBER(Data!$W$2:$W$2277),Data!$W$2:$W$2277,0))/SUMPRODUCT((Data!$D$2:$D$2277=A101)*(Data!$E$2:$E$2277=C101)*(Data!$M$2:$M$2277="Kyrylo Budanov")),"")</f>
        <v/>
      </c>
      <c r="G101" s="9">
        <f>IF(SUMPRODUCT((Data!$D$2:$D$2277=A101)*(Data!$E$2:$E$2277=C101)*(Data!$M$2:$M$2277="Pyotr Poroshenko"))&gt;0,SUMPRODUCT((Data!$D$2:$D$2277=A101)*(Data!$E$2:$E$2277=C101)*(Data!$M$2:$M$2277="Pyotr Poroshenko")*IF(ISNUMBER(Data!$W$2:$W$2277),Data!$W$2:$W$2277,0))/SUMPRODUCT((Data!$D$2:$D$2277=A101)*(Data!$E$2:$E$2277=C101)*(Data!$M$2:$M$2277="Pyotr Poroshenko")),"")</f>
        <v>16.4</v>
      </c>
      <c r="H101" s="10" t="str">
        <f t="array" ref="H101">IFERROR(INDEX(Avg!$F$2:$F$50,MATCH(DATE(YEAR(A101),MONTH(A101),1),Avg!$A$2:$A$50,0)),"")</f>
        <v/>
      </c>
      <c r="I101" s="10" t="str">
        <f t="array" ref="I101">IFERROR(INDEX(Avg!$G$2:$G$50,MATCH(DATE(YEAR(A101),MONTH(A101),1),Avg!$A$2:$A$50,0)),"")</f>
        <v/>
      </c>
      <c r="J101" s="10" t="str">
        <f t="array" ref="J101">IFERROR(INDEX(Avg!$H$2:$H$50,MATCH(DATE(YEAR(A101),MONTH(A101),1),Avg!$A$2:$A$50,0)),"")</f>
        <v/>
      </c>
      <c r="K101" s="10" t="str">
        <f t="array" ref="K101">IFERROR(INDEX(Avg!$I$2:$I$50,MATCH(DATE(YEAR(A101),MONTH(A101),1),Avg!$A$2:$A$50,0)),"")</f>
        <v/>
      </c>
      <c r="L101" s="11" t="str">
        <f t="array" ref="L101">IFERROR(INDEX(Avg!$L$2:$L$50,MATCH(DATE(YEAR(A101),MONTH(A101),1),Avg!$A$2:$A$50,0)),"")</f>
        <v/>
      </c>
      <c r="M101" s="11" t="str">
        <f t="array" ref="M101">IFERROR(INDEX(Avg!$M$2:$M$50,MATCH(DATE(YEAR(A101),MONTH(A101),1),Avg!$A$2:$A$50,0)),"")</f>
        <v/>
      </c>
      <c r="N101" s="11" t="str">
        <f t="array" ref="N101">IFERROR(INDEX(Avg!$N$2:$N$50,MATCH(DATE(YEAR(A101),MONTH(A101),1),Avg!$A$2:$A$50,0)),"")</f>
        <v/>
      </c>
      <c r="O101" s="11" t="str">
        <f t="array" ref="O101">IFERROR(INDEX(Avg!$O$2:$O$50,MATCH(DATE(YEAR(A101),MONTH(A101),1),Avg!$A$2:$A$50,0)),"")</f>
        <v/>
      </c>
    </row>
    <row r="102" ht="15.75" customHeight="1">
      <c r="A102" s="7" t="s">
        <v>169</v>
      </c>
      <c r="B102" s="7" t="s">
        <v>160</v>
      </c>
      <c r="C102" s="8" t="s">
        <v>17</v>
      </c>
      <c r="D102" s="9">
        <f>IF(SUMPRODUCT((Data!$D$2:$D$2277=A102)*(Data!$E$2:$E$2277=C102)*(Data!$M$2:$M$2277="Vladimir Zelenskiy"))&gt;0,SUMPRODUCT((Data!$D$2:$D$2277=A102)*(Data!$E$2:$E$2277=C102)*(Data!$M$2:$M$2277="Vladimir Zelenskiy")*IF(ISNUMBER(Data!$W$2:$W$2277),Data!$W$2:$W$2277,0))/SUMPRODUCT((Data!$D$2:$D$2277=A102)*(Data!$E$2:$E$2277=C102)*(Data!$M$2:$M$2277="Vladimir Zelenskiy")),"")</f>
        <v>19.57894737</v>
      </c>
      <c r="E102" s="9" t="str">
        <f>IF(SUMPRODUCT((Data!$D$2:$D$2277=A102)*(Data!$E$2:$E$2277=C102)*(Data!$M$2:$M$2277="Valerii Zaluzhniy"))&gt;0,SUMPRODUCT((Data!$D$2:$D$2277=A102)*(Data!$E$2:$E$2277=C102)*(Data!$M$2:$M$2277="Valerii Zaluzhniy")*IF(ISNUMBER(Data!$W$2:$W$2277),Data!$W$2:$W$2277,0))/SUMPRODUCT((Data!$D$2:$D$2277=A102)*(Data!$E$2:$E$2277=C102)*(Data!$M$2:$M$2277="Valerii Zaluzhniy")),"")</f>
        <v/>
      </c>
      <c r="F102" s="9" t="str">
        <f>IF(SUMPRODUCT((Data!$D$2:$D$2277=A102)*(Data!$E$2:$E$2277=C102)*(Data!$M$2:$M$2277="Kyrylo Budanov"))&gt;0,SUMPRODUCT((Data!$D$2:$D$2277=A102)*(Data!$E$2:$E$2277=C102)*(Data!$M$2:$M$2277="Kyrylo Budanov")*IF(ISNUMBER(Data!$W$2:$W$2277),Data!$W$2:$W$2277,0))/SUMPRODUCT((Data!$D$2:$D$2277=A102)*(Data!$E$2:$E$2277=C102)*(Data!$M$2:$M$2277="Kyrylo Budanov")),"")</f>
        <v/>
      </c>
      <c r="G102" s="9">
        <f>IF(SUMPRODUCT((Data!$D$2:$D$2277=A102)*(Data!$E$2:$E$2277=C102)*(Data!$M$2:$M$2277="Pyotr Poroshenko"))&gt;0,SUMPRODUCT((Data!$D$2:$D$2277=A102)*(Data!$E$2:$E$2277=C102)*(Data!$M$2:$M$2277="Pyotr Poroshenko")*IF(ISNUMBER(Data!$W$2:$W$2277),Data!$W$2:$W$2277,0))/SUMPRODUCT((Data!$D$2:$D$2277=A102)*(Data!$E$2:$E$2277=C102)*(Data!$M$2:$M$2277="Pyotr Poroshenko")),"")</f>
        <v>13.26315789</v>
      </c>
      <c r="H102" s="10" t="str">
        <f t="array" ref="H102">IFERROR(INDEX(Avg!$F$2:$F$50,MATCH(DATE(YEAR(A102),MONTH(A102),1),Avg!$A$2:$A$50,0)),"")</f>
        <v/>
      </c>
      <c r="I102" s="10" t="str">
        <f t="array" ref="I102">IFERROR(INDEX(Avg!$G$2:$G$50,MATCH(DATE(YEAR(A102),MONTH(A102),1),Avg!$A$2:$A$50,0)),"")</f>
        <v/>
      </c>
      <c r="J102" s="10" t="str">
        <f t="array" ref="J102">IFERROR(INDEX(Avg!$H$2:$H$50,MATCH(DATE(YEAR(A102),MONTH(A102),1),Avg!$A$2:$A$50,0)),"")</f>
        <v/>
      </c>
      <c r="K102" s="10" t="str">
        <f t="array" ref="K102">IFERROR(INDEX(Avg!$I$2:$I$50,MATCH(DATE(YEAR(A102),MONTH(A102),1),Avg!$A$2:$A$50,0)),"")</f>
        <v/>
      </c>
      <c r="L102" s="11" t="str">
        <f t="array" ref="L102">IFERROR(INDEX(Avg!$L$2:$L$50,MATCH(DATE(YEAR(A102),MONTH(A102),1),Avg!$A$2:$A$50,0)),"")</f>
        <v/>
      </c>
      <c r="M102" s="11" t="str">
        <f t="array" ref="M102">IFERROR(INDEX(Avg!$M$2:$M$50,MATCH(DATE(YEAR(A102),MONTH(A102),1),Avg!$A$2:$A$50,0)),"")</f>
        <v/>
      </c>
      <c r="N102" s="11" t="str">
        <f t="array" ref="N102">IFERROR(INDEX(Avg!$N$2:$N$50,MATCH(DATE(YEAR(A102),MONTH(A102),1),Avg!$A$2:$A$50,0)),"")</f>
        <v/>
      </c>
      <c r="O102" s="11" t="str">
        <f t="array" ref="O102">IFERROR(INDEX(Avg!$O$2:$O$50,MATCH(DATE(YEAR(A102),MONTH(A102),1),Avg!$A$2:$A$50,0)),"")</f>
        <v/>
      </c>
    </row>
    <row r="103" ht="15.75" customHeight="1">
      <c r="A103" s="7" t="s">
        <v>170</v>
      </c>
      <c r="B103" s="7" t="s">
        <v>171</v>
      </c>
      <c r="C103" s="8" t="s">
        <v>172</v>
      </c>
      <c r="D103" s="9">
        <f>IF(SUMPRODUCT((Data!$D$2:$D$2277=A103)*(Data!$E$2:$E$2277=C103)*(Data!$M$2:$M$2277="Vladimir Zelenskiy"))&gt;0,SUMPRODUCT((Data!$D$2:$D$2277=A103)*(Data!$E$2:$E$2277=C103)*(Data!$M$2:$M$2277="Vladimir Zelenskiy")*IF(ISNUMBER(Data!$W$2:$W$2277),Data!$W$2:$W$2277,0))/SUMPRODUCT((Data!$D$2:$D$2277=A103)*(Data!$E$2:$E$2277=C103)*(Data!$M$2:$M$2277="Vladimir Zelenskiy")),"")</f>
        <v>25</v>
      </c>
      <c r="E103" s="9" t="str">
        <f>IF(SUMPRODUCT((Data!$D$2:$D$2277=A103)*(Data!$E$2:$E$2277=C103)*(Data!$M$2:$M$2277="Valerii Zaluzhniy"))&gt;0,SUMPRODUCT((Data!$D$2:$D$2277=A103)*(Data!$E$2:$E$2277=C103)*(Data!$M$2:$M$2277="Valerii Zaluzhniy")*IF(ISNUMBER(Data!$W$2:$W$2277),Data!$W$2:$W$2277,0))/SUMPRODUCT((Data!$D$2:$D$2277=A103)*(Data!$E$2:$E$2277=C103)*(Data!$M$2:$M$2277="Valerii Zaluzhniy")),"")</f>
        <v/>
      </c>
      <c r="F103" s="9" t="str">
        <f>IF(SUMPRODUCT((Data!$D$2:$D$2277=A103)*(Data!$E$2:$E$2277=C103)*(Data!$M$2:$M$2277="Kyrylo Budanov"))&gt;0,SUMPRODUCT((Data!$D$2:$D$2277=A103)*(Data!$E$2:$E$2277=C103)*(Data!$M$2:$M$2277="Kyrylo Budanov")*IF(ISNUMBER(Data!$W$2:$W$2277),Data!$W$2:$W$2277,0))/SUMPRODUCT((Data!$D$2:$D$2277=A103)*(Data!$E$2:$E$2277=C103)*(Data!$M$2:$M$2277="Kyrylo Budanov")),"")</f>
        <v/>
      </c>
      <c r="G103" s="9">
        <f>IF(SUMPRODUCT((Data!$D$2:$D$2277=A103)*(Data!$E$2:$E$2277=C103)*(Data!$M$2:$M$2277="Pyotr Poroshenko"))&gt;0,SUMPRODUCT((Data!$D$2:$D$2277=A103)*(Data!$E$2:$E$2277=C103)*(Data!$M$2:$M$2277="Pyotr Poroshenko")*IF(ISNUMBER(Data!$W$2:$W$2277),Data!$W$2:$W$2277,0))/SUMPRODUCT((Data!$D$2:$D$2277=A103)*(Data!$E$2:$E$2277=C103)*(Data!$M$2:$M$2277="Pyotr Poroshenko")),"")</f>
        <v>13</v>
      </c>
      <c r="H103" s="10" t="str">
        <f t="array" ref="H103">IFERROR(INDEX(Avg!$F$2:$F$50,MATCH(DATE(YEAR(A103),MONTH(A103),1),Avg!$A$2:$A$50,0)),"")</f>
        <v/>
      </c>
      <c r="I103" s="10" t="str">
        <f t="array" ref="I103">IFERROR(INDEX(Avg!$G$2:$G$50,MATCH(DATE(YEAR(A103),MONTH(A103),1),Avg!$A$2:$A$50,0)),"")</f>
        <v/>
      </c>
      <c r="J103" s="10" t="str">
        <f t="array" ref="J103">IFERROR(INDEX(Avg!$H$2:$H$50,MATCH(DATE(YEAR(A103),MONTH(A103),1),Avg!$A$2:$A$50,0)),"")</f>
        <v/>
      </c>
      <c r="K103" s="10" t="str">
        <f t="array" ref="K103">IFERROR(INDEX(Avg!$I$2:$I$50,MATCH(DATE(YEAR(A103),MONTH(A103),1),Avg!$A$2:$A$50,0)),"")</f>
        <v/>
      </c>
      <c r="L103" s="11" t="str">
        <f t="array" ref="L103">IFERROR(INDEX(Avg!$L$2:$L$50,MATCH(DATE(YEAR(A103),MONTH(A103),1),Avg!$A$2:$A$50,0)),"")</f>
        <v/>
      </c>
      <c r="M103" s="11" t="str">
        <f t="array" ref="M103">IFERROR(INDEX(Avg!$M$2:$M$50,MATCH(DATE(YEAR(A103),MONTH(A103),1),Avg!$A$2:$A$50,0)),"")</f>
        <v/>
      </c>
      <c r="N103" s="11" t="str">
        <f t="array" ref="N103">IFERROR(INDEX(Avg!$N$2:$N$50,MATCH(DATE(YEAR(A103),MONTH(A103),1),Avg!$A$2:$A$50,0)),"")</f>
        <v/>
      </c>
      <c r="O103" s="11" t="str">
        <f t="array" ref="O103">IFERROR(INDEX(Avg!$O$2:$O$50,MATCH(DATE(YEAR(A103),MONTH(A103),1),Avg!$A$2:$A$50,0)),"")</f>
        <v/>
      </c>
    </row>
    <row r="104" ht="15.75" customHeight="1">
      <c r="A104" s="7" t="s">
        <v>173</v>
      </c>
      <c r="B104" s="7" t="s">
        <v>171</v>
      </c>
      <c r="C104" s="8" t="s">
        <v>106</v>
      </c>
      <c r="D104" s="9">
        <f>IF(SUMPRODUCT((Data!$D$2:$D$2277=A104)*(Data!$E$2:$E$2277=C104)*(Data!$M$2:$M$2277="Vladimir Zelenskiy"))&gt;0,SUMPRODUCT((Data!$D$2:$D$2277=A104)*(Data!$E$2:$E$2277=C104)*(Data!$M$2:$M$2277="Vladimir Zelenskiy")*IF(ISNUMBER(Data!$W$2:$W$2277),Data!$W$2:$W$2277,0))/SUMPRODUCT((Data!$D$2:$D$2277=A104)*(Data!$E$2:$E$2277=C104)*(Data!$M$2:$M$2277="Vladimir Zelenskiy")),"")</f>
        <v>25.7</v>
      </c>
      <c r="E104" s="9" t="str">
        <f>IF(SUMPRODUCT((Data!$D$2:$D$2277=A104)*(Data!$E$2:$E$2277=C104)*(Data!$M$2:$M$2277="Valerii Zaluzhniy"))&gt;0,SUMPRODUCT((Data!$D$2:$D$2277=A104)*(Data!$E$2:$E$2277=C104)*(Data!$M$2:$M$2277="Valerii Zaluzhniy")*IF(ISNUMBER(Data!$W$2:$W$2277),Data!$W$2:$W$2277,0))/SUMPRODUCT((Data!$D$2:$D$2277=A104)*(Data!$E$2:$E$2277=C104)*(Data!$M$2:$M$2277="Valerii Zaluzhniy")),"")</f>
        <v/>
      </c>
      <c r="F104" s="9" t="str">
        <f>IF(SUMPRODUCT((Data!$D$2:$D$2277=A104)*(Data!$E$2:$E$2277=C104)*(Data!$M$2:$M$2277="Kyrylo Budanov"))&gt;0,SUMPRODUCT((Data!$D$2:$D$2277=A104)*(Data!$E$2:$E$2277=C104)*(Data!$M$2:$M$2277="Kyrylo Budanov")*IF(ISNUMBER(Data!$W$2:$W$2277),Data!$W$2:$W$2277,0))/SUMPRODUCT((Data!$D$2:$D$2277=A104)*(Data!$E$2:$E$2277=C104)*(Data!$M$2:$M$2277="Kyrylo Budanov")),"")</f>
        <v/>
      </c>
      <c r="G104" s="9">
        <f>IF(SUMPRODUCT((Data!$D$2:$D$2277=A104)*(Data!$E$2:$E$2277=C104)*(Data!$M$2:$M$2277="Pyotr Poroshenko"))&gt;0,SUMPRODUCT((Data!$D$2:$D$2277=A104)*(Data!$E$2:$E$2277=C104)*(Data!$M$2:$M$2277="Pyotr Poroshenko")*IF(ISNUMBER(Data!$W$2:$W$2277),Data!$W$2:$W$2277,0))/SUMPRODUCT((Data!$D$2:$D$2277=A104)*(Data!$E$2:$E$2277=C104)*(Data!$M$2:$M$2277="Pyotr Poroshenko")),"")</f>
        <v>14</v>
      </c>
      <c r="H104" s="10" t="str">
        <f t="array" ref="H104">IFERROR(INDEX(Avg!$F$2:$F$50,MATCH(DATE(YEAR(A104),MONTH(A104),1),Avg!$A$2:$A$50,0)),"")</f>
        <v/>
      </c>
      <c r="I104" s="10" t="str">
        <f t="array" ref="I104">IFERROR(INDEX(Avg!$G$2:$G$50,MATCH(DATE(YEAR(A104),MONTH(A104),1),Avg!$A$2:$A$50,0)),"")</f>
        <v/>
      </c>
      <c r="J104" s="10" t="str">
        <f t="array" ref="J104">IFERROR(INDEX(Avg!$H$2:$H$50,MATCH(DATE(YEAR(A104),MONTH(A104),1),Avg!$A$2:$A$50,0)),"")</f>
        <v/>
      </c>
      <c r="K104" s="10" t="str">
        <f t="array" ref="K104">IFERROR(INDEX(Avg!$I$2:$I$50,MATCH(DATE(YEAR(A104),MONTH(A104),1),Avg!$A$2:$A$50,0)),"")</f>
        <v/>
      </c>
      <c r="L104" s="11" t="str">
        <f t="array" ref="L104">IFERROR(INDEX(Avg!$L$2:$L$50,MATCH(DATE(YEAR(A104),MONTH(A104),1),Avg!$A$2:$A$50,0)),"")</f>
        <v/>
      </c>
      <c r="M104" s="11" t="str">
        <f t="array" ref="M104">IFERROR(INDEX(Avg!$M$2:$M$50,MATCH(DATE(YEAR(A104),MONTH(A104),1),Avg!$A$2:$A$50,0)),"")</f>
        <v/>
      </c>
      <c r="N104" s="11" t="str">
        <f t="array" ref="N104">IFERROR(INDEX(Avg!$N$2:$N$50,MATCH(DATE(YEAR(A104),MONTH(A104),1),Avg!$A$2:$A$50,0)),"")</f>
        <v/>
      </c>
      <c r="O104" s="11" t="str">
        <f t="array" ref="O104">IFERROR(INDEX(Avg!$O$2:$O$50,MATCH(DATE(YEAR(A104),MONTH(A104),1),Avg!$A$2:$A$50,0)),"")</f>
        <v/>
      </c>
    </row>
    <row r="105" ht="15.75" customHeight="1">
      <c r="A105" s="7" t="s">
        <v>174</v>
      </c>
      <c r="B105" s="7" t="s">
        <v>171</v>
      </c>
      <c r="C105" s="8" t="s">
        <v>72</v>
      </c>
      <c r="D105" s="9">
        <f>IF(SUMPRODUCT((Data!$D$2:$D$2277=A105)*(Data!$E$2:$E$2277=C105)*(Data!$M$2:$M$2277="Vladimir Zelenskiy"))&gt;0,SUMPRODUCT((Data!$D$2:$D$2277=A105)*(Data!$E$2:$E$2277=C105)*(Data!$M$2:$M$2277="Vladimir Zelenskiy")*IF(ISNUMBER(Data!$W$2:$W$2277),Data!$W$2:$W$2277,0))/SUMPRODUCT((Data!$D$2:$D$2277=A105)*(Data!$E$2:$E$2277=C105)*(Data!$M$2:$M$2277="Vladimir Zelenskiy")),"")</f>
        <v>24.7</v>
      </c>
      <c r="E105" s="9" t="str">
        <f>IF(SUMPRODUCT((Data!$D$2:$D$2277=A105)*(Data!$E$2:$E$2277=C105)*(Data!$M$2:$M$2277="Valerii Zaluzhniy"))&gt;0,SUMPRODUCT((Data!$D$2:$D$2277=A105)*(Data!$E$2:$E$2277=C105)*(Data!$M$2:$M$2277="Valerii Zaluzhniy")*IF(ISNUMBER(Data!$W$2:$W$2277),Data!$W$2:$W$2277,0))/SUMPRODUCT((Data!$D$2:$D$2277=A105)*(Data!$E$2:$E$2277=C105)*(Data!$M$2:$M$2277="Valerii Zaluzhniy")),"")</f>
        <v/>
      </c>
      <c r="F105" s="9" t="str">
        <f>IF(SUMPRODUCT((Data!$D$2:$D$2277=A105)*(Data!$E$2:$E$2277=C105)*(Data!$M$2:$M$2277="Kyrylo Budanov"))&gt;0,SUMPRODUCT((Data!$D$2:$D$2277=A105)*(Data!$E$2:$E$2277=C105)*(Data!$M$2:$M$2277="Kyrylo Budanov")*IF(ISNUMBER(Data!$W$2:$W$2277),Data!$W$2:$W$2277,0))/SUMPRODUCT((Data!$D$2:$D$2277=A105)*(Data!$E$2:$E$2277=C105)*(Data!$M$2:$M$2277="Kyrylo Budanov")),"")</f>
        <v/>
      </c>
      <c r="G105" s="9">
        <f>IF(SUMPRODUCT((Data!$D$2:$D$2277=A105)*(Data!$E$2:$E$2277=C105)*(Data!$M$2:$M$2277="Pyotr Poroshenko"))&gt;0,SUMPRODUCT((Data!$D$2:$D$2277=A105)*(Data!$E$2:$E$2277=C105)*(Data!$M$2:$M$2277="Pyotr Poroshenko")*IF(ISNUMBER(Data!$W$2:$W$2277),Data!$W$2:$W$2277,0))/SUMPRODUCT((Data!$D$2:$D$2277=A105)*(Data!$E$2:$E$2277=C105)*(Data!$M$2:$M$2277="Pyotr Poroshenko")),"")</f>
        <v>15.6</v>
      </c>
      <c r="H105" s="10" t="str">
        <f t="array" ref="H105">IFERROR(INDEX(Avg!$F$2:$F$50,MATCH(DATE(YEAR(A105),MONTH(A105),1),Avg!$A$2:$A$50,0)),"")</f>
        <v/>
      </c>
      <c r="I105" s="10" t="str">
        <f t="array" ref="I105">IFERROR(INDEX(Avg!$G$2:$G$50,MATCH(DATE(YEAR(A105),MONTH(A105),1),Avg!$A$2:$A$50,0)),"")</f>
        <v/>
      </c>
      <c r="J105" s="10" t="str">
        <f t="array" ref="J105">IFERROR(INDEX(Avg!$H$2:$H$50,MATCH(DATE(YEAR(A105),MONTH(A105),1),Avg!$A$2:$A$50,0)),"")</f>
        <v/>
      </c>
      <c r="K105" s="10" t="str">
        <f t="array" ref="K105">IFERROR(INDEX(Avg!$I$2:$I$50,MATCH(DATE(YEAR(A105),MONTH(A105),1),Avg!$A$2:$A$50,0)),"")</f>
        <v/>
      </c>
      <c r="L105" s="11" t="str">
        <f t="array" ref="L105">IFERROR(INDEX(Avg!$L$2:$L$50,MATCH(DATE(YEAR(A105),MONTH(A105),1),Avg!$A$2:$A$50,0)),"")</f>
        <v/>
      </c>
      <c r="M105" s="11" t="str">
        <f t="array" ref="M105">IFERROR(INDEX(Avg!$M$2:$M$50,MATCH(DATE(YEAR(A105),MONTH(A105),1),Avg!$A$2:$A$50,0)),"")</f>
        <v/>
      </c>
      <c r="N105" s="11" t="str">
        <f t="array" ref="N105">IFERROR(INDEX(Avg!$N$2:$N$50,MATCH(DATE(YEAR(A105),MONTH(A105),1),Avg!$A$2:$A$50,0)),"")</f>
        <v/>
      </c>
      <c r="O105" s="11" t="str">
        <f t="array" ref="O105">IFERROR(INDEX(Avg!$O$2:$O$50,MATCH(DATE(YEAR(A105),MONTH(A105),1),Avg!$A$2:$A$50,0)),"")</f>
        <v/>
      </c>
    </row>
    <row r="106" ht="15.75" customHeight="1">
      <c r="A106" s="7" t="s">
        <v>175</v>
      </c>
      <c r="B106" s="7" t="s">
        <v>171</v>
      </c>
      <c r="C106" s="8" t="s">
        <v>158</v>
      </c>
      <c r="D106" s="9">
        <f>IF(SUMPRODUCT((Data!$D$2:$D$2277=A106)*(Data!$E$2:$E$2277=C106)*(Data!$M$2:$M$2277="Vladimir Zelenskiy"))&gt;0,SUMPRODUCT((Data!$D$2:$D$2277=A106)*(Data!$E$2:$E$2277=C106)*(Data!$M$2:$M$2277="Vladimir Zelenskiy")*IF(ISNUMBER(Data!$W$2:$W$2277),Data!$W$2:$W$2277,0))/SUMPRODUCT((Data!$D$2:$D$2277=A106)*(Data!$E$2:$E$2277=C106)*(Data!$M$2:$M$2277="Vladimir Zelenskiy")),"")</f>
        <v>25.2</v>
      </c>
      <c r="E106" s="9" t="str">
        <f>IF(SUMPRODUCT((Data!$D$2:$D$2277=A106)*(Data!$E$2:$E$2277=C106)*(Data!$M$2:$M$2277="Valerii Zaluzhniy"))&gt;0,SUMPRODUCT((Data!$D$2:$D$2277=A106)*(Data!$E$2:$E$2277=C106)*(Data!$M$2:$M$2277="Valerii Zaluzhniy")*IF(ISNUMBER(Data!$W$2:$W$2277),Data!$W$2:$W$2277,0))/SUMPRODUCT((Data!$D$2:$D$2277=A106)*(Data!$E$2:$E$2277=C106)*(Data!$M$2:$M$2277="Valerii Zaluzhniy")),"")</f>
        <v/>
      </c>
      <c r="F106" s="9" t="str">
        <f>IF(SUMPRODUCT((Data!$D$2:$D$2277=A106)*(Data!$E$2:$E$2277=C106)*(Data!$M$2:$M$2277="Kyrylo Budanov"))&gt;0,SUMPRODUCT((Data!$D$2:$D$2277=A106)*(Data!$E$2:$E$2277=C106)*(Data!$M$2:$M$2277="Kyrylo Budanov")*IF(ISNUMBER(Data!$W$2:$W$2277),Data!$W$2:$W$2277,0))/SUMPRODUCT((Data!$D$2:$D$2277=A106)*(Data!$E$2:$E$2277=C106)*(Data!$M$2:$M$2277="Kyrylo Budanov")),"")</f>
        <v/>
      </c>
      <c r="G106" s="9">
        <f>IF(SUMPRODUCT((Data!$D$2:$D$2277=A106)*(Data!$E$2:$E$2277=C106)*(Data!$M$2:$M$2277="Pyotr Poroshenko"))&gt;0,SUMPRODUCT((Data!$D$2:$D$2277=A106)*(Data!$E$2:$E$2277=C106)*(Data!$M$2:$M$2277="Pyotr Poroshenko")*IF(ISNUMBER(Data!$W$2:$W$2277),Data!$W$2:$W$2277,0))/SUMPRODUCT((Data!$D$2:$D$2277=A106)*(Data!$E$2:$E$2277=C106)*(Data!$M$2:$M$2277="Pyotr Poroshenko")),"")</f>
        <v>14.9</v>
      </c>
      <c r="H106" s="10" t="str">
        <f t="array" ref="H106">IFERROR(INDEX(Avg!$F$2:$F$50,MATCH(DATE(YEAR(A106),MONTH(A106),1),Avg!$A$2:$A$50,0)),"")</f>
        <v/>
      </c>
      <c r="I106" s="10" t="str">
        <f t="array" ref="I106">IFERROR(INDEX(Avg!$G$2:$G$50,MATCH(DATE(YEAR(A106),MONTH(A106),1),Avg!$A$2:$A$50,0)),"")</f>
        <v/>
      </c>
      <c r="J106" s="10" t="str">
        <f t="array" ref="J106">IFERROR(INDEX(Avg!$H$2:$H$50,MATCH(DATE(YEAR(A106),MONTH(A106),1),Avg!$A$2:$A$50,0)),"")</f>
        <v/>
      </c>
      <c r="K106" s="10" t="str">
        <f t="array" ref="K106">IFERROR(INDEX(Avg!$I$2:$I$50,MATCH(DATE(YEAR(A106),MONTH(A106),1),Avg!$A$2:$A$50,0)),"")</f>
        <v/>
      </c>
      <c r="L106" s="11" t="str">
        <f t="array" ref="L106">IFERROR(INDEX(Avg!$L$2:$L$50,MATCH(DATE(YEAR(A106),MONTH(A106),1),Avg!$A$2:$A$50,0)),"")</f>
        <v/>
      </c>
      <c r="M106" s="11" t="str">
        <f t="array" ref="M106">IFERROR(INDEX(Avg!$M$2:$M$50,MATCH(DATE(YEAR(A106),MONTH(A106),1),Avg!$A$2:$A$50,0)),"")</f>
        <v/>
      </c>
      <c r="N106" s="11" t="str">
        <f t="array" ref="N106">IFERROR(INDEX(Avg!$N$2:$N$50,MATCH(DATE(YEAR(A106),MONTH(A106),1),Avg!$A$2:$A$50,0)),"")</f>
        <v/>
      </c>
      <c r="O106" s="11" t="str">
        <f t="array" ref="O106">IFERROR(INDEX(Avg!$O$2:$O$50,MATCH(DATE(YEAR(A106),MONTH(A106),1),Avg!$A$2:$A$50,0)),"")</f>
        <v/>
      </c>
    </row>
    <row r="107" ht="15.75" customHeight="1">
      <c r="A107" s="7" t="s">
        <v>176</v>
      </c>
      <c r="B107" s="7" t="s">
        <v>177</v>
      </c>
      <c r="C107" s="8" t="s">
        <v>137</v>
      </c>
      <c r="D107" s="9">
        <f>IF(SUMPRODUCT((Data!$D$2:$D$2277=A107)*(Data!$E$2:$E$2277=C107)*(Data!$M$2:$M$2277="Vladimir Zelenskiy"))&gt;0,SUMPRODUCT((Data!$D$2:$D$2277=A107)*(Data!$E$2:$E$2277=C107)*(Data!$M$2:$M$2277="Vladimir Zelenskiy")*IF(ISNUMBER(Data!$W$2:$W$2277),Data!$W$2:$W$2277,0))/SUMPRODUCT((Data!$D$2:$D$2277=A107)*(Data!$E$2:$E$2277=C107)*(Data!$M$2:$M$2277="Vladimir Zelenskiy")),"")</f>
        <v>32</v>
      </c>
      <c r="E107" s="9" t="str">
        <f>IF(SUMPRODUCT((Data!$D$2:$D$2277=A107)*(Data!$E$2:$E$2277=C107)*(Data!$M$2:$M$2277="Valerii Zaluzhniy"))&gt;0,SUMPRODUCT((Data!$D$2:$D$2277=A107)*(Data!$E$2:$E$2277=C107)*(Data!$M$2:$M$2277="Valerii Zaluzhniy")*IF(ISNUMBER(Data!$W$2:$W$2277),Data!$W$2:$W$2277,0))/SUMPRODUCT((Data!$D$2:$D$2277=A107)*(Data!$E$2:$E$2277=C107)*(Data!$M$2:$M$2277="Valerii Zaluzhniy")),"")</f>
        <v/>
      </c>
      <c r="F107" s="9" t="str">
        <f>IF(SUMPRODUCT((Data!$D$2:$D$2277=A107)*(Data!$E$2:$E$2277=C107)*(Data!$M$2:$M$2277="Kyrylo Budanov"))&gt;0,SUMPRODUCT((Data!$D$2:$D$2277=A107)*(Data!$E$2:$E$2277=C107)*(Data!$M$2:$M$2277="Kyrylo Budanov")*IF(ISNUMBER(Data!$W$2:$W$2277),Data!$W$2:$W$2277,0))/SUMPRODUCT((Data!$D$2:$D$2277=A107)*(Data!$E$2:$E$2277=C107)*(Data!$M$2:$M$2277="Kyrylo Budanov")),"")</f>
        <v/>
      </c>
      <c r="G107" s="9">
        <f>IF(SUMPRODUCT((Data!$D$2:$D$2277=A107)*(Data!$E$2:$E$2277=C107)*(Data!$M$2:$M$2277="Pyotr Poroshenko"))&gt;0,SUMPRODUCT((Data!$D$2:$D$2277=A107)*(Data!$E$2:$E$2277=C107)*(Data!$M$2:$M$2277="Pyotr Poroshenko")*IF(ISNUMBER(Data!$W$2:$W$2277),Data!$W$2:$W$2277,0))/SUMPRODUCT((Data!$D$2:$D$2277=A107)*(Data!$E$2:$E$2277=C107)*(Data!$M$2:$M$2277="Pyotr Poroshenko")),"")</f>
        <v>12</v>
      </c>
      <c r="H107" s="10" t="str">
        <f t="array" ref="H107">IFERROR(INDEX(Avg!$F$2:$F$50,MATCH(DATE(YEAR(A107),MONTH(A107),1),Avg!$A$2:$A$50,0)),"")</f>
        <v/>
      </c>
      <c r="I107" s="10" t="str">
        <f t="array" ref="I107">IFERROR(INDEX(Avg!$G$2:$G$50,MATCH(DATE(YEAR(A107),MONTH(A107),1),Avg!$A$2:$A$50,0)),"")</f>
        <v/>
      </c>
      <c r="J107" s="10" t="str">
        <f t="array" ref="J107">IFERROR(INDEX(Avg!$H$2:$H$50,MATCH(DATE(YEAR(A107),MONTH(A107),1),Avg!$A$2:$A$50,0)),"")</f>
        <v/>
      </c>
      <c r="K107" s="10" t="str">
        <f t="array" ref="K107">IFERROR(INDEX(Avg!$I$2:$I$50,MATCH(DATE(YEAR(A107),MONTH(A107),1),Avg!$A$2:$A$50,0)),"")</f>
        <v/>
      </c>
      <c r="L107" s="11" t="str">
        <f t="array" ref="L107">IFERROR(INDEX(Avg!$L$2:$L$50,MATCH(DATE(YEAR(A107),MONTH(A107),1),Avg!$A$2:$A$50,0)),"")</f>
        <v/>
      </c>
      <c r="M107" s="11" t="str">
        <f t="array" ref="M107">IFERROR(INDEX(Avg!$M$2:$M$50,MATCH(DATE(YEAR(A107),MONTH(A107),1),Avg!$A$2:$A$50,0)),"")</f>
        <v/>
      </c>
      <c r="N107" s="11" t="str">
        <f t="array" ref="N107">IFERROR(INDEX(Avg!$N$2:$N$50,MATCH(DATE(YEAR(A107),MONTH(A107),1),Avg!$A$2:$A$50,0)),"")</f>
        <v/>
      </c>
      <c r="O107" s="11" t="str">
        <f t="array" ref="O107">IFERROR(INDEX(Avg!$O$2:$O$50,MATCH(DATE(YEAR(A107),MONTH(A107),1),Avg!$A$2:$A$50,0)),"")</f>
        <v/>
      </c>
    </row>
    <row r="108" ht="15.75" customHeight="1">
      <c r="A108" s="7" t="s">
        <v>178</v>
      </c>
      <c r="B108" s="7" t="s">
        <v>177</v>
      </c>
      <c r="C108" s="8" t="s">
        <v>72</v>
      </c>
      <c r="D108" s="9">
        <f>IF(SUMPRODUCT((Data!$D$2:$D$2277=A108)*(Data!$E$2:$E$2277=C108)*(Data!$M$2:$M$2277="Vladimir Zelenskiy"))&gt;0,SUMPRODUCT((Data!$D$2:$D$2277=A108)*(Data!$E$2:$E$2277=C108)*(Data!$M$2:$M$2277="Vladimir Zelenskiy")*IF(ISNUMBER(Data!$W$2:$W$2277),Data!$W$2:$W$2277,0))/SUMPRODUCT((Data!$D$2:$D$2277=A108)*(Data!$E$2:$E$2277=C108)*(Data!$M$2:$M$2277="Vladimir Zelenskiy")),"")</f>
        <v>33.3</v>
      </c>
      <c r="E108" s="9" t="str">
        <f>IF(SUMPRODUCT((Data!$D$2:$D$2277=A108)*(Data!$E$2:$E$2277=C108)*(Data!$M$2:$M$2277="Valerii Zaluzhniy"))&gt;0,SUMPRODUCT((Data!$D$2:$D$2277=A108)*(Data!$E$2:$E$2277=C108)*(Data!$M$2:$M$2277="Valerii Zaluzhniy")*IF(ISNUMBER(Data!$W$2:$W$2277),Data!$W$2:$W$2277,0))/SUMPRODUCT((Data!$D$2:$D$2277=A108)*(Data!$E$2:$E$2277=C108)*(Data!$M$2:$M$2277="Valerii Zaluzhniy")),"")</f>
        <v/>
      </c>
      <c r="F108" s="9" t="str">
        <f>IF(SUMPRODUCT((Data!$D$2:$D$2277=A108)*(Data!$E$2:$E$2277=C108)*(Data!$M$2:$M$2277="Kyrylo Budanov"))&gt;0,SUMPRODUCT((Data!$D$2:$D$2277=A108)*(Data!$E$2:$E$2277=C108)*(Data!$M$2:$M$2277="Kyrylo Budanov")*IF(ISNUMBER(Data!$W$2:$W$2277),Data!$W$2:$W$2277,0))/SUMPRODUCT((Data!$D$2:$D$2277=A108)*(Data!$E$2:$E$2277=C108)*(Data!$M$2:$M$2277="Kyrylo Budanov")),"")</f>
        <v/>
      </c>
      <c r="G108" s="9">
        <f>IF(SUMPRODUCT((Data!$D$2:$D$2277=A108)*(Data!$E$2:$E$2277=C108)*(Data!$M$2:$M$2277="Pyotr Poroshenko"))&gt;0,SUMPRODUCT((Data!$D$2:$D$2277=A108)*(Data!$E$2:$E$2277=C108)*(Data!$M$2:$M$2277="Pyotr Poroshenko")*IF(ISNUMBER(Data!$W$2:$W$2277),Data!$W$2:$W$2277,0))/SUMPRODUCT((Data!$D$2:$D$2277=A108)*(Data!$E$2:$E$2277=C108)*(Data!$M$2:$M$2277="Pyotr Poroshenko")),"")</f>
        <v>16.8</v>
      </c>
      <c r="H108" s="10" t="str">
        <f t="array" ref="H108">IFERROR(INDEX(Avg!$F$2:$F$50,MATCH(DATE(YEAR(A108),MONTH(A108),1),Avg!$A$2:$A$50,0)),"")</f>
        <v/>
      </c>
      <c r="I108" s="10" t="str">
        <f t="array" ref="I108">IFERROR(INDEX(Avg!$G$2:$G$50,MATCH(DATE(YEAR(A108),MONTH(A108),1),Avg!$A$2:$A$50,0)),"")</f>
        <v/>
      </c>
      <c r="J108" s="10" t="str">
        <f t="array" ref="J108">IFERROR(INDEX(Avg!$H$2:$H$50,MATCH(DATE(YEAR(A108),MONTH(A108),1),Avg!$A$2:$A$50,0)),"")</f>
        <v/>
      </c>
      <c r="K108" s="10" t="str">
        <f t="array" ref="K108">IFERROR(INDEX(Avg!$I$2:$I$50,MATCH(DATE(YEAR(A108),MONTH(A108),1),Avg!$A$2:$A$50,0)),"")</f>
        <v/>
      </c>
      <c r="L108" s="11" t="str">
        <f t="array" ref="L108">IFERROR(INDEX(Avg!$L$2:$L$50,MATCH(DATE(YEAR(A108),MONTH(A108),1),Avg!$A$2:$A$50,0)),"")</f>
        <v/>
      </c>
      <c r="M108" s="11" t="str">
        <f t="array" ref="M108">IFERROR(INDEX(Avg!$M$2:$M$50,MATCH(DATE(YEAR(A108),MONTH(A108),1),Avg!$A$2:$A$50,0)),"")</f>
        <v/>
      </c>
      <c r="N108" s="11" t="str">
        <f t="array" ref="N108">IFERROR(INDEX(Avg!$N$2:$N$50,MATCH(DATE(YEAR(A108),MONTH(A108),1),Avg!$A$2:$A$50,0)),"")</f>
        <v/>
      </c>
      <c r="O108" s="11" t="str">
        <f t="array" ref="O108">IFERROR(INDEX(Avg!$O$2:$O$50,MATCH(DATE(YEAR(A108),MONTH(A108),1),Avg!$A$2:$A$50,0)),"")</f>
        <v/>
      </c>
    </row>
    <row r="109" ht="15.75" customHeight="1">
      <c r="A109" s="7" t="s">
        <v>179</v>
      </c>
      <c r="B109" s="7" t="s">
        <v>177</v>
      </c>
      <c r="C109" s="8" t="s">
        <v>20</v>
      </c>
      <c r="D109" s="9">
        <f>IF(SUMPRODUCT((Data!$D$2:$D$2277=A109)*(Data!$E$2:$E$2277=C109)*(Data!$M$2:$M$2277="Vladimir Zelenskiy"))&gt;0,SUMPRODUCT((Data!$D$2:$D$2277=A109)*(Data!$E$2:$E$2277=C109)*(Data!$M$2:$M$2277="Vladimir Zelenskiy")*IF(ISNUMBER(Data!$W$2:$W$2277),Data!$W$2:$W$2277,0))/SUMPRODUCT((Data!$D$2:$D$2277=A109)*(Data!$E$2:$E$2277=C109)*(Data!$M$2:$M$2277="Vladimir Zelenskiy")),"")</f>
        <v>27.5</v>
      </c>
      <c r="E109" s="9" t="str">
        <f>IF(SUMPRODUCT((Data!$D$2:$D$2277=A109)*(Data!$E$2:$E$2277=C109)*(Data!$M$2:$M$2277="Valerii Zaluzhniy"))&gt;0,SUMPRODUCT((Data!$D$2:$D$2277=A109)*(Data!$E$2:$E$2277=C109)*(Data!$M$2:$M$2277="Valerii Zaluzhniy")*IF(ISNUMBER(Data!$W$2:$W$2277),Data!$W$2:$W$2277,0))/SUMPRODUCT((Data!$D$2:$D$2277=A109)*(Data!$E$2:$E$2277=C109)*(Data!$M$2:$M$2277="Valerii Zaluzhniy")),"")</f>
        <v/>
      </c>
      <c r="F109" s="9" t="str">
        <f>IF(SUMPRODUCT((Data!$D$2:$D$2277=A109)*(Data!$E$2:$E$2277=C109)*(Data!$M$2:$M$2277="Kyrylo Budanov"))&gt;0,SUMPRODUCT((Data!$D$2:$D$2277=A109)*(Data!$E$2:$E$2277=C109)*(Data!$M$2:$M$2277="Kyrylo Budanov")*IF(ISNUMBER(Data!$W$2:$W$2277),Data!$W$2:$W$2277,0))/SUMPRODUCT((Data!$D$2:$D$2277=A109)*(Data!$E$2:$E$2277=C109)*(Data!$M$2:$M$2277="Kyrylo Budanov")),"")</f>
        <v/>
      </c>
      <c r="G109" s="9">
        <f>IF(SUMPRODUCT((Data!$D$2:$D$2277=A109)*(Data!$E$2:$E$2277=C109)*(Data!$M$2:$M$2277="Pyotr Poroshenko"))&gt;0,SUMPRODUCT((Data!$D$2:$D$2277=A109)*(Data!$E$2:$E$2277=C109)*(Data!$M$2:$M$2277="Pyotr Poroshenko")*IF(ISNUMBER(Data!$W$2:$W$2277),Data!$W$2:$W$2277,0))/SUMPRODUCT((Data!$D$2:$D$2277=A109)*(Data!$E$2:$E$2277=C109)*(Data!$M$2:$M$2277="Pyotr Poroshenko")),"")</f>
        <v>14.3</v>
      </c>
      <c r="H109" s="10" t="str">
        <f t="array" ref="H109">IFERROR(INDEX(Avg!$F$2:$F$50,MATCH(DATE(YEAR(A109),MONTH(A109),1),Avg!$A$2:$A$50,0)),"")</f>
        <v/>
      </c>
      <c r="I109" s="10" t="str">
        <f t="array" ref="I109">IFERROR(INDEX(Avg!$G$2:$G$50,MATCH(DATE(YEAR(A109),MONTH(A109),1),Avg!$A$2:$A$50,0)),"")</f>
        <v/>
      </c>
      <c r="J109" s="10" t="str">
        <f t="array" ref="J109">IFERROR(INDEX(Avg!$H$2:$H$50,MATCH(DATE(YEAR(A109),MONTH(A109),1),Avg!$A$2:$A$50,0)),"")</f>
        <v/>
      </c>
      <c r="K109" s="10" t="str">
        <f t="array" ref="K109">IFERROR(INDEX(Avg!$I$2:$I$50,MATCH(DATE(YEAR(A109),MONTH(A109),1),Avg!$A$2:$A$50,0)),"")</f>
        <v/>
      </c>
      <c r="L109" s="11" t="str">
        <f t="array" ref="L109">IFERROR(INDEX(Avg!$L$2:$L$50,MATCH(DATE(YEAR(A109),MONTH(A109),1),Avg!$A$2:$A$50,0)),"")</f>
        <v/>
      </c>
      <c r="M109" s="11" t="str">
        <f t="array" ref="M109">IFERROR(INDEX(Avg!$M$2:$M$50,MATCH(DATE(YEAR(A109),MONTH(A109),1),Avg!$A$2:$A$50,0)),"")</f>
        <v/>
      </c>
      <c r="N109" s="11" t="str">
        <f t="array" ref="N109">IFERROR(INDEX(Avg!$N$2:$N$50,MATCH(DATE(YEAR(A109),MONTH(A109),1),Avg!$A$2:$A$50,0)),"")</f>
        <v/>
      </c>
      <c r="O109" s="11" t="str">
        <f t="array" ref="O109">IFERROR(INDEX(Avg!$O$2:$O$50,MATCH(DATE(YEAR(A109),MONTH(A109),1),Avg!$A$2:$A$50,0)),"")</f>
        <v/>
      </c>
    </row>
    <row r="110" ht="15.75" customHeight="1">
      <c r="A110" s="7" t="s">
        <v>180</v>
      </c>
      <c r="B110" s="7" t="s">
        <v>177</v>
      </c>
      <c r="C110" s="8" t="s">
        <v>40</v>
      </c>
      <c r="D110" s="9">
        <f>IF(SUMPRODUCT((Data!$D$2:$D$2277=A110)*(Data!$E$2:$E$2277=C110)*(Data!$M$2:$M$2277="Vladimir Zelenskiy"))&gt;0,SUMPRODUCT((Data!$D$2:$D$2277=A110)*(Data!$E$2:$E$2277=C110)*(Data!$M$2:$M$2277="Vladimir Zelenskiy")*IF(ISNUMBER(Data!$W$2:$W$2277),Data!$W$2:$W$2277,0))/SUMPRODUCT((Data!$D$2:$D$2277=A110)*(Data!$E$2:$E$2277=C110)*(Data!$M$2:$M$2277="Vladimir Zelenskiy")),"")</f>
        <v>31.1</v>
      </c>
      <c r="E110" s="9" t="str">
        <f>IF(SUMPRODUCT((Data!$D$2:$D$2277=A110)*(Data!$E$2:$E$2277=C110)*(Data!$M$2:$M$2277="Valerii Zaluzhniy"))&gt;0,SUMPRODUCT((Data!$D$2:$D$2277=A110)*(Data!$E$2:$E$2277=C110)*(Data!$M$2:$M$2277="Valerii Zaluzhniy")*IF(ISNUMBER(Data!$W$2:$W$2277),Data!$W$2:$W$2277,0))/SUMPRODUCT((Data!$D$2:$D$2277=A110)*(Data!$E$2:$E$2277=C110)*(Data!$M$2:$M$2277="Valerii Zaluzhniy")),"")</f>
        <v/>
      </c>
      <c r="F110" s="9" t="str">
        <f>IF(SUMPRODUCT((Data!$D$2:$D$2277=A110)*(Data!$E$2:$E$2277=C110)*(Data!$M$2:$M$2277="Kyrylo Budanov"))&gt;0,SUMPRODUCT((Data!$D$2:$D$2277=A110)*(Data!$E$2:$E$2277=C110)*(Data!$M$2:$M$2277="Kyrylo Budanov")*IF(ISNUMBER(Data!$W$2:$W$2277),Data!$W$2:$W$2277,0))/SUMPRODUCT((Data!$D$2:$D$2277=A110)*(Data!$E$2:$E$2277=C110)*(Data!$M$2:$M$2277="Kyrylo Budanov")),"")</f>
        <v/>
      </c>
      <c r="G110" s="9">
        <f>IF(SUMPRODUCT((Data!$D$2:$D$2277=A110)*(Data!$E$2:$E$2277=C110)*(Data!$M$2:$M$2277="Pyotr Poroshenko"))&gt;0,SUMPRODUCT((Data!$D$2:$D$2277=A110)*(Data!$E$2:$E$2277=C110)*(Data!$M$2:$M$2277="Pyotr Poroshenko")*IF(ISNUMBER(Data!$W$2:$W$2277),Data!$W$2:$W$2277,0))/SUMPRODUCT((Data!$D$2:$D$2277=A110)*(Data!$E$2:$E$2277=C110)*(Data!$M$2:$M$2277="Pyotr Poroshenko")),"")</f>
        <v>13.3</v>
      </c>
      <c r="H110" s="10" t="str">
        <f t="array" ref="H110">IFERROR(INDEX(Avg!$F$2:$F$50,MATCH(DATE(YEAR(A110),MONTH(A110),1),Avg!$A$2:$A$50,0)),"")</f>
        <v/>
      </c>
      <c r="I110" s="10" t="str">
        <f t="array" ref="I110">IFERROR(INDEX(Avg!$G$2:$G$50,MATCH(DATE(YEAR(A110),MONTH(A110),1),Avg!$A$2:$A$50,0)),"")</f>
        <v/>
      </c>
      <c r="J110" s="10" t="str">
        <f t="array" ref="J110">IFERROR(INDEX(Avg!$H$2:$H$50,MATCH(DATE(YEAR(A110),MONTH(A110),1),Avg!$A$2:$A$50,0)),"")</f>
        <v/>
      </c>
      <c r="K110" s="10" t="str">
        <f t="array" ref="K110">IFERROR(INDEX(Avg!$I$2:$I$50,MATCH(DATE(YEAR(A110),MONTH(A110),1),Avg!$A$2:$A$50,0)),"")</f>
        <v/>
      </c>
      <c r="L110" s="11" t="str">
        <f t="array" ref="L110">IFERROR(INDEX(Avg!$L$2:$L$50,MATCH(DATE(YEAR(A110),MONTH(A110),1),Avg!$A$2:$A$50,0)),"")</f>
        <v/>
      </c>
      <c r="M110" s="11" t="str">
        <f t="array" ref="M110">IFERROR(INDEX(Avg!$M$2:$M$50,MATCH(DATE(YEAR(A110),MONTH(A110),1),Avg!$A$2:$A$50,0)),"")</f>
        <v/>
      </c>
      <c r="N110" s="11" t="str">
        <f t="array" ref="N110">IFERROR(INDEX(Avg!$N$2:$N$50,MATCH(DATE(YEAR(A110),MONTH(A110),1),Avg!$A$2:$A$50,0)),"")</f>
        <v/>
      </c>
      <c r="O110" s="11" t="str">
        <f t="array" ref="O110">IFERROR(INDEX(Avg!$O$2:$O$50,MATCH(DATE(YEAR(A110),MONTH(A110),1),Avg!$A$2:$A$50,0)),"")</f>
        <v/>
      </c>
    </row>
    <row r="111" ht="15.75" customHeight="1">
      <c r="A111" s="7" t="s">
        <v>181</v>
      </c>
      <c r="B111" s="7" t="s">
        <v>182</v>
      </c>
      <c r="C111" s="8" t="s">
        <v>158</v>
      </c>
      <c r="D111" s="9">
        <f>IF(SUMPRODUCT((Data!$D$2:$D$2277=A111)*(Data!$E$2:$E$2277=C111)*(Data!$M$2:$M$2277="Vladimir Zelenskiy"))&gt;0,SUMPRODUCT((Data!$D$2:$D$2277=A111)*(Data!$E$2:$E$2277=C111)*(Data!$M$2:$M$2277="Vladimir Zelenskiy")*IF(ISNUMBER(Data!$W$2:$W$2277),Data!$W$2:$W$2277,0))/SUMPRODUCT((Data!$D$2:$D$2277=A111)*(Data!$E$2:$E$2277=C111)*(Data!$M$2:$M$2277="Vladimir Zelenskiy")),"")</f>
        <v>25.1</v>
      </c>
      <c r="E111" s="9" t="str">
        <f>IF(SUMPRODUCT((Data!$D$2:$D$2277=A111)*(Data!$E$2:$E$2277=C111)*(Data!$M$2:$M$2277="Valerii Zaluzhniy"))&gt;0,SUMPRODUCT((Data!$D$2:$D$2277=A111)*(Data!$E$2:$E$2277=C111)*(Data!$M$2:$M$2277="Valerii Zaluzhniy")*IF(ISNUMBER(Data!$W$2:$W$2277),Data!$W$2:$W$2277,0))/SUMPRODUCT((Data!$D$2:$D$2277=A111)*(Data!$E$2:$E$2277=C111)*(Data!$M$2:$M$2277="Valerii Zaluzhniy")),"")</f>
        <v/>
      </c>
      <c r="F111" s="9" t="str">
        <f>IF(SUMPRODUCT((Data!$D$2:$D$2277=A111)*(Data!$E$2:$E$2277=C111)*(Data!$M$2:$M$2277="Kyrylo Budanov"))&gt;0,SUMPRODUCT((Data!$D$2:$D$2277=A111)*(Data!$E$2:$E$2277=C111)*(Data!$M$2:$M$2277="Kyrylo Budanov")*IF(ISNUMBER(Data!$W$2:$W$2277),Data!$W$2:$W$2277,0))/SUMPRODUCT((Data!$D$2:$D$2277=A111)*(Data!$E$2:$E$2277=C111)*(Data!$M$2:$M$2277="Kyrylo Budanov")),"")</f>
        <v/>
      </c>
      <c r="G111" s="9">
        <f>IF(SUMPRODUCT((Data!$D$2:$D$2277=A111)*(Data!$E$2:$E$2277=C111)*(Data!$M$2:$M$2277="Pyotr Poroshenko"))&gt;0,SUMPRODUCT((Data!$D$2:$D$2277=A111)*(Data!$E$2:$E$2277=C111)*(Data!$M$2:$M$2277="Pyotr Poroshenko")*IF(ISNUMBER(Data!$W$2:$W$2277),Data!$W$2:$W$2277,0))/SUMPRODUCT((Data!$D$2:$D$2277=A111)*(Data!$E$2:$E$2277=C111)*(Data!$M$2:$M$2277="Pyotr Poroshenko")),"")</f>
        <v>15.8</v>
      </c>
      <c r="H111" s="10" t="str">
        <f t="array" ref="H111">IFERROR(INDEX(Avg!$F$2:$F$50,MATCH(DATE(YEAR(A111),MONTH(A111),1),Avg!$A$2:$A$50,0)),"")</f>
        <v/>
      </c>
      <c r="I111" s="10" t="str">
        <f t="array" ref="I111">IFERROR(INDEX(Avg!$G$2:$G$50,MATCH(DATE(YEAR(A111),MONTH(A111),1),Avg!$A$2:$A$50,0)),"")</f>
        <v/>
      </c>
      <c r="J111" s="10" t="str">
        <f t="array" ref="J111">IFERROR(INDEX(Avg!$H$2:$H$50,MATCH(DATE(YEAR(A111),MONTH(A111),1),Avg!$A$2:$A$50,0)),"")</f>
        <v/>
      </c>
      <c r="K111" s="10" t="str">
        <f t="array" ref="K111">IFERROR(INDEX(Avg!$I$2:$I$50,MATCH(DATE(YEAR(A111),MONTH(A111),1),Avg!$A$2:$A$50,0)),"")</f>
        <v/>
      </c>
      <c r="L111" s="11" t="str">
        <f t="array" ref="L111">IFERROR(INDEX(Avg!$L$2:$L$50,MATCH(DATE(YEAR(A111),MONTH(A111),1),Avg!$A$2:$A$50,0)),"")</f>
        <v/>
      </c>
      <c r="M111" s="11" t="str">
        <f t="array" ref="M111">IFERROR(INDEX(Avg!$M$2:$M$50,MATCH(DATE(YEAR(A111),MONTH(A111),1),Avg!$A$2:$A$50,0)),"")</f>
        <v/>
      </c>
      <c r="N111" s="11" t="str">
        <f t="array" ref="N111">IFERROR(INDEX(Avg!$N$2:$N$50,MATCH(DATE(YEAR(A111),MONTH(A111),1),Avg!$A$2:$A$50,0)),"")</f>
        <v/>
      </c>
      <c r="O111" s="11" t="str">
        <f t="array" ref="O111">IFERROR(INDEX(Avg!$O$2:$O$50,MATCH(DATE(YEAR(A111),MONTH(A111),1),Avg!$A$2:$A$50,0)),"")</f>
        <v/>
      </c>
    </row>
    <row r="112" ht="15.75" customHeight="1">
      <c r="A112" s="7" t="s">
        <v>183</v>
      </c>
      <c r="B112" s="7" t="s">
        <v>182</v>
      </c>
      <c r="C112" s="8" t="s">
        <v>150</v>
      </c>
      <c r="D112" s="9">
        <f>IF(SUMPRODUCT((Data!$D$2:$D$2277=A112)*(Data!$E$2:$E$2277=C112)*(Data!$M$2:$M$2277="Vladimir Zelenskiy"))&gt;0,SUMPRODUCT((Data!$D$2:$D$2277=A112)*(Data!$E$2:$E$2277=C112)*(Data!$M$2:$M$2277="Vladimir Zelenskiy")*IF(ISNUMBER(Data!$W$2:$W$2277),Data!$W$2:$W$2277,0))/SUMPRODUCT((Data!$D$2:$D$2277=A112)*(Data!$E$2:$E$2277=C112)*(Data!$M$2:$M$2277="Vladimir Zelenskiy")),"")</f>
        <v>27.7</v>
      </c>
      <c r="E112" s="9" t="str">
        <f>IF(SUMPRODUCT((Data!$D$2:$D$2277=A112)*(Data!$E$2:$E$2277=C112)*(Data!$M$2:$M$2277="Valerii Zaluzhniy"))&gt;0,SUMPRODUCT((Data!$D$2:$D$2277=A112)*(Data!$E$2:$E$2277=C112)*(Data!$M$2:$M$2277="Valerii Zaluzhniy")*IF(ISNUMBER(Data!$W$2:$W$2277),Data!$W$2:$W$2277,0))/SUMPRODUCT((Data!$D$2:$D$2277=A112)*(Data!$E$2:$E$2277=C112)*(Data!$M$2:$M$2277="Valerii Zaluzhniy")),"")</f>
        <v/>
      </c>
      <c r="F112" s="9" t="str">
        <f>IF(SUMPRODUCT((Data!$D$2:$D$2277=A112)*(Data!$E$2:$E$2277=C112)*(Data!$M$2:$M$2277="Kyrylo Budanov"))&gt;0,SUMPRODUCT((Data!$D$2:$D$2277=A112)*(Data!$E$2:$E$2277=C112)*(Data!$M$2:$M$2277="Kyrylo Budanov")*IF(ISNUMBER(Data!$W$2:$W$2277),Data!$W$2:$W$2277,0))/SUMPRODUCT((Data!$D$2:$D$2277=A112)*(Data!$E$2:$E$2277=C112)*(Data!$M$2:$M$2277="Kyrylo Budanov")),"")</f>
        <v/>
      </c>
      <c r="G112" s="9">
        <f>IF(SUMPRODUCT((Data!$D$2:$D$2277=A112)*(Data!$E$2:$E$2277=C112)*(Data!$M$2:$M$2277="Pyotr Poroshenko"))&gt;0,SUMPRODUCT((Data!$D$2:$D$2277=A112)*(Data!$E$2:$E$2277=C112)*(Data!$M$2:$M$2277="Pyotr Poroshenko")*IF(ISNUMBER(Data!$W$2:$W$2277),Data!$W$2:$W$2277,0))/SUMPRODUCT((Data!$D$2:$D$2277=A112)*(Data!$E$2:$E$2277=C112)*(Data!$M$2:$M$2277="Pyotr Poroshenko")),"")</f>
        <v>15.6</v>
      </c>
      <c r="H112" s="10" t="str">
        <f t="array" ref="H112">IFERROR(INDEX(Avg!$F$2:$F$50,MATCH(DATE(YEAR(A112),MONTH(A112),1),Avg!$A$2:$A$50,0)),"")</f>
        <v/>
      </c>
      <c r="I112" s="10" t="str">
        <f t="array" ref="I112">IFERROR(INDEX(Avg!$G$2:$G$50,MATCH(DATE(YEAR(A112),MONTH(A112),1),Avg!$A$2:$A$50,0)),"")</f>
        <v/>
      </c>
      <c r="J112" s="10" t="str">
        <f t="array" ref="J112">IFERROR(INDEX(Avg!$H$2:$H$50,MATCH(DATE(YEAR(A112),MONTH(A112),1),Avg!$A$2:$A$50,0)),"")</f>
        <v/>
      </c>
      <c r="K112" s="10" t="str">
        <f t="array" ref="K112">IFERROR(INDEX(Avg!$I$2:$I$50,MATCH(DATE(YEAR(A112),MONTH(A112),1),Avg!$A$2:$A$50,0)),"")</f>
        <v/>
      </c>
      <c r="L112" s="11" t="str">
        <f t="array" ref="L112">IFERROR(INDEX(Avg!$L$2:$L$50,MATCH(DATE(YEAR(A112),MONTH(A112),1),Avg!$A$2:$A$50,0)),"")</f>
        <v/>
      </c>
      <c r="M112" s="11" t="str">
        <f t="array" ref="M112">IFERROR(INDEX(Avg!$M$2:$M$50,MATCH(DATE(YEAR(A112),MONTH(A112),1),Avg!$A$2:$A$50,0)),"")</f>
        <v/>
      </c>
      <c r="N112" s="11" t="str">
        <f t="array" ref="N112">IFERROR(INDEX(Avg!$N$2:$N$50,MATCH(DATE(YEAR(A112),MONTH(A112),1),Avg!$A$2:$A$50,0)),"")</f>
        <v/>
      </c>
      <c r="O112" s="11" t="str">
        <f t="array" ref="O112">IFERROR(INDEX(Avg!$O$2:$O$50,MATCH(DATE(YEAR(A112),MONTH(A112),1),Avg!$A$2:$A$50,0)),"")</f>
        <v/>
      </c>
    </row>
    <row r="113" ht="15.75" customHeight="1">
      <c r="A113" s="7" t="s">
        <v>184</v>
      </c>
      <c r="B113" s="7" t="s">
        <v>182</v>
      </c>
      <c r="C113" s="8" t="s">
        <v>106</v>
      </c>
      <c r="D113" s="9">
        <f>IF(SUMPRODUCT((Data!$D$2:$D$2277=A113)*(Data!$E$2:$E$2277=C113)*(Data!$M$2:$M$2277="Vladimir Zelenskiy"))&gt;0,SUMPRODUCT((Data!$D$2:$D$2277=A113)*(Data!$E$2:$E$2277=C113)*(Data!$M$2:$M$2277="Vladimir Zelenskiy")*IF(ISNUMBER(Data!$W$2:$W$2277),Data!$W$2:$W$2277,0))/SUMPRODUCT((Data!$D$2:$D$2277=A113)*(Data!$E$2:$E$2277=C113)*(Data!$M$2:$M$2277="Vladimir Zelenskiy")),"")</f>
        <v>28.8</v>
      </c>
      <c r="E113" s="9" t="str">
        <f>IF(SUMPRODUCT((Data!$D$2:$D$2277=A113)*(Data!$E$2:$E$2277=C113)*(Data!$M$2:$M$2277="Valerii Zaluzhniy"))&gt;0,SUMPRODUCT((Data!$D$2:$D$2277=A113)*(Data!$E$2:$E$2277=C113)*(Data!$M$2:$M$2277="Valerii Zaluzhniy")*IF(ISNUMBER(Data!$W$2:$W$2277),Data!$W$2:$W$2277,0))/SUMPRODUCT((Data!$D$2:$D$2277=A113)*(Data!$E$2:$E$2277=C113)*(Data!$M$2:$M$2277="Valerii Zaluzhniy")),"")</f>
        <v/>
      </c>
      <c r="F113" s="9" t="str">
        <f>IF(SUMPRODUCT((Data!$D$2:$D$2277=A113)*(Data!$E$2:$E$2277=C113)*(Data!$M$2:$M$2277="Kyrylo Budanov"))&gt;0,SUMPRODUCT((Data!$D$2:$D$2277=A113)*(Data!$E$2:$E$2277=C113)*(Data!$M$2:$M$2277="Kyrylo Budanov")*IF(ISNUMBER(Data!$W$2:$W$2277),Data!$W$2:$W$2277,0))/SUMPRODUCT((Data!$D$2:$D$2277=A113)*(Data!$E$2:$E$2277=C113)*(Data!$M$2:$M$2277="Kyrylo Budanov")),"")</f>
        <v/>
      </c>
      <c r="G113" s="9">
        <f>IF(SUMPRODUCT((Data!$D$2:$D$2277=A113)*(Data!$E$2:$E$2277=C113)*(Data!$M$2:$M$2277="Pyotr Poroshenko"))&gt;0,SUMPRODUCT((Data!$D$2:$D$2277=A113)*(Data!$E$2:$E$2277=C113)*(Data!$M$2:$M$2277="Pyotr Poroshenko")*IF(ISNUMBER(Data!$W$2:$W$2277),Data!$W$2:$W$2277,0))/SUMPRODUCT((Data!$D$2:$D$2277=A113)*(Data!$E$2:$E$2277=C113)*(Data!$M$2:$M$2277="Pyotr Poroshenko")),"")</f>
        <v>15.9</v>
      </c>
      <c r="H113" s="10" t="str">
        <f t="array" ref="H113">IFERROR(INDEX(Avg!$F$2:$F$50,MATCH(DATE(YEAR(A113),MONTH(A113),1),Avg!$A$2:$A$50,0)),"")</f>
        <v/>
      </c>
      <c r="I113" s="10" t="str">
        <f t="array" ref="I113">IFERROR(INDEX(Avg!$G$2:$G$50,MATCH(DATE(YEAR(A113),MONTH(A113),1),Avg!$A$2:$A$50,0)),"")</f>
        <v/>
      </c>
      <c r="J113" s="10" t="str">
        <f t="array" ref="J113">IFERROR(INDEX(Avg!$H$2:$H$50,MATCH(DATE(YEAR(A113),MONTH(A113),1),Avg!$A$2:$A$50,0)),"")</f>
        <v/>
      </c>
      <c r="K113" s="10" t="str">
        <f t="array" ref="K113">IFERROR(INDEX(Avg!$I$2:$I$50,MATCH(DATE(YEAR(A113),MONTH(A113),1),Avg!$A$2:$A$50,0)),"")</f>
        <v/>
      </c>
      <c r="L113" s="11" t="str">
        <f t="array" ref="L113">IFERROR(INDEX(Avg!$L$2:$L$50,MATCH(DATE(YEAR(A113),MONTH(A113),1),Avg!$A$2:$A$50,0)),"")</f>
        <v/>
      </c>
      <c r="M113" s="11" t="str">
        <f t="array" ref="M113">IFERROR(INDEX(Avg!$M$2:$M$50,MATCH(DATE(YEAR(A113),MONTH(A113),1),Avg!$A$2:$A$50,0)),"")</f>
        <v/>
      </c>
      <c r="N113" s="11" t="str">
        <f t="array" ref="N113">IFERROR(INDEX(Avg!$N$2:$N$50,MATCH(DATE(YEAR(A113),MONTH(A113),1),Avg!$A$2:$A$50,0)),"")</f>
        <v/>
      </c>
      <c r="O113" s="11" t="str">
        <f t="array" ref="O113">IFERROR(INDEX(Avg!$O$2:$O$50,MATCH(DATE(YEAR(A113),MONTH(A113),1),Avg!$A$2:$A$50,0)),"")</f>
        <v/>
      </c>
    </row>
    <row r="114" ht="15.75" customHeight="1">
      <c r="A114" s="7" t="s">
        <v>185</v>
      </c>
      <c r="B114" s="7" t="s">
        <v>186</v>
      </c>
      <c r="C114" s="8" t="s">
        <v>17</v>
      </c>
      <c r="D114" s="9">
        <f>IF(SUMPRODUCT((Data!$D$2:$D$2277=A114)*(Data!$E$2:$E$2277=C114)*(Data!$M$2:$M$2277="Vladimir Zelenskiy"))&gt;0,SUMPRODUCT((Data!$D$2:$D$2277=A114)*(Data!$E$2:$E$2277=C114)*(Data!$M$2:$M$2277="Vladimir Zelenskiy")*IF(ISNUMBER(Data!$W$2:$W$2277),Data!$W$2:$W$2277,0))/SUMPRODUCT((Data!$D$2:$D$2277=A114)*(Data!$E$2:$E$2277=C114)*(Data!$M$2:$M$2277="Vladimir Zelenskiy")),"")</f>
        <v>20.52631579</v>
      </c>
      <c r="E114" s="9" t="str">
        <f>IF(SUMPRODUCT((Data!$D$2:$D$2277=A114)*(Data!$E$2:$E$2277=C114)*(Data!$M$2:$M$2277="Valerii Zaluzhniy"))&gt;0,SUMPRODUCT((Data!$D$2:$D$2277=A114)*(Data!$E$2:$E$2277=C114)*(Data!$M$2:$M$2277="Valerii Zaluzhniy")*IF(ISNUMBER(Data!$W$2:$W$2277),Data!$W$2:$W$2277,0))/SUMPRODUCT((Data!$D$2:$D$2277=A114)*(Data!$E$2:$E$2277=C114)*(Data!$M$2:$M$2277="Valerii Zaluzhniy")),"")</f>
        <v/>
      </c>
      <c r="F114" s="9" t="str">
        <f>IF(SUMPRODUCT((Data!$D$2:$D$2277=A114)*(Data!$E$2:$E$2277=C114)*(Data!$M$2:$M$2277="Kyrylo Budanov"))&gt;0,SUMPRODUCT((Data!$D$2:$D$2277=A114)*(Data!$E$2:$E$2277=C114)*(Data!$M$2:$M$2277="Kyrylo Budanov")*IF(ISNUMBER(Data!$W$2:$W$2277),Data!$W$2:$W$2277,0))/SUMPRODUCT((Data!$D$2:$D$2277=A114)*(Data!$E$2:$E$2277=C114)*(Data!$M$2:$M$2277="Kyrylo Budanov")),"")</f>
        <v/>
      </c>
      <c r="G114" s="9">
        <f>IF(SUMPRODUCT((Data!$D$2:$D$2277=A114)*(Data!$E$2:$E$2277=C114)*(Data!$M$2:$M$2277="Pyotr Poroshenko"))&gt;0,SUMPRODUCT((Data!$D$2:$D$2277=A114)*(Data!$E$2:$E$2277=C114)*(Data!$M$2:$M$2277="Pyotr Poroshenko")*IF(ISNUMBER(Data!$W$2:$W$2277),Data!$W$2:$W$2277,0))/SUMPRODUCT((Data!$D$2:$D$2277=A114)*(Data!$E$2:$E$2277=C114)*(Data!$M$2:$M$2277="Pyotr Poroshenko")),"")</f>
        <v>15.05263158</v>
      </c>
      <c r="H114" s="10" t="str">
        <f t="array" ref="H114">IFERROR(INDEX(Avg!$F$2:$F$50,MATCH(DATE(YEAR(A114),MONTH(A114),1),Avg!$A$2:$A$50,0)),"")</f>
        <v/>
      </c>
      <c r="I114" s="10" t="str">
        <f t="array" ref="I114">IFERROR(INDEX(Avg!$G$2:$G$50,MATCH(DATE(YEAR(A114),MONTH(A114),1),Avg!$A$2:$A$50,0)),"")</f>
        <v/>
      </c>
      <c r="J114" s="10" t="str">
        <f t="array" ref="J114">IFERROR(INDEX(Avg!$H$2:$H$50,MATCH(DATE(YEAR(A114),MONTH(A114),1),Avg!$A$2:$A$50,0)),"")</f>
        <v/>
      </c>
      <c r="K114" s="10" t="str">
        <f t="array" ref="K114">IFERROR(INDEX(Avg!$I$2:$I$50,MATCH(DATE(YEAR(A114),MONTH(A114),1),Avg!$A$2:$A$50,0)),"")</f>
        <v/>
      </c>
      <c r="L114" s="11" t="str">
        <f t="array" ref="L114">IFERROR(INDEX(Avg!$L$2:$L$50,MATCH(DATE(YEAR(A114),MONTH(A114),1),Avg!$A$2:$A$50,0)),"")</f>
        <v/>
      </c>
      <c r="M114" s="11" t="str">
        <f t="array" ref="M114">IFERROR(INDEX(Avg!$M$2:$M$50,MATCH(DATE(YEAR(A114),MONTH(A114),1),Avg!$A$2:$A$50,0)),"")</f>
        <v/>
      </c>
      <c r="N114" s="11" t="str">
        <f t="array" ref="N114">IFERROR(INDEX(Avg!$N$2:$N$50,MATCH(DATE(YEAR(A114),MONTH(A114),1),Avg!$A$2:$A$50,0)),"")</f>
        <v/>
      </c>
      <c r="O114" s="11" t="str">
        <f t="array" ref="O114">IFERROR(INDEX(Avg!$O$2:$O$50,MATCH(DATE(YEAR(A114),MONTH(A114),1),Avg!$A$2:$A$50,0)),"")</f>
        <v/>
      </c>
    </row>
    <row r="115" ht="15.75" customHeight="1">
      <c r="A115" s="7" t="s">
        <v>187</v>
      </c>
      <c r="B115" s="7" t="s">
        <v>186</v>
      </c>
      <c r="C115" s="8" t="s">
        <v>40</v>
      </c>
      <c r="D115" s="9">
        <f>IF(SUMPRODUCT((Data!$D$2:$D$2277=A115)*(Data!$E$2:$E$2277=C115)*(Data!$M$2:$M$2277="Vladimir Zelenskiy"))&gt;0,SUMPRODUCT((Data!$D$2:$D$2277=A115)*(Data!$E$2:$E$2277=C115)*(Data!$M$2:$M$2277="Vladimir Zelenskiy")*IF(ISNUMBER(Data!$W$2:$W$2277),Data!$W$2:$W$2277,0))/SUMPRODUCT((Data!$D$2:$D$2277=A115)*(Data!$E$2:$E$2277=C115)*(Data!$M$2:$M$2277="Vladimir Zelenskiy")),"")</f>
        <v>27.2</v>
      </c>
      <c r="E115" s="9" t="str">
        <f>IF(SUMPRODUCT((Data!$D$2:$D$2277=A115)*(Data!$E$2:$E$2277=C115)*(Data!$M$2:$M$2277="Valerii Zaluzhniy"))&gt;0,SUMPRODUCT((Data!$D$2:$D$2277=A115)*(Data!$E$2:$E$2277=C115)*(Data!$M$2:$M$2277="Valerii Zaluzhniy")*IF(ISNUMBER(Data!$W$2:$W$2277),Data!$W$2:$W$2277,0))/SUMPRODUCT((Data!$D$2:$D$2277=A115)*(Data!$E$2:$E$2277=C115)*(Data!$M$2:$M$2277="Valerii Zaluzhniy")),"")</f>
        <v/>
      </c>
      <c r="F115" s="9" t="str">
        <f>IF(SUMPRODUCT((Data!$D$2:$D$2277=A115)*(Data!$E$2:$E$2277=C115)*(Data!$M$2:$M$2277="Kyrylo Budanov"))&gt;0,SUMPRODUCT((Data!$D$2:$D$2277=A115)*(Data!$E$2:$E$2277=C115)*(Data!$M$2:$M$2277="Kyrylo Budanov")*IF(ISNUMBER(Data!$W$2:$W$2277),Data!$W$2:$W$2277,0))/SUMPRODUCT((Data!$D$2:$D$2277=A115)*(Data!$E$2:$E$2277=C115)*(Data!$M$2:$M$2277="Kyrylo Budanov")),"")</f>
        <v/>
      </c>
      <c r="G115" s="9">
        <f>IF(SUMPRODUCT((Data!$D$2:$D$2277=A115)*(Data!$E$2:$E$2277=C115)*(Data!$M$2:$M$2277="Pyotr Poroshenko"))&gt;0,SUMPRODUCT((Data!$D$2:$D$2277=A115)*(Data!$E$2:$E$2277=C115)*(Data!$M$2:$M$2277="Pyotr Poroshenko")*IF(ISNUMBER(Data!$W$2:$W$2277),Data!$W$2:$W$2277,0))/SUMPRODUCT((Data!$D$2:$D$2277=A115)*(Data!$E$2:$E$2277=C115)*(Data!$M$2:$M$2277="Pyotr Poroshenko")),"")</f>
        <v>14.9</v>
      </c>
      <c r="H115" s="10" t="str">
        <f t="array" ref="H115">IFERROR(INDEX(Avg!$F$2:$F$50,MATCH(DATE(YEAR(A115),MONTH(A115),1),Avg!$A$2:$A$50,0)),"")</f>
        <v/>
      </c>
      <c r="I115" s="10" t="str">
        <f t="array" ref="I115">IFERROR(INDEX(Avg!$G$2:$G$50,MATCH(DATE(YEAR(A115),MONTH(A115),1),Avg!$A$2:$A$50,0)),"")</f>
        <v/>
      </c>
      <c r="J115" s="10" t="str">
        <f t="array" ref="J115">IFERROR(INDEX(Avg!$H$2:$H$50,MATCH(DATE(YEAR(A115),MONTH(A115),1),Avg!$A$2:$A$50,0)),"")</f>
        <v/>
      </c>
      <c r="K115" s="10" t="str">
        <f t="array" ref="K115">IFERROR(INDEX(Avg!$I$2:$I$50,MATCH(DATE(YEAR(A115),MONTH(A115),1),Avg!$A$2:$A$50,0)),"")</f>
        <v/>
      </c>
      <c r="L115" s="11" t="str">
        <f t="array" ref="L115">IFERROR(INDEX(Avg!$L$2:$L$50,MATCH(DATE(YEAR(A115),MONTH(A115),1),Avg!$A$2:$A$50,0)),"")</f>
        <v/>
      </c>
      <c r="M115" s="11" t="str">
        <f t="array" ref="M115">IFERROR(INDEX(Avg!$M$2:$M$50,MATCH(DATE(YEAR(A115),MONTH(A115),1),Avg!$A$2:$A$50,0)),"")</f>
        <v/>
      </c>
      <c r="N115" s="11" t="str">
        <f t="array" ref="N115">IFERROR(INDEX(Avg!$N$2:$N$50,MATCH(DATE(YEAR(A115),MONTH(A115),1),Avg!$A$2:$A$50,0)),"")</f>
        <v/>
      </c>
      <c r="O115" s="11" t="str">
        <f t="array" ref="O115">IFERROR(INDEX(Avg!$O$2:$O$50,MATCH(DATE(YEAR(A115),MONTH(A115),1),Avg!$A$2:$A$50,0)),"")</f>
        <v/>
      </c>
    </row>
    <row r="116" ht="15.75" customHeight="1">
      <c r="A116" s="7" t="s">
        <v>188</v>
      </c>
      <c r="B116" s="7" t="s">
        <v>186</v>
      </c>
      <c r="C116" s="8" t="s">
        <v>172</v>
      </c>
      <c r="D116" s="9">
        <f>IF(SUMPRODUCT((Data!$D$2:$D$2277=A116)*(Data!$E$2:$E$2277=C116)*(Data!$M$2:$M$2277="Vladimir Zelenskiy"))&gt;0,SUMPRODUCT((Data!$D$2:$D$2277=A116)*(Data!$E$2:$E$2277=C116)*(Data!$M$2:$M$2277="Vladimir Zelenskiy")*IF(ISNUMBER(Data!$W$2:$W$2277),Data!$W$2:$W$2277,0))/SUMPRODUCT((Data!$D$2:$D$2277=A116)*(Data!$E$2:$E$2277=C116)*(Data!$M$2:$M$2277="Vladimir Zelenskiy")),"")</f>
        <v>29.7</v>
      </c>
      <c r="E116" s="9" t="str">
        <f>IF(SUMPRODUCT((Data!$D$2:$D$2277=A116)*(Data!$E$2:$E$2277=C116)*(Data!$M$2:$M$2277="Valerii Zaluzhniy"))&gt;0,SUMPRODUCT((Data!$D$2:$D$2277=A116)*(Data!$E$2:$E$2277=C116)*(Data!$M$2:$M$2277="Valerii Zaluzhniy")*IF(ISNUMBER(Data!$W$2:$W$2277),Data!$W$2:$W$2277,0))/SUMPRODUCT((Data!$D$2:$D$2277=A116)*(Data!$E$2:$E$2277=C116)*(Data!$M$2:$M$2277="Valerii Zaluzhniy")),"")</f>
        <v/>
      </c>
      <c r="F116" s="9" t="str">
        <f>IF(SUMPRODUCT((Data!$D$2:$D$2277=A116)*(Data!$E$2:$E$2277=C116)*(Data!$M$2:$M$2277="Kyrylo Budanov"))&gt;0,SUMPRODUCT((Data!$D$2:$D$2277=A116)*(Data!$E$2:$E$2277=C116)*(Data!$M$2:$M$2277="Kyrylo Budanov")*IF(ISNUMBER(Data!$W$2:$W$2277),Data!$W$2:$W$2277,0))/SUMPRODUCT((Data!$D$2:$D$2277=A116)*(Data!$E$2:$E$2277=C116)*(Data!$M$2:$M$2277="Kyrylo Budanov")),"")</f>
        <v/>
      </c>
      <c r="G116" s="9">
        <f>IF(SUMPRODUCT((Data!$D$2:$D$2277=A116)*(Data!$E$2:$E$2277=C116)*(Data!$M$2:$M$2277="Pyotr Poroshenko"))&gt;0,SUMPRODUCT((Data!$D$2:$D$2277=A116)*(Data!$E$2:$E$2277=C116)*(Data!$M$2:$M$2277="Pyotr Poroshenko")*IF(ISNUMBER(Data!$W$2:$W$2277),Data!$W$2:$W$2277,0))/SUMPRODUCT((Data!$D$2:$D$2277=A116)*(Data!$E$2:$E$2277=C116)*(Data!$M$2:$M$2277="Pyotr Poroshenko")),"")</f>
        <v>16.2</v>
      </c>
      <c r="H116" s="10" t="str">
        <f t="array" ref="H116">IFERROR(INDEX(Avg!$F$2:$F$50,MATCH(DATE(YEAR(A116),MONTH(A116),1),Avg!$A$2:$A$50,0)),"")</f>
        <v/>
      </c>
      <c r="I116" s="10" t="str">
        <f t="array" ref="I116">IFERROR(INDEX(Avg!$G$2:$G$50,MATCH(DATE(YEAR(A116),MONTH(A116),1),Avg!$A$2:$A$50,0)),"")</f>
        <v/>
      </c>
      <c r="J116" s="10" t="str">
        <f t="array" ref="J116">IFERROR(INDEX(Avg!$H$2:$H$50,MATCH(DATE(YEAR(A116),MONTH(A116),1),Avg!$A$2:$A$50,0)),"")</f>
        <v/>
      </c>
      <c r="K116" s="10" t="str">
        <f t="array" ref="K116">IFERROR(INDEX(Avg!$I$2:$I$50,MATCH(DATE(YEAR(A116),MONTH(A116),1),Avg!$A$2:$A$50,0)),"")</f>
        <v/>
      </c>
      <c r="L116" s="11" t="str">
        <f t="array" ref="L116">IFERROR(INDEX(Avg!$L$2:$L$50,MATCH(DATE(YEAR(A116),MONTH(A116),1),Avg!$A$2:$A$50,0)),"")</f>
        <v/>
      </c>
      <c r="M116" s="11" t="str">
        <f t="array" ref="M116">IFERROR(INDEX(Avg!$M$2:$M$50,MATCH(DATE(YEAR(A116),MONTH(A116),1),Avg!$A$2:$A$50,0)),"")</f>
        <v/>
      </c>
      <c r="N116" s="11" t="str">
        <f t="array" ref="N116">IFERROR(INDEX(Avg!$N$2:$N$50,MATCH(DATE(YEAR(A116),MONTH(A116),1),Avg!$A$2:$A$50,0)),"")</f>
        <v/>
      </c>
      <c r="O116" s="11" t="str">
        <f t="array" ref="O116">IFERROR(INDEX(Avg!$O$2:$O$50,MATCH(DATE(YEAR(A116),MONTH(A116),1),Avg!$A$2:$A$50,0)),"")</f>
        <v/>
      </c>
    </row>
    <row r="117" ht="15.75" customHeight="1">
      <c r="A117" s="7" t="s">
        <v>189</v>
      </c>
      <c r="B117" s="7" t="s">
        <v>186</v>
      </c>
      <c r="C117" s="8" t="s">
        <v>40</v>
      </c>
      <c r="D117" s="9">
        <f>IF(SUMPRODUCT((Data!$D$2:$D$2277=A117)*(Data!$E$2:$E$2277=C117)*(Data!$M$2:$M$2277="Vladimir Zelenskiy"))&gt;0,SUMPRODUCT((Data!$D$2:$D$2277=A117)*(Data!$E$2:$E$2277=C117)*(Data!$M$2:$M$2277="Vladimir Zelenskiy")*IF(ISNUMBER(Data!$W$2:$W$2277),Data!$W$2:$W$2277,0))/SUMPRODUCT((Data!$D$2:$D$2277=A117)*(Data!$E$2:$E$2277=C117)*(Data!$M$2:$M$2277="Vladimir Zelenskiy")),"")</f>
        <v>27.7</v>
      </c>
      <c r="E117" s="9" t="str">
        <f>IF(SUMPRODUCT((Data!$D$2:$D$2277=A117)*(Data!$E$2:$E$2277=C117)*(Data!$M$2:$M$2277="Valerii Zaluzhniy"))&gt;0,SUMPRODUCT((Data!$D$2:$D$2277=A117)*(Data!$E$2:$E$2277=C117)*(Data!$M$2:$M$2277="Valerii Zaluzhniy")*IF(ISNUMBER(Data!$W$2:$W$2277),Data!$W$2:$W$2277,0))/SUMPRODUCT((Data!$D$2:$D$2277=A117)*(Data!$E$2:$E$2277=C117)*(Data!$M$2:$M$2277="Valerii Zaluzhniy")),"")</f>
        <v/>
      </c>
      <c r="F117" s="9" t="str">
        <f>IF(SUMPRODUCT((Data!$D$2:$D$2277=A117)*(Data!$E$2:$E$2277=C117)*(Data!$M$2:$M$2277="Kyrylo Budanov"))&gt;0,SUMPRODUCT((Data!$D$2:$D$2277=A117)*(Data!$E$2:$E$2277=C117)*(Data!$M$2:$M$2277="Kyrylo Budanov")*IF(ISNUMBER(Data!$W$2:$W$2277),Data!$W$2:$W$2277,0))/SUMPRODUCT((Data!$D$2:$D$2277=A117)*(Data!$E$2:$E$2277=C117)*(Data!$M$2:$M$2277="Kyrylo Budanov")),"")</f>
        <v/>
      </c>
      <c r="G117" s="9">
        <f>IF(SUMPRODUCT((Data!$D$2:$D$2277=A117)*(Data!$E$2:$E$2277=C117)*(Data!$M$2:$M$2277="Pyotr Poroshenko"))&gt;0,SUMPRODUCT((Data!$D$2:$D$2277=A117)*(Data!$E$2:$E$2277=C117)*(Data!$M$2:$M$2277="Pyotr Poroshenko")*IF(ISNUMBER(Data!$W$2:$W$2277),Data!$W$2:$W$2277,0))/SUMPRODUCT((Data!$D$2:$D$2277=A117)*(Data!$E$2:$E$2277=C117)*(Data!$M$2:$M$2277="Pyotr Poroshenko")),"")</f>
        <v>13.4</v>
      </c>
      <c r="H117" s="10" t="str">
        <f t="array" ref="H117">IFERROR(INDEX(Avg!$F$2:$F$50,MATCH(DATE(YEAR(A117),MONTH(A117),1),Avg!$A$2:$A$50,0)),"")</f>
        <v/>
      </c>
      <c r="I117" s="10" t="str">
        <f t="array" ref="I117">IFERROR(INDEX(Avg!$G$2:$G$50,MATCH(DATE(YEAR(A117),MONTH(A117),1),Avg!$A$2:$A$50,0)),"")</f>
        <v/>
      </c>
      <c r="J117" s="10" t="str">
        <f t="array" ref="J117">IFERROR(INDEX(Avg!$H$2:$H$50,MATCH(DATE(YEAR(A117),MONTH(A117),1),Avg!$A$2:$A$50,0)),"")</f>
        <v/>
      </c>
      <c r="K117" s="10" t="str">
        <f t="array" ref="K117">IFERROR(INDEX(Avg!$I$2:$I$50,MATCH(DATE(YEAR(A117),MONTH(A117),1),Avg!$A$2:$A$50,0)),"")</f>
        <v/>
      </c>
      <c r="L117" s="11" t="str">
        <f t="array" ref="L117">IFERROR(INDEX(Avg!$L$2:$L$50,MATCH(DATE(YEAR(A117),MONTH(A117),1),Avg!$A$2:$A$50,0)),"")</f>
        <v/>
      </c>
      <c r="M117" s="11" t="str">
        <f t="array" ref="M117">IFERROR(INDEX(Avg!$M$2:$M$50,MATCH(DATE(YEAR(A117),MONTH(A117),1),Avg!$A$2:$A$50,0)),"")</f>
        <v/>
      </c>
      <c r="N117" s="11" t="str">
        <f t="array" ref="N117">IFERROR(INDEX(Avg!$N$2:$N$50,MATCH(DATE(YEAR(A117),MONTH(A117),1),Avg!$A$2:$A$50,0)),"")</f>
        <v/>
      </c>
      <c r="O117" s="11" t="str">
        <f t="array" ref="O117">IFERROR(INDEX(Avg!$O$2:$O$50,MATCH(DATE(YEAR(A117),MONTH(A117),1),Avg!$A$2:$A$50,0)),"")</f>
        <v/>
      </c>
    </row>
    <row r="118" ht="15.75" customHeight="1">
      <c r="A118" s="7" t="s">
        <v>189</v>
      </c>
      <c r="B118" s="7" t="s">
        <v>186</v>
      </c>
      <c r="C118" s="8" t="s">
        <v>158</v>
      </c>
      <c r="D118" s="9">
        <f>IF(SUMPRODUCT((Data!$D$2:$D$2277=A118)*(Data!$E$2:$E$2277=C118)*(Data!$M$2:$M$2277="Vladimir Zelenskiy"))&gt;0,SUMPRODUCT((Data!$D$2:$D$2277=A118)*(Data!$E$2:$E$2277=C118)*(Data!$M$2:$M$2277="Vladimir Zelenskiy")*IF(ISNUMBER(Data!$W$2:$W$2277),Data!$W$2:$W$2277,0))/SUMPRODUCT((Data!$D$2:$D$2277=A118)*(Data!$E$2:$E$2277=C118)*(Data!$M$2:$M$2277="Vladimir Zelenskiy")),"")</f>
        <v>25.7</v>
      </c>
      <c r="E118" s="9" t="str">
        <f>IF(SUMPRODUCT((Data!$D$2:$D$2277=A118)*(Data!$E$2:$E$2277=C118)*(Data!$M$2:$M$2277="Valerii Zaluzhniy"))&gt;0,SUMPRODUCT((Data!$D$2:$D$2277=A118)*(Data!$E$2:$E$2277=C118)*(Data!$M$2:$M$2277="Valerii Zaluzhniy")*IF(ISNUMBER(Data!$W$2:$W$2277),Data!$W$2:$W$2277,0))/SUMPRODUCT((Data!$D$2:$D$2277=A118)*(Data!$E$2:$E$2277=C118)*(Data!$M$2:$M$2277="Valerii Zaluzhniy")),"")</f>
        <v/>
      </c>
      <c r="F118" s="9" t="str">
        <f>IF(SUMPRODUCT((Data!$D$2:$D$2277=A118)*(Data!$E$2:$E$2277=C118)*(Data!$M$2:$M$2277="Kyrylo Budanov"))&gt;0,SUMPRODUCT((Data!$D$2:$D$2277=A118)*(Data!$E$2:$E$2277=C118)*(Data!$M$2:$M$2277="Kyrylo Budanov")*IF(ISNUMBER(Data!$W$2:$W$2277),Data!$W$2:$W$2277,0))/SUMPRODUCT((Data!$D$2:$D$2277=A118)*(Data!$E$2:$E$2277=C118)*(Data!$M$2:$M$2277="Kyrylo Budanov")),"")</f>
        <v/>
      </c>
      <c r="G118" s="9">
        <f>IF(SUMPRODUCT((Data!$D$2:$D$2277=A118)*(Data!$E$2:$E$2277=C118)*(Data!$M$2:$M$2277="Pyotr Poroshenko"))&gt;0,SUMPRODUCT((Data!$D$2:$D$2277=A118)*(Data!$E$2:$E$2277=C118)*(Data!$M$2:$M$2277="Pyotr Poroshenko")*IF(ISNUMBER(Data!$W$2:$W$2277),Data!$W$2:$W$2277,0))/SUMPRODUCT((Data!$D$2:$D$2277=A118)*(Data!$E$2:$E$2277=C118)*(Data!$M$2:$M$2277="Pyotr Poroshenko")),"")</f>
        <v>16.4</v>
      </c>
      <c r="H118" s="10" t="str">
        <f t="array" ref="H118">IFERROR(INDEX(Avg!$F$2:$F$50,MATCH(DATE(YEAR(A118),MONTH(A118),1),Avg!$A$2:$A$50,0)),"")</f>
        <v/>
      </c>
      <c r="I118" s="10" t="str">
        <f t="array" ref="I118">IFERROR(INDEX(Avg!$G$2:$G$50,MATCH(DATE(YEAR(A118),MONTH(A118),1),Avg!$A$2:$A$50,0)),"")</f>
        <v/>
      </c>
      <c r="J118" s="10" t="str">
        <f t="array" ref="J118">IFERROR(INDEX(Avg!$H$2:$H$50,MATCH(DATE(YEAR(A118),MONTH(A118),1),Avg!$A$2:$A$50,0)),"")</f>
        <v/>
      </c>
      <c r="K118" s="10" t="str">
        <f t="array" ref="K118">IFERROR(INDEX(Avg!$I$2:$I$50,MATCH(DATE(YEAR(A118),MONTH(A118),1),Avg!$A$2:$A$50,0)),"")</f>
        <v/>
      </c>
      <c r="L118" s="11" t="str">
        <f t="array" ref="L118">IFERROR(INDEX(Avg!$L$2:$L$50,MATCH(DATE(YEAR(A118),MONTH(A118),1),Avg!$A$2:$A$50,0)),"")</f>
        <v/>
      </c>
      <c r="M118" s="11" t="str">
        <f t="array" ref="M118">IFERROR(INDEX(Avg!$M$2:$M$50,MATCH(DATE(YEAR(A118),MONTH(A118),1),Avg!$A$2:$A$50,0)),"")</f>
        <v/>
      </c>
      <c r="N118" s="11" t="str">
        <f t="array" ref="N118">IFERROR(INDEX(Avg!$N$2:$N$50,MATCH(DATE(YEAR(A118),MONTH(A118),1),Avg!$A$2:$A$50,0)),"")</f>
        <v/>
      </c>
      <c r="O118" s="11" t="str">
        <f t="array" ref="O118">IFERROR(INDEX(Avg!$O$2:$O$50,MATCH(DATE(YEAR(A118),MONTH(A118),1),Avg!$A$2:$A$50,0)),"")</f>
        <v/>
      </c>
    </row>
    <row r="119" ht="15.75" customHeight="1">
      <c r="A119" s="7" t="s">
        <v>190</v>
      </c>
      <c r="B119" s="7" t="s">
        <v>186</v>
      </c>
      <c r="C119" s="8" t="s">
        <v>150</v>
      </c>
      <c r="D119" s="9">
        <f>IF(SUMPRODUCT((Data!$D$2:$D$2277=A119)*(Data!$E$2:$E$2277=C119)*(Data!$M$2:$M$2277="Vladimir Zelenskiy"))&gt;0,SUMPRODUCT((Data!$D$2:$D$2277=A119)*(Data!$E$2:$E$2277=C119)*(Data!$M$2:$M$2277="Vladimir Zelenskiy")*IF(ISNUMBER(Data!$W$2:$W$2277),Data!$W$2:$W$2277,0))/SUMPRODUCT((Data!$D$2:$D$2277=A119)*(Data!$E$2:$E$2277=C119)*(Data!$M$2:$M$2277="Vladimir Zelenskiy")),"")</f>
        <v>26.4</v>
      </c>
      <c r="E119" s="9" t="str">
        <f>IF(SUMPRODUCT((Data!$D$2:$D$2277=A119)*(Data!$E$2:$E$2277=C119)*(Data!$M$2:$M$2277="Valerii Zaluzhniy"))&gt;0,SUMPRODUCT((Data!$D$2:$D$2277=A119)*(Data!$E$2:$E$2277=C119)*(Data!$M$2:$M$2277="Valerii Zaluzhniy")*IF(ISNUMBER(Data!$W$2:$W$2277),Data!$W$2:$W$2277,0))/SUMPRODUCT((Data!$D$2:$D$2277=A119)*(Data!$E$2:$E$2277=C119)*(Data!$M$2:$M$2277="Valerii Zaluzhniy")),"")</f>
        <v/>
      </c>
      <c r="F119" s="9" t="str">
        <f>IF(SUMPRODUCT((Data!$D$2:$D$2277=A119)*(Data!$E$2:$E$2277=C119)*(Data!$M$2:$M$2277="Kyrylo Budanov"))&gt;0,SUMPRODUCT((Data!$D$2:$D$2277=A119)*(Data!$E$2:$E$2277=C119)*(Data!$M$2:$M$2277="Kyrylo Budanov")*IF(ISNUMBER(Data!$W$2:$W$2277),Data!$W$2:$W$2277,0))/SUMPRODUCT((Data!$D$2:$D$2277=A119)*(Data!$E$2:$E$2277=C119)*(Data!$M$2:$M$2277="Kyrylo Budanov")),"")</f>
        <v/>
      </c>
      <c r="G119" s="9">
        <f>IF(SUMPRODUCT((Data!$D$2:$D$2277=A119)*(Data!$E$2:$E$2277=C119)*(Data!$M$2:$M$2277="Pyotr Poroshenko"))&gt;0,SUMPRODUCT((Data!$D$2:$D$2277=A119)*(Data!$E$2:$E$2277=C119)*(Data!$M$2:$M$2277="Pyotr Poroshenko")*IF(ISNUMBER(Data!$W$2:$W$2277),Data!$W$2:$W$2277,0))/SUMPRODUCT((Data!$D$2:$D$2277=A119)*(Data!$E$2:$E$2277=C119)*(Data!$M$2:$M$2277="Pyotr Poroshenko")),"")</f>
        <v>16</v>
      </c>
      <c r="H119" s="10" t="str">
        <f t="array" ref="H119">IFERROR(INDEX(Avg!$F$2:$F$50,MATCH(DATE(YEAR(A119),MONTH(A119),1),Avg!$A$2:$A$50,0)),"")</f>
        <v/>
      </c>
      <c r="I119" s="10" t="str">
        <f t="array" ref="I119">IFERROR(INDEX(Avg!$G$2:$G$50,MATCH(DATE(YEAR(A119),MONTH(A119),1),Avg!$A$2:$A$50,0)),"")</f>
        <v/>
      </c>
      <c r="J119" s="10" t="str">
        <f t="array" ref="J119">IFERROR(INDEX(Avg!$H$2:$H$50,MATCH(DATE(YEAR(A119),MONTH(A119),1),Avg!$A$2:$A$50,0)),"")</f>
        <v/>
      </c>
      <c r="K119" s="10" t="str">
        <f t="array" ref="K119">IFERROR(INDEX(Avg!$I$2:$I$50,MATCH(DATE(YEAR(A119),MONTH(A119),1),Avg!$A$2:$A$50,0)),"")</f>
        <v/>
      </c>
      <c r="L119" s="11" t="str">
        <f t="array" ref="L119">IFERROR(INDEX(Avg!$L$2:$L$50,MATCH(DATE(YEAR(A119),MONTH(A119),1),Avg!$A$2:$A$50,0)),"")</f>
        <v/>
      </c>
      <c r="M119" s="11" t="str">
        <f t="array" ref="M119">IFERROR(INDEX(Avg!$M$2:$M$50,MATCH(DATE(YEAR(A119),MONTH(A119),1),Avg!$A$2:$A$50,0)),"")</f>
        <v/>
      </c>
      <c r="N119" s="11" t="str">
        <f t="array" ref="N119">IFERROR(INDEX(Avg!$N$2:$N$50,MATCH(DATE(YEAR(A119),MONTH(A119),1),Avg!$A$2:$A$50,0)),"")</f>
        <v/>
      </c>
      <c r="O119" s="11" t="str">
        <f t="array" ref="O119">IFERROR(INDEX(Avg!$O$2:$O$50,MATCH(DATE(YEAR(A119),MONTH(A119),1),Avg!$A$2:$A$50,0)),"")</f>
        <v/>
      </c>
    </row>
    <row r="120" ht="15.75" customHeight="1">
      <c r="A120" s="7" t="s">
        <v>191</v>
      </c>
      <c r="B120" s="7" t="s">
        <v>186</v>
      </c>
      <c r="C120" s="8" t="s">
        <v>158</v>
      </c>
      <c r="D120" s="9">
        <f>IF(SUMPRODUCT((Data!$D$2:$D$2277=A120)*(Data!$E$2:$E$2277=C120)*(Data!$M$2:$M$2277="Vladimir Zelenskiy"))&gt;0,SUMPRODUCT((Data!$D$2:$D$2277=A120)*(Data!$E$2:$E$2277=C120)*(Data!$M$2:$M$2277="Vladimir Zelenskiy")*IF(ISNUMBER(Data!$W$2:$W$2277),Data!$W$2:$W$2277,0))/SUMPRODUCT((Data!$D$2:$D$2277=A120)*(Data!$E$2:$E$2277=C120)*(Data!$M$2:$M$2277="Vladimir Zelenskiy")),"")</f>
        <v>26.15</v>
      </c>
      <c r="E120" s="9" t="str">
        <f>IF(SUMPRODUCT((Data!$D$2:$D$2277=A120)*(Data!$E$2:$E$2277=C120)*(Data!$M$2:$M$2277="Valerii Zaluzhniy"))&gt;0,SUMPRODUCT((Data!$D$2:$D$2277=A120)*(Data!$E$2:$E$2277=C120)*(Data!$M$2:$M$2277="Valerii Zaluzhniy")*IF(ISNUMBER(Data!$W$2:$W$2277),Data!$W$2:$W$2277,0))/SUMPRODUCT((Data!$D$2:$D$2277=A120)*(Data!$E$2:$E$2277=C120)*(Data!$M$2:$M$2277="Valerii Zaluzhniy")),"")</f>
        <v/>
      </c>
      <c r="F120" s="9" t="str">
        <f>IF(SUMPRODUCT((Data!$D$2:$D$2277=A120)*(Data!$E$2:$E$2277=C120)*(Data!$M$2:$M$2277="Kyrylo Budanov"))&gt;0,SUMPRODUCT((Data!$D$2:$D$2277=A120)*(Data!$E$2:$E$2277=C120)*(Data!$M$2:$M$2277="Kyrylo Budanov")*IF(ISNUMBER(Data!$W$2:$W$2277),Data!$W$2:$W$2277,0))/SUMPRODUCT((Data!$D$2:$D$2277=A120)*(Data!$E$2:$E$2277=C120)*(Data!$M$2:$M$2277="Kyrylo Budanov")),"")</f>
        <v/>
      </c>
      <c r="G120" s="9">
        <f>IF(SUMPRODUCT((Data!$D$2:$D$2277=A120)*(Data!$E$2:$E$2277=C120)*(Data!$M$2:$M$2277="Pyotr Poroshenko"))&gt;0,SUMPRODUCT((Data!$D$2:$D$2277=A120)*(Data!$E$2:$E$2277=C120)*(Data!$M$2:$M$2277="Pyotr Poroshenko")*IF(ISNUMBER(Data!$W$2:$W$2277),Data!$W$2:$W$2277,0))/SUMPRODUCT((Data!$D$2:$D$2277=A120)*(Data!$E$2:$E$2277=C120)*(Data!$M$2:$M$2277="Pyotr Poroshenko")),"")</f>
        <v>16.05</v>
      </c>
      <c r="H120" s="10" t="str">
        <f t="array" ref="H120">IFERROR(INDEX(Avg!$F$2:$F$50,MATCH(DATE(YEAR(A120),MONTH(A120),1),Avg!$A$2:$A$50,0)),"")</f>
        <v/>
      </c>
      <c r="I120" s="10" t="str">
        <f t="array" ref="I120">IFERROR(INDEX(Avg!$G$2:$G$50,MATCH(DATE(YEAR(A120),MONTH(A120),1),Avg!$A$2:$A$50,0)),"")</f>
        <v/>
      </c>
      <c r="J120" s="10" t="str">
        <f t="array" ref="J120">IFERROR(INDEX(Avg!$H$2:$H$50,MATCH(DATE(YEAR(A120),MONTH(A120),1),Avg!$A$2:$A$50,0)),"")</f>
        <v/>
      </c>
      <c r="K120" s="10" t="str">
        <f t="array" ref="K120">IFERROR(INDEX(Avg!$I$2:$I$50,MATCH(DATE(YEAR(A120),MONTH(A120),1),Avg!$A$2:$A$50,0)),"")</f>
        <v/>
      </c>
      <c r="L120" s="11" t="str">
        <f t="array" ref="L120">IFERROR(INDEX(Avg!$L$2:$L$50,MATCH(DATE(YEAR(A120),MONTH(A120),1),Avg!$A$2:$A$50,0)),"")</f>
        <v/>
      </c>
      <c r="M120" s="11" t="str">
        <f t="array" ref="M120">IFERROR(INDEX(Avg!$M$2:$M$50,MATCH(DATE(YEAR(A120),MONTH(A120),1),Avg!$A$2:$A$50,0)),"")</f>
        <v/>
      </c>
      <c r="N120" s="11" t="str">
        <f t="array" ref="N120">IFERROR(INDEX(Avg!$N$2:$N$50,MATCH(DATE(YEAR(A120),MONTH(A120),1),Avg!$A$2:$A$50,0)),"")</f>
        <v/>
      </c>
      <c r="O120" s="11" t="str">
        <f t="array" ref="O120">IFERROR(INDEX(Avg!$O$2:$O$50,MATCH(DATE(YEAR(A120),MONTH(A120),1),Avg!$A$2:$A$50,0)),"")</f>
        <v/>
      </c>
    </row>
    <row r="121" ht="15.75" customHeight="1">
      <c r="A121" s="7" t="s">
        <v>192</v>
      </c>
      <c r="B121" s="7" t="s">
        <v>186</v>
      </c>
      <c r="C121" s="8" t="s">
        <v>40</v>
      </c>
      <c r="D121" s="9">
        <f>IF(SUMPRODUCT((Data!$D$2:$D$2277=A121)*(Data!$E$2:$E$2277=C121)*(Data!$M$2:$M$2277="Vladimir Zelenskiy"))&gt;0,SUMPRODUCT((Data!$D$2:$D$2277=A121)*(Data!$E$2:$E$2277=C121)*(Data!$M$2:$M$2277="Vladimir Zelenskiy")*IF(ISNUMBER(Data!$W$2:$W$2277),Data!$W$2:$W$2277,0))/SUMPRODUCT((Data!$D$2:$D$2277=A121)*(Data!$E$2:$E$2277=C121)*(Data!$M$2:$M$2277="Vladimir Zelenskiy")),"")</f>
        <v>29.1</v>
      </c>
      <c r="E121" s="9" t="str">
        <f>IF(SUMPRODUCT((Data!$D$2:$D$2277=A121)*(Data!$E$2:$E$2277=C121)*(Data!$M$2:$M$2277="Valerii Zaluzhniy"))&gt;0,SUMPRODUCT((Data!$D$2:$D$2277=A121)*(Data!$E$2:$E$2277=C121)*(Data!$M$2:$M$2277="Valerii Zaluzhniy")*IF(ISNUMBER(Data!$W$2:$W$2277),Data!$W$2:$W$2277,0))/SUMPRODUCT((Data!$D$2:$D$2277=A121)*(Data!$E$2:$E$2277=C121)*(Data!$M$2:$M$2277="Valerii Zaluzhniy")),"")</f>
        <v/>
      </c>
      <c r="F121" s="9" t="str">
        <f>IF(SUMPRODUCT((Data!$D$2:$D$2277=A121)*(Data!$E$2:$E$2277=C121)*(Data!$M$2:$M$2277="Kyrylo Budanov"))&gt;0,SUMPRODUCT((Data!$D$2:$D$2277=A121)*(Data!$E$2:$E$2277=C121)*(Data!$M$2:$M$2277="Kyrylo Budanov")*IF(ISNUMBER(Data!$W$2:$W$2277),Data!$W$2:$W$2277,0))/SUMPRODUCT((Data!$D$2:$D$2277=A121)*(Data!$E$2:$E$2277=C121)*(Data!$M$2:$M$2277="Kyrylo Budanov")),"")</f>
        <v/>
      </c>
      <c r="G121" s="9">
        <f>IF(SUMPRODUCT((Data!$D$2:$D$2277=A121)*(Data!$E$2:$E$2277=C121)*(Data!$M$2:$M$2277="Pyotr Poroshenko"))&gt;0,SUMPRODUCT((Data!$D$2:$D$2277=A121)*(Data!$E$2:$E$2277=C121)*(Data!$M$2:$M$2277="Pyotr Poroshenko")*IF(ISNUMBER(Data!$W$2:$W$2277),Data!$W$2:$W$2277,0))/SUMPRODUCT((Data!$D$2:$D$2277=A121)*(Data!$E$2:$E$2277=C121)*(Data!$M$2:$M$2277="Pyotr Poroshenko")),"")</f>
        <v>13.4</v>
      </c>
      <c r="H121" s="10" t="str">
        <f t="array" ref="H121">IFERROR(INDEX(Avg!$F$2:$F$50,MATCH(DATE(YEAR(A121),MONTH(A121),1),Avg!$A$2:$A$50,0)),"")</f>
        <v/>
      </c>
      <c r="I121" s="10" t="str">
        <f t="array" ref="I121">IFERROR(INDEX(Avg!$G$2:$G$50,MATCH(DATE(YEAR(A121),MONTH(A121),1),Avg!$A$2:$A$50,0)),"")</f>
        <v/>
      </c>
      <c r="J121" s="10" t="str">
        <f t="array" ref="J121">IFERROR(INDEX(Avg!$H$2:$H$50,MATCH(DATE(YEAR(A121),MONTH(A121),1),Avg!$A$2:$A$50,0)),"")</f>
        <v/>
      </c>
      <c r="K121" s="10" t="str">
        <f t="array" ref="K121">IFERROR(INDEX(Avg!$I$2:$I$50,MATCH(DATE(YEAR(A121),MONTH(A121),1),Avg!$A$2:$A$50,0)),"")</f>
        <v/>
      </c>
      <c r="L121" s="11" t="str">
        <f t="array" ref="L121">IFERROR(INDEX(Avg!$L$2:$L$50,MATCH(DATE(YEAR(A121),MONTH(A121),1),Avg!$A$2:$A$50,0)),"")</f>
        <v/>
      </c>
      <c r="M121" s="11" t="str">
        <f t="array" ref="M121">IFERROR(INDEX(Avg!$M$2:$M$50,MATCH(DATE(YEAR(A121),MONTH(A121),1),Avg!$A$2:$A$50,0)),"")</f>
        <v/>
      </c>
      <c r="N121" s="11" t="str">
        <f t="array" ref="N121">IFERROR(INDEX(Avg!$N$2:$N$50,MATCH(DATE(YEAR(A121),MONTH(A121),1),Avg!$A$2:$A$50,0)),"")</f>
        <v/>
      </c>
      <c r="O121" s="11" t="str">
        <f t="array" ref="O121">IFERROR(INDEX(Avg!$O$2:$O$50,MATCH(DATE(YEAR(A121),MONTH(A121),1),Avg!$A$2:$A$50,0)),"")</f>
        <v/>
      </c>
    </row>
    <row r="122" ht="15.75" customHeight="1">
      <c r="A122" s="7" t="s">
        <v>193</v>
      </c>
      <c r="B122" s="7" t="s">
        <v>194</v>
      </c>
      <c r="C122" s="8" t="s">
        <v>17</v>
      </c>
      <c r="D122" s="9">
        <f>IF(SUMPRODUCT((Data!$D$2:$D$2277=A122)*(Data!$E$2:$E$2277=C122)*(Data!$M$2:$M$2277="Vladimir Zelenskiy"))&gt;0,SUMPRODUCT((Data!$D$2:$D$2277=A122)*(Data!$E$2:$E$2277=C122)*(Data!$M$2:$M$2277="Vladimir Zelenskiy")*IF(ISNUMBER(Data!$W$2:$W$2277),Data!$W$2:$W$2277,0))/SUMPRODUCT((Data!$D$2:$D$2277=A122)*(Data!$E$2:$E$2277=C122)*(Data!$M$2:$M$2277="Vladimir Zelenskiy")),"")</f>
        <v>28.8</v>
      </c>
      <c r="E122" s="9" t="str">
        <f>IF(SUMPRODUCT((Data!$D$2:$D$2277=A122)*(Data!$E$2:$E$2277=C122)*(Data!$M$2:$M$2277="Valerii Zaluzhniy"))&gt;0,SUMPRODUCT((Data!$D$2:$D$2277=A122)*(Data!$E$2:$E$2277=C122)*(Data!$M$2:$M$2277="Valerii Zaluzhniy")*IF(ISNUMBER(Data!$W$2:$W$2277),Data!$W$2:$W$2277,0))/SUMPRODUCT((Data!$D$2:$D$2277=A122)*(Data!$E$2:$E$2277=C122)*(Data!$M$2:$M$2277="Valerii Zaluzhniy")),"")</f>
        <v/>
      </c>
      <c r="F122" s="9" t="str">
        <f>IF(SUMPRODUCT((Data!$D$2:$D$2277=A122)*(Data!$E$2:$E$2277=C122)*(Data!$M$2:$M$2277="Kyrylo Budanov"))&gt;0,SUMPRODUCT((Data!$D$2:$D$2277=A122)*(Data!$E$2:$E$2277=C122)*(Data!$M$2:$M$2277="Kyrylo Budanov")*IF(ISNUMBER(Data!$W$2:$W$2277),Data!$W$2:$W$2277,0))/SUMPRODUCT((Data!$D$2:$D$2277=A122)*(Data!$E$2:$E$2277=C122)*(Data!$M$2:$M$2277="Kyrylo Budanov")),"")</f>
        <v/>
      </c>
      <c r="G122" s="9">
        <f>IF(SUMPRODUCT((Data!$D$2:$D$2277=A122)*(Data!$E$2:$E$2277=C122)*(Data!$M$2:$M$2277="Pyotr Poroshenko"))&gt;0,SUMPRODUCT((Data!$D$2:$D$2277=A122)*(Data!$E$2:$E$2277=C122)*(Data!$M$2:$M$2277="Pyotr Poroshenko")*IF(ISNUMBER(Data!$W$2:$W$2277),Data!$W$2:$W$2277,0))/SUMPRODUCT((Data!$D$2:$D$2277=A122)*(Data!$E$2:$E$2277=C122)*(Data!$M$2:$M$2277="Pyotr Poroshenko")),"")</f>
        <v>18.4</v>
      </c>
      <c r="H122" s="10" t="str">
        <f t="array" ref="H122">IFERROR(INDEX(Avg!$F$2:$F$50,MATCH(DATE(YEAR(A122),MONTH(A122),1),Avg!$A$2:$A$50,0)),"")</f>
        <v/>
      </c>
      <c r="I122" s="10" t="str">
        <f t="array" ref="I122">IFERROR(INDEX(Avg!$G$2:$G$50,MATCH(DATE(YEAR(A122),MONTH(A122),1),Avg!$A$2:$A$50,0)),"")</f>
        <v/>
      </c>
      <c r="J122" s="10" t="str">
        <f t="array" ref="J122">IFERROR(INDEX(Avg!$H$2:$H$50,MATCH(DATE(YEAR(A122),MONTH(A122),1),Avg!$A$2:$A$50,0)),"")</f>
        <v/>
      </c>
      <c r="K122" s="10" t="str">
        <f t="array" ref="K122">IFERROR(INDEX(Avg!$I$2:$I$50,MATCH(DATE(YEAR(A122),MONTH(A122),1),Avg!$A$2:$A$50,0)),"")</f>
        <v/>
      </c>
      <c r="L122" s="11" t="str">
        <f t="array" ref="L122">IFERROR(INDEX(Avg!$L$2:$L$50,MATCH(DATE(YEAR(A122),MONTH(A122),1),Avg!$A$2:$A$50,0)),"")</f>
        <v/>
      </c>
      <c r="M122" s="11" t="str">
        <f t="array" ref="M122">IFERROR(INDEX(Avg!$M$2:$M$50,MATCH(DATE(YEAR(A122),MONTH(A122),1),Avg!$A$2:$A$50,0)),"")</f>
        <v/>
      </c>
      <c r="N122" s="11" t="str">
        <f t="array" ref="N122">IFERROR(INDEX(Avg!$N$2:$N$50,MATCH(DATE(YEAR(A122),MONTH(A122),1),Avg!$A$2:$A$50,0)),"")</f>
        <v/>
      </c>
      <c r="O122" s="11" t="str">
        <f t="array" ref="O122">IFERROR(INDEX(Avg!$O$2:$O$50,MATCH(DATE(YEAR(A122),MONTH(A122),1),Avg!$A$2:$A$50,0)),"")</f>
        <v/>
      </c>
    </row>
    <row r="123" ht="15.75" customHeight="1">
      <c r="A123" s="7" t="s">
        <v>195</v>
      </c>
      <c r="B123" s="7" t="s">
        <v>194</v>
      </c>
      <c r="C123" s="8" t="s">
        <v>156</v>
      </c>
      <c r="D123" s="9">
        <f>IF(SUMPRODUCT((Data!$D$2:$D$2277=A123)*(Data!$E$2:$E$2277=C123)*(Data!$M$2:$M$2277="Vladimir Zelenskiy"))&gt;0,SUMPRODUCT((Data!$D$2:$D$2277=A123)*(Data!$E$2:$E$2277=C123)*(Data!$M$2:$M$2277="Vladimir Zelenskiy")*IF(ISNUMBER(Data!$W$2:$W$2277),Data!$W$2:$W$2277,0))/SUMPRODUCT((Data!$D$2:$D$2277=A123)*(Data!$E$2:$E$2277=C123)*(Data!$M$2:$M$2277="Vladimir Zelenskiy")),"")</f>
        <v>30</v>
      </c>
      <c r="E123" s="9" t="str">
        <f>IF(SUMPRODUCT((Data!$D$2:$D$2277=A123)*(Data!$E$2:$E$2277=C123)*(Data!$M$2:$M$2277="Valerii Zaluzhniy"))&gt;0,SUMPRODUCT((Data!$D$2:$D$2277=A123)*(Data!$E$2:$E$2277=C123)*(Data!$M$2:$M$2277="Valerii Zaluzhniy")*IF(ISNUMBER(Data!$W$2:$W$2277),Data!$W$2:$W$2277,0))/SUMPRODUCT((Data!$D$2:$D$2277=A123)*(Data!$E$2:$E$2277=C123)*(Data!$M$2:$M$2277="Valerii Zaluzhniy")),"")</f>
        <v/>
      </c>
      <c r="F123" s="9" t="str">
        <f>IF(SUMPRODUCT((Data!$D$2:$D$2277=A123)*(Data!$E$2:$E$2277=C123)*(Data!$M$2:$M$2277="Kyrylo Budanov"))&gt;0,SUMPRODUCT((Data!$D$2:$D$2277=A123)*(Data!$E$2:$E$2277=C123)*(Data!$M$2:$M$2277="Kyrylo Budanov")*IF(ISNUMBER(Data!$W$2:$W$2277),Data!$W$2:$W$2277,0))/SUMPRODUCT((Data!$D$2:$D$2277=A123)*(Data!$E$2:$E$2277=C123)*(Data!$M$2:$M$2277="Kyrylo Budanov")),"")</f>
        <v/>
      </c>
      <c r="G123" s="9">
        <f>IF(SUMPRODUCT((Data!$D$2:$D$2277=A123)*(Data!$E$2:$E$2277=C123)*(Data!$M$2:$M$2277="Pyotr Poroshenko"))&gt;0,SUMPRODUCT((Data!$D$2:$D$2277=A123)*(Data!$E$2:$E$2277=C123)*(Data!$M$2:$M$2277="Pyotr Poroshenko")*IF(ISNUMBER(Data!$W$2:$W$2277),Data!$W$2:$W$2277,0))/SUMPRODUCT((Data!$D$2:$D$2277=A123)*(Data!$E$2:$E$2277=C123)*(Data!$M$2:$M$2277="Pyotr Poroshenko")),"")</f>
        <v>14</v>
      </c>
      <c r="H123" s="10" t="str">
        <f t="array" ref="H123">IFERROR(INDEX(Avg!$F$2:$F$50,MATCH(DATE(YEAR(A123),MONTH(A123),1),Avg!$A$2:$A$50,0)),"")</f>
        <v/>
      </c>
      <c r="I123" s="10" t="str">
        <f t="array" ref="I123">IFERROR(INDEX(Avg!$G$2:$G$50,MATCH(DATE(YEAR(A123),MONTH(A123),1),Avg!$A$2:$A$50,0)),"")</f>
        <v/>
      </c>
      <c r="J123" s="10" t="str">
        <f t="array" ref="J123">IFERROR(INDEX(Avg!$H$2:$H$50,MATCH(DATE(YEAR(A123),MONTH(A123),1),Avg!$A$2:$A$50,0)),"")</f>
        <v/>
      </c>
      <c r="K123" s="10" t="str">
        <f t="array" ref="K123">IFERROR(INDEX(Avg!$I$2:$I$50,MATCH(DATE(YEAR(A123),MONTH(A123),1),Avg!$A$2:$A$50,0)),"")</f>
        <v/>
      </c>
      <c r="L123" s="11" t="str">
        <f t="array" ref="L123">IFERROR(INDEX(Avg!$L$2:$L$50,MATCH(DATE(YEAR(A123),MONTH(A123),1),Avg!$A$2:$A$50,0)),"")</f>
        <v/>
      </c>
      <c r="M123" s="11" t="str">
        <f t="array" ref="M123">IFERROR(INDEX(Avg!$M$2:$M$50,MATCH(DATE(YEAR(A123),MONTH(A123),1),Avg!$A$2:$A$50,0)),"")</f>
        <v/>
      </c>
      <c r="N123" s="11" t="str">
        <f t="array" ref="N123">IFERROR(INDEX(Avg!$N$2:$N$50,MATCH(DATE(YEAR(A123),MONTH(A123),1),Avg!$A$2:$A$50,0)),"")</f>
        <v/>
      </c>
      <c r="O123" s="11" t="str">
        <f t="array" ref="O123">IFERROR(INDEX(Avg!$O$2:$O$50,MATCH(DATE(YEAR(A123),MONTH(A123),1),Avg!$A$2:$A$50,0)),"")</f>
        <v/>
      </c>
    </row>
    <row r="124" ht="15.75" customHeight="1">
      <c r="A124" s="7" t="s">
        <v>196</v>
      </c>
      <c r="B124" s="7" t="s">
        <v>194</v>
      </c>
      <c r="C124" s="8" t="s">
        <v>158</v>
      </c>
      <c r="D124" s="9">
        <f>IF(SUMPRODUCT((Data!$D$2:$D$2277=A124)*(Data!$E$2:$E$2277=C124)*(Data!$M$2:$M$2277="Vladimir Zelenskiy"))&gt;0,SUMPRODUCT((Data!$D$2:$D$2277=A124)*(Data!$E$2:$E$2277=C124)*(Data!$M$2:$M$2277="Vladimir Zelenskiy")*IF(ISNUMBER(Data!$W$2:$W$2277),Data!$W$2:$W$2277,0))/SUMPRODUCT((Data!$D$2:$D$2277=A124)*(Data!$E$2:$E$2277=C124)*(Data!$M$2:$M$2277="Vladimir Zelenskiy")),"")</f>
        <v>24.3</v>
      </c>
      <c r="E124" s="9" t="str">
        <f>IF(SUMPRODUCT((Data!$D$2:$D$2277=A124)*(Data!$E$2:$E$2277=C124)*(Data!$M$2:$M$2277="Valerii Zaluzhniy"))&gt;0,SUMPRODUCT((Data!$D$2:$D$2277=A124)*(Data!$E$2:$E$2277=C124)*(Data!$M$2:$M$2277="Valerii Zaluzhniy")*IF(ISNUMBER(Data!$W$2:$W$2277),Data!$W$2:$W$2277,0))/SUMPRODUCT((Data!$D$2:$D$2277=A124)*(Data!$E$2:$E$2277=C124)*(Data!$M$2:$M$2277="Valerii Zaluzhniy")),"")</f>
        <v/>
      </c>
      <c r="F124" s="9" t="str">
        <f>IF(SUMPRODUCT((Data!$D$2:$D$2277=A124)*(Data!$E$2:$E$2277=C124)*(Data!$M$2:$M$2277="Kyrylo Budanov"))&gt;0,SUMPRODUCT((Data!$D$2:$D$2277=A124)*(Data!$E$2:$E$2277=C124)*(Data!$M$2:$M$2277="Kyrylo Budanov")*IF(ISNUMBER(Data!$W$2:$W$2277),Data!$W$2:$W$2277,0))/SUMPRODUCT((Data!$D$2:$D$2277=A124)*(Data!$E$2:$E$2277=C124)*(Data!$M$2:$M$2277="Kyrylo Budanov")),"")</f>
        <v/>
      </c>
      <c r="G124" s="9">
        <f>IF(SUMPRODUCT((Data!$D$2:$D$2277=A124)*(Data!$E$2:$E$2277=C124)*(Data!$M$2:$M$2277="Pyotr Poroshenko"))&gt;0,SUMPRODUCT((Data!$D$2:$D$2277=A124)*(Data!$E$2:$E$2277=C124)*(Data!$M$2:$M$2277="Pyotr Poroshenko")*IF(ISNUMBER(Data!$W$2:$W$2277),Data!$W$2:$W$2277,0))/SUMPRODUCT((Data!$D$2:$D$2277=A124)*(Data!$E$2:$E$2277=C124)*(Data!$M$2:$M$2277="Pyotr Poroshenko")),"")</f>
        <v>17.2</v>
      </c>
      <c r="H124" s="10" t="str">
        <f t="array" ref="H124">IFERROR(INDEX(Avg!$F$2:$F$50,MATCH(DATE(YEAR(A124),MONTH(A124),1),Avg!$A$2:$A$50,0)),"")</f>
        <v/>
      </c>
      <c r="I124" s="10" t="str">
        <f t="array" ref="I124">IFERROR(INDEX(Avg!$G$2:$G$50,MATCH(DATE(YEAR(A124),MONTH(A124),1),Avg!$A$2:$A$50,0)),"")</f>
        <v/>
      </c>
      <c r="J124" s="10" t="str">
        <f t="array" ref="J124">IFERROR(INDEX(Avg!$H$2:$H$50,MATCH(DATE(YEAR(A124),MONTH(A124),1),Avg!$A$2:$A$50,0)),"")</f>
        <v/>
      </c>
      <c r="K124" s="10" t="str">
        <f t="array" ref="K124">IFERROR(INDEX(Avg!$I$2:$I$50,MATCH(DATE(YEAR(A124),MONTH(A124),1),Avg!$A$2:$A$50,0)),"")</f>
        <v/>
      </c>
      <c r="L124" s="11" t="str">
        <f t="array" ref="L124">IFERROR(INDEX(Avg!$L$2:$L$50,MATCH(DATE(YEAR(A124),MONTH(A124),1),Avg!$A$2:$A$50,0)),"")</f>
        <v/>
      </c>
      <c r="M124" s="11" t="str">
        <f t="array" ref="M124">IFERROR(INDEX(Avg!$M$2:$M$50,MATCH(DATE(YEAR(A124),MONTH(A124),1),Avg!$A$2:$A$50,0)),"")</f>
        <v/>
      </c>
      <c r="N124" s="11" t="str">
        <f t="array" ref="N124">IFERROR(INDEX(Avg!$N$2:$N$50,MATCH(DATE(YEAR(A124),MONTH(A124),1),Avg!$A$2:$A$50,0)),"")</f>
        <v/>
      </c>
      <c r="O124" s="11" t="str">
        <f t="array" ref="O124">IFERROR(INDEX(Avg!$O$2:$O$50,MATCH(DATE(YEAR(A124),MONTH(A124),1),Avg!$A$2:$A$50,0)),"")</f>
        <v/>
      </c>
    </row>
    <row r="125" ht="15.75" customHeight="1">
      <c r="A125" s="7" t="s">
        <v>197</v>
      </c>
      <c r="B125" s="7" t="s">
        <v>194</v>
      </c>
      <c r="C125" s="8" t="s">
        <v>106</v>
      </c>
      <c r="D125" s="9">
        <f>IF(SUMPRODUCT((Data!$D$2:$D$2277=A125)*(Data!$E$2:$E$2277=C125)*(Data!$M$2:$M$2277="Vladimir Zelenskiy"))&gt;0,SUMPRODUCT((Data!$D$2:$D$2277=A125)*(Data!$E$2:$E$2277=C125)*(Data!$M$2:$M$2277="Vladimir Zelenskiy")*IF(ISNUMBER(Data!$W$2:$W$2277),Data!$W$2:$W$2277,0))/SUMPRODUCT((Data!$D$2:$D$2277=A125)*(Data!$E$2:$E$2277=C125)*(Data!$M$2:$M$2277="Vladimir Zelenskiy")),"")</f>
        <v>32.4</v>
      </c>
      <c r="E125" s="9" t="str">
        <f>IF(SUMPRODUCT((Data!$D$2:$D$2277=A125)*(Data!$E$2:$E$2277=C125)*(Data!$M$2:$M$2277="Valerii Zaluzhniy"))&gt;0,SUMPRODUCT((Data!$D$2:$D$2277=A125)*(Data!$E$2:$E$2277=C125)*(Data!$M$2:$M$2277="Valerii Zaluzhniy")*IF(ISNUMBER(Data!$W$2:$W$2277),Data!$W$2:$W$2277,0))/SUMPRODUCT((Data!$D$2:$D$2277=A125)*(Data!$E$2:$E$2277=C125)*(Data!$M$2:$M$2277="Valerii Zaluzhniy")),"")</f>
        <v/>
      </c>
      <c r="F125" s="9" t="str">
        <f>IF(SUMPRODUCT((Data!$D$2:$D$2277=A125)*(Data!$E$2:$E$2277=C125)*(Data!$M$2:$M$2277="Kyrylo Budanov"))&gt;0,SUMPRODUCT((Data!$D$2:$D$2277=A125)*(Data!$E$2:$E$2277=C125)*(Data!$M$2:$M$2277="Kyrylo Budanov")*IF(ISNUMBER(Data!$W$2:$W$2277),Data!$W$2:$W$2277,0))/SUMPRODUCT((Data!$D$2:$D$2277=A125)*(Data!$E$2:$E$2277=C125)*(Data!$M$2:$M$2277="Kyrylo Budanov")),"")</f>
        <v/>
      </c>
      <c r="G125" s="9">
        <f>IF(SUMPRODUCT((Data!$D$2:$D$2277=A125)*(Data!$E$2:$E$2277=C125)*(Data!$M$2:$M$2277="Pyotr Poroshenko"))&gt;0,SUMPRODUCT((Data!$D$2:$D$2277=A125)*(Data!$E$2:$E$2277=C125)*(Data!$M$2:$M$2277="Pyotr Poroshenko")*IF(ISNUMBER(Data!$W$2:$W$2277),Data!$W$2:$W$2277,0))/SUMPRODUCT((Data!$D$2:$D$2277=A125)*(Data!$E$2:$E$2277=C125)*(Data!$M$2:$M$2277="Pyotr Poroshenko")),"")</f>
        <v>17.2</v>
      </c>
      <c r="H125" s="10" t="str">
        <f t="array" ref="H125">IFERROR(INDEX(Avg!$F$2:$F$50,MATCH(DATE(YEAR(A125),MONTH(A125),1),Avg!$A$2:$A$50,0)),"")</f>
        <v/>
      </c>
      <c r="I125" s="10" t="str">
        <f t="array" ref="I125">IFERROR(INDEX(Avg!$G$2:$G$50,MATCH(DATE(YEAR(A125),MONTH(A125),1),Avg!$A$2:$A$50,0)),"")</f>
        <v/>
      </c>
      <c r="J125" s="10" t="str">
        <f t="array" ref="J125">IFERROR(INDEX(Avg!$H$2:$H$50,MATCH(DATE(YEAR(A125),MONTH(A125),1),Avg!$A$2:$A$50,0)),"")</f>
        <v/>
      </c>
      <c r="K125" s="10" t="str">
        <f t="array" ref="K125">IFERROR(INDEX(Avg!$I$2:$I$50,MATCH(DATE(YEAR(A125),MONTH(A125),1),Avg!$A$2:$A$50,0)),"")</f>
        <v/>
      </c>
      <c r="L125" s="11" t="str">
        <f t="array" ref="L125">IFERROR(INDEX(Avg!$L$2:$L$50,MATCH(DATE(YEAR(A125),MONTH(A125),1),Avg!$A$2:$A$50,0)),"")</f>
        <v/>
      </c>
      <c r="M125" s="11" t="str">
        <f t="array" ref="M125">IFERROR(INDEX(Avg!$M$2:$M$50,MATCH(DATE(YEAR(A125),MONTH(A125),1),Avg!$A$2:$A$50,0)),"")</f>
        <v/>
      </c>
      <c r="N125" s="11" t="str">
        <f t="array" ref="N125">IFERROR(INDEX(Avg!$N$2:$N$50,MATCH(DATE(YEAR(A125),MONTH(A125),1),Avg!$A$2:$A$50,0)),"")</f>
        <v/>
      </c>
      <c r="O125" s="11" t="str">
        <f t="array" ref="O125">IFERROR(INDEX(Avg!$O$2:$O$50,MATCH(DATE(YEAR(A125),MONTH(A125),1),Avg!$A$2:$A$50,0)),"")</f>
        <v/>
      </c>
    </row>
    <row r="126" ht="15.75" customHeight="1">
      <c r="A126" s="7" t="s">
        <v>198</v>
      </c>
      <c r="B126" s="7" t="s">
        <v>194</v>
      </c>
      <c r="C126" s="8" t="s">
        <v>158</v>
      </c>
      <c r="D126" s="9">
        <f>IF(SUMPRODUCT((Data!$D$2:$D$2277=A126)*(Data!$E$2:$E$2277=C126)*(Data!$M$2:$M$2277="Vladimir Zelenskiy"))&gt;0,SUMPRODUCT((Data!$D$2:$D$2277=A126)*(Data!$E$2:$E$2277=C126)*(Data!$M$2:$M$2277="Vladimir Zelenskiy")*IF(ISNUMBER(Data!$W$2:$W$2277),Data!$W$2:$W$2277,0))/SUMPRODUCT((Data!$D$2:$D$2277=A126)*(Data!$E$2:$E$2277=C126)*(Data!$M$2:$M$2277="Vladimir Zelenskiy")),"")</f>
        <v>25.65</v>
      </c>
      <c r="E126" s="9" t="str">
        <f>IF(SUMPRODUCT((Data!$D$2:$D$2277=A126)*(Data!$E$2:$E$2277=C126)*(Data!$M$2:$M$2277="Valerii Zaluzhniy"))&gt;0,SUMPRODUCT((Data!$D$2:$D$2277=A126)*(Data!$E$2:$E$2277=C126)*(Data!$M$2:$M$2277="Valerii Zaluzhniy")*IF(ISNUMBER(Data!$W$2:$W$2277),Data!$W$2:$W$2277,0))/SUMPRODUCT((Data!$D$2:$D$2277=A126)*(Data!$E$2:$E$2277=C126)*(Data!$M$2:$M$2277="Valerii Zaluzhniy")),"")</f>
        <v/>
      </c>
      <c r="F126" s="9" t="str">
        <f>IF(SUMPRODUCT((Data!$D$2:$D$2277=A126)*(Data!$E$2:$E$2277=C126)*(Data!$M$2:$M$2277="Kyrylo Budanov"))&gt;0,SUMPRODUCT((Data!$D$2:$D$2277=A126)*(Data!$E$2:$E$2277=C126)*(Data!$M$2:$M$2277="Kyrylo Budanov")*IF(ISNUMBER(Data!$W$2:$W$2277),Data!$W$2:$W$2277,0))/SUMPRODUCT((Data!$D$2:$D$2277=A126)*(Data!$E$2:$E$2277=C126)*(Data!$M$2:$M$2277="Kyrylo Budanov")),"")</f>
        <v/>
      </c>
      <c r="G126" s="9">
        <f>IF(SUMPRODUCT((Data!$D$2:$D$2277=A126)*(Data!$E$2:$E$2277=C126)*(Data!$M$2:$M$2277="Pyotr Poroshenko"))&gt;0,SUMPRODUCT((Data!$D$2:$D$2277=A126)*(Data!$E$2:$E$2277=C126)*(Data!$M$2:$M$2277="Pyotr Poroshenko")*IF(ISNUMBER(Data!$W$2:$W$2277),Data!$W$2:$W$2277,0))/SUMPRODUCT((Data!$D$2:$D$2277=A126)*(Data!$E$2:$E$2277=C126)*(Data!$M$2:$M$2277="Pyotr Poroshenko")),"")</f>
        <v>16.85</v>
      </c>
      <c r="H126" s="10" t="str">
        <f t="array" ref="H126">IFERROR(INDEX(Avg!$F$2:$F$50,MATCH(DATE(YEAR(A126),MONTH(A126),1),Avg!$A$2:$A$50,0)),"")</f>
        <v/>
      </c>
      <c r="I126" s="10" t="str">
        <f t="array" ref="I126">IFERROR(INDEX(Avg!$G$2:$G$50,MATCH(DATE(YEAR(A126),MONTH(A126),1),Avg!$A$2:$A$50,0)),"")</f>
        <v/>
      </c>
      <c r="J126" s="10" t="str">
        <f t="array" ref="J126">IFERROR(INDEX(Avg!$H$2:$H$50,MATCH(DATE(YEAR(A126),MONTH(A126),1),Avg!$A$2:$A$50,0)),"")</f>
        <v/>
      </c>
      <c r="K126" s="10" t="str">
        <f t="array" ref="K126">IFERROR(INDEX(Avg!$I$2:$I$50,MATCH(DATE(YEAR(A126),MONTH(A126),1),Avg!$A$2:$A$50,0)),"")</f>
        <v/>
      </c>
      <c r="L126" s="11" t="str">
        <f t="array" ref="L126">IFERROR(INDEX(Avg!$L$2:$L$50,MATCH(DATE(YEAR(A126),MONTH(A126),1),Avg!$A$2:$A$50,0)),"")</f>
        <v/>
      </c>
      <c r="M126" s="11" t="str">
        <f t="array" ref="M126">IFERROR(INDEX(Avg!$M$2:$M$50,MATCH(DATE(YEAR(A126),MONTH(A126),1),Avg!$A$2:$A$50,0)),"")</f>
        <v/>
      </c>
      <c r="N126" s="11" t="str">
        <f t="array" ref="N126">IFERROR(INDEX(Avg!$N$2:$N$50,MATCH(DATE(YEAR(A126),MONTH(A126),1),Avg!$A$2:$A$50,0)),"")</f>
        <v/>
      </c>
      <c r="O126" s="11" t="str">
        <f t="array" ref="O126">IFERROR(INDEX(Avg!$O$2:$O$50,MATCH(DATE(YEAR(A126),MONTH(A126),1),Avg!$A$2:$A$50,0)),"")</f>
        <v/>
      </c>
    </row>
    <row r="127" ht="15.75" customHeight="1">
      <c r="A127" s="7" t="s">
        <v>199</v>
      </c>
      <c r="B127" s="7" t="s">
        <v>194</v>
      </c>
      <c r="C127" s="8" t="s">
        <v>72</v>
      </c>
      <c r="D127" s="9">
        <f>IF(SUMPRODUCT((Data!$D$2:$D$2277=A127)*(Data!$E$2:$E$2277=C127)*(Data!$M$2:$M$2277="Vladimir Zelenskiy"))&gt;0,SUMPRODUCT((Data!$D$2:$D$2277=A127)*(Data!$E$2:$E$2277=C127)*(Data!$M$2:$M$2277="Vladimir Zelenskiy")*IF(ISNUMBER(Data!$W$2:$W$2277),Data!$W$2:$W$2277,0))/SUMPRODUCT((Data!$D$2:$D$2277=A127)*(Data!$E$2:$E$2277=C127)*(Data!$M$2:$M$2277="Vladimir Zelenskiy")),"")</f>
        <v>30.6</v>
      </c>
      <c r="E127" s="9" t="str">
        <f>IF(SUMPRODUCT((Data!$D$2:$D$2277=A127)*(Data!$E$2:$E$2277=C127)*(Data!$M$2:$M$2277="Valerii Zaluzhniy"))&gt;0,SUMPRODUCT((Data!$D$2:$D$2277=A127)*(Data!$E$2:$E$2277=C127)*(Data!$M$2:$M$2277="Valerii Zaluzhniy")*IF(ISNUMBER(Data!$W$2:$W$2277),Data!$W$2:$W$2277,0))/SUMPRODUCT((Data!$D$2:$D$2277=A127)*(Data!$E$2:$E$2277=C127)*(Data!$M$2:$M$2277="Valerii Zaluzhniy")),"")</f>
        <v/>
      </c>
      <c r="F127" s="9" t="str">
        <f>IF(SUMPRODUCT((Data!$D$2:$D$2277=A127)*(Data!$E$2:$E$2277=C127)*(Data!$M$2:$M$2277="Kyrylo Budanov"))&gt;0,SUMPRODUCT((Data!$D$2:$D$2277=A127)*(Data!$E$2:$E$2277=C127)*(Data!$M$2:$M$2277="Kyrylo Budanov")*IF(ISNUMBER(Data!$W$2:$W$2277),Data!$W$2:$W$2277,0))/SUMPRODUCT((Data!$D$2:$D$2277=A127)*(Data!$E$2:$E$2277=C127)*(Data!$M$2:$M$2277="Kyrylo Budanov")),"")</f>
        <v/>
      </c>
      <c r="G127" s="9">
        <f>IF(SUMPRODUCT((Data!$D$2:$D$2277=A127)*(Data!$E$2:$E$2277=C127)*(Data!$M$2:$M$2277="Pyotr Poroshenko"))&gt;0,SUMPRODUCT((Data!$D$2:$D$2277=A127)*(Data!$E$2:$E$2277=C127)*(Data!$M$2:$M$2277="Pyotr Poroshenko")*IF(ISNUMBER(Data!$W$2:$W$2277),Data!$W$2:$W$2277,0))/SUMPRODUCT((Data!$D$2:$D$2277=A127)*(Data!$E$2:$E$2277=C127)*(Data!$M$2:$M$2277="Pyotr Poroshenko")),"")</f>
        <v>17.4</v>
      </c>
      <c r="H127" s="10" t="str">
        <f t="array" ref="H127">IFERROR(INDEX(Avg!$F$2:$F$50,MATCH(DATE(YEAR(A127),MONTH(A127),1),Avg!$A$2:$A$50,0)),"")</f>
        <v/>
      </c>
      <c r="I127" s="10" t="str">
        <f t="array" ref="I127">IFERROR(INDEX(Avg!$G$2:$G$50,MATCH(DATE(YEAR(A127),MONTH(A127),1),Avg!$A$2:$A$50,0)),"")</f>
        <v/>
      </c>
      <c r="J127" s="10" t="str">
        <f t="array" ref="J127">IFERROR(INDEX(Avg!$H$2:$H$50,MATCH(DATE(YEAR(A127),MONTH(A127),1),Avg!$A$2:$A$50,0)),"")</f>
        <v/>
      </c>
      <c r="K127" s="10" t="str">
        <f t="array" ref="K127">IFERROR(INDEX(Avg!$I$2:$I$50,MATCH(DATE(YEAR(A127),MONTH(A127),1),Avg!$A$2:$A$50,0)),"")</f>
        <v/>
      </c>
      <c r="L127" s="11" t="str">
        <f t="array" ref="L127">IFERROR(INDEX(Avg!$L$2:$L$50,MATCH(DATE(YEAR(A127),MONTH(A127),1),Avg!$A$2:$A$50,0)),"")</f>
        <v/>
      </c>
      <c r="M127" s="11" t="str">
        <f t="array" ref="M127">IFERROR(INDEX(Avg!$M$2:$M$50,MATCH(DATE(YEAR(A127),MONTH(A127),1),Avg!$A$2:$A$50,0)),"")</f>
        <v/>
      </c>
      <c r="N127" s="11" t="str">
        <f t="array" ref="N127">IFERROR(INDEX(Avg!$N$2:$N$50,MATCH(DATE(YEAR(A127),MONTH(A127),1),Avg!$A$2:$A$50,0)),"")</f>
        <v/>
      </c>
      <c r="O127" s="11" t="str">
        <f t="array" ref="O127">IFERROR(INDEX(Avg!$O$2:$O$50,MATCH(DATE(YEAR(A127),MONTH(A127),1),Avg!$A$2:$A$50,0)),"")</f>
        <v/>
      </c>
    </row>
    <row r="128" ht="15.75" customHeight="1">
      <c r="A128" s="7" t="s">
        <v>200</v>
      </c>
      <c r="B128" s="7" t="s">
        <v>201</v>
      </c>
      <c r="C128" s="8" t="s">
        <v>17</v>
      </c>
      <c r="D128" s="9">
        <f>IF(SUMPRODUCT((Data!$D$2:$D$2277=A128)*(Data!$E$2:$E$2277=C128)*(Data!$M$2:$M$2277="Vladimir Zelenskiy"))&gt;0,SUMPRODUCT((Data!$D$2:$D$2277=A128)*(Data!$E$2:$E$2277=C128)*(Data!$M$2:$M$2277="Vladimir Zelenskiy")*IF(ISNUMBER(Data!$W$2:$W$2277),Data!$W$2:$W$2277,0))/SUMPRODUCT((Data!$D$2:$D$2277=A128)*(Data!$E$2:$E$2277=C128)*(Data!$M$2:$M$2277="Vladimir Zelenskiy")),"")</f>
        <v>28.1</v>
      </c>
      <c r="E128" s="9" t="str">
        <f>IF(SUMPRODUCT((Data!$D$2:$D$2277=A128)*(Data!$E$2:$E$2277=C128)*(Data!$M$2:$M$2277="Valerii Zaluzhniy"))&gt;0,SUMPRODUCT((Data!$D$2:$D$2277=A128)*(Data!$E$2:$E$2277=C128)*(Data!$M$2:$M$2277="Valerii Zaluzhniy")*IF(ISNUMBER(Data!$W$2:$W$2277),Data!$W$2:$W$2277,0))/SUMPRODUCT((Data!$D$2:$D$2277=A128)*(Data!$E$2:$E$2277=C128)*(Data!$M$2:$M$2277="Valerii Zaluzhniy")),"")</f>
        <v/>
      </c>
      <c r="F128" s="9" t="str">
        <f>IF(SUMPRODUCT((Data!$D$2:$D$2277=A128)*(Data!$E$2:$E$2277=C128)*(Data!$M$2:$M$2277="Kyrylo Budanov"))&gt;0,SUMPRODUCT((Data!$D$2:$D$2277=A128)*(Data!$E$2:$E$2277=C128)*(Data!$M$2:$M$2277="Kyrylo Budanov")*IF(ISNUMBER(Data!$W$2:$W$2277),Data!$W$2:$W$2277,0))/SUMPRODUCT((Data!$D$2:$D$2277=A128)*(Data!$E$2:$E$2277=C128)*(Data!$M$2:$M$2277="Kyrylo Budanov")),"")</f>
        <v/>
      </c>
      <c r="G128" s="9">
        <f>IF(SUMPRODUCT((Data!$D$2:$D$2277=A128)*(Data!$E$2:$E$2277=C128)*(Data!$M$2:$M$2277="Pyotr Poroshenko"))&gt;0,SUMPRODUCT((Data!$D$2:$D$2277=A128)*(Data!$E$2:$E$2277=C128)*(Data!$M$2:$M$2277="Pyotr Poroshenko")*IF(ISNUMBER(Data!$W$2:$W$2277),Data!$W$2:$W$2277,0))/SUMPRODUCT((Data!$D$2:$D$2277=A128)*(Data!$E$2:$E$2277=C128)*(Data!$M$2:$M$2277="Pyotr Poroshenko")),"")</f>
        <v>16.7</v>
      </c>
      <c r="H128" s="10" t="str">
        <f t="array" ref="H128">IFERROR(INDEX(Avg!$F$2:$F$50,MATCH(DATE(YEAR(A128),MONTH(A128),1),Avg!$A$2:$A$50,0)),"")</f>
        <v/>
      </c>
      <c r="I128" s="10" t="str">
        <f t="array" ref="I128">IFERROR(INDEX(Avg!$G$2:$G$50,MATCH(DATE(YEAR(A128),MONTH(A128),1),Avg!$A$2:$A$50,0)),"")</f>
        <v/>
      </c>
      <c r="J128" s="10" t="str">
        <f t="array" ref="J128">IFERROR(INDEX(Avg!$H$2:$H$50,MATCH(DATE(YEAR(A128),MONTH(A128),1),Avg!$A$2:$A$50,0)),"")</f>
        <v/>
      </c>
      <c r="K128" s="10" t="str">
        <f t="array" ref="K128">IFERROR(INDEX(Avg!$I$2:$I$50,MATCH(DATE(YEAR(A128),MONTH(A128),1),Avg!$A$2:$A$50,0)),"")</f>
        <v/>
      </c>
      <c r="L128" s="11" t="str">
        <f t="array" ref="L128">IFERROR(INDEX(Avg!$L$2:$L$50,MATCH(DATE(YEAR(A128),MONTH(A128),1),Avg!$A$2:$A$50,0)),"")</f>
        <v/>
      </c>
      <c r="M128" s="11" t="str">
        <f t="array" ref="M128">IFERROR(INDEX(Avg!$M$2:$M$50,MATCH(DATE(YEAR(A128),MONTH(A128),1),Avg!$A$2:$A$50,0)),"")</f>
        <v/>
      </c>
      <c r="N128" s="11" t="str">
        <f t="array" ref="N128">IFERROR(INDEX(Avg!$N$2:$N$50,MATCH(DATE(YEAR(A128),MONTH(A128),1),Avg!$A$2:$A$50,0)),"")</f>
        <v/>
      </c>
      <c r="O128" s="11" t="str">
        <f t="array" ref="O128">IFERROR(INDEX(Avg!$O$2:$O$50,MATCH(DATE(YEAR(A128),MONTH(A128),1),Avg!$A$2:$A$50,0)),"")</f>
        <v/>
      </c>
    </row>
    <row r="129" ht="15.75" customHeight="1">
      <c r="A129" s="7" t="s">
        <v>202</v>
      </c>
      <c r="B129" s="7" t="s">
        <v>201</v>
      </c>
      <c r="C129" s="8" t="s">
        <v>20</v>
      </c>
      <c r="D129" s="9">
        <f>IF(SUMPRODUCT((Data!$D$2:$D$2277=A129)*(Data!$E$2:$E$2277=C129)*(Data!$M$2:$M$2277="Vladimir Zelenskiy"))&gt;0,SUMPRODUCT((Data!$D$2:$D$2277=A129)*(Data!$E$2:$E$2277=C129)*(Data!$M$2:$M$2277="Vladimir Zelenskiy")*IF(ISNUMBER(Data!$W$2:$W$2277),Data!$W$2:$W$2277,0))/SUMPRODUCT((Data!$D$2:$D$2277=A129)*(Data!$E$2:$E$2277=C129)*(Data!$M$2:$M$2277="Vladimir Zelenskiy")),"")</f>
        <v>29.6</v>
      </c>
      <c r="E129" s="9" t="str">
        <f>IF(SUMPRODUCT((Data!$D$2:$D$2277=A129)*(Data!$E$2:$E$2277=C129)*(Data!$M$2:$M$2277="Valerii Zaluzhniy"))&gt;0,SUMPRODUCT((Data!$D$2:$D$2277=A129)*(Data!$E$2:$E$2277=C129)*(Data!$M$2:$M$2277="Valerii Zaluzhniy")*IF(ISNUMBER(Data!$W$2:$W$2277),Data!$W$2:$W$2277,0))/SUMPRODUCT((Data!$D$2:$D$2277=A129)*(Data!$E$2:$E$2277=C129)*(Data!$M$2:$M$2277="Valerii Zaluzhniy")),"")</f>
        <v/>
      </c>
      <c r="F129" s="9" t="str">
        <f>IF(SUMPRODUCT((Data!$D$2:$D$2277=A129)*(Data!$E$2:$E$2277=C129)*(Data!$M$2:$M$2277="Kyrylo Budanov"))&gt;0,SUMPRODUCT((Data!$D$2:$D$2277=A129)*(Data!$E$2:$E$2277=C129)*(Data!$M$2:$M$2277="Kyrylo Budanov")*IF(ISNUMBER(Data!$W$2:$W$2277),Data!$W$2:$W$2277,0))/SUMPRODUCT((Data!$D$2:$D$2277=A129)*(Data!$E$2:$E$2277=C129)*(Data!$M$2:$M$2277="Kyrylo Budanov")),"")</f>
        <v/>
      </c>
      <c r="G129" s="9">
        <f>IF(SUMPRODUCT((Data!$D$2:$D$2277=A129)*(Data!$E$2:$E$2277=C129)*(Data!$M$2:$M$2277="Pyotr Poroshenko"))&gt;0,SUMPRODUCT((Data!$D$2:$D$2277=A129)*(Data!$E$2:$E$2277=C129)*(Data!$M$2:$M$2277="Pyotr Poroshenko")*IF(ISNUMBER(Data!$W$2:$W$2277),Data!$W$2:$W$2277,0))/SUMPRODUCT((Data!$D$2:$D$2277=A129)*(Data!$E$2:$E$2277=C129)*(Data!$M$2:$M$2277="Pyotr Poroshenko")),"")</f>
        <v>22</v>
      </c>
      <c r="H129" s="10" t="str">
        <f t="array" ref="H129">IFERROR(INDEX(Avg!$F$2:$F$50,MATCH(DATE(YEAR(A129),MONTH(A129),1),Avg!$A$2:$A$50,0)),"")</f>
        <v/>
      </c>
      <c r="I129" s="10" t="str">
        <f t="array" ref="I129">IFERROR(INDEX(Avg!$G$2:$G$50,MATCH(DATE(YEAR(A129),MONTH(A129),1),Avg!$A$2:$A$50,0)),"")</f>
        <v/>
      </c>
      <c r="J129" s="10" t="str">
        <f t="array" ref="J129">IFERROR(INDEX(Avg!$H$2:$H$50,MATCH(DATE(YEAR(A129),MONTH(A129),1),Avg!$A$2:$A$50,0)),"")</f>
        <v/>
      </c>
      <c r="K129" s="10" t="str">
        <f t="array" ref="K129">IFERROR(INDEX(Avg!$I$2:$I$50,MATCH(DATE(YEAR(A129),MONTH(A129),1),Avg!$A$2:$A$50,0)),"")</f>
        <v/>
      </c>
      <c r="L129" s="11" t="str">
        <f t="array" ref="L129">IFERROR(INDEX(Avg!$L$2:$L$50,MATCH(DATE(YEAR(A129),MONTH(A129),1),Avg!$A$2:$A$50,0)),"")</f>
        <v/>
      </c>
      <c r="M129" s="11" t="str">
        <f t="array" ref="M129">IFERROR(INDEX(Avg!$M$2:$M$50,MATCH(DATE(YEAR(A129),MONTH(A129),1),Avg!$A$2:$A$50,0)),"")</f>
        <v/>
      </c>
      <c r="N129" s="11" t="str">
        <f t="array" ref="N129">IFERROR(INDEX(Avg!$N$2:$N$50,MATCH(DATE(YEAR(A129),MONTH(A129),1),Avg!$A$2:$A$50,0)),"")</f>
        <v/>
      </c>
      <c r="O129" s="11" t="str">
        <f t="array" ref="O129">IFERROR(INDEX(Avg!$O$2:$O$50,MATCH(DATE(YEAR(A129),MONTH(A129),1),Avg!$A$2:$A$50,0)),"")</f>
        <v/>
      </c>
    </row>
    <row r="130" ht="15.75" customHeight="1">
      <c r="A130" s="7" t="s">
        <v>203</v>
      </c>
      <c r="B130" s="7" t="s">
        <v>201</v>
      </c>
      <c r="C130" s="8" t="s">
        <v>72</v>
      </c>
      <c r="D130" s="9">
        <f>IF(SUMPRODUCT((Data!$D$2:$D$2277=A130)*(Data!$E$2:$E$2277=C130)*(Data!$M$2:$M$2277="Vladimir Zelenskiy"))&gt;0,SUMPRODUCT((Data!$D$2:$D$2277=A130)*(Data!$E$2:$E$2277=C130)*(Data!$M$2:$M$2277="Vladimir Zelenskiy")*IF(ISNUMBER(Data!$W$2:$W$2277),Data!$W$2:$W$2277,0))/SUMPRODUCT((Data!$D$2:$D$2277=A130)*(Data!$E$2:$E$2277=C130)*(Data!$M$2:$M$2277="Vladimir Zelenskiy")),"")</f>
        <v>27.3</v>
      </c>
      <c r="E130" s="9" t="str">
        <f>IF(SUMPRODUCT((Data!$D$2:$D$2277=A130)*(Data!$E$2:$E$2277=C130)*(Data!$M$2:$M$2277="Valerii Zaluzhniy"))&gt;0,SUMPRODUCT((Data!$D$2:$D$2277=A130)*(Data!$E$2:$E$2277=C130)*(Data!$M$2:$M$2277="Valerii Zaluzhniy")*IF(ISNUMBER(Data!$W$2:$W$2277),Data!$W$2:$W$2277,0))/SUMPRODUCT((Data!$D$2:$D$2277=A130)*(Data!$E$2:$E$2277=C130)*(Data!$M$2:$M$2277="Valerii Zaluzhniy")),"")</f>
        <v/>
      </c>
      <c r="F130" s="9" t="str">
        <f>IF(SUMPRODUCT((Data!$D$2:$D$2277=A130)*(Data!$E$2:$E$2277=C130)*(Data!$M$2:$M$2277="Kyrylo Budanov"))&gt;0,SUMPRODUCT((Data!$D$2:$D$2277=A130)*(Data!$E$2:$E$2277=C130)*(Data!$M$2:$M$2277="Kyrylo Budanov")*IF(ISNUMBER(Data!$W$2:$W$2277),Data!$W$2:$W$2277,0))/SUMPRODUCT((Data!$D$2:$D$2277=A130)*(Data!$E$2:$E$2277=C130)*(Data!$M$2:$M$2277="Kyrylo Budanov")),"")</f>
        <v/>
      </c>
      <c r="G130" s="9">
        <f>IF(SUMPRODUCT((Data!$D$2:$D$2277=A130)*(Data!$E$2:$E$2277=C130)*(Data!$M$2:$M$2277="Pyotr Poroshenko"))&gt;0,SUMPRODUCT((Data!$D$2:$D$2277=A130)*(Data!$E$2:$E$2277=C130)*(Data!$M$2:$M$2277="Pyotr Poroshenko")*IF(ISNUMBER(Data!$W$2:$W$2277),Data!$W$2:$W$2277,0))/SUMPRODUCT((Data!$D$2:$D$2277=A130)*(Data!$E$2:$E$2277=C130)*(Data!$M$2:$M$2277="Pyotr Poroshenko")),"")</f>
        <v>14.6</v>
      </c>
      <c r="H130" s="10" t="str">
        <f t="array" ref="H130">IFERROR(INDEX(Avg!$F$2:$F$50,MATCH(DATE(YEAR(A130),MONTH(A130),1),Avg!$A$2:$A$50,0)),"")</f>
        <v/>
      </c>
      <c r="I130" s="10" t="str">
        <f t="array" ref="I130">IFERROR(INDEX(Avg!$G$2:$G$50,MATCH(DATE(YEAR(A130),MONTH(A130),1),Avg!$A$2:$A$50,0)),"")</f>
        <v/>
      </c>
      <c r="J130" s="10" t="str">
        <f t="array" ref="J130">IFERROR(INDEX(Avg!$H$2:$H$50,MATCH(DATE(YEAR(A130),MONTH(A130),1),Avg!$A$2:$A$50,0)),"")</f>
        <v/>
      </c>
      <c r="K130" s="10" t="str">
        <f t="array" ref="K130">IFERROR(INDEX(Avg!$I$2:$I$50,MATCH(DATE(YEAR(A130),MONTH(A130),1),Avg!$A$2:$A$50,0)),"")</f>
        <v/>
      </c>
      <c r="L130" s="11" t="str">
        <f t="array" ref="L130">IFERROR(INDEX(Avg!$L$2:$L$50,MATCH(DATE(YEAR(A130),MONTH(A130),1),Avg!$A$2:$A$50,0)),"")</f>
        <v/>
      </c>
      <c r="M130" s="11" t="str">
        <f t="array" ref="M130">IFERROR(INDEX(Avg!$M$2:$M$50,MATCH(DATE(YEAR(A130),MONTH(A130),1),Avg!$A$2:$A$50,0)),"")</f>
        <v/>
      </c>
      <c r="N130" s="11" t="str">
        <f t="array" ref="N130">IFERROR(INDEX(Avg!$N$2:$N$50,MATCH(DATE(YEAR(A130),MONTH(A130),1),Avg!$A$2:$A$50,0)),"")</f>
        <v/>
      </c>
      <c r="O130" s="11" t="str">
        <f t="array" ref="O130">IFERROR(INDEX(Avg!$O$2:$O$50,MATCH(DATE(YEAR(A130),MONTH(A130),1),Avg!$A$2:$A$50,0)),"")</f>
        <v/>
      </c>
    </row>
    <row r="131" ht="15.75" customHeight="1">
      <c r="A131" s="7" t="s">
        <v>204</v>
      </c>
      <c r="B131" s="7" t="s">
        <v>201</v>
      </c>
      <c r="C131" s="8" t="s">
        <v>158</v>
      </c>
      <c r="D131" s="9">
        <f>IF(SUMPRODUCT((Data!$D$2:$D$2277=A131)*(Data!$E$2:$E$2277=C131)*(Data!$M$2:$M$2277="Vladimir Zelenskiy"))&gt;0,SUMPRODUCT((Data!$D$2:$D$2277=A131)*(Data!$E$2:$E$2277=C131)*(Data!$M$2:$M$2277="Vladimir Zelenskiy")*IF(ISNUMBER(Data!$W$2:$W$2277),Data!$W$2:$W$2277,0))/SUMPRODUCT((Data!$D$2:$D$2277=A131)*(Data!$E$2:$E$2277=C131)*(Data!$M$2:$M$2277="Vladimir Zelenskiy")),"")</f>
        <v>23.2</v>
      </c>
      <c r="E131" s="9" t="str">
        <f>IF(SUMPRODUCT((Data!$D$2:$D$2277=A131)*(Data!$E$2:$E$2277=C131)*(Data!$M$2:$M$2277="Valerii Zaluzhniy"))&gt;0,SUMPRODUCT((Data!$D$2:$D$2277=A131)*(Data!$E$2:$E$2277=C131)*(Data!$M$2:$M$2277="Valerii Zaluzhniy")*IF(ISNUMBER(Data!$W$2:$W$2277),Data!$W$2:$W$2277,0))/SUMPRODUCT((Data!$D$2:$D$2277=A131)*(Data!$E$2:$E$2277=C131)*(Data!$M$2:$M$2277="Valerii Zaluzhniy")),"")</f>
        <v/>
      </c>
      <c r="F131" s="9" t="str">
        <f>IF(SUMPRODUCT((Data!$D$2:$D$2277=A131)*(Data!$E$2:$E$2277=C131)*(Data!$M$2:$M$2277="Kyrylo Budanov"))&gt;0,SUMPRODUCT((Data!$D$2:$D$2277=A131)*(Data!$E$2:$E$2277=C131)*(Data!$M$2:$M$2277="Kyrylo Budanov")*IF(ISNUMBER(Data!$W$2:$W$2277),Data!$W$2:$W$2277,0))/SUMPRODUCT((Data!$D$2:$D$2277=A131)*(Data!$E$2:$E$2277=C131)*(Data!$M$2:$M$2277="Kyrylo Budanov")),"")</f>
        <v/>
      </c>
      <c r="G131" s="9">
        <f>IF(SUMPRODUCT((Data!$D$2:$D$2277=A131)*(Data!$E$2:$E$2277=C131)*(Data!$M$2:$M$2277="Pyotr Poroshenko"))&gt;0,SUMPRODUCT((Data!$D$2:$D$2277=A131)*(Data!$E$2:$E$2277=C131)*(Data!$M$2:$M$2277="Pyotr Poroshenko")*IF(ISNUMBER(Data!$W$2:$W$2277),Data!$W$2:$W$2277,0))/SUMPRODUCT((Data!$D$2:$D$2277=A131)*(Data!$E$2:$E$2277=C131)*(Data!$M$2:$M$2277="Pyotr Poroshenko")),"")</f>
        <v>17.3</v>
      </c>
      <c r="H131" s="10" t="str">
        <f t="array" ref="H131">IFERROR(INDEX(Avg!$F$2:$F$50,MATCH(DATE(YEAR(A131),MONTH(A131),1),Avg!$A$2:$A$50,0)),"")</f>
        <v/>
      </c>
      <c r="I131" s="10" t="str">
        <f t="array" ref="I131">IFERROR(INDEX(Avg!$G$2:$G$50,MATCH(DATE(YEAR(A131),MONTH(A131),1),Avg!$A$2:$A$50,0)),"")</f>
        <v/>
      </c>
      <c r="J131" s="10" t="str">
        <f t="array" ref="J131">IFERROR(INDEX(Avg!$H$2:$H$50,MATCH(DATE(YEAR(A131),MONTH(A131),1),Avg!$A$2:$A$50,0)),"")</f>
        <v/>
      </c>
      <c r="K131" s="10" t="str">
        <f t="array" ref="K131">IFERROR(INDEX(Avg!$I$2:$I$50,MATCH(DATE(YEAR(A131),MONTH(A131),1),Avg!$A$2:$A$50,0)),"")</f>
        <v/>
      </c>
      <c r="L131" s="11" t="str">
        <f t="array" ref="L131">IFERROR(INDEX(Avg!$L$2:$L$50,MATCH(DATE(YEAR(A131),MONTH(A131),1),Avg!$A$2:$A$50,0)),"")</f>
        <v/>
      </c>
      <c r="M131" s="11" t="str">
        <f t="array" ref="M131">IFERROR(INDEX(Avg!$M$2:$M$50,MATCH(DATE(YEAR(A131),MONTH(A131),1),Avg!$A$2:$A$50,0)),"")</f>
        <v/>
      </c>
      <c r="N131" s="11" t="str">
        <f t="array" ref="N131">IFERROR(INDEX(Avg!$N$2:$N$50,MATCH(DATE(YEAR(A131),MONTH(A131),1),Avg!$A$2:$A$50,0)),"")</f>
        <v/>
      </c>
      <c r="O131" s="11" t="str">
        <f t="array" ref="O131">IFERROR(INDEX(Avg!$O$2:$O$50,MATCH(DATE(YEAR(A131),MONTH(A131),1),Avg!$A$2:$A$50,0)),"")</f>
        <v/>
      </c>
    </row>
    <row r="132" ht="15.75" customHeight="1">
      <c r="A132" s="7" t="s">
        <v>205</v>
      </c>
      <c r="B132" s="7" t="s">
        <v>201</v>
      </c>
      <c r="C132" s="8" t="s">
        <v>137</v>
      </c>
      <c r="D132" s="9">
        <f>IF(SUMPRODUCT((Data!$D$2:$D$2277=A132)*(Data!$E$2:$E$2277=C132)*(Data!$M$2:$M$2277="Vladimir Zelenskiy"))&gt;0,SUMPRODUCT((Data!$D$2:$D$2277=A132)*(Data!$E$2:$E$2277=C132)*(Data!$M$2:$M$2277="Vladimir Zelenskiy")*IF(ISNUMBER(Data!$W$2:$W$2277),Data!$W$2:$W$2277,0))/SUMPRODUCT((Data!$D$2:$D$2277=A132)*(Data!$E$2:$E$2277=C132)*(Data!$M$2:$M$2277="Vladimir Zelenskiy")),"")</f>
        <v>33</v>
      </c>
      <c r="E132" s="9" t="str">
        <f>IF(SUMPRODUCT((Data!$D$2:$D$2277=A132)*(Data!$E$2:$E$2277=C132)*(Data!$M$2:$M$2277="Valerii Zaluzhniy"))&gt;0,SUMPRODUCT((Data!$D$2:$D$2277=A132)*(Data!$E$2:$E$2277=C132)*(Data!$M$2:$M$2277="Valerii Zaluzhniy")*IF(ISNUMBER(Data!$W$2:$W$2277),Data!$W$2:$W$2277,0))/SUMPRODUCT((Data!$D$2:$D$2277=A132)*(Data!$E$2:$E$2277=C132)*(Data!$M$2:$M$2277="Valerii Zaluzhniy")),"")</f>
        <v/>
      </c>
      <c r="F132" s="9" t="str">
        <f>IF(SUMPRODUCT((Data!$D$2:$D$2277=A132)*(Data!$E$2:$E$2277=C132)*(Data!$M$2:$M$2277="Kyrylo Budanov"))&gt;0,SUMPRODUCT((Data!$D$2:$D$2277=A132)*(Data!$E$2:$E$2277=C132)*(Data!$M$2:$M$2277="Kyrylo Budanov")*IF(ISNUMBER(Data!$W$2:$W$2277),Data!$W$2:$W$2277,0))/SUMPRODUCT((Data!$D$2:$D$2277=A132)*(Data!$E$2:$E$2277=C132)*(Data!$M$2:$M$2277="Kyrylo Budanov")),"")</f>
        <v/>
      </c>
      <c r="G132" s="9">
        <f>IF(SUMPRODUCT((Data!$D$2:$D$2277=A132)*(Data!$E$2:$E$2277=C132)*(Data!$M$2:$M$2277="Pyotr Poroshenko"))&gt;0,SUMPRODUCT((Data!$D$2:$D$2277=A132)*(Data!$E$2:$E$2277=C132)*(Data!$M$2:$M$2277="Pyotr Poroshenko")*IF(ISNUMBER(Data!$W$2:$W$2277),Data!$W$2:$W$2277,0))/SUMPRODUCT((Data!$D$2:$D$2277=A132)*(Data!$E$2:$E$2277=C132)*(Data!$M$2:$M$2277="Pyotr Poroshenko")),"")</f>
        <v>12</v>
      </c>
      <c r="H132" s="10" t="str">
        <f t="array" ref="H132">IFERROR(INDEX(Avg!$F$2:$F$50,MATCH(DATE(YEAR(A132),MONTH(A132),1),Avg!$A$2:$A$50,0)),"")</f>
        <v/>
      </c>
      <c r="I132" s="10" t="str">
        <f t="array" ref="I132">IFERROR(INDEX(Avg!$G$2:$G$50,MATCH(DATE(YEAR(A132),MONTH(A132),1),Avg!$A$2:$A$50,0)),"")</f>
        <v/>
      </c>
      <c r="J132" s="10" t="str">
        <f t="array" ref="J132">IFERROR(INDEX(Avg!$H$2:$H$50,MATCH(DATE(YEAR(A132),MONTH(A132),1),Avg!$A$2:$A$50,0)),"")</f>
        <v/>
      </c>
      <c r="K132" s="10" t="str">
        <f t="array" ref="K132">IFERROR(INDEX(Avg!$I$2:$I$50,MATCH(DATE(YEAR(A132),MONTH(A132),1),Avg!$A$2:$A$50,0)),"")</f>
        <v/>
      </c>
      <c r="L132" s="11" t="str">
        <f t="array" ref="L132">IFERROR(INDEX(Avg!$L$2:$L$50,MATCH(DATE(YEAR(A132),MONTH(A132),1),Avg!$A$2:$A$50,0)),"")</f>
        <v/>
      </c>
      <c r="M132" s="11" t="str">
        <f t="array" ref="M132">IFERROR(INDEX(Avg!$M$2:$M$50,MATCH(DATE(YEAR(A132),MONTH(A132),1),Avg!$A$2:$A$50,0)),"")</f>
        <v/>
      </c>
      <c r="N132" s="11" t="str">
        <f t="array" ref="N132">IFERROR(INDEX(Avg!$N$2:$N$50,MATCH(DATE(YEAR(A132),MONTH(A132),1),Avg!$A$2:$A$50,0)),"")</f>
        <v/>
      </c>
      <c r="O132" s="11" t="str">
        <f t="array" ref="O132">IFERROR(INDEX(Avg!$O$2:$O$50,MATCH(DATE(YEAR(A132),MONTH(A132),1),Avg!$A$2:$A$50,0)),"")</f>
        <v/>
      </c>
    </row>
    <row r="133" ht="15.75" customHeight="1">
      <c r="A133" s="7" t="s">
        <v>205</v>
      </c>
      <c r="B133" s="7" t="s">
        <v>201</v>
      </c>
      <c r="C133" s="8" t="s">
        <v>158</v>
      </c>
      <c r="D133" s="9">
        <f>IF(SUMPRODUCT((Data!$D$2:$D$2277=A133)*(Data!$E$2:$E$2277=C133)*(Data!$M$2:$M$2277="Vladimir Zelenskiy"))&gt;0,SUMPRODUCT((Data!$D$2:$D$2277=A133)*(Data!$E$2:$E$2277=C133)*(Data!$M$2:$M$2277="Vladimir Zelenskiy")*IF(ISNUMBER(Data!$W$2:$W$2277),Data!$W$2:$W$2277,0))/SUMPRODUCT((Data!$D$2:$D$2277=A133)*(Data!$E$2:$E$2277=C133)*(Data!$M$2:$M$2277="Vladimir Zelenskiy")),"")</f>
        <v>23.8</v>
      </c>
      <c r="E133" s="9" t="str">
        <f>IF(SUMPRODUCT((Data!$D$2:$D$2277=A133)*(Data!$E$2:$E$2277=C133)*(Data!$M$2:$M$2277="Valerii Zaluzhniy"))&gt;0,SUMPRODUCT((Data!$D$2:$D$2277=A133)*(Data!$E$2:$E$2277=C133)*(Data!$M$2:$M$2277="Valerii Zaluzhniy")*IF(ISNUMBER(Data!$W$2:$W$2277),Data!$W$2:$W$2277,0))/SUMPRODUCT((Data!$D$2:$D$2277=A133)*(Data!$E$2:$E$2277=C133)*(Data!$M$2:$M$2277="Valerii Zaluzhniy")),"")</f>
        <v/>
      </c>
      <c r="F133" s="9" t="str">
        <f>IF(SUMPRODUCT((Data!$D$2:$D$2277=A133)*(Data!$E$2:$E$2277=C133)*(Data!$M$2:$M$2277="Kyrylo Budanov"))&gt;0,SUMPRODUCT((Data!$D$2:$D$2277=A133)*(Data!$E$2:$E$2277=C133)*(Data!$M$2:$M$2277="Kyrylo Budanov")*IF(ISNUMBER(Data!$W$2:$W$2277),Data!$W$2:$W$2277,0))/SUMPRODUCT((Data!$D$2:$D$2277=A133)*(Data!$E$2:$E$2277=C133)*(Data!$M$2:$M$2277="Kyrylo Budanov")),"")</f>
        <v/>
      </c>
      <c r="G133" s="9">
        <f>IF(SUMPRODUCT((Data!$D$2:$D$2277=A133)*(Data!$E$2:$E$2277=C133)*(Data!$M$2:$M$2277="Pyotr Poroshenko"))&gt;0,SUMPRODUCT((Data!$D$2:$D$2277=A133)*(Data!$E$2:$E$2277=C133)*(Data!$M$2:$M$2277="Pyotr Poroshenko")*IF(ISNUMBER(Data!$W$2:$W$2277),Data!$W$2:$W$2277,0))/SUMPRODUCT((Data!$D$2:$D$2277=A133)*(Data!$E$2:$E$2277=C133)*(Data!$M$2:$M$2277="Pyotr Poroshenko")),"")</f>
        <v>16.5</v>
      </c>
      <c r="H133" s="10" t="str">
        <f t="array" ref="H133">IFERROR(INDEX(Avg!$F$2:$F$50,MATCH(DATE(YEAR(A133),MONTH(A133),1),Avg!$A$2:$A$50,0)),"")</f>
        <v/>
      </c>
      <c r="I133" s="10" t="str">
        <f t="array" ref="I133">IFERROR(INDEX(Avg!$G$2:$G$50,MATCH(DATE(YEAR(A133),MONTH(A133),1),Avg!$A$2:$A$50,0)),"")</f>
        <v/>
      </c>
      <c r="J133" s="10" t="str">
        <f t="array" ref="J133">IFERROR(INDEX(Avg!$H$2:$H$50,MATCH(DATE(YEAR(A133),MONTH(A133),1),Avg!$A$2:$A$50,0)),"")</f>
        <v/>
      </c>
      <c r="K133" s="10" t="str">
        <f t="array" ref="K133">IFERROR(INDEX(Avg!$I$2:$I$50,MATCH(DATE(YEAR(A133),MONTH(A133),1),Avg!$A$2:$A$50,0)),"")</f>
        <v/>
      </c>
      <c r="L133" s="11" t="str">
        <f t="array" ref="L133">IFERROR(INDEX(Avg!$L$2:$L$50,MATCH(DATE(YEAR(A133),MONTH(A133),1),Avg!$A$2:$A$50,0)),"")</f>
        <v/>
      </c>
      <c r="M133" s="11" t="str">
        <f t="array" ref="M133">IFERROR(INDEX(Avg!$M$2:$M$50,MATCH(DATE(YEAR(A133),MONTH(A133),1),Avg!$A$2:$A$50,0)),"")</f>
        <v/>
      </c>
      <c r="N133" s="11" t="str">
        <f t="array" ref="N133">IFERROR(INDEX(Avg!$N$2:$N$50,MATCH(DATE(YEAR(A133),MONTH(A133),1),Avg!$A$2:$A$50,0)),"")</f>
        <v/>
      </c>
      <c r="O133" s="11" t="str">
        <f t="array" ref="O133">IFERROR(INDEX(Avg!$O$2:$O$50,MATCH(DATE(YEAR(A133),MONTH(A133),1),Avg!$A$2:$A$50,0)),"")</f>
        <v/>
      </c>
    </row>
    <row r="134" ht="15.75" customHeight="1">
      <c r="A134" s="7" t="s">
        <v>206</v>
      </c>
      <c r="B134" s="7" t="s">
        <v>201</v>
      </c>
      <c r="C134" s="8" t="s">
        <v>40</v>
      </c>
      <c r="D134" s="9">
        <f>IF(SUMPRODUCT((Data!$D$2:$D$2277=A134)*(Data!$E$2:$E$2277=C134)*(Data!$M$2:$M$2277="Vladimir Zelenskiy"))&gt;0,SUMPRODUCT((Data!$D$2:$D$2277=A134)*(Data!$E$2:$E$2277=C134)*(Data!$M$2:$M$2277="Vladimir Zelenskiy")*IF(ISNUMBER(Data!$W$2:$W$2277),Data!$W$2:$W$2277,0))/SUMPRODUCT((Data!$D$2:$D$2277=A134)*(Data!$E$2:$E$2277=C134)*(Data!$M$2:$M$2277="Vladimir Zelenskiy")),"")</f>
        <v>30.2</v>
      </c>
      <c r="E134" s="9" t="str">
        <f>IF(SUMPRODUCT((Data!$D$2:$D$2277=A134)*(Data!$E$2:$E$2277=C134)*(Data!$M$2:$M$2277="Valerii Zaluzhniy"))&gt;0,SUMPRODUCT((Data!$D$2:$D$2277=A134)*(Data!$E$2:$E$2277=C134)*(Data!$M$2:$M$2277="Valerii Zaluzhniy")*IF(ISNUMBER(Data!$W$2:$W$2277),Data!$W$2:$W$2277,0))/SUMPRODUCT((Data!$D$2:$D$2277=A134)*(Data!$E$2:$E$2277=C134)*(Data!$M$2:$M$2277="Valerii Zaluzhniy")),"")</f>
        <v/>
      </c>
      <c r="F134" s="9" t="str">
        <f>IF(SUMPRODUCT((Data!$D$2:$D$2277=A134)*(Data!$E$2:$E$2277=C134)*(Data!$M$2:$M$2277="Kyrylo Budanov"))&gt;0,SUMPRODUCT((Data!$D$2:$D$2277=A134)*(Data!$E$2:$E$2277=C134)*(Data!$M$2:$M$2277="Kyrylo Budanov")*IF(ISNUMBER(Data!$W$2:$W$2277),Data!$W$2:$W$2277,0))/SUMPRODUCT((Data!$D$2:$D$2277=A134)*(Data!$E$2:$E$2277=C134)*(Data!$M$2:$M$2277="Kyrylo Budanov")),"")</f>
        <v/>
      </c>
      <c r="G134" s="9">
        <f>IF(SUMPRODUCT((Data!$D$2:$D$2277=A134)*(Data!$E$2:$E$2277=C134)*(Data!$M$2:$M$2277="Pyotr Poroshenko"))&gt;0,SUMPRODUCT((Data!$D$2:$D$2277=A134)*(Data!$E$2:$E$2277=C134)*(Data!$M$2:$M$2277="Pyotr Poroshenko")*IF(ISNUMBER(Data!$W$2:$W$2277),Data!$W$2:$W$2277,0))/SUMPRODUCT((Data!$D$2:$D$2277=A134)*(Data!$E$2:$E$2277=C134)*(Data!$M$2:$M$2277="Pyotr Poroshenko")),"")</f>
        <v>12.8</v>
      </c>
      <c r="H134" s="10" t="str">
        <f t="array" ref="H134">IFERROR(INDEX(Avg!$F$2:$F$50,MATCH(DATE(YEAR(A134),MONTH(A134),1),Avg!$A$2:$A$50,0)),"")</f>
        <v/>
      </c>
      <c r="I134" s="10" t="str">
        <f t="array" ref="I134">IFERROR(INDEX(Avg!$G$2:$G$50,MATCH(DATE(YEAR(A134),MONTH(A134),1),Avg!$A$2:$A$50,0)),"")</f>
        <v/>
      </c>
      <c r="J134" s="10" t="str">
        <f t="array" ref="J134">IFERROR(INDEX(Avg!$H$2:$H$50,MATCH(DATE(YEAR(A134),MONTH(A134),1),Avg!$A$2:$A$50,0)),"")</f>
        <v/>
      </c>
      <c r="K134" s="10" t="str">
        <f t="array" ref="K134">IFERROR(INDEX(Avg!$I$2:$I$50,MATCH(DATE(YEAR(A134),MONTH(A134),1),Avg!$A$2:$A$50,0)),"")</f>
        <v/>
      </c>
      <c r="L134" s="11" t="str">
        <f t="array" ref="L134">IFERROR(INDEX(Avg!$L$2:$L$50,MATCH(DATE(YEAR(A134),MONTH(A134),1),Avg!$A$2:$A$50,0)),"")</f>
        <v/>
      </c>
      <c r="M134" s="11" t="str">
        <f t="array" ref="M134">IFERROR(INDEX(Avg!$M$2:$M$50,MATCH(DATE(YEAR(A134),MONTH(A134),1),Avg!$A$2:$A$50,0)),"")</f>
        <v/>
      </c>
      <c r="N134" s="11" t="str">
        <f t="array" ref="N134">IFERROR(INDEX(Avg!$N$2:$N$50,MATCH(DATE(YEAR(A134),MONTH(A134),1),Avg!$A$2:$A$50,0)),"")</f>
        <v/>
      </c>
      <c r="O134" s="11" t="str">
        <f t="array" ref="O134">IFERROR(INDEX(Avg!$O$2:$O$50,MATCH(DATE(YEAR(A134),MONTH(A134),1),Avg!$A$2:$A$50,0)),"")</f>
        <v/>
      </c>
    </row>
    <row r="135" ht="15.75" customHeight="1">
      <c r="A135" s="7" t="s">
        <v>207</v>
      </c>
      <c r="B135" s="7" t="s">
        <v>201</v>
      </c>
      <c r="C135" s="8" t="s">
        <v>97</v>
      </c>
      <c r="D135" s="9">
        <f>IF(SUMPRODUCT((Data!$D$2:$D$2277=A135)*(Data!$E$2:$E$2277=C135)*(Data!$M$2:$M$2277="Vladimir Zelenskiy"))&gt;0,SUMPRODUCT((Data!$D$2:$D$2277=A135)*(Data!$E$2:$E$2277=C135)*(Data!$M$2:$M$2277="Vladimir Zelenskiy")*IF(ISNUMBER(Data!$W$2:$W$2277),Data!$W$2:$W$2277,0))/SUMPRODUCT((Data!$D$2:$D$2277=A135)*(Data!$E$2:$E$2277=C135)*(Data!$M$2:$M$2277="Vladimir Zelenskiy")),"")</f>
        <v>31</v>
      </c>
      <c r="E135" s="9" t="str">
        <f>IF(SUMPRODUCT((Data!$D$2:$D$2277=A135)*(Data!$E$2:$E$2277=C135)*(Data!$M$2:$M$2277="Valerii Zaluzhniy"))&gt;0,SUMPRODUCT((Data!$D$2:$D$2277=A135)*(Data!$E$2:$E$2277=C135)*(Data!$M$2:$M$2277="Valerii Zaluzhniy")*IF(ISNUMBER(Data!$W$2:$W$2277),Data!$W$2:$W$2277,0))/SUMPRODUCT((Data!$D$2:$D$2277=A135)*(Data!$E$2:$E$2277=C135)*(Data!$M$2:$M$2277="Valerii Zaluzhniy")),"")</f>
        <v/>
      </c>
      <c r="F135" s="9" t="str">
        <f>IF(SUMPRODUCT((Data!$D$2:$D$2277=A135)*(Data!$E$2:$E$2277=C135)*(Data!$M$2:$M$2277="Kyrylo Budanov"))&gt;0,SUMPRODUCT((Data!$D$2:$D$2277=A135)*(Data!$E$2:$E$2277=C135)*(Data!$M$2:$M$2277="Kyrylo Budanov")*IF(ISNUMBER(Data!$W$2:$W$2277),Data!$W$2:$W$2277,0))/SUMPRODUCT((Data!$D$2:$D$2277=A135)*(Data!$E$2:$E$2277=C135)*(Data!$M$2:$M$2277="Kyrylo Budanov")),"")</f>
        <v/>
      </c>
      <c r="G135" s="9">
        <f>IF(SUMPRODUCT((Data!$D$2:$D$2277=A135)*(Data!$E$2:$E$2277=C135)*(Data!$M$2:$M$2277="Pyotr Poroshenko"))&gt;0,SUMPRODUCT((Data!$D$2:$D$2277=A135)*(Data!$E$2:$E$2277=C135)*(Data!$M$2:$M$2277="Pyotr Poroshenko")*IF(ISNUMBER(Data!$W$2:$W$2277),Data!$W$2:$W$2277,0))/SUMPRODUCT((Data!$D$2:$D$2277=A135)*(Data!$E$2:$E$2277=C135)*(Data!$M$2:$M$2277="Pyotr Poroshenko")),"")</f>
        <v>18.6</v>
      </c>
      <c r="H135" s="10" t="str">
        <f t="array" ref="H135">IFERROR(INDEX(Avg!$F$2:$F$50,MATCH(DATE(YEAR(A135),MONTH(A135),1),Avg!$A$2:$A$50,0)),"")</f>
        <v/>
      </c>
      <c r="I135" s="10" t="str">
        <f t="array" ref="I135">IFERROR(INDEX(Avg!$G$2:$G$50,MATCH(DATE(YEAR(A135),MONTH(A135),1),Avg!$A$2:$A$50,0)),"")</f>
        <v/>
      </c>
      <c r="J135" s="10" t="str">
        <f t="array" ref="J135">IFERROR(INDEX(Avg!$H$2:$H$50,MATCH(DATE(YEAR(A135),MONTH(A135),1),Avg!$A$2:$A$50,0)),"")</f>
        <v/>
      </c>
      <c r="K135" s="10" t="str">
        <f t="array" ref="K135">IFERROR(INDEX(Avg!$I$2:$I$50,MATCH(DATE(YEAR(A135),MONTH(A135),1),Avg!$A$2:$A$50,0)),"")</f>
        <v/>
      </c>
      <c r="L135" s="11" t="str">
        <f t="array" ref="L135">IFERROR(INDEX(Avg!$L$2:$L$50,MATCH(DATE(YEAR(A135),MONTH(A135),1),Avg!$A$2:$A$50,0)),"")</f>
        <v/>
      </c>
      <c r="M135" s="11" t="str">
        <f t="array" ref="M135">IFERROR(INDEX(Avg!$M$2:$M$50,MATCH(DATE(YEAR(A135),MONTH(A135),1),Avg!$A$2:$A$50,0)),"")</f>
        <v/>
      </c>
      <c r="N135" s="11" t="str">
        <f t="array" ref="N135">IFERROR(INDEX(Avg!$N$2:$N$50,MATCH(DATE(YEAR(A135),MONTH(A135),1),Avg!$A$2:$A$50,0)),"")</f>
        <v/>
      </c>
      <c r="O135" s="11" t="str">
        <f t="array" ref="O135">IFERROR(INDEX(Avg!$O$2:$O$50,MATCH(DATE(YEAR(A135),MONTH(A135),1),Avg!$A$2:$A$50,0)),"")</f>
        <v/>
      </c>
    </row>
    <row r="136" ht="15.75" customHeight="1">
      <c r="A136" s="7" t="s">
        <v>208</v>
      </c>
      <c r="B136" s="7" t="s">
        <v>209</v>
      </c>
      <c r="C136" s="8" t="s">
        <v>150</v>
      </c>
      <c r="D136" s="9">
        <f>IF(SUMPRODUCT((Data!$D$2:$D$2277=A136)*(Data!$E$2:$E$2277=C136)*(Data!$M$2:$M$2277="Vladimir Zelenskiy"))&gt;0,SUMPRODUCT((Data!$D$2:$D$2277=A136)*(Data!$E$2:$E$2277=C136)*(Data!$M$2:$M$2277="Vladimir Zelenskiy")*IF(ISNUMBER(Data!$W$2:$W$2277),Data!$W$2:$W$2277,0))/SUMPRODUCT((Data!$D$2:$D$2277=A136)*(Data!$E$2:$E$2277=C136)*(Data!$M$2:$M$2277="Vladimir Zelenskiy")),"")</f>
        <v>23.8</v>
      </c>
      <c r="E136" s="9" t="str">
        <f>IF(SUMPRODUCT((Data!$D$2:$D$2277=A136)*(Data!$E$2:$E$2277=C136)*(Data!$M$2:$M$2277="Valerii Zaluzhniy"))&gt;0,SUMPRODUCT((Data!$D$2:$D$2277=A136)*(Data!$E$2:$E$2277=C136)*(Data!$M$2:$M$2277="Valerii Zaluzhniy")*IF(ISNUMBER(Data!$W$2:$W$2277),Data!$W$2:$W$2277,0))/SUMPRODUCT((Data!$D$2:$D$2277=A136)*(Data!$E$2:$E$2277=C136)*(Data!$M$2:$M$2277="Valerii Zaluzhniy")),"")</f>
        <v/>
      </c>
      <c r="F136" s="9" t="str">
        <f>IF(SUMPRODUCT((Data!$D$2:$D$2277=A136)*(Data!$E$2:$E$2277=C136)*(Data!$M$2:$M$2277="Kyrylo Budanov"))&gt;0,SUMPRODUCT((Data!$D$2:$D$2277=A136)*(Data!$E$2:$E$2277=C136)*(Data!$M$2:$M$2277="Kyrylo Budanov")*IF(ISNUMBER(Data!$W$2:$W$2277),Data!$W$2:$W$2277,0))/SUMPRODUCT((Data!$D$2:$D$2277=A136)*(Data!$E$2:$E$2277=C136)*(Data!$M$2:$M$2277="Kyrylo Budanov")),"")</f>
        <v/>
      </c>
      <c r="G136" s="9">
        <f>IF(SUMPRODUCT((Data!$D$2:$D$2277=A136)*(Data!$E$2:$E$2277=C136)*(Data!$M$2:$M$2277="Pyotr Poroshenko"))&gt;0,SUMPRODUCT((Data!$D$2:$D$2277=A136)*(Data!$E$2:$E$2277=C136)*(Data!$M$2:$M$2277="Pyotr Poroshenko")*IF(ISNUMBER(Data!$W$2:$W$2277),Data!$W$2:$W$2277,0))/SUMPRODUCT((Data!$D$2:$D$2277=A136)*(Data!$E$2:$E$2277=C136)*(Data!$M$2:$M$2277="Pyotr Poroshenko")),"")</f>
        <v>17.4</v>
      </c>
      <c r="H136" s="10" t="str">
        <f t="array" ref="H136">IFERROR(INDEX(Avg!$F$2:$F$50,MATCH(DATE(YEAR(A136),MONTH(A136),1),Avg!$A$2:$A$50,0)),"")</f>
        <v/>
      </c>
      <c r="I136" s="10" t="str">
        <f t="array" ref="I136">IFERROR(INDEX(Avg!$G$2:$G$50,MATCH(DATE(YEAR(A136),MONTH(A136),1),Avg!$A$2:$A$50,0)),"")</f>
        <v/>
      </c>
      <c r="J136" s="10" t="str">
        <f t="array" ref="J136">IFERROR(INDEX(Avg!$H$2:$H$50,MATCH(DATE(YEAR(A136),MONTH(A136),1),Avg!$A$2:$A$50,0)),"")</f>
        <v/>
      </c>
      <c r="K136" s="10" t="str">
        <f t="array" ref="K136">IFERROR(INDEX(Avg!$I$2:$I$50,MATCH(DATE(YEAR(A136),MONTH(A136),1),Avg!$A$2:$A$50,0)),"")</f>
        <v/>
      </c>
      <c r="L136" s="11" t="str">
        <f t="array" ref="L136">IFERROR(INDEX(Avg!$L$2:$L$50,MATCH(DATE(YEAR(A136),MONTH(A136),1),Avg!$A$2:$A$50,0)),"")</f>
        <v/>
      </c>
      <c r="M136" s="11" t="str">
        <f t="array" ref="M136">IFERROR(INDEX(Avg!$M$2:$M$50,MATCH(DATE(YEAR(A136),MONTH(A136),1),Avg!$A$2:$A$50,0)),"")</f>
        <v/>
      </c>
      <c r="N136" s="11" t="str">
        <f t="array" ref="N136">IFERROR(INDEX(Avg!$N$2:$N$50,MATCH(DATE(YEAR(A136),MONTH(A136),1),Avg!$A$2:$A$50,0)),"")</f>
        <v/>
      </c>
      <c r="O136" s="11" t="str">
        <f t="array" ref="O136">IFERROR(INDEX(Avg!$O$2:$O$50,MATCH(DATE(YEAR(A136),MONTH(A136),1),Avg!$A$2:$A$50,0)),"")</f>
        <v/>
      </c>
    </row>
    <row r="137" ht="15.75" customHeight="1">
      <c r="A137" s="7" t="s">
        <v>210</v>
      </c>
      <c r="B137" s="7" t="s">
        <v>209</v>
      </c>
      <c r="C137" s="8" t="s">
        <v>106</v>
      </c>
      <c r="D137" s="9">
        <f>IF(SUMPRODUCT((Data!$D$2:$D$2277=A137)*(Data!$E$2:$E$2277=C137)*(Data!$M$2:$M$2277="Vladimir Zelenskiy"))&gt;0,SUMPRODUCT((Data!$D$2:$D$2277=A137)*(Data!$E$2:$E$2277=C137)*(Data!$M$2:$M$2277="Vladimir Zelenskiy")*IF(ISNUMBER(Data!$W$2:$W$2277),Data!$W$2:$W$2277,0))/SUMPRODUCT((Data!$D$2:$D$2277=A137)*(Data!$E$2:$E$2277=C137)*(Data!$M$2:$M$2277="Vladimir Zelenskiy")),"")</f>
        <v>28.3</v>
      </c>
      <c r="E137" s="9" t="str">
        <f>IF(SUMPRODUCT((Data!$D$2:$D$2277=A137)*(Data!$E$2:$E$2277=C137)*(Data!$M$2:$M$2277="Valerii Zaluzhniy"))&gt;0,SUMPRODUCT((Data!$D$2:$D$2277=A137)*(Data!$E$2:$E$2277=C137)*(Data!$M$2:$M$2277="Valerii Zaluzhniy")*IF(ISNUMBER(Data!$W$2:$W$2277),Data!$W$2:$W$2277,0))/SUMPRODUCT((Data!$D$2:$D$2277=A137)*(Data!$E$2:$E$2277=C137)*(Data!$M$2:$M$2277="Valerii Zaluzhniy")),"")</f>
        <v/>
      </c>
      <c r="F137" s="9" t="str">
        <f>IF(SUMPRODUCT((Data!$D$2:$D$2277=A137)*(Data!$E$2:$E$2277=C137)*(Data!$M$2:$M$2277="Kyrylo Budanov"))&gt;0,SUMPRODUCT((Data!$D$2:$D$2277=A137)*(Data!$E$2:$E$2277=C137)*(Data!$M$2:$M$2277="Kyrylo Budanov")*IF(ISNUMBER(Data!$W$2:$W$2277),Data!$W$2:$W$2277,0))/SUMPRODUCT((Data!$D$2:$D$2277=A137)*(Data!$E$2:$E$2277=C137)*(Data!$M$2:$M$2277="Kyrylo Budanov")),"")</f>
        <v/>
      </c>
      <c r="G137" s="9">
        <f>IF(SUMPRODUCT((Data!$D$2:$D$2277=A137)*(Data!$E$2:$E$2277=C137)*(Data!$M$2:$M$2277="Pyotr Poroshenko"))&gt;0,SUMPRODUCT((Data!$D$2:$D$2277=A137)*(Data!$E$2:$E$2277=C137)*(Data!$M$2:$M$2277="Pyotr Poroshenko")*IF(ISNUMBER(Data!$W$2:$W$2277),Data!$W$2:$W$2277,0))/SUMPRODUCT((Data!$D$2:$D$2277=A137)*(Data!$E$2:$E$2277=C137)*(Data!$M$2:$M$2277="Pyotr Poroshenko")),"")</f>
        <v>18.1</v>
      </c>
      <c r="H137" s="10" t="str">
        <f t="array" ref="H137">IFERROR(INDEX(Avg!$F$2:$F$50,MATCH(DATE(YEAR(A137),MONTH(A137),1),Avg!$A$2:$A$50,0)),"")</f>
        <v/>
      </c>
      <c r="I137" s="10" t="str">
        <f t="array" ref="I137">IFERROR(INDEX(Avg!$G$2:$G$50,MATCH(DATE(YEAR(A137),MONTH(A137),1),Avg!$A$2:$A$50,0)),"")</f>
        <v/>
      </c>
      <c r="J137" s="10" t="str">
        <f t="array" ref="J137">IFERROR(INDEX(Avg!$H$2:$H$50,MATCH(DATE(YEAR(A137),MONTH(A137),1),Avg!$A$2:$A$50,0)),"")</f>
        <v/>
      </c>
      <c r="K137" s="10" t="str">
        <f t="array" ref="K137">IFERROR(INDEX(Avg!$I$2:$I$50,MATCH(DATE(YEAR(A137),MONTH(A137),1),Avg!$A$2:$A$50,0)),"")</f>
        <v/>
      </c>
      <c r="L137" s="11" t="str">
        <f t="array" ref="L137">IFERROR(INDEX(Avg!$L$2:$L$50,MATCH(DATE(YEAR(A137),MONTH(A137),1),Avg!$A$2:$A$50,0)),"")</f>
        <v/>
      </c>
      <c r="M137" s="11" t="str">
        <f t="array" ref="M137">IFERROR(INDEX(Avg!$M$2:$M$50,MATCH(DATE(YEAR(A137),MONTH(A137),1),Avg!$A$2:$A$50,0)),"")</f>
        <v/>
      </c>
      <c r="N137" s="11" t="str">
        <f t="array" ref="N137">IFERROR(INDEX(Avg!$N$2:$N$50,MATCH(DATE(YEAR(A137),MONTH(A137),1),Avg!$A$2:$A$50,0)),"")</f>
        <v/>
      </c>
      <c r="O137" s="11" t="str">
        <f t="array" ref="O137">IFERROR(INDEX(Avg!$O$2:$O$50,MATCH(DATE(YEAR(A137),MONTH(A137),1),Avg!$A$2:$A$50,0)),"")</f>
        <v/>
      </c>
    </row>
    <row r="138" ht="15.75" customHeight="1">
      <c r="A138" s="7" t="s">
        <v>208</v>
      </c>
      <c r="B138" s="7" t="s">
        <v>209</v>
      </c>
      <c r="C138" s="8" t="s">
        <v>72</v>
      </c>
      <c r="D138" s="9">
        <f>IF(SUMPRODUCT((Data!$D$2:$D$2277=A138)*(Data!$E$2:$E$2277=C138)*(Data!$M$2:$M$2277="Vladimir Zelenskiy"))&gt;0,SUMPRODUCT((Data!$D$2:$D$2277=A138)*(Data!$E$2:$E$2277=C138)*(Data!$M$2:$M$2277="Vladimir Zelenskiy")*IF(ISNUMBER(Data!$W$2:$W$2277),Data!$W$2:$W$2277,0))/SUMPRODUCT((Data!$D$2:$D$2277=A138)*(Data!$E$2:$E$2277=C138)*(Data!$M$2:$M$2277="Vladimir Zelenskiy")),"")</f>
        <v>31.4</v>
      </c>
      <c r="E138" s="9" t="str">
        <f>IF(SUMPRODUCT((Data!$D$2:$D$2277=A138)*(Data!$E$2:$E$2277=C138)*(Data!$M$2:$M$2277="Valerii Zaluzhniy"))&gt;0,SUMPRODUCT((Data!$D$2:$D$2277=A138)*(Data!$E$2:$E$2277=C138)*(Data!$M$2:$M$2277="Valerii Zaluzhniy")*IF(ISNUMBER(Data!$W$2:$W$2277),Data!$W$2:$W$2277,0))/SUMPRODUCT((Data!$D$2:$D$2277=A138)*(Data!$E$2:$E$2277=C138)*(Data!$M$2:$M$2277="Valerii Zaluzhniy")),"")</f>
        <v/>
      </c>
      <c r="F138" s="9" t="str">
        <f>IF(SUMPRODUCT((Data!$D$2:$D$2277=A138)*(Data!$E$2:$E$2277=C138)*(Data!$M$2:$M$2277="Kyrylo Budanov"))&gt;0,SUMPRODUCT((Data!$D$2:$D$2277=A138)*(Data!$E$2:$E$2277=C138)*(Data!$M$2:$M$2277="Kyrylo Budanov")*IF(ISNUMBER(Data!$W$2:$W$2277),Data!$W$2:$W$2277,0))/SUMPRODUCT((Data!$D$2:$D$2277=A138)*(Data!$E$2:$E$2277=C138)*(Data!$M$2:$M$2277="Kyrylo Budanov")),"")</f>
        <v/>
      </c>
      <c r="G138" s="9">
        <f>IF(SUMPRODUCT((Data!$D$2:$D$2277=A138)*(Data!$E$2:$E$2277=C138)*(Data!$M$2:$M$2277="Pyotr Poroshenko"))&gt;0,SUMPRODUCT((Data!$D$2:$D$2277=A138)*(Data!$E$2:$E$2277=C138)*(Data!$M$2:$M$2277="Pyotr Poroshenko")*IF(ISNUMBER(Data!$W$2:$W$2277),Data!$W$2:$W$2277,0))/SUMPRODUCT((Data!$D$2:$D$2277=A138)*(Data!$E$2:$E$2277=C138)*(Data!$M$2:$M$2277="Pyotr Poroshenko")),"")</f>
        <v>18.1</v>
      </c>
      <c r="H138" s="10" t="str">
        <f t="array" ref="H138">IFERROR(INDEX(Avg!$F$2:$F$50,MATCH(DATE(YEAR(A138),MONTH(A138),1),Avg!$A$2:$A$50,0)),"")</f>
        <v/>
      </c>
      <c r="I138" s="10" t="str">
        <f t="array" ref="I138">IFERROR(INDEX(Avg!$G$2:$G$50,MATCH(DATE(YEAR(A138),MONTH(A138),1),Avg!$A$2:$A$50,0)),"")</f>
        <v/>
      </c>
      <c r="J138" s="10" t="str">
        <f t="array" ref="J138">IFERROR(INDEX(Avg!$H$2:$H$50,MATCH(DATE(YEAR(A138),MONTH(A138),1),Avg!$A$2:$A$50,0)),"")</f>
        <v/>
      </c>
      <c r="K138" s="10" t="str">
        <f t="array" ref="K138">IFERROR(INDEX(Avg!$I$2:$I$50,MATCH(DATE(YEAR(A138),MONTH(A138),1),Avg!$A$2:$A$50,0)),"")</f>
        <v/>
      </c>
      <c r="L138" s="11" t="str">
        <f t="array" ref="L138">IFERROR(INDEX(Avg!$L$2:$L$50,MATCH(DATE(YEAR(A138),MONTH(A138),1),Avg!$A$2:$A$50,0)),"")</f>
        <v/>
      </c>
      <c r="M138" s="11" t="str">
        <f t="array" ref="M138">IFERROR(INDEX(Avg!$M$2:$M$50,MATCH(DATE(YEAR(A138),MONTH(A138),1),Avg!$A$2:$A$50,0)),"")</f>
        <v/>
      </c>
      <c r="N138" s="11" t="str">
        <f t="array" ref="N138">IFERROR(INDEX(Avg!$N$2:$N$50,MATCH(DATE(YEAR(A138),MONTH(A138),1),Avg!$A$2:$A$50,0)),"")</f>
        <v/>
      </c>
      <c r="O138" s="11" t="str">
        <f t="array" ref="O138">IFERROR(INDEX(Avg!$O$2:$O$50,MATCH(DATE(YEAR(A138),MONTH(A138),1),Avg!$A$2:$A$50,0)),"")</f>
        <v/>
      </c>
    </row>
    <row r="139" ht="15.75" customHeight="1">
      <c r="A139" s="7" t="s">
        <v>211</v>
      </c>
      <c r="B139" s="7" t="s">
        <v>209</v>
      </c>
      <c r="C139" s="8" t="s">
        <v>158</v>
      </c>
      <c r="D139" s="9">
        <f>IF(SUMPRODUCT((Data!$D$2:$D$2277=A139)*(Data!$E$2:$E$2277=C139)*(Data!$M$2:$M$2277="Vladimir Zelenskiy"))&gt;0,SUMPRODUCT((Data!$D$2:$D$2277=A139)*(Data!$E$2:$E$2277=C139)*(Data!$M$2:$M$2277="Vladimir Zelenskiy")*IF(ISNUMBER(Data!$W$2:$W$2277),Data!$W$2:$W$2277,0))/SUMPRODUCT((Data!$D$2:$D$2277=A139)*(Data!$E$2:$E$2277=C139)*(Data!$M$2:$M$2277="Vladimir Zelenskiy")),"")</f>
        <v>23.4</v>
      </c>
      <c r="E139" s="9" t="str">
        <f>IF(SUMPRODUCT((Data!$D$2:$D$2277=A139)*(Data!$E$2:$E$2277=C139)*(Data!$M$2:$M$2277="Valerii Zaluzhniy"))&gt;0,SUMPRODUCT((Data!$D$2:$D$2277=A139)*(Data!$E$2:$E$2277=C139)*(Data!$M$2:$M$2277="Valerii Zaluzhniy")*IF(ISNUMBER(Data!$W$2:$W$2277),Data!$W$2:$W$2277,0))/SUMPRODUCT((Data!$D$2:$D$2277=A139)*(Data!$E$2:$E$2277=C139)*(Data!$M$2:$M$2277="Valerii Zaluzhniy")),"")</f>
        <v/>
      </c>
      <c r="F139" s="9" t="str">
        <f>IF(SUMPRODUCT((Data!$D$2:$D$2277=A139)*(Data!$E$2:$E$2277=C139)*(Data!$M$2:$M$2277="Kyrylo Budanov"))&gt;0,SUMPRODUCT((Data!$D$2:$D$2277=A139)*(Data!$E$2:$E$2277=C139)*(Data!$M$2:$M$2277="Kyrylo Budanov")*IF(ISNUMBER(Data!$W$2:$W$2277),Data!$W$2:$W$2277,0))/SUMPRODUCT((Data!$D$2:$D$2277=A139)*(Data!$E$2:$E$2277=C139)*(Data!$M$2:$M$2277="Kyrylo Budanov")),"")</f>
        <v/>
      </c>
      <c r="G139" s="9">
        <f>IF(SUMPRODUCT((Data!$D$2:$D$2277=A139)*(Data!$E$2:$E$2277=C139)*(Data!$M$2:$M$2277="Pyotr Poroshenko"))&gt;0,SUMPRODUCT((Data!$D$2:$D$2277=A139)*(Data!$E$2:$E$2277=C139)*(Data!$M$2:$M$2277="Pyotr Poroshenko")*IF(ISNUMBER(Data!$W$2:$W$2277),Data!$W$2:$W$2277,0))/SUMPRODUCT((Data!$D$2:$D$2277=A139)*(Data!$E$2:$E$2277=C139)*(Data!$M$2:$M$2277="Pyotr Poroshenko")),"")</f>
        <v>18.6</v>
      </c>
      <c r="H139" s="10" t="str">
        <f t="array" ref="H139">IFERROR(INDEX(Avg!$F$2:$F$50,MATCH(DATE(YEAR(A139),MONTH(A139),1),Avg!$A$2:$A$50,0)),"")</f>
        <v/>
      </c>
      <c r="I139" s="10" t="str">
        <f t="array" ref="I139">IFERROR(INDEX(Avg!$G$2:$G$50,MATCH(DATE(YEAR(A139),MONTH(A139),1),Avg!$A$2:$A$50,0)),"")</f>
        <v/>
      </c>
      <c r="J139" s="10" t="str">
        <f t="array" ref="J139">IFERROR(INDEX(Avg!$H$2:$H$50,MATCH(DATE(YEAR(A139),MONTH(A139),1),Avg!$A$2:$A$50,0)),"")</f>
        <v/>
      </c>
      <c r="K139" s="10" t="str">
        <f t="array" ref="K139">IFERROR(INDEX(Avg!$I$2:$I$50,MATCH(DATE(YEAR(A139),MONTH(A139),1),Avg!$A$2:$A$50,0)),"")</f>
        <v/>
      </c>
      <c r="L139" s="11" t="str">
        <f t="array" ref="L139">IFERROR(INDEX(Avg!$L$2:$L$50,MATCH(DATE(YEAR(A139),MONTH(A139),1),Avg!$A$2:$A$50,0)),"")</f>
        <v/>
      </c>
      <c r="M139" s="11" t="str">
        <f t="array" ref="M139">IFERROR(INDEX(Avg!$M$2:$M$50,MATCH(DATE(YEAR(A139),MONTH(A139),1),Avg!$A$2:$A$50,0)),"")</f>
        <v/>
      </c>
      <c r="N139" s="11" t="str">
        <f t="array" ref="N139">IFERROR(INDEX(Avg!$N$2:$N$50,MATCH(DATE(YEAR(A139),MONTH(A139),1),Avg!$A$2:$A$50,0)),"")</f>
        <v/>
      </c>
      <c r="O139" s="11" t="str">
        <f t="array" ref="O139">IFERROR(INDEX(Avg!$O$2:$O$50,MATCH(DATE(YEAR(A139),MONTH(A139),1),Avg!$A$2:$A$50,0)),"")</f>
        <v/>
      </c>
    </row>
    <row r="140" ht="15.75" customHeight="1">
      <c r="A140" s="7" t="s">
        <v>212</v>
      </c>
      <c r="B140" s="7" t="s">
        <v>209</v>
      </c>
      <c r="C140" s="8" t="s">
        <v>137</v>
      </c>
      <c r="D140" s="9">
        <f>IF(SUMPRODUCT((Data!$D$2:$D$2277=A140)*(Data!$E$2:$E$2277=C140)*(Data!$M$2:$M$2277="Vladimir Zelenskiy"))&gt;0,SUMPRODUCT((Data!$D$2:$D$2277=A140)*(Data!$E$2:$E$2277=C140)*(Data!$M$2:$M$2277="Vladimir Zelenskiy")*IF(ISNUMBER(Data!$W$2:$W$2277),Data!$W$2:$W$2277,0))/SUMPRODUCT((Data!$D$2:$D$2277=A140)*(Data!$E$2:$E$2277=C140)*(Data!$M$2:$M$2277="Vladimir Zelenskiy")),"")</f>
        <v>28</v>
      </c>
      <c r="E140" s="9" t="str">
        <f>IF(SUMPRODUCT((Data!$D$2:$D$2277=A140)*(Data!$E$2:$E$2277=C140)*(Data!$M$2:$M$2277="Valerii Zaluzhniy"))&gt;0,SUMPRODUCT((Data!$D$2:$D$2277=A140)*(Data!$E$2:$E$2277=C140)*(Data!$M$2:$M$2277="Valerii Zaluzhniy")*IF(ISNUMBER(Data!$W$2:$W$2277),Data!$W$2:$W$2277,0))/SUMPRODUCT((Data!$D$2:$D$2277=A140)*(Data!$E$2:$E$2277=C140)*(Data!$M$2:$M$2277="Valerii Zaluzhniy")),"")</f>
        <v/>
      </c>
      <c r="F140" s="9" t="str">
        <f>IF(SUMPRODUCT((Data!$D$2:$D$2277=A140)*(Data!$E$2:$E$2277=C140)*(Data!$M$2:$M$2277="Kyrylo Budanov"))&gt;0,SUMPRODUCT((Data!$D$2:$D$2277=A140)*(Data!$E$2:$E$2277=C140)*(Data!$M$2:$M$2277="Kyrylo Budanov")*IF(ISNUMBER(Data!$W$2:$W$2277),Data!$W$2:$W$2277,0))/SUMPRODUCT((Data!$D$2:$D$2277=A140)*(Data!$E$2:$E$2277=C140)*(Data!$M$2:$M$2277="Kyrylo Budanov")),"")</f>
        <v/>
      </c>
      <c r="G140" s="9">
        <f>IF(SUMPRODUCT((Data!$D$2:$D$2277=A140)*(Data!$E$2:$E$2277=C140)*(Data!$M$2:$M$2277="Pyotr Poroshenko"))&gt;0,SUMPRODUCT((Data!$D$2:$D$2277=A140)*(Data!$E$2:$E$2277=C140)*(Data!$M$2:$M$2277="Pyotr Poroshenko")*IF(ISNUMBER(Data!$W$2:$W$2277),Data!$W$2:$W$2277,0))/SUMPRODUCT((Data!$D$2:$D$2277=A140)*(Data!$E$2:$E$2277=C140)*(Data!$M$2:$M$2277="Pyotr Poroshenko")),"")</f>
        <v>15</v>
      </c>
      <c r="H140" s="10" t="str">
        <f t="array" ref="H140">IFERROR(INDEX(Avg!$F$2:$F$50,MATCH(DATE(YEAR(A140),MONTH(A140),1),Avg!$A$2:$A$50,0)),"")</f>
        <v/>
      </c>
      <c r="I140" s="10" t="str">
        <f t="array" ref="I140">IFERROR(INDEX(Avg!$G$2:$G$50,MATCH(DATE(YEAR(A140),MONTH(A140),1),Avg!$A$2:$A$50,0)),"")</f>
        <v/>
      </c>
      <c r="J140" s="10" t="str">
        <f t="array" ref="J140">IFERROR(INDEX(Avg!$H$2:$H$50,MATCH(DATE(YEAR(A140),MONTH(A140),1),Avg!$A$2:$A$50,0)),"")</f>
        <v/>
      </c>
      <c r="K140" s="10" t="str">
        <f t="array" ref="K140">IFERROR(INDEX(Avg!$I$2:$I$50,MATCH(DATE(YEAR(A140),MONTH(A140),1),Avg!$A$2:$A$50,0)),"")</f>
        <v/>
      </c>
      <c r="L140" s="11" t="str">
        <f t="array" ref="L140">IFERROR(INDEX(Avg!$L$2:$L$50,MATCH(DATE(YEAR(A140),MONTH(A140),1),Avg!$A$2:$A$50,0)),"")</f>
        <v/>
      </c>
      <c r="M140" s="11" t="str">
        <f t="array" ref="M140">IFERROR(INDEX(Avg!$M$2:$M$50,MATCH(DATE(YEAR(A140),MONTH(A140),1),Avg!$A$2:$A$50,0)),"")</f>
        <v/>
      </c>
      <c r="N140" s="11" t="str">
        <f t="array" ref="N140">IFERROR(INDEX(Avg!$N$2:$N$50,MATCH(DATE(YEAR(A140),MONTH(A140),1),Avg!$A$2:$A$50,0)),"")</f>
        <v/>
      </c>
      <c r="O140" s="11" t="str">
        <f t="array" ref="O140">IFERROR(INDEX(Avg!$O$2:$O$50,MATCH(DATE(YEAR(A140),MONTH(A140),1),Avg!$A$2:$A$50,0)),"")</f>
        <v/>
      </c>
    </row>
    <row r="141" ht="15.75" customHeight="1">
      <c r="A141" s="7" t="s">
        <v>213</v>
      </c>
      <c r="B141" s="7" t="s">
        <v>209</v>
      </c>
      <c r="C141" s="8" t="s">
        <v>17</v>
      </c>
      <c r="D141" s="9">
        <f>IF(SUMPRODUCT((Data!$D$2:$D$2277=A141)*(Data!$E$2:$E$2277=C141)*(Data!$M$2:$M$2277="Vladimir Zelenskiy"))&gt;0,SUMPRODUCT((Data!$D$2:$D$2277=A141)*(Data!$E$2:$E$2277=C141)*(Data!$M$2:$M$2277="Vladimir Zelenskiy")*IF(ISNUMBER(Data!$W$2:$W$2277),Data!$W$2:$W$2277,0))/SUMPRODUCT((Data!$D$2:$D$2277=A141)*(Data!$E$2:$E$2277=C141)*(Data!$M$2:$M$2277="Vladimir Zelenskiy")),"")</f>
        <v>26.7</v>
      </c>
      <c r="E141" s="9" t="str">
        <f>IF(SUMPRODUCT((Data!$D$2:$D$2277=A141)*(Data!$E$2:$E$2277=C141)*(Data!$M$2:$M$2277="Valerii Zaluzhniy"))&gt;0,SUMPRODUCT((Data!$D$2:$D$2277=A141)*(Data!$E$2:$E$2277=C141)*(Data!$M$2:$M$2277="Valerii Zaluzhniy")*IF(ISNUMBER(Data!$W$2:$W$2277),Data!$W$2:$W$2277,0))/SUMPRODUCT((Data!$D$2:$D$2277=A141)*(Data!$E$2:$E$2277=C141)*(Data!$M$2:$M$2277="Valerii Zaluzhniy")),"")</f>
        <v/>
      </c>
      <c r="F141" s="9" t="str">
        <f>IF(SUMPRODUCT((Data!$D$2:$D$2277=A141)*(Data!$E$2:$E$2277=C141)*(Data!$M$2:$M$2277="Kyrylo Budanov"))&gt;0,SUMPRODUCT((Data!$D$2:$D$2277=A141)*(Data!$E$2:$E$2277=C141)*(Data!$M$2:$M$2277="Kyrylo Budanov")*IF(ISNUMBER(Data!$W$2:$W$2277),Data!$W$2:$W$2277,0))/SUMPRODUCT((Data!$D$2:$D$2277=A141)*(Data!$E$2:$E$2277=C141)*(Data!$M$2:$M$2277="Kyrylo Budanov")),"")</f>
        <v/>
      </c>
      <c r="G141" s="9">
        <f>IF(SUMPRODUCT((Data!$D$2:$D$2277=A141)*(Data!$E$2:$E$2277=C141)*(Data!$M$2:$M$2277="Pyotr Poroshenko"))&gt;0,SUMPRODUCT((Data!$D$2:$D$2277=A141)*(Data!$E$2:$E$2277=C141)*(Data!$M$2:$M$2277="Pyotr Poroshenko")*IF(ISNUMBER(Data!$W$2:$W$2277),Data!$W$2:$W$2277,0))/SUMPRODUCT((Data!$D$2:$D$2277=A141)*(Data!$E$2:$E$2277=C141)*(Data!$M$2:$M$2277="Pyotr Poroshenko")),"")</f>
        <v>19.6</v>
      </c>
      <c r="H141" s="10" t="str">
        <f t="array" ref="H141">IFERROR(INDEX(Avg!$F$2:$F$50,MATCH(DATE(YEAR(A141),MONTH(A141),1),Avg!$A$2:$A$50,0)),"")</f>
        <v/>
      </c>
      <c r="I141" s="10" t="str">
        <f t="array" ref="I141">IFERROR(INDEX(Avg!$G$2:$G$50,MATCH(DATE(YEAR(A141),MONTH(A141),1),Avg!$A$2:$A$50,0)),"")</f>
        <v/>
      </c>
      <c r="J141" s="10" t="str">
        <f t="array" ref="J141">IFERROR(INDEX(Avg!$H$2:$H$50,MATCH(DATE(YEAR(A141),MONTH(A141),1),Avg!$A$2:$A$50,0)),"")</f>
        <v/>
      </c>
      <c r="K141" s="10" t="str">
        <f t="array" ref="K141">IFERROR(INDEX(Avg!$I$2:$I$50,MATCH(DATE(YEAR(A141),MONTH(A141),1),Avg!$A$2:$A$50,0)),"")</f>
        <v/>
      </c>
      <c r="L141" s="11" t="str">
        <f t="array" ref="L141">IFERROR(INDEX(Avg!$L$2:$L$50,MATCH(DATE(YEAR(A141),MONTH(A141),1),Avg!$A$2:$A$50,0)),"")</f>
        <v/>
      </c>
      <c r="M141" s="11" t="str">
        <f t="array" ref="M141">IFERROR(INDEX(Avg!$M$2:$M$50,MATCH(DATE(YEAR(A141),MONTH(A141),1),Avg!$A$2:$A$50,0)),"")</f>
        <v/>
      </c>
      <c r="N141" s="11" t="str">
        <f t="array" ref="N141">IFERROR(INDEX(Avg!$N$2:$N$50,MATCH(DATE(YEAR(A141),MONTH(A141),1),Avg!$A$2:$A$50,0)),"")</f>
        <v/>
      </c>
      <c r="O141" s="11" t="str">
        <f t="array" ref="O141">IFERROR(INDEX(Avg!$O$2:$O$50,MATCH(DATE(YEAR(A141),MONTH(A141),1),Avg!$A$2:$A$50,0)),"")</f>
        <v/>
      </c>
    </row>
    <row r="142" ht="15.75" customHeight="1">
      <c r="A142" s="7" t="s">
        <v>214</v>
      </c>
      <c r="B142" s="7" t="s">
        <v>209</v>
      </c>
      <c r="C142" s="8" t="s">
        <v>40</v>
      </c>
      <c r="D142" s="9">
        <f>IF(SUMPRODUCT((Data!$D$2:$D$2277=A142)*(Data!$E$2:$E$2277=C142)*(Data!$M$2:$M$2277="Vladimir Zelenskiy"))&gt;0,SUMPRODUCT((Data!$D$2:$D$2277=A142)*(Data!$E$2:$E$2277=C142)*(Data!$M$2:$M$2277="Vladimir Zelenskiy")*IF(ISNUMBER(Data!$W$2:$W$2277),Data!$W$2:$W$2277,0))/SUMPRODUCT((Data!$D$2:$D$2277=A142)*(Data!$E$2:$E$2277=C142)*(Data!$M$2:$M$2277="Vladimir Zelenskiy")),"")</f>
        <v>24.9</v>
      </c>
      <c r="E142" s="9" t="str">
        <f>IF(SUMPRODUCT((Data!$D$2:$D$2277=A142)*(Data!$E$2:$E$2277=C142)*(Data!$M$2:$M$2277="Valerii Zaluzhniy"))&gt;0,SUMPRODUCT((Data!$D$2:$D$2277=A142)*(Data!$E$2:$E$2277=C142)*(Data!$M$2:$M$2277="Valerii Zaluzhniy")*IF(ISNUMBER(Data!$W$2:$W$2277),Data!$W$2:$W$2277,0))/SUMPRODUCT((Data!$D$2:$D$2277=A142)*(Data!$E$2:$E$2277=C142)*(Data!$M$2:$M$2277="Valerii Zaluzhniy")),"")</f>
        <v/>
      </c>
      <c r="F142" s="9" t="str">
        <f>IF(SUMPRODUCT((Data!$D$2:$D$2277=A142)*(Data!$E$2:$E$2277=C142)*(Data!$M$2:$M$2277="Kyrylo Budanov"))&gt;0,SUMPRODUCT((Data!$D$2:$D$2277=A142)*(Data!$E$2:$E$2277=C142)*(Data!$M$2:$M$2277="Kyrylo Budanov")*IF(ISNUMBER(Data!$W$2:$W$2277),Data!$W$2:$W$2277,0))/SUMPRODUCT((Data!$D$2:$D$2277=A142)*(Data!$E$2:$E$2277=C142)*(Data!$M$2:$M$2277="Kyrylo Budanov")),"")</f>
        <v/>
      </c>
      <c r="G142" s="9">
        <f>IF(SUMPRODUCT((Data!$D$2:$D$2277=A142)*(Data!$E$2:$E$2277=C142)*(Data!$M$2:$M$2277="Pyotr Poroshenko"))&gt;0,SUMPRODUCT((Data!$D$2:$D$2277=A142)*(Data!$E$2:$E$2277=C142)*(Data!$M$2:$M$2277="Pyotr Poroshenko")*IF(ISNUMBER(Data!$W$2:$W$2277),Data!$W$2:$W$2277,0))/SUMPRODUCT((Data!$D$2:$D$2277=A142)*(Data!$E$2:$E$2277=C142)*(Data!$M$2:$M$2277="Pyotr Poroshenko")),"")</f>
        <v>13.1</v>
      </c>
      <c r="H142" s="10" t="str">
        <f t="array" ref="H142">IFERROR(INDEX(Avg!$F$2:$F$50,MATCH(DATE(YEAR(A142),MONTH(A142),1),Avg!$A$2:$A$50,0)),"")</f>
        <v/>
      </c>
      <c r="I142" s="10" t="str">
        <f t="array" ref="I142">IFERROR(INDEX(Avg!$G$2:$G$50,MATCH(DATE(YEAR(A142),MONTH(A142),1),Avg!$A$2:$A$50,0)),"")</f>
        <v/>
      </c>
      <c r="J142" s="10" t="str">
        <f t="array" ref="J142">IFERROR(INDEX(Avg!$H$2:$H$50,MATCH(DATE(YEAR(A142),MONTH(A142),1),Avg!$A$2:$A$50,0)),"")</f>
        <v/>
      </c>
      <c r="K142" s="10" t="str">
        <f t="array" ref="K142">IFERROR(INDEX(Avg!$I$2:$I$50,MATCH(DATE(YEAR(A142),MONTH(A142),1),Avg!$A$2:$A$50,0)),"")</f>
        <v/>
      </c>
      <c r="L142" s="11" t="str">
        <f t="array" ref="L142">IFERROR(INDEX(Avg!$L$2:$L$50,MATCH(DATE(YEAR(A142),MONTH(A142),1),Avg!$A$2:$A$50,0)),"")</f>
        <v/>
      </c>
      <c r="M142" s="11" t="str">
        <f t="array" ref="M142">IFERROR(INDEX(Avg!$M$2:$M$50,MATCH(DATE(YEAR(A142),MONTH(A142),1),Avg!$A$2:$A$50,0)),"")</f>
        <v/>
      </c>
      <c r="N142" s="11" t="str">
        <f t="array" ref="N142">IFERROR(INDEX(Avg!$N$2:$N$50,MATCH(DATE(YEAR(A142),MONTH(A142),1),Avg!$A$2:$A$50,0)),"")</f>
        <v/>
      </c>
      <c r="O142" s="11" t="str">
        <f t="array" ref="O142">IFERROR(INDEX(Avg!$O$2:$O$50,MATCH(DATE(YEAR(A142),MONTH(A142),1),Avg!$A$2:$A$50,0)),"")</f>
        <v/>
      </c>
    </row>
    <row r="143" ht="15.75" customHeight="1">
      <c r="A143" s="7" t="s">
        <v>215</v>
      </c>
      <c r="B143" s="7" t="s">
        <v>216</v>
      </c>
      <c r="C143" s="8" t="s">
        <v>40</v>
      </c>
      <c r="D143" s="9">
        <f>IF(SUMPRODUCT((Data!$D$2:$D$2277=A143)*(Data!$E$2:$E$2277=C143)*(Data!$M$2:$M$2277="Vladimir Zelenskiy"))&gt;0,SUMPRODUCT((Data!$D$2:$D$2277=A143)*(Data!$E$2:$E$2277=C143)*(Data!$M$2:$M$2277="Vladimir Zelenskiy")*IF(ISNUMBER(Data!$W$2:$W$2277),Data!$W$2:$W$2277,0))/SUMPRODUCT((Data!$D$2:$D$2277=A143)*(Data!$E$2:$E$2277=C143)*(Data!$M$2:$M$2277="Vladimir Zelenskiy")),"")</f>
        <v>24.7</v>
      </c>
      <c r="E143" s="9" t="str">
        <f>IF(SUMPRODUCT((Data!$D$2:$D$2277=A143)*(Data!$E$2:$E$2277=C143)*(Data!$M$2:$M$2277="Valerii Zaluzhniy"))&gt;0,SUMPRODUCT((Data!$D$2:$D$2277=A143)*(Data!$E$2:$E$2277=C143)*(Data!$M$2:$M$2277="Valerii Zaluzhniy")*IF(ISNUMBER(Data!$W$2:$W$2277),Data!$W$2:$W$2277,0))/SUMPRODUCT((Data!$D$2:$D$2277=A143)*(Data!$E$2:$E$2277=C143)*(Data!$M$2:$M$2277="Valerii Zaluzhniy")),"")</f>
        <v/>
      </c>
      <c r="F143" s="9" t="str">
        <f>IF(SUMPRODUCT((Data!$D$2:$D$2277=A143)*(Data!$E$2:$E$2277=C143)*(Data!$M$2:$M$2277="Kyrylo Budanov"))&gt;0,SUMPRODUCT((Data!$D$2:$D$2277=A143)*(Data!$E$2:$E$2277=C143)*(Data!$M$2:$M$2277="Kyrylo Budanov")*IF(ISNUMBER(Data!$W$2:$W$2277),Data!$W$2:$W$2277,0))/SUMPRODUCT((Data!$D$2:$D$2277=A143)*(Data!$E$2:$E$2277=C143)*(Data!$M$2:$M$2277="Kyrylo Budanov")),"")</f>
        <v/>
      </c>
      <c r="G143" s="9">
        <f>IF(SUMPRODUCT((Data!$D$2:$D$2277=A143)*(Data!$E$2:$E$2277=C143)*(Data!$M$2:$M$2277="Pyotr Poroshenko"))&gt;0,SUMPRODUCT((Data!$D$2:$D$2277=A143)*(Data!$E$2:$E$2277=C143)*(Data!$M$2:$M$2277="Pyotr Poroshenko")*IF(ISNUMBER(Data!$W$2:$W$2277),Data!$W$2:$W$2277,0))/SUMPRODUCT((Data!$D$2:$D$2277=A143)*(Data!$E$2:$E$2277=C143)*(Data!$M$2:$M$2277="Pyotr Poroshenko")),"")</f>
        <v>13.9</v>
      </c>
      <c r="H143" s="10" t="str">
        <f t="array" ref="H143">IFERROR(INDEX(Avg!$F$2:$F$50,MATCH(DATE(YEAR(A143),MONTH(A143),1),Avg!$A$2:$A$50,0)),"")</f>
        <v/>
      </c>
      <c r="I143" s="10" t="str">
        <f t="array" ref="I143">IFERROR(INDEX(Avg!$G$2:$G$50,MATCH(DATE(YEAR(A143),MONTH(A143),1),Avg!$A$2:$A$50,0)),"")</f>
        <v/>
      </c>
      <c r="J143" s="10" t="str">
        <f t="array" ref="J143">IFERROR(INDEX(Avg!$H$2:$H$50,MATCH(DATE(YEAR(A143),MONTH(A143),1),Avg!$A$2:$A$50,0)),"")</f>
        <v/>
      </c>
      <c r="K143" s="10" t="str">
        <f t="array" ref="K143">IFERROR(INDEX(Avg!$I$2:$I$50,MATCH(DATE(YEAR(A143),MONTH(A143),1),Avg!$A$2:$A$50,0)),"")</f>
        <v/>
      </c>
      <c r="L143" s="11" t="str">
        <f t="array" ref="L143">IFERROR(INDEX(Avg!$L$2:$L$50,MATCH(DATE(YEAR(A143),MONTH(A143),1),Avg!$A$2:$A$50,0)),"")</f>
        <v/>
      </c>
      <c r="M143" s="11" t="str">
        <f t="array" ref="M143">IFERROR(INDEX(Avg!$M$2:$M$50,MATCH(DATE(YEAR(A143),MONTH(A143),1),Avg!$A$2:$A$50,0)),"")</f>
        <v/>
      </c>
      <c r="N143" s="11" t="str">
        <f t="array" ref="N143">IFERROR(INDEX(Avg!$N$2:$N$50,MATCH(DATE(YEAR(A143),MONTH(A143),1),Avg!$A$2:$A$50,0)),"")</f>
        <v/>
      </c>
      <c r="O143" s="11" t="str">
        <f t="array" ref="O143">IFERROR(INDEX(Avg!$O$2:$O$50,MATCH(DATE(YEAR(A143),MONTH(A143),1),Avg!$A$2:$A$50,0)),"")</f>
        <v/>
      </c>
    </row>
    <row r="144" ht="15.75" customHeight="1">
      <c r="A144" s="7" t="s">
        <v>217</v>
      </c>
      <c r="B144" s="7" t="s">
        <v>216</v>
      </c>
      <c r="C144" s="8" t="s">
        <v>158</v>
      </c>
      <c r="D144" s="9">
        <f>IF(SUMPRODUCT((Data!$D$2:$D$2277=A144)*(Data!$E$2:$E$2277=C144)*(Data!$M$2:$M$2277="Vladimir Zelenskiy"))&gt;0,SUMPRODUCT((Data!$D$2:$D$2277=A144)*(Data!$E$2:$E$2277=C144)*(Data!$M$2:$M$2277="Vladimir Zelenskiy")*IF(ISNUMBER(Data!$W$2:$W$2277),Data!$W$2:$W$2277,0))/SUMPRODUCT((Data!$D$2:$D$2277=A144)*(Data!$E$2:$E$2277=C144)*(Data!$M$2:$M$2277="Vladimir Zelenskiy")),"")</f>
        <v>23.8</v>
      </c>
      <c r="E144" s="9" t="str">
        <f>IF(SUMPRODUCT((Data!$D$2:$D$2277=A144)*(Data!$E$2:$E$2277=C144)*(Data!$M$2:$M$2277="Valerii Zaluzhniy"))&gt;0,SUMPRODUCT((Data!$D$2:$D$2277=A144)*(Data!$E$2:$E$2277=C144)*(Data!$M$2:$M$2277="Valerii Zaluzhniy")*IF(ISNUMBER(Data!$W$2:$W$2277),Data!$W$2:$W$2277,0))/SUMPRODUCT((Data!$D$2:$D$2277=A144)*(Data!$E$2:$E$2277=C144)*(Data!$M$2:$M$2277="Valerii Zaluzhniy")),"")</f>
        <v/>
      </c>
      <c r="F144" s="9" t="str">
        <f>IF(SUMPRODUCT((Data!$D$2:$D$2277=A144)*(Data!$E$2:$E$2277=C144)*(Data!$M$2:$M$2277="Kyrylo Budanov"))&gt;0,SUMPRODUCT((Data!$D$2:$D$2277=A144)*(Data!$E$2:$E$2277=C144)*(Data!$M$2:$M$2277="Kyrylo Budanov")*IF(ISNUMBER(Data!$W$2:$W$2277),Data!$W$2:$W$2277,0))/SUMPRODUCT((Data!$D$2:$D$2277=A144)*(Data!$E$2:$E$2277=C144)*(Data!$M$2:$M$2277="Kyrylo Budanov")),"")</f>
        <v/>
      </c>
      <c r="G144" s="9">
        <f>IF(SUMPRODUCT((Data!$D$2:$D$2277=A144)*(Data!$E$2:$E$2277=C144)*(Data!$M$2:$M$2277="Pyotr Poroshenko"))&gt;0,SUMPRODUCT((Data!$D$2:$D$2277=A144)*(Data!$E$2:$E$2277=C144)*(Data!$M$2:$M$2277="Pyotr Poroshenko")*IF(ISNUMBER(Data!$W$2:$W$2277),Data!$W$2:$W$2277,0))/SUMPRODUCT((Data!$D$2:$D$2277=A144)*(Data!$E$2:$E$2277=C144)*(Data!$M$2:$M$2277="Pyotr Poroshenko")),"")</f>
        <v>16.9</v>
      </c>
      <c r="H144" s="10" t="str">
        <f t="array" ref="H144">IFERROR(INDEX(Avg!$F$2:$F$50,MATCH(DATE(YEAR(A144),MONTH(A144),1),Avg!$A$2:$A$50,0)),"")</f>
        <v/>
      </c>
      <c r="I144" s="10" t="str">
        <f t="array" ref="I144">IFERROR(INDEX(Avg!$G$2:$G$50,MATCH(DATE(YEAR(A144),MONTH(A144),1),Avg!$A$2:$A$50,0)),"")</f>
        <v/>
      </c>
      <c r="J144" s="10" t="str">
        <f t="array" ref="J144">IFERROR(INDEX(Avg!$H$2:$H$50,MATCH(DATE(YEAR(A144),MONTH(A144),1),Avg!$A$2:$A$50,0)),"")</f>
        <v/>
      </c>
      <c r="K144" s="10" t="str">
        <f t="array" ref="K144">IFERROR(INDEX(Avg!$I$2:$I$50,MATCH(DATE(YEAR(A144),MONTH(A144),1),Avg!$A$2:$A$50,0)),"")</f>
        <v/>
      </c>
      <c r="L144" s="11" t="str">
        <f t="array" ref="L144">IFERROR(INDEX(Avg!$L$2:$L$50,MATCH(DATE(YEAR(A144),MONTH(A144),1),Avg!$A$2:$A$50,0)),"")</f>
        <v/>
      </c>
      <c r="M144" s="11" t="str">
        <f t="array" ref="M144">IFERROR(INDEX(Avg!$M$2:$M$50,MATCH(DATE(YEAR(A144),MONTH(A144),1),Avg!$A$2:$A$50,0)),"")</f>
        <v/>
      </c>
      <c r="N144" s="11" t="str">
        <f t="array" ref="N144">IFERROR(INDEX(Avg!$N$2:$N$50,MATCH(DATE(YEAR(A144),MONTH(A144),1),Avg!$A$2:$A$50,0)),"")</f>
        <v/>
      </c>
      <c r="O144" s="11" t="str">
        <f t="array" ref="O144">IFERROR(INDEX(Avg!$O$2:$O$50,MATCH(DATE(YEAR(A144),MONTH(A144),1),Avg!$A$2:$A$50,0)),"")</f>
        <v/>
      </c>
    </row>
    <row r="145" ht="15.75" customHeight="1">
      <c r="A145" s="7" t="s">
        <v>218</v>
      </c>
      <c r="B145" s="7" t="s">
        <v>216</v>
      </c>
      <c r="C145" s="8" t="s">
        <v>150</v>
      </c>
      <c r="D145" s="9">
        <f>IF(SUMPRODUCT((Data!$D$2:$D$2277=A145)*(Data!$E$2:$E$2277=C145)*(Data!$M$2:$M$2277="Vladimir Zelenskiy"))&gt;0,SUMPRODUCT((Data!$D$2:$D$2277=A145)*(Data!$E$2:$E$2277=C145)*(Data!$M$2:$M$2277="Vladimir Zelenskiy")*IF(ISNUMBER(Data!$W$2:$W$2277),Data!$W$2:$W$2277,0))/SUMPRODUCT((Data!$D$2:$D$2277=A145)*(Data!$E$2:$E$2277=C145)*(Data!$M$2:$M$2277="Vladimir Zelenskiy")),"")</f>
        <v>23.4</v>
      </c>
      <c r="E145" s="9" t="str">
        <f>IF(SUMPRODUCT((Data!$D$2:$D$2277=A145)*(Data!$E$2:$E$2277=C145)*(Data!$M$2:$M$2277="Valerii Zaluzhniy"))&gt;0,SUMPRODUCT((Data!$D$2:$D$2277=A145)*(Data!$E$2:$E$2277=C145)*(Data!$M$2:$M$2277="Valerii Zaluzhniy")*IF(ISNUMBER(Data!$W$2:$W$2277),Data!$W$2:$W$2277,0))/SUMPRODUCT((Data!$D$2:$D$2277=A145)*(Data!$E$2:$E$2277=C145)*(Data!$M$2:$M$2277="Valerii Zaluzhniy")),"")</f>
        <v/>
      </c>
      <c r="F145" s="9" t="str">
        <f>IF(SUMPRODUCT((Data!$D$2:$D$2277=A145)*(Data!$E$2:$E$2277=C145)*(Data!$M$2:$M$2277="Kyrylo Budanov"))&gt;0,SUMPRODUCT((Data!$D$2:$D$2277=A145)*(Data!$E$2:$E$2277=C145)*(Data!$M$2:$M$2277="Kyrylo Budanov")*IF(ISNUMBER(Data!$W$2:$W$2277),Data!$W$2:$W$2277,0))/SUMPRODUCT((Data!$D$2:$D$2277=A145)*(Data!$E$2:$E$2277=C145)*(Data!$M$2:$M$2277="Kyrylo Budanov")),"")</f>
        <v/>
      </c>
      <c r="G145" s="9">
        <f>IF(SUMPRODUCT((Data!$D$2:$D$2277=A145)*(Data!$E$2:$E$2277=C145)*(Data!$M$2:$M$2277="Pyotr Poroshenko"))&gt;0,SUMPRODUCT((Data!$D$2:$D$2277=A145)*(Data!$E$2:$E$2277=C145)*(Data!$M$2:$M$2277="Pyotr Poroshenko")*IF(ISNUMBER(Data!$W$2:$W$2277),Data!$W$2:$W$2277,0))/SUMPRODUCT((Data!$D$2:$D$2277=A145)*(Data!$E$2:$E$2277=C145)*(Data!$M$2:$M$2277="Pyotr Poroshenko")),"")</f>
        <v>18.5</v>
      </c>
      <c r="H145" s="10" t="str">
        <f t="array" ref="H145">IFERROR(INDEX(Avg!$F$2:$F$50,MATCH(DATE(YEAR(A145),MONTH(A145),1),Avg!$A$2:$A$50,0)),"")</f>
        <v/>
      </c>
      <c r="I145" s="10" t="str">
        <f t="array" ref="I145">IFERROR(INDEX(Avg!$G$2:$G$50,MATCH(DATE(YEAR(A145),MONTH(A145),1),Avg!$A$2:$A$50,0)),"")</f>
        <v/>
      </c>
      <c r="J145" s="10" t="str">
        <f t="array" ref="J145">IFERROR(INDEX(Avg!$H$2:$H$50,MATCH(DATE(YEAR(A145),MONTH(A145),1),Avg!$A$2:$A$50,0)),"")</f>
        <v/>
      </c>
      <c r="K145" s="10" t="str">
        <f t="array" ref="K145">IFERROR(INDEX(Avg!$I$2:$I$50,MATCH(DATE(YEAR(A145),MONTH(A145),1),Avg!$A$2:$A$50,0)),"")</f>
        <v/>
      </c>
      <c r="L145" s="11" t="str">
        <f t="array" ref="L145">IFERROR(INDEX(Avg!$L$2:$L$50,MATCH(DATE(YEAR(A145),MONTH(A145),1),Avg!$A$2:$A$50,0)),"")</f>
        <v/>
      </c>
      <c r="M145" s="11" t="str">
        <f t="array" ref="M145">IFERROR(INDEX(Avg!$M$2:$M$50,MATCH(DATE(YEAR(A145),MONTH(A145),1),Avg!$A$2:$A$50,0)),"")</f>
        <v/>
      </c>
      <c r="N145" s="11" t="str">
        <f t="array" ref="N145">IFERROR(INDEX(Avg!$N$2:$N$50,MATCH(DATE(YEAR(A145),MONTH(A145),1),Avg!$A$2:$A$50,0)),"")</f>
        <v/>
      </c>
      <c r="O145" s="11" t="str">
        <f t="array" ref="O145">IFERROR(INDEX(Avg!$O$2:$O$50,MATCH(DATE(YEAR(A145),MONTH(A145),1),Avg!$A$2:$A$50,0)),"")</f>
        <v/>
      </c>
    </row>
    <row r="146" ht="15.75" customHeight="1">
      <c r="A146" s="7" t="s">
        <v>219</v>
      </c>
      <c r="B146" s="7" t="s">
        <v>216</v>
      </c>
      <c r="C146" s="8" t="s">
        <v>220</v>
      </c>
      <c r="D146" s="9">
        <f>IF(SUMPRODUCT((Data!$D$2:$D$2277=A146)*(Data!$E$2:$E$2277=C146)*(Data!$M$2:$M$2277="Vladimir Zelenskiy"))&gt;0,SUMPRODUCT((Data!$D$2:$D$2277=A146)*(Data!$E$2:$E$2277=C146)*(Data!$M$2:$M$2277="Vladimir Zelenskiy")*IF(ISNUMBER(Data!$W$2:$W$2277),Data!$W$2:$W$2277,0))/SUMPRODUCT((Data!$D$2:$D$2277=A146)*(Data!$E$2:$E$2277=C146)*(Data!$M$2:$M$2277="Vladimir Zelenskiy")),"")</f>
        <v>22.5</v>
      </c>
      <c r="E146" s="9" t="str">
        <f>IF(SUMPRODUCT((Data!$D$2:$D$2277=A146)*(Data!$E$2:$E$2277=C146)*(Data!$M$2:$M$2277="Valerii Zaluzhniy"))&gt;0,SUMPRODUCT((Data!$D$2:$D$2277=A146)*(Data!$E$2:$E$2277=C146)*(Data!$M$2:$M$2277="Valerii Zaluzhniy")*IF(ISNUMBER(Data!$W$2:$W$2277),Data!$W$2:$W$2277,0))/SUMPRODUCT((Data!$D$2:$D$2277=A146)*(Data!$E$2:$E$2277=C146)*(Data!$M$2:$M$2277="Valerii Zaluzhniy")),"")</f>
        <v/>
      </c>
      <c r="F146" s="9" t="str">
        <f>IF(SUMPRODUCT((Data!$D$2:$D$2277=A146)*(Data!$E$2:$E$2277=C146)*(Data!$M$2:$M$2277="Kyrylo Budanov"))&gt;0,SUMPRODUCT((Data!$D$2:$D$2277=A146)*(Data!$E$2:$E$2277=C146)*(Data!$M$2:$M$2277="Kyrylo Budanov")*IF(ISNUMBER(Data!$W$2:$W$2277),Data!$W$2:$W$2277,0))/SUMPRODUCT((Data!$D$2:$D$2277=A146)*(Data!$E$2:$E$2277=C146)*(Data!$M$2:$M$2277="Kyrylo Budanov")),"")</f>
        <v/>
      </c>
      <c r="G146" s="9">
        <f>IF(SUMPRODUCT((Data!$D$2:$D$2277=A146)*(Data!$E$2:$E$2277=C146)*(Data!$M$2:$M$2277="Pyotr Poroshenko"))&gt;0,SUMPRODUCT((Data!$D$2:$D$2277=A146)*(Data!$E$2:$E$2277=C146)*(Data!$M$2:$M$2277="Pyotr Poroshenko")*IF(ISNUMBER(Data!$W$2:$W$2277),Data!$W$2:$W$2277,0))/SUMPRODUCT((Data!$D$2:$D$2277=A146)*(Data!$E$2:$E$2277=C146)*(Data!$M$2:$M$2277="Pyotr Poroshenko")),"")</f>
        <v>20.1</v>
      </c>
      <c r="H146" s="10" t="str">
        <f t="array" ref="H146">IFERROR(INDEX(Avg!$F$2:$F$50,MATCH(DATE(YEAR(A146),MONTH(A146),1),Avg!$A$2:$A$50,0)),"")</f>
        <v/>
      </c>
      <c r="I146" s="10" t="str">
        <f t="array" ref="I146">IFERROR(INDEX(Avg!$G$2:$G$50,MATCH(DATE(YEAR(A146),MONTH(A146),1),Avg!$A$2:$A$50,0)),"")</f>
        <v/>
      </c>
      <c r="J146" s="10" t="str">
        <f t="array" ref="J146">IFERROR(INDEX(Avg!$H$2:$H$50,MATCH(DATE(YEAR(A146),MONTH(A146),1),Avg!$A$2:$A$50,0)),"")</f>
        <v/>
      </c>
      <c r="K146" s="10" t="str">
        <f t="array" ref="K146">IFERROR(INDEX(Avg!$I$2:$I$50,MATCH(DATE(YEAR(A146),MONTH(A146),1),Avg!$A$2:$A$50,0)),"")</f>
        <v/>
      </c>
      <c r="L146" s="11" t="str">
        <f t="array" ref="L146">IFERROR(INDEX(Avg!$L$2:$L$50,MATCH(DATE(YEAR(A146),MONTH(A146),1),Avg!$A$2:$A$50,0)),"")</f>
        <v/>
      </c>
      <c r="M146" s="11" t="str">
        <f t="array" ref="M146">IFERROR(INDEX(Avg!$M$2:$M$50,MATCH(DATE(YEAR(A146),MONTH(A146),1),Avg!$A$2:$A$50,0)),"")</f>
        <v/>
      </c>
      <c r="N146" s="11" t="str">
        <f t="array" ref="N146">IFERROR(INDEX(Avg!$N$2:$N$50,MATCH(DATE(YEAR(A146),MONTH(A146),1),Avg!$A$2:$A$50,0)),"")</f>
        <v/>
      </c>
      <c r="O146" s="11" t="str">
        <f t="array" ref="O146">IFERROR(INDEX(Avg!$O$2:$O$50,MATCH(DATE(YEAR(A146),MONTH(A146),1),Avg!$A$2:$A$50,0)),"")</f>
        <v/>
      </c>
    </row>
    <row r="147" ht="15.75" customHeight="1">
      <c r="A147" s="7" t="s">
        <v>221</v>
      </c>
      <c r="B147" s="7" t="s">
        <v>216</v>
      </c>
      <c r="C147" s="8" t="s">
        <v>222</v>
      </c>
      <c r="D147" s="9">
        <f>IF(SUMPRODUCT((Data!$D$2:$D$2277=A147)*(Data!$E$2:$E$2277=C147)*(Data!$M$2:$M$2277="Vladimir Zelenskiy"))&gt;0,SUMPRODUCT((Data!$D$2:$D$2277=A147)*(Data!$E$2:$E$2277=C147)*(Data!$M$2:$M$2277="Vladimir Zelenskiy")*IF(ISNUMBER(Data!$W$2:$W$2277),Data!$W$2:$W$2277,0))/SUMPRODUCT((Data!$D$2:$D$2277=A147)*(Data!$E$2:$E$2277=C147)*(Data!$M$2:$M$2277="Vladimir Zelenskiy")),"")</f>
        <v>18</v>
      </c>
      <c r="E147" s="9" t="str">
        <f>IF(SUMPRODUCT((Data!$D$2:$D$2277=A147)*(Data!$E$2:$E$2277=C147)*(Data!$M$2:$M$2277="Valerii Zaluzhniy"))&gt;0,SUMPRODUCT((Data!$D$2:$D$2277=A147)*(Data!$E$2:$E$2277=C147)*(Data!$M$2:$M$2277="Valerii Zaluzhniy")*IF(ISNUMBER(Data!$W$2:$W$2277),Data!$W$2:$W$2277,0))/SUMPRODUCT((Data!$D$2:$D$2277=A147)*(Data!$E$2:$E$2277=C147)*(Data!$M$2:$M$2277="Valerii Zaluzhniy")),"")</f>
        <v/>
      </c>
      <c r="F147" s="9" t="str">
        <f>IF(SUMPRODUCT((Data!$D$2:$D$2277=A147)*(Data!$E$2:$E$2277=C147)*(Data!$M$2:$M$2277="Kyrylo Budanov"))&gt;0,SUMPRODUCT((Data!$D$2:$D$2277=A147)*(Data!$E$2:$E$2277=C147)*(Data!$M$2:$M$2277="Kyrylo Budanov")*IF(ISNUMBER(Data!$W$2:$W$2277),Data!$W$2:$W$2277,0))/SUMPRODUCT((Data!$D$2:$D$2277=A147)*(Data!$E$2:$E$2277=C147)*(Data!$M$2:$M$2277="Kyrylo Budanov")),"")</f>
        <v/>
      </c>
      <c r="G147" s="9">
        <f>IF(SUMPRODUCT((Data!$D$2:$D$2277=A147)*(Data!$E$2:$E$2277=C147)*(Data!$M$2:$M$2277="Pyotr Poroshenko"))&gt;0,SUMPRODUCT((Data!$D$2:$D$2277=A147)*(Data!$E$2:$E$2277=C147)*(Data!$M$2:$M$2277="Pyotr Poroshenko")*IF(ISNUMBER(Data!$W$2:$W$2277),Data!$W$2:$W$2277,0))/SUMPRODUCT((Data!$D$2:$D$2277=A147)*(Data!$E$2:$E$2277=C147)*(Data!$M$2:$M$2277="Pyotr Poroshenko")),"")</f>
        <v>17.6</v>
      </c>
      <c r="H147" s="10" t="str">
        <f t="array" ref="H147">IFERROR(INDEX(Avg!$F$2:$F$50,MATCH(DATE(YEAR(A147),MONTH(A147),1),Avg!$A$2:$A$50,0)),"")</f>
        <v/>
      </c>
      <c r="I147" s="10" t="str">
        <f t="array" ref="I147">IFERROR(INDEX(Avg!$G$2:$G$50,MATCH(DATE(YEAR(A147),MONTH(A147),1),Avg!$A$2:$A$50,0)),"")</f>
        <v/>
      </c>
      <c r="J147" s="10" t="str">
        <f t="array" ref="J147">IFERROR(INDEX(Avg!$H$2:$H$50,MATCH(DATE(YEAR(A147),MONTH(A147),1),Avg!$A$2:$A$50,0)),"")</f>
        <v/>
      </c>
      <c r="K147" s="10" t="str">
        <f t="array" ref="K147">IFERROR(INDEX(Avg!$I$2:$I$50,MATCH(DATE(YEAR(A147),MONTH(A147),1),Avg!$A$2:$A$50,0)),"")</f>
        <v/>
      </c>
      <c r="L147" s="11" t="str">
        <f t="array" ref="L147">IFERROR(INDEX(Avg!$L$2:$L$50,MATCH(DATE(YEAR(A147),MONTH(A147),1),Avg!$A$2:$A$50,0)),"")</f>
        <v/>
      </c>
      <c r="M147" s="11" t="str">
        <f t="array" ref="M147">IFERROR(INDEX(Avg!$M$2:$M$50,MATCH(DATE(YEAR(A147),MONTH(A147),1),Avg!$A$2:$A$50,0)),"")</f>
        <v/>
      </c>
      <c r="N147" s="11" t="str">
        <f t="array" ref="N147">IFERROR(INDEX(Avg!$N$2:$N$50,MATCH(DATE(YEAR(A147),MONTH(A147),1),Avg!$A$2:$A$50,0)),"")</f>
        <v/>
      </c>
      <c r="O147" s="11" t="str">
        <f t="array" ref="O147">IFERROR(INDEX(Avg!$O$2:$O$50,MATCH(DATE(YEAR(A147),MONTH(A147),1),Avg!$A$2:$A$50,0)),"")</f>
        <v/>
      </c>
    </row>
    <row r="148" ht="15.75" customHeight="1">
      <c r="A148" s="7" t="s">
        <v>219</v>
      </c>
      <c r="B148" s="7" t="s">
        <v>216</v>
      </c>
      <c r="C148" s="8" t="s">
        <v>156</v>
      </c>
      <c r="D148" s="9">
        <f>IF(SUMPRODUCT((Data!$D$2:$D$2277=A148)*(Data!$E$2:$E$2277=C148)*(Data!$M$2:$M$2277="Vladimir Zelenskiy"))&gt;0,SUMPRODUCT((Data!$D$2:$D$2277=A148)*(Data!$E$2:$E$2277=C148)*(Data!$M$2:$M$2277="Vladimir Zelenskiy")*IF(ISNUMBER(Data!$W$2:$W$2277),Data!$W$2:$W$2277,0))/SUMPRODUCT((Data!$D$2:$D$2277=A148)*(Data!$E$2:$E$2277=C148)*(Data!$M$2:$M$2277="Vladimir Zelenskiy")),"")</f>
        <v>29</v>
      </c>
      <c r="E148" s="9" t="str">
        <f>IF(SUMPRODUCT((Data!$D$2:$D$2277=A148)*(Data!$E$2:$E$2277=C148)*(Data!$M$2:$M$2277="Valerii Zaluzhniy"))&gt;0,SUMPRODUCT((Data!$D$2:$D$2277=A148)*(Data!$E$2:$E$2277=C148)*(Data!$M$2:$M$2277="Valerii Zaluzhniy")*IF(ISNUMBER(Data!$W$2:$W$2277),Data!$W$2:$W$2277,0))/SUMPRODUCT((Data!$D$2:$D$2277=A148)*(Data!$E$2:$E$2277=C148)*(Data!$M$2:$M$2277="Valerii Zaluzhniy")),"")</f>
        <v/>
      </c>
      <c r="F148" s="9" t="str">
        <f>IF(SUMPRODUCT((Data!$D$2:$D$2277=A148)*(Data!$E$2:$E$2277=C148)*(Data!$M$2:$M$2277="Kyrylo Budanov"))&gt;0,SUMPRODUCT((Data!$D$2:$D$2277=A148)*(Data!$E$2:$E$2277=C148)*(Data!$M$2:$M$2277="Kyrylo Budanov")*IF(ISNUMBER(Data!$W$2:$W$2277),Data!$W$2:$W$2277,0))/SUMPRODUCT((Data!$D$2:$D$2277=A148)*(Data!$E$2:$E$2277=C148)*(Data!$M$2:$M$2277="Kyrylo Budanov")),"")</f>
        <v/>
      </c>
      <c r="G148" s="9">
        <f>IF(SUMPRODUCT((Data!$D$2:$D$2277=A148)*(Data!$E$2:$E$2277=C148)*(Data!$M$2:$M$2277="Pyotr Poroshenko"))&gt;0,SUMPRODUCT((Data!$D$2:$D$2277=A148)*(Data!$E$2:$E$2277=C148)*(Data!$M$2:$M$2277="Pyotr Poroshenko")*IF(ISNUMBER(Data!$W$2:$W$2277),Data!$W$2:$W$2277,0))/SUMPRODUCT((Data!$D$2:$D$2277=A148)*(Data!$E$2:$E$2277=C148)*(Data!$M$2:$M$2277="Pyotr Poroshenko")),"")</f>
        <v>14</v>
      </c>
      <c r="H148" s="10" t="str">
        <f t="array" ref="H148">IFERROR(INDEX(Avg!$F$2:$F$50,MATCH(DATE(YEAR(A148),MONTH(A148),1),Avg!$A$2:$A$50,0)),"")</f>
        <v/>
      </c>
      <c r="I148" s="10" t="str">
        <f t="array" ref="I148">IFERROR(INDEX(Avg!$G$2:$G$50,MATCH(DATE(YEAR(A148),MONTH(A148),1),Avg!$A$2:$A$50,0)),"")</f>
        <v/>
      </c>
      <c r="J148" s="10" t="str">
        <f t="array" ref="J148">IFERROR(INDEX(Avg!$H$2:$H$50,MATCH(DATE(YEAR(A148),MONTH(A148),1),Avg!$A$2:$A$50,0)),"")</f>
        <v/>
      </c>
      <c r="K148" s="10" t="str">
        <f t="array" ref="K148">IFERROR(INDEX(Avg!$I$2:$I$50,MATCH(DATE(YEAR(A148),MONTH(A148),1),Avg!$A$2:$A$50,0)),"")</f>
        <v/>
      </c>
      <c r="L148" s="11" t="str">
        <f t="array" ref="L148">IFERROR(INDEX(Avg!$L$2:$L$50,MATCH(DATE(YEAR(A148),MONTH(A148),1),Avg!$A$2:$A$50,0)),"")</f>
        <v/>
      </c>
      <c r="M148" s="11" t="str">
        <f t="array" ref="M148">IFERROR(INDEX(Avg!$M$2:$M$50,MATCH(DATE(YEAR(A148),MONTH(A148),1),Avg!$A$2:$A$50,0)),"")</f>
        <v/>
      </c>
      <c r="N148" s="11" t="str">
        <f t="array" ref="N148">IFERROR(INDEX(Avg!$N$2:$N$50,MATCH(DATE(YEAR(A148),MONTH(A148),1),Avg!$A$2:$A$50,0)),"")</f>
        <v/>
      </c>
      <c r="O148" s="11" t="str">
        <f t="array" ref="O148">IFERROR(INDEX(Avg!$O$2:$O$50,MATCH(DATE(YEAR(A148),MONTH(A148),1),Avg!$A$2:$A$50,0)),"")</f>
        <v/>
      </c>
    </row>
    <row r="149" ht="15.75" customHeight="1">
      <c r="A149" s="7" t="s">
        <v>221</v>
      </c>
      <c r="B149" s="7" t="s">
        <v>216</v>
      </c>
      <c r="C149" s="8" t="s">
        <v>106</v>
      </c>
      <c r="D149" s="9">
        <f>IF(SUMPRODUCT((Data!$D$2:$D$2277=A149)*(Data!$E$2:$E$2277=C149)*(Data!$M$2:$M$2277="Vladimir Zelenskiy"))&gt;0,SUMPRODUCT((Data!$D$2:$D$2277=A149)*(Data!$E$2:$E$2277=C149)*(Data!$M$2:$M$2277="Vladimir Zelenskiy")*IF(ISNUMBER(Data!$W$2:$W$2277),Data!$W$2:$W$2277,0))/SUMPRODUCT((Data!$D$2:$D$2277=A149)*(Data!$E$2:$E$2277=C149)*(Data!$M$2:$M$2277="Vladimir Zelenskiy")),"")</f>
        <v>27.65</v>
      </c>
      <c r="E149" s="9" t="str">
        <f>IF(SUMPRODUCT((Data!$D$2:$D$2277=A149)*(Data!$E$2:$E$2277=C149)*(Data!$M$2:$M$2277="Valerii Zaluzhniy"))&gt;0,SUMPRODUCT((Data!$D$2:$D$2277=A149)*(Data!$E$2:$E$2277=C149)*(Data!$M$2:$M$2277="Valerii Zaluzhniy")*IF(ISNUMBER(Data!$W$2:$W$2277),Data!$W$2:$W$2277,0))/SUMPRODUCT((Data!$D$2:$D$2277=A149)*(Data!$E$2:$E$2277=C149)*(Data!$M$2:$M$2277="Valerii Zaluzhniy")),"")</f>
        <v/>
      </c>
      <c r="F149" s="9" t="str">
        <f>IF(SUMPRODUCT((Data!$D$2:$D$2277=A149)*(Data!$E$2:$E$2277=C149)*(Data!$M$2:$M$2277="Kyrylo Budanov"))&gt;0,SUMPRODUCT((Data!$D$2:$D$2277=A149)*(Data!$E$2:$E$2277=C149)*(Data!$M$2:$M$2277="Kyrylo Budanov")*IF(ISNUMBER(Data!$W$2:$W$2277),Data!$W$2:$W$2277,0))/SUMPRODUCT((Data!$D$2:$D$2277=A149)*(Data!$E$2:$E$2277=C149)*(Data!$M$2:$M$2277="Kyrylo Budanov")),"")</f>
        <v/>
      </c>
      <c r="G149" s="9">
        <f>IF(SUMPRODUCT((Data!$D$2:$D$2277=A149)*(Data!$E$2:$E$2277=C149)*(Data!$M$2:$M$2277="Pyotr Poroshenko"))&gt;0,SUMPRODUCT((Data!$D$2:$D$2277=A149)*(Data!$E$2:$E$2277=C149)*(Data!$M$2:$M$2277="Pyotr Poroshenko")*IF(ISNUMBER(Data!$W$2:$W$2277),Data!$W$2:$W$2277,0))/SUMPRODUCT((Data!$D$2:$D$2277=A149)*(Data!$E$2:$E$2277=C149)*(Data!$M$2:$M$2277="Pyotr Poroshenko")),"")</f>
        <v>20</v>
      </c>
      <c r="H149" s="10" t="str">
        <f t="array" ref="H149">IFERROR(INDEX(Avg!$F$2:$F$50,MATCH(DATE(YEAR(A149),MONTH(A149),1),Avg!$A$2:$A$50,0)),"")</f>
        <v/>
      </c>
      <c r="I149" s="10" t="str">
        <f t="array" ref="I149">IFERROR(INDEX(Avg!$G$2:$G$50,MATCH(DATE(YEAR(A149),MONTH(A149),1),Avg!$A$2:$A$50,0)),"")</f>
        <v/>
      </c>
      <c r="J149" s="10" t="str">
        <f t="array" ref="J149">IFERROR(INDEX(Avg!$H$2:$H$50,MATCH(DATE(YEAR(A149),MONTH(A149),1),Avg!$A$2:$A$50,0)),"")</f>
        <v/>
      </c>
      <c r="K149" s="10" t="str">
        <f t="array" ref="K149">IFERROR(INDEX(Avg!$I$2:$I$50,MATCH(DATE(YEAR(A149),MONTH(A149),1),Avg!$A$2:$A$50,0)),"")</f>
        <v/>
      </c>
      <c r="L149" s="11" t="str">
        <f t="array" ref="L149">IFERROR(INDEX(Avg!$L$2:$L$50,MATCH(DATE(YEAR(A149),MONTH(A149),1),Avg!$A$2:$A$50,0)),"")</f>
        <v/>
      </c>
      <c r="M149" s="11" t="str">
        <f t="array" ref="M149">IFERROR(INDEX(Avg!$M$2:$M$50,MATCH(DATE(YEAR(A149),MONTH(A149),1),Avg!$A$2:$A$50,0)),"")</f>
        <v/>
      </c>
      <c r="N149" s="11" t="str">
        <f t="array" ref="N149">IFERROR(INDEX(Avg!$N$2:$N$50,MATCH(DATE(YEAR(A149),MONTH(A149),1),Avg!$A$2:$A$50,0)),"")</f>
        <v/>
      </c>
      <c r="O149" s="11" t="str">
        <f t="array" ref="O149">IFERROR(INDEX(Avg!$O$2:$O$50,MATCH(DATE(YEAR(A149),MONTH(A149),1),Avg!$A$2:$A$50,0)),"")</f>
        <v/>
      </c>
    </row>
    <row r="150" ht="15.75" customHeight="1">
      <c r="A150" s="7" t="s">
        <v>223</v>
      </c>
      <c r="B150" s="7" t="s">
        <v>216</v>
      </c>
      <c r="C150" s="8" t="s">
        <v>40</v>
      </c>
      <c r="D150" s="9">
        <f>IF(SUMPRODUCT((Data!$D$2:$D$2277=A150)*(Data!$E$2:$E$2277=C150)*(Data!$M$2:$M$2277="Vladimir Zelenskiy"))&gt;0,SUMPRODUCT((Data!$D$2:$D$2277=A150)*(Data!$E$2:$E$2277=C150)*(Data!$M$2:$M$2277="Vladimir Zelenskiy")*IF(ISNUMBER(Data!$W$2:$W$2277),Data!$W$2:$W$2277,0))/SUMPRODUCT((Data!$D$2:$D$2277=A150)*(Data!$E$2:$E$2277=C150)*(Data!$M$2:$M$2277="Vladimir Zelenskiy")),"")</f>
        <v>22.5</v>
      </c>
      <c r="E150" s="9" t="str">
        <f>IF(SUMPRODUCT((Data!$D$2:$D$2277=A150)*(Data!$E$2:$E$2277=C150)*(Data!$M$2:$M$2277="Valerii Zaluzhniy"))&gt;0,SUMPRODUCT((Data!$D$2:$D$2277=A150)*(Data!$E$2:$E$2277=C150)*(Data!$M$2:$M$2277="Valerii Zaluzhniy")*IF(ISNUMBER(Data!$W$2:$W$2277),Data!$W$2:$W$2277,0))/SUMPRODUCT((Data!$D$2:$D$2277=A150)*(Data!$E$2:$E$2277=C150)*(Data!$M$2:$M$2277="Valerii Zaluzhniy")),"")</f>
        <v/>
      </c>
      <c r="F150" s="9" t="str">
        <f>IF(SUMPRODUCT((Data!$D$2:$D$2277=A150)*(Data!$E$2:$E$2277=C150)*(Data!$M$2:$M$2277="Kyrylo Budanov"))&gt;0,SUMPRODUCT((Data!$D$2:$D$2277=A150)*(Data!$E$2:$E$2277=C150)*(Data!$M$2:$M$2277="Kyrylo Budanov")*IF(ISNUMBER(Data!$W$2:$W$2277),Data!$W$2:$W$2277,0))/SUMPRODUCT((Data!$D$2:$D$2277=A150)*(Data!$E$2:$E$2277=C150)*(Data!$M$2:$M$2277="Kyrylo Budanov")),"")</f>
        <v/>
      </c>
      <c r="G150" s="9">
        <f>IF(SUMPRODUCT((Data!$D$2:$D$2277=A150)*(Data!$E$2:$E$2277=C150)*(Data!$M$2:$M$2277="Pyotr Poroshenko"))&gt;0,SUMPRODUCT((Data!$D$2:$D$2277=A150)*(Data!$E$2:$E$2277=C150)*(Data!$M$2:$M$2277="Pyotr Poroshenko")*IF(ISNUMBER(Data!$W$2:$W$2277),Data!$W$2:$W$2277,0))/SUMPRODUCT((Data!$D$2:$D$2277=A150)*(Data!$E$2:$E$2277=C150)*(Data!$M$2:$M$2277="Pyotr Poroshenko")),"")</f>
        <v>14.6</v>
      </c>
      <c r="H150" s="10" t="str">
        <f t="array" ref="H150">IFERROR(INDEX(Avg!$F$2:$F$50,MATCH(DATE(YEAR(A150),MONTH(A150),1),Avg!$A$2:$A$50,0)),"")</f>
        <v/>
      </c>
      <c r="I150" s="10" t="str">
        <f t="array" ref="I150">IFERROR(INDEX(Avg!$G$2:$G$50,MATCH(DATE(YEAR(A150),MONTH(A150),1),Avg!$A$2:$A$50,0)),"")</f>
        <v/>
      </c>
      <c r="J150" s="10" t="str">
        <f t="array" ref="J150">IFERROR(INDEX(Avg!$H$2:$H$50,MATCH(DATE(YEAR(A150),MONTH(A150),1),Avg!$A$2:$A$50,0)),"")</f>
        <v/>
      </c>
      <c r="K150" s="10" t="str">
        <f t="array" ref="K150">IFERROR(INDEX(Avg!$I$2:$I$50,MATCH(DATE(YEAR(A150),MONTH(A150),1),Avg!$A$2:$A$50,0)),"")</f>
        <v/>
      </c>
      <c r="L150" s="11" t="str">
        <f t="array" ref="L150">IFERROR(INDEX(Avg!$L$2:$L$50,MATCH(DATE(YEAR(A150),MONTH(A150),1),Avg!$A$2:$A$50,0)),"")</f>
        <v/>
      </c>
      <c r="M150" s="11" t="str">
        <f t="array" ref="M150">IFERROR(INDEX(Avg!$M$2:$M$50,MATCH(DATE(YEAR(A150),MONTH(A150),1),Avg!$A$2:$A$50,0)),"")</f>
        <v/>
      </c>
      <c r="N150" s="11" t="str">
        <f t="array" ref="N150">IFERROR(INDEX(Avg!$N$2:$N$50,MATCH(DATE(YEAR(A150),MONTH(A150),1),Avg!$A$2:$A$50,0)),"")</f>
        <v/>
      </c>
      <c r="O150" s="11" t="str">
        <f t="array" ref="O150">IFERROR(INDEX(Avg!$O$2:$O$50,MATCH(DATE(YEAR(A150),MONTH(A150),1),Avg!$A$2:$A$50,0)),"")</f>
        <v/>
      </c>
    </row>
    <row r="151" ht="15.75" customHeight="1">
      <c r="A151" s="7" t="s">
        <v>223</v>
      </c>
      <c r="B151" s="7" t="s">
        <v>224</v>
      </c>
      <c r="C151" s="8" t="s">
        <v>72</v>
      </c>
      <c r="D151" s="9">
        <f>IF(SUMPRODUCT((Data!$D$2:$D$2277=A151)*(Data!$E$2:$E$2277=C151)*(Data!$M$2:$M$2277="Vladimir Zelenskiy"))&gt;0,SUMPRODUCT((Data!$D$2:$D$2277=A151)*(Data!$E$2:$E$2277=C151)*(Data!$M$2:$M$2277="Vladimir Zelenskiy")*IF(ISNUMBER(Data!$W$2:$W$2277),Data!$W$2:$W$2277,0))/SUMPRODUCT((Data!$D$2:$D$2277=A151)*(Data!$E$2:$E$2277=C151)*(Data!$M$2:$M$2277="Vladimir Zelenskiy")),"")</f>
        <v>24.65</v>
      </c>
      <c r="E151" s="9" t="str">
        <f>IF(SUMPRODUCT((Data!$D$2:$D$2277=A151)*(Data!$E$2:$E$2277=C151)*(Data!$M$2:$M$2277="Valerii Zaluzhniy"))&gt;0,SUMPRODUCT((Data!$D$2:$D$2277=A151)*(Data!$E$2:$E$2277=C151)*(Data!$M$2:$M$2277="Valerii Zaluzhniy")*IF(ISNUMBER(Data!$W$2:$W$2277),Data!$W$2:$W$2277,0))/SUMPRODUCT((Data!$D$2:$D$2277=A151)*(Data!$E$2:$E$2277=C151)*(Data!$M$2:$M$2277="Valerii Zaluzhniy")),"")</f>
        <v/>
      </c>
      <c r="F151" s="9" t="str">
        <f>IF(SUMPRODUCT((Data!$D$2:$D$2277=A151)*(Data!$E$2:$E$2277=C151)*(Data!$M$2:$M$2277="Kyrylo Budanov"))&gt;0,SUMPRODUCT((Data!$D$2:$D$2277=A151)*(Data!$E$2:$E$2277=C151)*(Data!$M$2:$M$2277="Kyrylo Budanov")*IF(ISNUMBER(Data!$W$2:$W$2277),Data!$W$2:$W$2277,0))/SUMPRODUCT((Data!$D$2:$D$2277=A151)*(Data!$E$2:$E$2277=C151)*(Data!$M$2:$M$2277="Kyrylo Budanov")),"")</f>
        <v/>
      </c>
      <c r="G151" s="9">
        <f>IF(SUMPRODUCT((Data!$D$2:$D$2277=A151)*(Data!$E$2:$E$2277=C151)*(Data!$M$2:$M$2277="Pyotr Poroshenko"))&gt;0,SUMPRODUCT((Data!$D$2:$D$2277=A151)*(Data!$E$2:$E$2277=C151)*(Data!$M$2:$M$2277="Pyotr Poroshenko")*IF(ISNUMBER(Data!$W$2:$W$2277),Data!$W$2:$W$2277,0))/SUMPRODUCT((Data!$D$2:$D$2277=A151)*(Data!$E$2:$E$2277=C151)*(Data!$M$2:$M$2277="Pyotr Poroshenko")),"")</f>
        <v>14</v>
      </c>
      <c r="H151" s="10" t="str">
        <f t="array" ref="H151">IFERROR(INDEX(Avg!$F$2:$F$50,MATCH(DATE(YEAR(A151),MONTH(A151),1),Avg!$A$2:$A$50,0)),"")</f>
        <v/>
      </c>
      <c r="I151" s="10" t="str">
        <f t="array" ref="I151">IFERROR(INDEX(Avg!$G$2:$G$50,MATCH(DATE(YEAR(A151),MONTH(A151),1),Avg!$A$2:$A$50,0)),"")</f>
        <v/>
      </c>
      <c r="J151" s="10" t="str">
        <f t="array" ref="J151">IFERROR(INDEX(Avg!$H$2:$H$50,MATCH(DATE(YEAR(A151),MONTH(A151),1),Avg!$A$2:$A$50,0)),"")</f>
        <v/>
      </c>
      <c r="K151" s="10" t="str">
        <f t="array" ref="K151">IFERROR(INDEX(Avg!$I$2:$I$50,MATCH(DATE(YEAR(A151),MONTH(A151),1),Avg!$A$2:$A$50,0)),"")</f>
        <v/>
      </c>
      <c r="L151" s="11" t="str">
        <f t="array" ref="L151">IFERROR(INDEX(Avg!$L$2:$L$50,MATCH(DATE(YEAR(A151),MONTH(A151),1),Avg!$A$2:$A$50,0)),"")</f>
        <v/>
      </c>
      <c r="M151" s="11" t="str">
        <f t="array" ref="M151">IFERROR(INDEX(Avg!$M$2:$M$50,MATCH(DATE(YEAR(A151),MONTH(A151),1),Avg!$A$2:$A$50,0)),"")</f>
        <v/>
      </c>
      <c r="N151" s="11" t="str">
        <f t="array" ref="N151">IFERROR(INDEX(Avg!$N$2:$N$50,MATCH(DATE(YEAR(A151),MONTH(A151),1),Avg!$A$2:$A$50,0)),"")</f>
        <v/>
      </c>
      <c r="O151" s="11" t="str">
        <f t="array" ref="O151">IFERROR(INDEX(Avg!$O$2:$O$50,MATCH(DATE(YEAR(A151),MONTH(A151),1),Avg!$A$2:$A$50,0)),"")</f>
        <v/>
      </c>
    </row>
    <row r="152" ht="15.75" customHeight="1">
      <c r="A152" s="7" t="s">
        <v>216</v>
      </c>
      <c r="B152" s="7" t="s">
        <v>224</v>
      </c>
      <c r="C152" s="8" t="s">
        <v>222</v>
      </c>
      <c r="D152" s="9">
        <f>IF(SUMPRODUCT((Data!$D$2:$D$2277=A152)*(Data!$E$2:$E$2277=C152)*(Data!$M$2:$M$2277="Vladimir Zelenskiy"))&gt;0,SUMPRODUCT((Data!$D$2:$D$2277=A152)*(Data!$E$2:$E$2277=C152)*(Data!$M$2:$M$2277="Vladimir Zelenskiy")*IF(ISNUMBER(Data!$W$2:$W$2277),Data!$W$2:$W$2277,0))/SUMPRODUCT((Data!$D$2:$D$2277=A152)*(Data!$E$2:$E$2277=C152)*(Data!$M$2:$M$2277="Vladimir Zelenskiy")),"")</f>
        <v>18.2</v>
      </c>
      <c r="E152" s="9" t="str">
        <f>IF(SUMPRODUCT((Data!$D$2:$D$2277=A152)*(Data!$E$2:$E$2277=C152)*(Data!$M$2:$M$2277="Valerii Zaluzhniy"))&gt;0,SUMPRODUCT((Data!$D$2:$D$2277=A152)*(Data!$E$2:$E$2277=C152)*(Data!$M$2:$M$2277="Valerii Zaluzhniy")*IF(ISNUMBER(Data!$W$2:$W$2277),Data!$W$2:$W$2277,0))/SUMPRODUCT((Data!$D$2:$D$2277=A152)*(Data!$E$2:$E$2277=C152)*(Data!$M$2:$M$2277="Valerii Zaluzhniy")),"")</f>
        <v/>
      </c>
      <c r="F152" s="9" t="str">
        <f>IF(SUMPRODUCT((Data!$D$2:$D$2277=A152)*(Data!$E$2:$E$2277=C152)*(Data!$M$2:$M$2277="Kyrylo Budanov"))&gt;0,SUMPRODUCT((Data!$D$2:$D$2277=A152)*(Data!$E$2:$E$2277=C152)*(Data!$M$2:$M$2277="Kyrylo Budanov")*IF(ISNUMBER(Data!$W$2:$W$2277),Data!$W$2:$W$2277,0))/SUMPRODUCT((Data!$D$2:$D$2277=A152)*(Data!$E$2:$E$2277=C152)*(Data!$M$2:$M$2277="Kyrylo Budanov")),"")</f>
        <v/>
      </c>
      <c r="G152" s="9">
        <f>IF(SUMPRODUCT((Data!$D$2:$D$2277=A152)*(Data!$E$2:$E$2277=C152)*(Data!$M$2:$M$2277="Pyotr Poroshenko"))&gt;0,SUMPRODUCT((Data!$D$2:$D$2277=A152)*(Data!$E$2:$E$2277=C152)*(Data!$M$2:$M$2277="Pyotr Poroshenko")*IF(ISNUMBER(Data!$W$2:$W$2277),Data!$W$2:$W$2277,0))/SUMPRODUCT((Data!$D$2:$D$2277=A152)*(Data!$E$2:$E$2277=C152)*(Data!$M$2:$M$2277="Pyotr Poroshenko")),"")</f>
        <v>17.1</v>
      </c>
      <c r="H152" s="10" t="str">
        <f t="array" ref="H152">IFERROR(INDEX(Avg!$F$2:$F$50,MATCH(DATE(YEAR(A152),MONTH(A152),1),Avg!$A$2:$A$50,0)),"")</f>
        <v/>
      </c>
      <c r="I152" s="10" t="str">
        <f t="array" ref="I152">IFERROR(INDEX(Avg!$G$2:$G$50,MATCH(DATE(YEAR(A152),MONTH(A152),1),Avg!$A$2:$A$50,0)),"")</f>
        <v/>
      </c>
      <c r="J152" s="10" t="str">
        <f t="array" ref="J152">IFERROR(INDEX(Avg!$H$2:$H$50,MATCH(DATE(YEAR(A152),MONTH(A152),1),Avg!$A$2:$A$50,0)),"")</f>
        <v/>
      </c>
      <c r="K152" s="10" t="str">
        <f t="array" ref="K152">IFERROR(INDEX(Avg!$I$2:$I$50,MATCH(DATE(YEAR(A152),MONTH(A152),1),Avg!$A$2:$A$50,0)),"")</f>
        <v/>
      </c>
      <c r="L152" s="11" t="str">
        <f t="array" ref="L152">IFERROR(INDEX(Avg!$L$2:$L$50,MATCH(DATE(YEAR(A152),MONTH(A152),1),Avg!$A$2:$A$50,0)),"")</f>
        <v/>
      </c>
      <c r="M152" s="11" t="str">
        <f t="array" ref="M152">IFERROR(INDEX(Avg!$M$2:$M$50,MATCH(DATE(YEAR(A152),MONTH(A152),1),Avg!$A$2:$A$50,0)),"")</f>
        <v/>
      </c>
      <c r="N152" s="11" t="str">
        <f t="array" ref="N152">IFERROR(INDEX(Avg!$N$2:$N$50,MATCH(DATE(YEAR(A152),MONTH(A152),1),Avg!$A$2:$A$50,0)),"")</f>
        <v/>
      </c>
      <c r="O152" s="11" t="str">
        <f t="array" ref="O152">IFERROR(INDEX(Avg!$O$2:$O$50,MATCH(DATE(YEAR(A152),MONTH(A152),1),Avg!$A$2:$A$50,0)),"")</f>
        <v/>
      </c>
    </row>
    <row r="153" ht="15.75" customHeight="1">
      <c r="A153" s="7" t="s">
        <v>225</v>
      </c>
      <c r="B153" s="7" t="s">
        <v>224</v>
      </c>
      <c r="C153" s="8" t="s">
        <v>155</v>
      </c>
      <c r="D153" s="9">
        <f>IF(SUMPRODUCT((Data!$D$2:$D$2277=A153)*(Data!$E$2:$E$2277=C153)*(Data!$M$2:$M$2277="Vladimir Zelenskiy"))&gt;0,SUMPRODUCT((Data!$D$2:$D$2277=A153)*(Data!$E$2:$E$2277=C153)*(Data!$M$2:$M$2277="Vladimir Zelenskiy")*IF(ISNUMBER(Data!$W$2:$W$2277),Data!$W$2:$W$2277,0))/SUMPRODUCT((Data!$D$2:$D$2277=A153)*(Data!$E$2:$E$2277=C153)*(Data!$M$2:$M$2277="Vladimir Zelenskiy")),"")</f>
        <v>24.65</v>
      </c>
      <c r="E153" s="9" t="str">
        <f>IF(SUMPRODUCT((Data!$D$2:$D$2277=A153)*(Data!$E$2:$E$2277=C153)*(Data!$M$2:$M$2277="Valerii Zaluzhniy"))&gt;0,SUMPRODUCT((Data!$D$2:$D$2277=A153)*(Data!$E$2:$E$2277=C153)*(Data!$M$2:$M$2277="Valerii Zaluzhniy")*IF(ISNUMBER(Data!$W$2:$W$2277),Data!$W$2:$W$2277,0))/SUMPRODUCT((Data!$D$2:$D$2277=A153)*(Data!$E$2:$E$2277=C153)*(Data!$M$2:$M$2277="Valerii Zaluzhniy")),"")</f>
        <v/>
      </c>
      <c r="F153" s="9" t="str">
        <f>IF(SUMPRODUCT((Data!$D$2:$D$2277=A153)*(Data!$E$2:$E$2277=C153)*(Data!$M$2:$M$2277="Kyrylo Budanov"))&gt;0,SUMPRODUCT((Data!$D$2:$D$2277=A153)*(Data!$E$2:$E$2277=C153)*(Data!$M$2:$M$2277="Kyrylo Budanov")*IF(ISNUMBER(Data!$W$2:$W$2277),Data!$W$2:$W$2277,0))/SUMPRODUCT((Data!$D$2:$D$2277=A153)*(Data!$E$2:$E$2277=C153)*(Data!$M$2:$M$2277="Kyrylo Budanov")),"")</f>
        <v/>
      </c>
      <c r="G153" s="9">
        <f>IF(SUMPRODUCT((Data!$D$2:$D$2277=A153)*(Data!$E$2:$E$2277=C153)*(Data!$M$2:$M$2277="Pyotr Poroshenko"))&gt;0,SUMPRODUCT((Data!$D$2:$D$2277=A153)*(Data!$E$2:$E$2277=C153)*(Data!$M$2:$M$2277="Pyotr Poroshenko")*IF(ISNUMBER(Data!$W$2:$W$2277),Data!$W$2:$W$2277,0))/SUMPRODUCT((Data!$D$2:$D$2277=A153)*(Data!$E$2:$E$2277=C153)*(Data!$M$2:$M$2277="Pyotr Poroshenko")),"")</f>
        <v>15.3</v>
      </c>
      <c r="H153" s="10" t="str">
        <f t="array" ref="H153">IFERROR(INDEX(Avg!$F$2:$F$50,MATCH(DATE(YEAR(A153),MONTH(A153),1),Avg!$A$2:$A$50,0)),"")</f>
        <v/>
      </c>
      <c r="I153" s="10" t="str">
        <f t="array" ref="I153">IFERROR(INDEX(Avg!$G$2:$G$50,MATCH(DATE(YEAR(A153),MONTH(A153),1),Avg!$A$2:$A$50,0)),"")</f>
        <v/>
      </c>
      <c r="J153" s="10" t="str">
        <f t="array" ref="J153">IFERROR(INDEX(Avg!$H$2:$H$50,MATCH(DATE(YEAR(A153),MONTH(A153),1),Avg!$A$2:$A$50,0)),"")</f>
        <v/>
      </c>
      <c r="K153" s="10" t="str">
        <f t="array" ref="K153">IFERROR(INDEX(Avg!$I$2:$I$50,MATCH(DATE(YEAR(A153),MONTH(A153),1),Avg!$A$2:$A$50,0)),"")</f>
        <v/>
      </c>
      <c r="L153" s="11" t="str">
        <f t="array" ref="L153">IFERROR(INDEX(Avg!$L$2:$L$50,MATCH(DATE(YEAR(A153),MONTH(A153),1),Avg!$A$2:$A$50,0)),"")</f>
        <v/>
      </c>
      <c r="M153" s="11" t="str">
        <f t="array" ref="M153">IFERROR(INDEX(Avg!$M$2:$M$50,MATCH(DATE(YEAR(A153),MONTH(A153),1),Avg!$A$2:$A$50,0)),"")</f>
        <v/>
      </c>
      <c r="N153" s="11" t="str">
        <f t="array" ref="N153">IFERROR(INDEX(Avg!$N$2:$N$50,MATCH(DATE(YEAR(A153),MONTH(A153),1),Avg!$A$2:$A$50,0)),"")</f>
        <v/>
      </c>
      <c r="O153" s="11" t="str">
        <f t="array" ref="O153">IFERROR(INDEX(Avg!$O$2:$O$50,MATCH(DATE(YEAR(A153),MONTH(A153),1),Avg!$A$2:$A$50,0)),"")</f>
        <v/>
      </c>
    </row>
    <row r="154" ht="15.75" customHeight="1">
      <c r="A154" s="7" t="s">
        <v>226</v>
      </c>
      <c r="B154" s="7" t="s">
        <v>224</v>
      </c>
      <c r="C154" s="8" t="s">
        <v>40</v>
      </c>
      <c r="D154" s="9">
        <f>IF(SUMPRODUCT((Data!$D$2:$D$2277=A154)*(Data!$E$2:$E$2277=C154)*(Data!$M$2:$M$2277="Vladimir Zelenskiy"))&gt;0,SUMPRODUCT((Data!$D$2:$D$2277=A154)*(Data!$E$2:$E$2277=C154)*(Data!$M$2:$M$2277="Vladimir Zelenskiy")*IF(ISNUMBER(Data!$W$2:$W$2277),Data!$W$2:$W$2277,0))/SUMPRODUCT((Data!$D$2:$D$2277=A154)*(Data!$E$2:$E$2277=C154)*(Data!$M$2:$M$2277="Vladimir Zelenskiy")),"")</f>
        <v>23.1</v>
      </c>
      <c r="E154" s="9" t="str">
        <f>IF(SUMPRODUCT((Data!$D$2:$D$2277=A154)*(Data!$E$2:$E$2277=C154)*(Data!$M$2:$M$2277="Valerii Zaluzhniy"))&gt;0,SUMPRODUCT((Data!$D$2:$D$2277=A154)*(Data!$E$2:$E$2277=C154)*(Data!$M$2:$M$2277="Valerii Zaluzhniy")*IF(ISNUMBER(Data!$W$2:$W$2277),Data!$W$2:$W$2277,0))/SUMPRODUCT((Data!$D$2:$D$2277=A154)*(Data!$E$2:$E$2277=C154)*(Data!$M$2:$M$2277="Valerii Zaluzhniy")),"")</f>
        <v/>
      </c>
      <c r="F154" s="9" t="str">
        <f>IF(SUMPRODUCT((Data!$D$2:$D$2277=A154)*(Data!$E$2:$E$2277=C154)*(Data!$M$2:$M$2277="Kyrylo Budanov"))&gt;0,SUMPRODUCT((Data!$D$2:$D$2277=A154)*(Data!$E$2:$E$2277=C154)*(Data!$M$2:$M$2277="Kyrylo Budanov")*IF(ISNUMBER(Data!$W$2:$W$2277),Data!$W$2:$W$2277,0))/SUMPRODUCT((Data!$D$2:$D$2277=A154)*(Data!$E$2:$E$2277=C154)*(Data!$M$2:$M$2277="Kyrylo Budanov")),"")</f>
        <v/>
      </c>
      <c r="G154" s="9">
        <f>IF(SUMPRODUCT((Data!$D$2:$D$2277=A154)*(Data!$E$2:$E$2277=C154)*(Data!$M$2:$M$2277="Pyotr Poroshenko"))&gt;0,SUMPRODUCT((Data!$D$2:$D$2277=A154)*(Data!$E$2:$E$2277=C154)*(Data!$M$2:$M$2277="Pyotr Poroshenko")*IF(ISNUMBER(Data!$W$2:$W$2277),Data!$W$2:$W$2277,0))/SUMPRODUCT((Data!$D$2:$D$2277=A154)*(Data!$E$2:$E$2277=C154)*(Data!$M$2:$M$2277="Pyotr Poroshenko")),"")</f>
        <v>14.4</v>
      </c>
      <c r="H154" s="10" t="str">
        <f t="array" ref="H154">IFERROR(INDEX(Avg!$F$2:$F$50,MATCH(DATE(YEAR(A154),MONTH(A154),1),Avg!$A$2:$A$50,0)),"")</f>
        <v/>
      </c>
      <c r="I154" s="10" t="str">
        <f t="array" ref="I154">IFERROR(INDEX(Avg!$G$2:$G$50,MATCH(DATE(YEAR(A154),MONTH(A154),1),Avg!$A$2:$A$50,0)),"")</f>
        <v/>
      </c>
      <c r="J154" s="10" t="str">
        <f t="array" ref="J154">IFERROR(INDEX(Avg!$H$2:$H$50,MATCH(DATE(YEAR(A154),MONTH(A154),1),Avg!$A$2:$A$50,0)),"")</f>
        <v/>
      </c>
      <c r="K154" s="10" t="str">
        <f t="array" ref="K154">IFERROR(INDEX(Avg!$I$2:$I$50,MATCH(DATE(YEAR(A154),MONTH(A154),1),Avg!$A$2:$A$50,0)),"")</f>
        <v/>
      </c>
      <c r="L154" s="11" t="str">
        <f t="array" ref="L154">IFERROR(INDEX(Avg!$L$2:$L$50,MATCH(DATE(YEAR(A154),MONTH(A154),1),Avg!$A$2:$A$50,0)),"")</f>
        <v/>
      </c>
      <c r="M154" s="11" t="str">
        <f t="array" ref="M154">IFERROR(INDEX(Avg!$M$2:$M$50,MATCH(DATE(YEAR(A154),MONTH(A154),1),Avg!$A$2:$A$50,0)),"")</f>
        <v/>
      </c>
      <c r="N154" s="11" t="str">
        <f t="array" ref="N154">IFERROR(INDEX(Avg!$N$2:$N$50,MATCH(DATE(YEAR(A154),MONTH(A154),1),Avg!$A$2:$A$50,0)),"")</f>
        <v/>
      </c>
      <c r="O154" s="11" t="str">
        <f t="array" ref="O154">IFERROR(INDEX(Avg!$O$2:$O$50,MATCH(DATE(YEAR(A154),MONTH(A154),1),Avg!$A$2:$A$50,0)),"")</f>
        <v/>
      </c>
    </row>
    <row r="155" ht="15.75" customHeight="1">
      <c r="A155" s="7" t="s">
        <v>227</v>
      </c>
      <c r="B155" s="7" t="s">
        <v>224</v>
      </c>
      <c r="C155" s="8" t="s">
        <v>220</v>
      </c>
      <c r="D155" s="9">
        <f>IF(SUMPRODUCT((Data!$D$2:$D$2277=A155)*(Data!$E$2:$E$2277=C155)*(Data!$M$2:$M$2277="Vladimir Zelenskiy"))&gt;0,SUMPRODUCT((Data!$D$2:$D$2277=A155)*(Data!$E$2:$E$2277=C155)*(Data!$M$2:$M$2277="Vladimir Zelenskiy")*IF(ISNUMBER(Data!$W$2:$W$2277),Data!$W$2:$W$2277,0))/SUMPRODUCT((Data!$D$2:$D$2277=A155)*(Data!$E$2:$E$2277=C155)*(Data!$M$2:$M$2277="Vladimir Zelenskiy")),"")</f>
        <v>18.7</v>
      </c>
      <c r="E155" s="9" t="str">
        <f>IF(SUMPRODUCT((Data!$D$2:$D$2277=A155)*(Data!$E$2:$E$2277=C155)*(Data!$M$2:$M$2277="Valerii Zaluzhniy"))&gt;0,SUMPRODUCT((Data!$D$2:$D$2277=A155)*(Data!$E$2:$E$2277=C155)*(Data!$M$2:$M$2277="Valerii Zaluzhniy")*IF(ISNUMBER(Data!$W$2:$W$2277),Data!$W$2:$W$2277,0))/SUMPRODUCT((Data!$D$2:$D$2277=A155)*(Data!$E$2:$E$2277=C155)*(Data!$M$2:$M$2277="Valerii Zaluzhniy")),"")</f>
        <v/>
      </c>
      <c r="F155" s="9" t="str">
        <f>IF(SUMPRODUCT((Data!$D$2:$D$2277=A155)*(Data!$E$2:$E$2277=C155)*(Data!$M$2:$M$2277="Kyrylo Budanov"))&gt;0,SUMPRODUCT((Data!$D$2:$D$2277=A155)*(Data!$E$2:$E$2277=C155)*(Data!$M$2:$M$2277="Kyrylo Budanov")*IF(ISNUMBER(Data!$W$2:$W$2277),Data!$W$2:$W$2277,0))/SUMPRODUCT((Data!$D$2:$D$2277=A155)*(Data!$E$2:$E$2277=C155)*(Data!$M$2:$M$2277="Kyrylo Budanov")),"")</f>
        <v/>
      </c>
      <c r="G155" s="9">
        <f>IF(SUMPRODUCT((Data!$D$2:$D$2277=A155)*(Data!$E$2:$E$2277=C155)*(Data!$M$2:$M$2277="Pyotr Poroshenko"))&gt;0,SUMPRODUCT((Data!$D$2:$D$2277=A155)*(Data!$E$2:$E$2277=C155)*(Data!$M$2:$M$2277="Pyotr Poroshenko")*IF(ISNUMBER(Data!$W$2:$W$2277),Data!$W$2:$W$2277,0))/SUMPRODUCT((Data!$D$2:$D$2277=A155)*(Data!$E$2:$E$2277=C155)*(Data!$M$2:$M$2277="Pyotr Poroshenko")),"")</f>
        <v>16.5</v>
      </c>
      <c r="H155" s="10" t="str">
        <f t="array" ref="H155">IFERROR(INDEX(Avg!$F$2:$F$50,MATCH(DATE(YEAR(A155),MONTH(A155),1),Avg!$A$2:$A$50,0)),"")</f>
        <v/>
      </c>
      <c r="I155" s="10" t="str">
        <f t="array" ref="I155">IFERROR(INDEX(Avg!$G$2:$G$50,MATCH(DATE(YEAR(A155),MONTH(A155),1),Avg!$A$2:$A$50,0)),"")</f>
        <v/>
      </c>
      <c r="J155" s="10" t="str">
        <f t="array" ref="J155">IFERROR(INDEX(Avg!$H$2:$H$50,MATCH(DATE(YEAR(A155),MONTH(A155),1),Avg!$A$2:$A$50,0)),"")</f>
        <v/>
      </c>
      <c r="K155" s="10" t="str">
        <f t="array" ref="K155">IFERROR(INDEX(Avg!$I$2:$I$50,MATCH(DATE(YEAR(A155),MONTH(A155),1),Avg!$A$2:$A$50,0)),"")</f>
        <v/>
      </c>
      <c r="L155" s="11" t="str">
        <f t="array" ref="L155">IFERROR(INDEX(Avg!$L$2:$L$50,MATCH(DATE(YEAR(A155),MONTH(A155),1),Avg!$A$2:$A$50,0)),"")</f>
        <v/>
      </c>
      <c r="M155" s="11" t="str">
        <f t="array" ref="M155">IFERROR(INDEX(Avg!$M$2:$M$50,MATCH(DATE(YEAR(A155),MONTH(A155),1),Avg!$A$2:$A$50,0)),"")</f>
        <v/>
      </c>
      <c r="N155" s="11" t="str">
        <f t="array" ref="N155">IFERROR(INDEX(Avg!$N$2:$N$50,MATCH(DATE(YEAR(A155),MONTH(A155),1),Avg!$A$2:$A$50,0)),"")</f>
        <v/>
      </c>
      <c r="O155" s="11" t="str">
        <f t="array" ref="O155">IFERROR(INDEX(Avg!$O$2:$O$50,MATCH(DATE(YEAR(A155),MONTH(A155),1),Avg!$A$2:$A$50,0)),"")</f>
        <v/>
      </c>
    </row>
    <row r="156" ht="15.75" customHeight="1">
      <c r="A156" s="7" t="s">
        <v>228</v>
      </c>
      <c r="B156" s="7" t="s">
        <v>224</v>
      </c>
      <c r="C156" s="8" t="s">
        <v>229</v>
      </c>
      <c r="D156" s="9">
        <f>IF(SUMPRODUCT((Data!$D$2:$D$2277=A156)*(Data!$E$2:$E$2277=C156)*(Data!$M$2:$M$2277="Vladimir Zelenskiy"))&gt;0,SUMPRODUCT((Data!$D$2:$D$2277=A156)*(Data!$E$2:$E$2277=C156)*(Data!$M$2:$M$2277="Vladimir Zelenskiy")*IF(ISNUMBER(Data!$W$2:$W$2277),Data!$W$2:$W$2277,0))/SUMPRODUCT((Data!$D$2:$D$2277=A156)*(Data!$E$2:$E$2277=C156)*(Data!$M$2:$M$2277="Vladimir Zelenskiy")),"")</f>
        <v>25.6</v>
      </c>
      <c r="E156" s="9" t="str">
        <f>IF(SUMPRODUCT((Data!$D$2:$D$2277=A156)*(Data!$E$2:$E$2277=C156)*(Data!$M$2:$M$2277="Valerii Zaluzhniy"))&gt;0,SUMPRODUCT((Data!$D$2:$D$2277=A156)*(Data!$E$2:$E$2277=C156)*(Data!$M$2:$M$2277="Valerii Zaluzhniy")*IF(ISNUMBER(Data!$W$2:$W$2277),Data!$W$2:$W$2277,0))/SUMPRODUCT((Data!$D$2:$D$2277=A156)*(Data!$E$2:$E$2277=C156)*(Data!$M$2:$M$2277="Valerii Zaluzhniy")),"")</f>
        <v/>
      </c>
      <c r="F156" s="9" t="str">
        <f>IF(SUMPRODUCT((Data!$D$2:$D$2277=A156)*(Data!$E$2:$E$2277=C156)*(Data!$M$2:$M$2277="Kyrylo Budanov"))&gt;0,SUMPRODUCT((Data!$D$2:$D$2277=A156)*(Data!$E$2:$E$2277=C156)*(Data!$M$2:$M$2277="Kyrylo Budanov")*IF(ISNUMBER(Data!$W$2:$W$2277),Data!$W$2:$W$2277,0))/SUMPRODUCT((Data!$D$2:$D$2277=A156)*(Data!$E$2:$E$2277=C156)*(Data!$M$2:$M$2277="Kyrylo Budanov")),"")</f>
        <v/>
      </c>
      <c r="G156" s="9">
        <f>IF(SUMPRODUCT((Data!$D$2:$D$2277=A156)*(Data!$E$2:$E$2277=C156)*(Data!$M$2:$M$2277="Pyotr Poroshenko"))&gt;0,SUMPRODUCT((Data!$D$2:$D$2277=A156)*(Data!$E$2:$E$2277=C156)*(Data!$M$2:$M$2277="Pyotr Poroshenko")*IF(ISNUMBER(Data!$W$2:$W$2277),Data!$W$2:$W$2277,0))/SUMPRODUCT((Data!$D$2:$D$2277=A156)*(Data!$E$2:$E$2277=C156)*(Data!$M$2:$M$2277="Pyotr Poroshenko")),"")</f>
        <v>19.4</v>
      </c>
      <c r="H156" s="10" t="str">
        <f t="array" ref="H156">IFERROR(INDEX(Avg!$F$2:$F$50,MATCH(DATE(YEAR(A156),MONTH(A156),1),Avg!$A$2:$A$50,0)),"")</f>
        <v/>
      </c>
      <c r="I156" s="10" t="str">
        <f t="array" ref="I156">IFERROR(INDEX(Avg!$G$2:$G$50,MATCH(DATE(YEAR(A156),MONTH(A156),1),Avg!$A$2:$A$50,0)),"")</f>
        <v/>
      </c>
      <c r="J156" s="10" t="str">
        <f t="array" ref="J156">IFERROR(INDEX(Avg!$H$2:$H$50,MATCH(DATE(YEAR(A156),MONTH(A156),1),Avg!$A$2:$A$50,0)),"")</f>
        <v/>
      </c>
      <c r="K156" s="10" t="str">
        <f t="array" ref="K156">IFERROR(INDEX(Avg!$I$2:$I$50,MATCH(DATE(YEAR(A156),MONTH(A156),1),Avg!$A$2:$A$50,0)),"")</f>
        <v/>
      </c>
      <c r="L156" s="11" t="str">
        <f t="array" ref="L156">IFERROR(INDEX(Avg!$L$2:$L$50,MATCH(DATE(YEAR(A156),MONTH(A156),1),Avg!$A$2:$A$50,0)),"")</f>
        <v/>
      </c>
      <c r="M156" s="11" t="str">
        <f t="array" ref="M156">IFERROR(INDEX(Avg!$M$2:$M$50,MATCH(DATE(YEAR(A156),MONTH(A156),1),Avg!$A$2:$A$50,0)),"")</f>
        <v/>
      </c>
      <c r="N156" s="11" t="str">
        <f t="array" ref="N156">IFERROR(INDEX(Avg!$N$2:$N$50,MATCH(DATE(YEAR(A156),MONTH(A156),1),Avg!$A$2:$A$50,0)),"")</f>
        <v/>
      </c>
      <c r="O156" s="11" t="str">
        <f t="array" ref="O156">IFERROR(INDEX(Avg!$O$2:$O$50,MATCH(DATE(YEAR(A156),MONTH(A156),1),Avg!$A$2:$A$50,0)),"")</f>
        <v/>
      </c>
    </row>
    <row r="157" ht="15.75" customHeight="1">
      <c r="A157" s="7" t="s">
        <v>230</v>
      </c>
      <c r="B157" s="7" t="s">
        <v>224</v>
      </c>
      <c r="C157" s="8" t="s">
        <v>72</v>
      </c>
      <c r="D157" s="9">
        <f>IF(SUMPRODUCT((Data!$D$2:$D$2277=A157)*(Data!$E$2:$E$2277=C157)*(Data!$M$2:$M$2277="Vladimir Zelenskiy"))&gt;0,SUMPRODUCT((Data!$D$2:$D$2277=A157)*(Data!$E$2:$E$2277=C157)*(Data!$M$2:$M$2277="Vladimir Zelenskiy")*IF(ISNUMBER(Data!$W$2:$W$2277),Data!$W$2:$W$2277,0))/SUMPRODUCT((Data!$D$2:$D$2277=A157)*(Data!$E$2:$E$2277=C157)*(Data!$M$2:$M$2277="Vladimir Zelenskiy")),"")</f>
        <v>22.7</v>
      </c>
      <c r="E157" s="9" t="str">
        <f>IF(SUMPRODUCT((Data!$D$2:$D$2277=A157)*(Data!$E$2:$E$2277=C157)*(Data!$M$2:$M$2277="Valerii Zaluzhniy"))&gt;0,SUMPRODUCT((Data!$D$2:$D$2277=A157)*(Data!$E$2:$E$2277=C157)*(Data!$M$2:$M$2277="Valerii Zaluzhniy")*IF(ISNUMBER(Data!$W$2:$W$2277),Data!$W$2:$W$2277,0))/SUMPRODUCT((Data!$D$2:$D$2277=A157)*(Data!$E$2:$E$2277=C157)*(Data!$M$2:$M$2277="Valerii Zaluzhniy")),"")</f>
        <v/>
      </c>
      <c r="F157" s="9" t="str">
        <f>IF(SUMPRODUCT((Data!$D$2:$D$2277=A157)*(Data!$E$2:$E$2277=C157)*(Data!$M$2:$M$2277="Kyrylo Budanov"))&gt;0,SUMPRODUCT((Data!$D$2:$D$2277=A157)*(Data!$E$2:$E$2277=C157)*(Data!$M$2:$M$2277="Kyrylo Budanov")*IF(ISNUMBER(Data!$W$2:$W$2277),Data!$W$2:$W$2277,0))/SUMPRODUCT((Data!$D$2:$D$2277=A157)*(Data!$E$2:$E$2277=C157)*(Data!$M$2:$M$2277="Kyrylo Budanov")),"")</f>
        <v/>
      </c>
      <c r="G157" s="9">
        <f>IF(SUMPRODUCT((Data!$D$2:$D$2277=A157)*(Data!$E$2:$E$2277=C157)*(Data!$M$2:$M$2277="Pyotr Poroshenko"))&gt;0,SUMPRODUCT((Data!$D$2:$D$2277=A157)*(Data!$E$2:$E$2277=C157)*(Data!$M$2:$M$2277="Pyotr Poroshenko")*IF(ISNUMBER(Data!$W$2:$W$2277),Data!$W$2:$W$2277,0))/SUMPRODUCT((Data!$D$2:$D$2277=A157)*(Data!$E$2:$E$2277=C157)*(Data!$M$2:$M$2277="Pyotr Poroshenko")),"")</f>
        <v>18.3</v>
      </c>
      <c r="H157" s="10" t="str">
        <f t="array" ref="H157">IFERROR(INDEX(Avg!$F$2:$F$50,MATCH(DATE(YEAR(A157),MONTH(A157),1),Avg!$A$2:$A$50,0)),"")</f>
        <v/>
      </c>
      <c r="I157" s="10" t="str">
        <f t="array" ref="I157">IFERROR(INDEX(Avg!$G$2:$G$50,MATCH(DATE(YEAR(A157),MONTH(A157),1),Avg!$A$2:$A$50,0)),"")</f>
        <v/>
      </c>
      <c r="J157" s="10" t="str">
        <f t="array" ref="J157">IFERROR(INDEX(Avg!$H$2:$H$50,MATCH(DATE(YEAR(A157),MONTH(A157),1),Avg!$A$2:$A$50,0)),"")</f>
        <v/>
      </c>
      <c r="K157" s="10" t="str">
        <f t="array" ref="K157">IFERROR(INDEX(Avg!$I$2:$I$50,MATCH(DATE(YEAR(A157),MONTH(A157),1),Avg!$A$2:$A$50,0)),"")</f>
        <v/>
      </c>
      <c r="L157" s="11" t="str">
        <f t="array" ref="L157">IFERROR(INDEX(Avg!$L$2:$L$50,MATCH(DATE(YEAR(A157),MONTH(A157),1),Avg!$A$2:$A$50,0)),"")</f>
        <v/>
      </c>
      <c r="M157" s="11" t="str">
        <f t="array" ref="M157">IFERROR(INDEX(Avg!$M$2:$M$50,MATCH(DATE(YEAR(A157),MONTH(A157),1),Avg!$A$2:$A$50,0)),"")</f>
        <v/>
      </c>
      <c r="N157" s="11" t="str">
        <f t="array" ref="N157">IFERROR(INDEX(Avg!$N$2:$N$50,MATCH(DATE(YEAR(A157),MONTH(A157),1),Avg!$A$2:$A$50,0)),"")</f>
        <v/>
      </c>
      <c r="O157" s="11" t="str">
        <f t="array" ref="O157">IFERROR(INDEX(Avg!$O$2:$O$50,MATCH(DATE(YEAR(A157),MONTH(A157),1),Avg!$A$2:$A$50,0)),"")</f>
        <v/>
      </c>
    </row>
    <row r="158" ht="15.75" customHeight="1">
      <c r="A158" s="7" t="s">
        <v>231</v>
      </c>
      <c r="B158" s="7" t="s">
        <v>224</v>
      </c>
      <c r="C158" s="8" t="s">
        <v>27</v>
      </c>
      <c r="D158" s="9">
        <f>IF(SUMPRODUCT((Data!$D$2:$D$2277=A158)*(Data!$E$2:$E$2277=C158)*(Data!$M$2:$M$2277="Vladimir Zelenskiy"))&gt;0,SUMPRODUCT((Data!$D$2:$D$2277=A158)*(Data!$E$2:$E$2277=C158)*(Data!$M$2:$M$2277="Vladimir Zelenskiy")*IF(ISNUMBER(Data!$W$2:$W$2277),Data!$W$2:$W$2277,0))/SUMPRODUCT((Data!$D$2:$D$2277=A158)*(Data!$E$2:$E$2277=C158)*(Data!$M$2:$M$2277="Vladimir Zelenskiy")),"")</f>
        <v>22.2</v>
      </c>
      <c r="E158" s="9" t="str">
        <f>IF(SUMPRODUCT((Data!$D$2:$D$2277=A158)*(Data!$E$2:$E$2277=C158)*(Data!$M$2:$M$2277="Valerii Zaluzhniy"))&gt;0,SUMPRODUCT((Data!$D$2:$D$2277=A158)*(Data!$E$2:$E$2277=C158)*(Data!$M$2:$M$2277="Valerii Zaluzhniy")*IF(ISNUMBER(Data!$W$2:$W$2277),Data!$W$2:$W$2277,0))/SUMPRODUCT((Data!$D$2:$D$2277=A158)*(Data!$E$2:$E$2277=C158)*(Data!$M$2:$M$2277="Valerii Zaluzhniy")),"")</f>
        <v/>
      </c>
      <c r="F158" s="9" t="str">
        <f>IF(SUMPRODUCT((Data!$D$2:$D$2277=A158)*(Data!$E$2:$E$2277=C158)*(Data!$M$2:$M$2277="Kyrylo Budanov"))&gt;0,SUMPRODUCT((Data!$D$2:$D$2277=A158)*(Data!$E$2:$E$2277=C158)*(Data!$M$2:$M$2277="Kyrylo Budanov")*IF(ISNUMBER(Data!$W$2:$W$2277),Data!$W$2:$W$2277,0))/SUMPRODUCT((Data!$D$2:$D$2277=A158)*(Data!$E$2:$E$2277=C158)*(Data!$M$2:$M$2277="Kyrylo Budanov")),"")</f>
        <v/>
      </c>
      <c r="G158" s="9">
        <f>IF(SUMPRODUCT((Data!$D$2:$D$2277=A158)*(Data!$E$2:$E$2277=C158)*(Data!$M$2:$M$2277="Pyotr Poroshenko"))&gt;0,SUMPRODUCT((Data!$D$2:$D$2277=A158)*(Data!$E$2:$E$2277=C158)*(Data!$M$2:$M$2277="Pyotr Poroshenko")*IF(ISNUMBER(Data!$W$2:$W$2277),Data!$W$2:$W$2277,0))/SUMPRODUCT((Data!$D$2:$D$2277=A158)*(Data!$E$2:$E$2277=C158)*(Data!$M$2:$M$2277="Pyotr Poroshenko")),"")</f>
        <v>15.5</v>
      </c>
      <c r="H158" s="10" t="str">
        <f t="array" ref="H158">IFERROR(INDEX(Avg!$F$2:$F$50,MATCH(DATE(YEAR(A158),MONTH(A158),1),Avg!$A$2:$A$50,0)),"")</f>
        <v/>
      </c>
      <c r="I158" s="10" t="str">
        <f t="array" ref="I158">IFERROR(INDEX(Avg!$G$2:$G$50,MATCH(DATE(YEAR(A158),MONTH(A158),1),Avg!$A$2:$A$50,0)),"")</f>
        <v/>
      </c>
      <c r="J158" s="10" t="str">
        <f t="array" ref="J158">IFERROR(INDEX(Avg!$H$2:$H$50,MATCH(DATE(YEAR(A158),MONTH(A158),1),Avg!$A$2:$A$50,0)),"")</f>
        <v/>
      </c>
      <c r="K158" s="10" t="str">
        <f t="array" ref="K158">IFERROR(INDEX(Avg!$I$2:$I$50,MATCH(DATE(YEAR(A158),MONTH(A158),1),Avg!$A$2:$A$50,0)),"")</f>
        <v/>
      </c>
      <c r="L158" s="11" t="str">
        <f t="array" ref="L158">IFERROR(INDEX(Avg!$L$2:$L$50,MATCH(DATE(YEAR(A158),MONTH(A158),1),Avg!$A$2:$A$50,0)),"")</f>
        <v/>
      </c>
      <c r="M158" s="11" t="str">
        <f t="array" ref="M158">IFERROR(INDEX(Avg!$M$2:$M$50,MATCH(DATE(YEAR(A158),MONTH(A158),1),Avg!$A$2:$A$50,0)),"")</f>
        <v/>
      </c>
      <c r="N158" s="11" t="str">
        <f t="array" ref="N158">IFERROR(INDEX(Avg!$N$2:$N$50,MATCH(DATE(YEAR(A158),MONTH(A158),1),Avg!$A$2:$A$50,0)),"")</f>
        <v/>
      </c>
      <c r="O158" s="11" t="str">
        <f t="array" ref="O158">IFERROR(INDEX(Avg!$O$2:$O$50,MATCH(DATE(YEAR(A158),MONTH(A158),1),Avg!$A$2:$A$50,0)),"")</f>
        <v/>
      </c>
    </row>
    <row r="159" ht="15.75" customHeight="1">
      <c r="A159" s="7" t="s">
        <v>231</v>
      </c>
      <c r="B159" s="7" t="s">
        <v>224</v>
      </c>
      <c r="C159" s="8" t="s">
        <v>40</v>
      </c>
      <c r="D159" s="9">
        <f>IF(SUMPRODUCT((Data!$D$2:$D$2277=A159)*(Data!$E$2:$E$2277=C159)*(Data!$M$2:$M$2277="Vladimir Zelenskiy"))&gt;0,SUMPRODUCT((Data!$D$2:$D$2277=A159)*(Data!$E$2:$E$2277=C159)*(Data!$M$2:$M$2277="Vladimir Zelenskiy")*IF(ISNUMBER(Data!$W$2:$W$2277),Data!$W$2:$W$2277,0))/SUMPRODUCT((Data!$D$2:$D$2277=A159)*(Data!$E$2:$E$2277=C159)*(Data!$M$2:$M$2277="Vladimir Zelenskiy")),"")</f>
        <v>21.2</v>
      </c>
      <c r="E159" s="9" t="str">
        <f>IF(SUMPRODUCT((Data!$D$2:$D$2277=A159)*(Data!$E$2:$E$2277=C159)*(Data!$M$2:$M$2277="Valerii Zaluzhniy"))&gt;0,SUMPRODUCT((Data!$D$2:$D$2277=A159)*(Data!$E$2:$E$2277=C159)*(Data!$M$2:$M$2277="Valerii Zaluzhniy")*IF(ISNUMBER(Data!$W$2:$W$2277),Data!$W$2:$W$2277,0))/SUMPRODUCT((Data!$D$2:$D$2277=A159)*(Data!$E$2:$E$2277=C159)*(Data!$M$2:$M$2277="Valerii Zaluzhniy")),"")</f>
        <v/>
      </c>
      <c r="F159" s="9" t="str">
        <f>IF(SUMPRODUCT((Data!$D$2:$D$2277=A159)*(Data!$E$2:$E$2277=C159)*(Data!$M$2:$M$2277="Kyrylo Budanov"))&gt;0,SUMPRODUCT((Data!$D$2:$D$2277=A159)*(Data!$E$2:$E$2277=C159)*(Data!$M$2:$M$2277="Kyrylo Budanov")*IF(ISNUMBER(Data!$W$2:$W$2277),Data!$W$2:$W$2277,0))/SUMPRODUCT((Data!$D$2:$D$2277=A159)*(Data!$E$2:$E$2277=C159)*(Data!$M$2:$M$2277="Kyrylo Budanov")),"")</f>
        <v/>
      </c>
      <c r="G159" s="9">
        <f>IF(SUMPRODUCT((Data!$D$2:$D$2277=A159)*(Data!$E$2:$E$2277=C159)*(Data!$M$2:$M$2277="Pyotr Poroshenko"))&gt;0,SUMPRODUCT((Data!$D$2:$D$2277=A159)*(Data!$E$2:$E$2277=C159)*(Data!$M$2:$M$2277="Pyotr Poroshenko")*IF(ISNUMBER(Data!$W$2:$W$2277),Data!$W$2:$W$2277,0))/SUMPRODUCT((Data!$D$2:$D$2277=A159)*(Data!$E$2:$E$2277=C159)*(Data!$M$2:$M$2277="Pyotr Poroshenko")),"")</f>
        <v>16.4</v>
      </c>
      <c r="H159" s="10" t="str">
        <f t="array" ref="H159">IFERROR(INDEX(Avg!$F$2:$F$50,MATCH(DATE(YEAR(A159),MONTH(A159),1),Avg!$A$2:$A$50,0)),"")</f>
        <v/>
      </c>
      <c r="I159" s="10" t="str">
        <f t="array" ref="I159">IFERROR(INDEX(Avg!$G$2:$G$50,MATCH(DATE(YEAR(A159),MONTH(A159),1),Avg!$A$2:$A$50,0)),"")</f>
        <v/>
      </c>
      <c r="J159" s="10" t="str">
        <f t="array" ref="J159">IFERROR(INDEX(Avg!$H$2:$H$50,MATCH(DATE(YEAR(A159),MONTH(A159),1),Avg!$A$2:$A$50,0)),"")</f>
        <v/>
      </c>
      <c r="K159" s="10" t="str">
        <f t="array" ref="K159">IFERROR(INDEX(Avg!$I$2:$I$50,MATCH(DATE(YEAR(A159),MONTH(A159),1),Avg!$A$2:$A$50,0)),"")</f>
        <v/>
      </c>
      <c r="L159" s="11" t="str">
        <f t="array" ref="L159">IFERROR(INDEX(Avg!$L$2:$L$50,MATCH(DATE(YEAR(A159),MONTH(A159),1),Avg!$A$2:$A$50,0)),"")</f>
        <v/>
      </c>
      <c r="M159" s="11" t="str">
        <f t="array" ref="M159">IFERROR(INDEX(Avg!$M$2:$M$50,MATCH(DATE(YEAR(A159),MONTH(A159),1),Avg!$A$2:$A$50,0)),"")</f>
        <v/>
      </c>
      <c r="N159" s="11" t="str">
        <f t="array" ref="N159">IFERROR(INDEX(Avg!$N$2:$N$50,MATCH(DATE(YEAR(A159),MONTH(A159),1),Avg!$A$2:$A$50,0)),"")</f>
        <v/>
      </c>
      <c r="O159" s="11" t="str">
        <f t="array" ref="O159">IFERROR(INDEX(Avg!$O$2:$O$50,MATCH(DATE(YEAR(A159),MONTH(A159),1),Avg!$A$2:$A$50,0)),"")</f>
        <v/>
      </c>
    </row>
    <row r="160" ht="15.75" customHeight="1">
      <c r="A160" s="7" t="s">
        <v>232</v>
      </c>
      <c r="B160" s="7" t="s">
        <v>224</v>
      </c>
      <c r="C160" s="8" t="s">
        <v>233</v>
      </c>
      <c r="D160" s="9">
        <f>IF(SUMPRODUCT((Data!$D$2:$D$2277=A160)*(Data!$E$2:$E$2277=C160)*(Data!$M$2:$M$2277="Vladimir Zelenskiy"))&gt;0,SUMPRODUCT((Data!$D$2:$D$2277=A160)*(Data!$E$2:$E$2277=C160)*(Data!$M$2:$M$2277="Vladimir Zelenskiy")*IF(ISNUMBER(Data!$W$2:$W$2277),Data!$W$2:$W$2277,0))/SUMPRODUCT((Data!$D$2:$D$2277=A160)*(Data!$E$2:$E$2277=C160)*(Data!$M$2:$M$2277="Vladimir Zelenskiy")),"")</f>
        <v>18.4</v>
      </c>
      <c r="E160" s="9" t="str">
        <f>IF(SUMPRODUCT((Data!$D$2:$D$2277=A160)*(Data!$E$2:$E$2277=C160)*(Data!$M$2:$M$2277="Valerii Zaluzhniy"))&gt;0,SUMPRODUCT((Data!$D$2:$D$2277=A160)*(Data!$E$2:$E$2277=C160)*(Data!$M$2:$M$2277="Valerii Zaluzhniy")*IF(ISNUMBER(Data!$W$2:$W$2277),Data!$W$2:$W$2277,0))/SUMPRODUCT((Data!$D$2:$D$2277=A160)*(Data!$E$2:$E$2277=C160)*(Data!$M$2:$M$2277="Valerii Zaluzhniy")),"")</f>
        <v/>
      </c>
      <c r="F160" s="9" t="str">
        <f>IF(SUMPRODUCT((Data!$D$2:$D$2277=A160)*(Data!$E$2:$E$2277=C160)*(Data!$M$2:$M$2277="Kyrylo Budanov"))&gt;0,SUMPRODUCT((Data!$D$2:$D$2277=A160)*(Data!$E$2:$E$2277=C160)*(Data!$M$2:$M$2277="Kyrylo Budanov")*IF(ISNUMBER(Data!$W$2:$W$2277),Data!$W$2:$W$2277,0))/SUMPRODUCT((Data!$D$2:$D$2277=A160)*(Data!$E$2:$E$2277=C160)*(Data!$M$2:$M$2277="Kyrylo Budanov")),"")</f>
        <v/>
      </c>
      <c r="G160" s="9">
        <f>IF(SUMPRODUCT((Data!$D$2:$D$2277=A160)*(Data!$E$2:$E$2277=C160)*(Data!$M$2:$M$2277="Pyotr Poroshenko"))&gt;0,SUMPRODUCT((Data!$D$2:$D$2277=A160)*(Data!$E$2:$E$2277=C160)*(Data!$M$2:$M$2277="Pyotr Poroshenko")*IF(ISNUMBER(Data!$W$2:$W$2277),Data!$W$2:$W$2277,0))/SUMPRODUCT((Data!$D$2:$D$2277=A160)*(Data!$E$2:$E$2277=C160)*(Data!$M$2:$M$2277="Pyotr Poroshenko")),"")</f>
        <v>12.9</v>
      </c>
      <c r="H160" s="10" t="str">
        <f t="array" ref="H160">IFERROR(INDEX(Avg!$F$2:$F$50,MATCH(DATE(YEAR(A160),MONTH(A160),1),Avg!$A$2:$A$50,0)),"")</f>
        <v/>
      </c>
      <c r="I160" s="10" t="str">
        <f t="array" ref="I160">IFERROR(INDEX(Avg!$G$2:$G$50,MATCH(DATE(YEAR(A160),MONTH(A160),1),Avg!$A$2:$A$50,0)),"")</f>
        <v/>
      </c>
      <c r="J160" s="10" t="str">
        <f t="array" ref="J160">IFERROR(INDEX(Avg!$H$2:$H$50,MATCH(DATE(YEAR(A160),MONTH(A160),1),Avg!$A$2:$A$50,0)),"")</f>
        <v/>
      </c>
      <c r="K160" s="10" t="str">
        <f t="array" ref="K160">IFERROR(INDEX(Avg!$I$2:$I$50,MATCH(DATE(YEAR(A160),MONTH(A160),1),Avg!$A$2:$A$50,0)),"")</f>
        <v/>
      </c>
      <c r="L160" s="11" t="str">
        <f t="array" ref="L160">IFERROR(INDEX(Avg!$L$2:$L$50,MATCH(DATE(YEAR(A160),MONTH(A160),1),Avg!$A$2:$A$50,0)),"")</f>
        <v/>
      </c>
      <c r="M160" s="11" t="str">
        <f t="array" ref="M160">IFERROR(INDEX(Avg!$M$2:$M$50,MATCH(DATE(YEAR(A160),MONTH(A160),1),Avg!$A$2:$A$50,0)),"")</f>
        <v/>
      </c>
      <c r="N160" s="11" t="str">
        <f t="array" ref="N160">IFERROR(INDEX(Avg!$N$2:$N$50,MATCH(DATE(YEAR(A160),MONTH(A160),1),Avg!$A$2:$A$50,0)),"")</f>
        <v/>
      </c>
      <c r="O160" s="11" t="str">
        <f t="array" ref="O160">IFERROR(INDEX(Avg!$O$2:$O$50,MATCH(DATE(YEAR(A160),MONTH(A160),1),Avg!$A$2:$A$50,0)),"")</f>
        <v/>
      </c>
    </row>
    <row r="161" ht="15.75" customHeight="1">
      <c r="A161" s="7" t="s">
        <v>234</v>
      </c>
      <c r="B161" s="7" t="s">
        <v>235</v>
      </c>
      <c r="C161" s="8" t="s">
        <v>156</v>
      </c>
      <c r="D161" s="9">
        <f>IF(SUMPRODUCT((Data!$D$2:$D$2277=A161)*(Data!$E$2:$E$2277=C161)*(Data!$M$2:$M$2277="Vladimir Zelenskiy"))&gt;0,SUMPRODUCT((Data!$D$2:$D$2277=A161)*(Data!$E$2:$E$2277=C161)*(Data!$M$2:$M$2277="Vladimir Zelenskiy")*IF(ISNUMBER(Data!$W$2:$W$2277),Data!$W$2:$W$2277,0))/SUMPRODUCT((Data!$D$2:$D$2277=A161)*(Data!$E$2:$E$2277=C161)*(Data!$M$2:$M$2277="Vladimir Zelenskiy")),"")</f>
        <v>25.2</v>
      </c>
      <c r="E161" s="9" t="str">
        <f>IF(SUMPRODUCT((Data!$D$2:$D$2277=A161)*(Data!$E$2:$E$2277=C161)*(Data!$M$2:$M$2277="Valerii Zaluzhniy"))&gt;0,SUMPRODUCT((Data!$D$2:$D$2277=A161)*(Data!$E$2:$E$2277=C161)*(Data!$M$2:$M$2277="Valerii Zaluzhniy")*IF(ISNUMBER(Data!$W$2:$W$2277),Data!$W$2:$W$2277,0))/SUMPRODUCT((Data!$D$2:$D$2277=A161)*(Data!$E$2:$E$2277=C161)*(Data!$M$2:$M$2277="Valerii Zaluzhniy")),"")</f>
        <v/>
      </c>
      <c r="F161" s="9" t="str">
        <f>IF(SUMPRODUCT((Data!$D$2:$D$2277=A161)*(Data!$E$2:$E$2277=C161)*(Data!$M$2:$M$2277="Kyrylo Budanov"))&gt;0,SUMPRODUCT((Data!$D$2:$D$2277=A161)*(Data!$E$2:$E$2277=C161)*(Data!$M$2:$M$2277="Kyrylo Budanov")*IF(ISNUMBER(Data!$W$2:$W$2277),Data!$W$2:$W$2277,0))/SUMPRODUCT((Data!$D$2:$D$2277=A161)*(Data!$E$2:$E$2277=C161)*(Data!$M$2:$M$2277="Kyrylo Budanov")),"")</f>
        <v/>
      </c>
      <c r="G161" s="9">
        <f>IF(SUMPRODUCT((Data!$D$2:$D$2277=A161)*(Data!$E$2:$E$2277=C161)*(Data!$M$2:$M$2277="Pyotr Poroshenko"))&gt;0,SUMPRODUCT((Data!$D$2:$D$2277=A161)*(Data!$E$2:$E$2277=C161)*(Data!$M$2:$M$2277="Pyotr Poroshenko")*IF(ISNUMBER(Data!$W$2:$W$2277),Data!$W$2:$W$2277,0))/SUMPRODUCT((Data!$D$2:$D$2277=A161)*(Data!$E$2:$E$2277=C161)*(Data!$M$2:$M$2277="Pyotr Poroshenko")),"")</f>
        <v>15.6</v>
      </c>
      <c r="H161" s="10" t="str">
        <f t="array" ref="H161">IFERROR(INDEX(Avg!$F$2:$F$50,MATCH(DATE(YEAR(A161),MONTH(A161),1),Avg!$A$2:$A$50,0)),"")</f>
        <v/>
      </c>
      <c r="I161" s="10" t="str">
        <f t="array" ref="I161">IFERROR(INDEX(Avg!$G$2:$G$50,MATCH(DATE(YEAR(A161),MONTH(A161),1),Avg!$A$2:$A$50,0)),"")</f>
        <v/>
      </c>
      <c r="J161" s="10" t="str">
        <f t="array" ref="J161">IFERROR(INDEX(Avg!$H$2:$H$50,MATCH(DATE(YEAR(A161),MONTH(A161),1),Avg!$A$2:$A$50,0)),"")</f>
        <v/>
      </c>
      <c r="K161" s="10" t="str">
        <f t="array" ref="K161">IFERROR(INDEX(Avg!$I$2:$I$50,MATCH(DATE(YEAR(A161),MONTH(A161),1),Avg!$A$2:$A$50,0)),"")</f>
        <v/>
      </c>
      <c r="L161" s="11" t="str">
        <f t="array" ref="L161">IFERROR(INDEX(Avg!$L$2:$L$50,MATCH(DATE(YEAR(A161),MONTH(A161),1),Avg!$A$2:$A$50,0)),"")</f>
        <v/>
      </c>
      <c r="M161" s="11" t="str">
        <f t="array" ref="M161">IFERROR(INDEX(Avg!$M$2:$M$50,MATCH(DATE(YEAR(A161),MONTH(A161),1),Avg!$A$2:$A$50,0)),"")</f>
        <v/>
      </c>
      <c r="N161" s="11" t="str">
        <f t="array" ref="N161">IFERROR(INDEX(Avg!$N$2:$N$50,MATCH(DATE(YEAR(A161),MONTH(A161),1),Avg!$A$2:$A$50,0)),"")</f>
        <v/>
      </c>
      <c r="O161" s="11" t="str">
        <f t="array" ref="O161">IFERROR(INDEX(Avg!$O$2:$O$50,MATCH(DATE(YEAR(A161),MONTH(A161),1),Avg!$A$2:$A$50,0)),"")</f>
        <v/>
      </c>
    </row>
    <row r="162" ht="15.75" customHeight="1">
      <c r="A162" s="7" t="s">
        <v>236</v>
      </c>
      <c r="B162" s="7" t="s">
        <v>235</v>
      </c>
      <c r="C162" s="8" t="s">
        <v>106</v>
      </c>
      <c r="D162" s="9">
        <f>IF(SUMPRODUCT((Data!$D$2:$D$2277=A162)*(Data!$E$2:$E$2277=C162)*(Data!$M$2:$M$2277="Vladimir Zelenskiy"))&gt;0,SUMPRODUCT((Data!$D$2:$D$2277=A162)*(Data!$E$2:$E$2277=C162)*(Data!$M$2:$M$2277="Vladimir Zelenskiy")*IF(ISNUMBER(Data!$W$2:$W$2277),Data!$W$2:$W$2277,0))/SUMPRODUCT((Data!$D$2:$D$2277=A162)*(Data!$E$2:$E$2277=C162)*(Data!$M$2:$M$2277="Vladimir Zelenskiy")),"")</f>
        <v>23.1</v>
      </c>
      <c r="E162" s="9" t="str">
        <f>IF(SUMPRODUCT((Data!$D$2:$D$2277=A162)*(Data!$E$2:$E$2277=C162)*(Data!$M$2:$M$2277="Valerii Zaluzhniy"))&gt;0,SUMPRODUCT((Data!$D$2:$D$2277=A162)*(Data!$E$2:$E$2277=C162)*(Data!$M$2:$M$2277="Valerii Zaluzhniy")*IF(ISNUMBER(Data!$W$2:$W$2277),Data!$W$2:$W$2277,0))/SUMPRODUCT((Data!$D$2:$D$2277=A162)*(Data!$E$2:$E$2277=C162)*(Data!$M$2:$M$2277="Valerii Zaluzhniy")),"")</f>
        <v/>
      </c>
      <c r="F162" s="9" t="str">
        <f>IF(SUMPRODUCT((Data!$D$2:$D$2277=A162)*(Data!$E$2:$E$2277=C162)*(Data!$M$2:$M$2277="Kyrylo Budanov"))&gt;0,SUMPRODUCT((Data!$D$2:$D$2277=A162)*(Data!$E$2:$E$2277=C162)*(Data!$M$2:$M$2277="Kyrylo Budanov")*IF(ISNUMBER(Data!$W$2:$W$2277),Data!$W$2:$W$2277,0))/SUMPRODUCT((Data!$D$2:$D$2277=A162)*(Data!$E$2:$E$2277=C162)*(Data!$M$2:$M$2277="Kyrylo Budanov")),"")</f>
        <v/>
      </c>
      <c r="G162" s="9">
        <f>IF(SUMPRODUCT((Data!$D$2:$D$2277=A162)*(Data!$E$2:$E$2277=C162)*(Data!$M$2:$M$2277="Pyotr Poroshenko"))&gt;0,SUMPRODUCT((Data!$D$2:$D$2277=A162)*(Data!$E$2:$E$2277=C162)*(Data!$M$2:$M$2277="Pyotr Poroshenko")*IF(ISNUMBER(Data!$W$2:$W$2277),Data!$W$2:$W$2277,0))/SUMPRODUCT((Data!$D$2:$D$2277=A162)*(Data!$E$2:$E$2277=C162)*(Data!$M$2:$M$2277="Pyotr Poroshenko")),"")</f>
        <v>17.8</v>
      </c>
      <c r="H162" s="10" t="str">
        <f t="array" ref="H162">IFERROR(INDEX(Avg!$F$2:$F$50,MATCH(DATE(YEAR(A162),MONTH(A162),1),Avg!$A$2:$A$50,0)),"")</f>
        <v/>
      </c>
      <c r="I162" s="10" t="str">
        <f t="array" ref="I162">IFERROR(INDEX(Avg!$G$2:$G$50,MATCH(DATE(YEAR(A162),MONTH(A162),1),Avg!$A$2:$A$50,0)),"")</f>
        <v/>
      </c>
      <c r="J162" s="10" t="str">
        <f t="array" ref="J162">IFERROR(INDEX(Avg!$H$2:$H$50,MATCH(DATE(YEAR(A162),MONTH(A162),1),Avg!$A$2:$A$50,0)),"")</f>
        <v/>
      </c>
      <c r="K162" s="10" t="str">
        <f t="array" ref="K162">IFERROR(INDEX(Avg!$I$2:$I$50,MATCH(DATE(YEAR(A162),MONTH(A162),1),Avg!$A$2:$A$50,0)),"")</f>
        <v/>
      </c>
      <c r="L162" s="11" t="str">
        <f t="array" ref="L162">IFERROR(INDEX(Avg!$L$2:$L$50,MATCH(DATE(YEAR(A162),MONTH(A162),1),Avg!$A$2:$A$50,0)),"")</f>
        <v/>
      </c>
      <c r="M162" s="11" t="str">
        <f t="array" ref="M162">IFERROR(INDEX(Avg!$M$2:$M$50,MATCH(DATE(YEAR(A162),MONTH(A162),1),Avg!$A$2:$A$50,0)),"")</f>
        <v/>
      </c>
      <c r="N162" s="11" t="str">
        <f t="array" ref="N162">IFERROR(INDEX(Avg!$N$2:$N$50,MATCH(DATE(YEAR(A162),MONTH(A162),1),Avg!$A$2:$A$50,0)),"")</f>
        <v/>
      </c>
      <c r="O162" s="11" t="str">
        <f t="array" ref="O162">IFERROR(INDEX(Avg!$O$2:$O$50,MATCH(DATE(YEAR(A162),MONTH(A162),1),Avg!$A$2:$A$50,0)),"")</f>
        <v/>
      </c>
    </row>
    <row r="163" ht="15.75" customHeight="1">
      <c r="A163" s="7" t="s">
        <v>237</v>
      </c>
      <c r="B163" s="7" t="s">
        <v>235</v>
      </c>
      <c r="C163" s="8" t="s">
        <v>72</v>
      </c>
      <c r="D163" s="9">
        <f>IF(SUMPRODUCT((Data!$D$2:$D$2277=A163)*(Data!$E$2:$E$2277=C163)*(Data!$M$2:$M$2277="Vladimir Zelenskiy"))&gt;0,SUMPRODUCT((Data!$D$2:$D$2277=A163)*(Data!$E$2:$E$2277=C163)*(Data!$M$2:$M$2277="Vladimir Zelenskiy")*IF(ISNUMBER(Data!$W$2:$W$2277),Data!$W$2:$W$2277,0))/SUMPRODUCT((Data!$D$2:$D$2277=A163)*(Data!$E$2:$E$2277=C163)*(Data!$M$2:$M$2277="Vladimir Zelenskiy")),"")</f>
        <v>22.1</v>
      </c>
      <c r="E163" s="9" t="str">
        <f>IF(SUMPRODUCT((Data!$D$2:$D$2277=A163)*(Data!$E$2:$E$2277=C163)*(Data!$M$2:$M$2277="Valerii Zaluzhniy"))&gt;0,SUMPRODUCT((Data!$D$2:$D$2277=A163)*(Data!$E$2:$E$2277=C163)*(Data!$M$2:$M$2277="Valerii Zaluzhniy")*IF(ISNUMBER(Data!$W$2:$W$2277),Data!$W$2:$W$2277,0))/SUMPRODUCT((Data!$D$2:$D$2277=A163)*(Data!$E$2:$E$2277=C163)*(Data!$M$2:$M$2277="Valerii Zaluzhniy")),"")</f>
        <v/>
      </c>
      <c r="F163" s="9" t="str">
        <f>IF(SUMPRODUCT((Data!$D$2:$D$2277=A163)*(Data!$E$2:$E$2277=C163)*(Data!$M$2:$M$2277="Kyrylo Budanov"))&gt;0,SUMPRODUCT((Data!$D$2:$D$2277=A163)*(Data!$E$2:$E$2277=C163)*(Data!$M$2:$M$2277="Kyrylo Budanov")*IF(ISNUMBER(Data!$W$2:$W$2277),Data!$W$2:$W$2277,0))/SUMPRODUCT((Data!$D$2:$D$2277=A163)*(Data!$E$2:$E$2277=C163)*(Data!$M$2:$M$2277="Kyrylo Budanov")),"")</f>
        <v/>
      </c>
      <c r="G163" s="9">
        <f>IF(SUMPRODUCT((Data!$D$2:$D$2277=A163)*(Data!$E$2:$E$2277=C163)*(Data!$M$2:$M$2277="Pyotr Poroshenko"))&gt;0,SUMPRODUCT((Data!$D$2:$D$2277=A163)*(Data!$E$2:$E$2277=C163)*(Data!$M$2:$M$2277="Pyotr Poroshenko")*IF(ISNUMBER(Data!$W$2:$W$2277),Data!$W$2:$W$2277,0))/SUMPRODUCT((Data!$D$2:$D$2277=A163)*(Data!$E$2:$E$2277=C163)*(Data!$M$2:$M$2277="Pyotr Poroshenko")),"")</f>
        <v>13.4</v>
      </c>
      <c r="H163" s="10" t="str">
        <f t="array" ref="H163">IFERROR(INDEX(Avg!$F$2:$F$50,MATCH(DATE(YEAR(A163),MONTH(A163),1),Avg!$A$2:$A$50,0)),"")</f>
        <v/>
      </c>
      <c r="I163" s="10" t="str">
        <f t="array" ref="I163">IFERROR(INDEX(Avg!$G$2:$G$50,MATCH(DATE(YEAR(A163),MONTH(A163),1),Avg!$A$2:$A$50,0)),"")</f>
        <v/>
      </c>
      <c r="J163" s="10" t="str">
        <f t="array" ref="J163">IFERROR(INDEX(Avg!$H$2:$H$50,MATCH(DATE(YEAR(A163),MONTH(A163),1),Avg!$A$2:$A$50,0)),"")</f>
        <v/>
      </c>
      <c r="K163" s="10" t="str">
        <f t="array" ref="K163">IFERROR(INDEX(Avg!$I$2:$I$50,MATCH(DATE(YEAR(A163),MONTH(A163),1),Avg!$A$2:$A$50,0)),"")</f>
        <v/>
      </c>
      <c r="L163" s="11" t="str">
        <f t="array" ref="L163">IFERROR(INDEX(Avg!$L$2:$L$50,MATCH(DATE(YEAR(A163),MONTH(A163),1),Avg!$A$2:$A$50,0)),"")</f>
        <v/>
      </c>
      <c r="M163" s="11" t="str">
        <f t="array" ref="M163">IFERROR(INDEX(Avg!$M$2:$M$50,MATCH(DATE(YEAR(A163),MONTH(A163),1),Avg!$A$2:$A$50,0)),"")</f>
        <v/>
      </c>
      <c r="N163" s="11" t="str">
        <f t="array" ref="N163">IFERROR(INDEX(Avg!$N$2:$N$50,MATCH(DATE(YEAR(A163),MONTH(A163),1),Avg!$A$2:$A$50,0)),"")</f>
        <v/>
      </c>
      <c r="O163" s="11" t="str">
        <f t="array" ref="O163">IFERROR(INDEX(Avg!$O$2:$O$50,MATCH(DATE(YEAR(A163),MONTH(A163),1),Avg!$A$2:$A$50,0)),"")</f>
        <v/>
      </c>
    </row>
    <row r="164" ht="15.75" customHeight="1">
      <c r="A164" s="7" t="s">
        <v>230</v>
      </c>
      <c r="B164" s="7" t="s">
        <v>235</v>
      </c>
      <c r="C164" s="8" t="s">
        <v>27</v>
      </c>
      <c r="D164" s="9">
        <f>IF(SUMPRODUCT((Data!$D$2:$D$2277=A164)*(Data!$E$2:$E$2277=C164)*(Data!$M$2:$M$2277="Vladimir Zelenskiy"))&gt;0,SUMPRODUCT((Data!$D$2:$D$2277=A164)*(Data!$E$2:$E$2277=C164)*(Data!$M$2:$M$2277="Vladimir Zelenskiy")*IF(ISNUMBER(Data!$W$2:$W$2277),Data!$W$2:$W$2277,0))/SUMPRODUCT((Data!$D$2:$D$2277=A164)*(Data!$E$2:$E$2277=C164)*(Data!$M$2:$M$2277="Vladimir Zelenskiy")),"")</f>
        <v>28.8</v>
      </c>
      <c r="E164" s="9" t="str">
        <f>IF(SUMPRODUCT((Data!$D$2:$D$2277=A164)*(Data!$E$2:$E$2277=C164)*(Data!$M$2:$M$2277="Valerii Zaluzhniy"))&gt;0,SUMPRODUCT((Data!$D$2:$D$2277=A164)*(Data!$E$2:$E$2277=C164)*(Data!$M$2:$M$2277="Valerii Zaluzhniy")*IF(ISNUMBER(Data!$W$2:$W$2277),Data!$W$2:$W$2277,0))/SUMPRODUCT((Data!$D$2:$D$2277=A164)*(Data!$E$2:$E$2277=C164)*(Data!$M$2:$M$2277="Valerii Zaluzhniy")),"")</f>
        <v/>
      </c>
      <c r="F164" s="9" t="str">
        <f>IF(SUMPRODUCT((Data!$D$2:$D$2277=A164)*(Data!$E$2:$E$2277=C164)*(Data!$M$2:$M$2277="Kyrylo Budanov"))&gt;0,SUMPRODUCT((Data!$D$2:$D$2277=A164)*(Data!$E$2:$E$2277=C164)*(Data!$M$2:$M$2277="Kyrylo Budanov")*IF(ISNUMBER(Data!$W$2:$W$2277),Data!$W$2:$W$2277,0))/SUMPRODUCT((Data!$D$2:$D$2277=A164)*(Data!$E$2:$E$2277=C164)*(Data!$M$2:$M$2277="Kyrylo Budanov")),"")</f>
        <v/>
      </c>
      <c r="G164" s="9">
        <f>IF(SUMPRODUCT((Data!$D$2:$D$2277=A164)*(Data!$E$2:$E$2277=C164)*(Data!$M$2:$M$2277="Pyotr Poroshenko"))&gt;0,SUMPRODUCT((Data!$D$2:$D$2277=A164)*(Data!$E$2:$E$2277=C164)*(Data!$M$2:$M$2277="Pyotr Poroshenko")*IF(ISNUMBER(Data!$W$2:$W$2277),Data!$W$2:$W$2277,0))/SUMPRODUCT((Data!$D$2:$D$2277=A164)*(Data!$E$2:$E$2277=C164)*(Data!$M$2:$M$2277="Pyotr Poroshenko")),"")</f>
        <v>20.4</v>
      </c>
      <c r="H164" s="10" t="str">
        <f t="array" ref="H164">IFERROR(INDEX(Avg!$F$2:$F$50,MATCH(DATE(YEAR(A164),MONTH(A164),1),Avg!$A$2:$A$50,0)),"")</f>
        <v/>
      </c>
      <c r="I164" s="10" t="str">
        <f t="array" ref="I164">IFERROR(INDEX(Avg!$G$2:$G$50,MATCH(DATE(YEAR(A164),MONTH(A164),1),Avg!$A$2:$A$50,0)),"")</f>
        <v/>
      </c>
      <c r="J164" s="10" t="str">
        <f t="array" ref="J164">IFERROR(INDEX(Avg!$H$2:$H$50,MATCH(DATE(YEAR(A164),MONTH(A164),1),Avg!$A$2:$A$50,0)),"")</f>
        <v/>
      </c>
      <c r="K164" s="10" t="str">
        <f t="array" ref="K164">IFERROR(INDEX(Avg!$I$2:$I$50,MATCH(DATE(YEAR(A164),MONTH(A164),1),Avg!$A$2:$A$50,0)),"")</f>
        <v/>
      </c>
      <c r="L164" s="11" t="str">
        <f t="array" ref="L164">IFERROR(INDEX(Avg!$L$2:$L$50,MATCH(DATE(YEAR(A164),MONTH(A164),1),Avg!$A$2:$A$50,0)),"")</f>
        <v/>
      </c>
      <c r="M164" s="11" t="str">
        <f t="array" ref="M164">IFERROR(INDEX(Avg!$M$2:$M$50,MATCH(DATE(YEAR(A164),MONTH(A164),1),Avg!$A$2:$A$50,0)),"")</f>
        <v/>
      </c>
      <c r="N164" s="11" t="str">
        <f t="array" ref="N164">IFERROR(INDEX(Avg!$N$2:$N$50,MATCH(DATE(YEAR(A164),MONTH(A164),1),Avg!$A$2:$A$50,0)),"")</f>
        <v/>
      </c>
      <c r="O164" s="11" t="str">
        <f t="array" ref="O164">IFERROR(INDEX(Avg!$O$2:$O$50,MATCH(DATE(YEAR(A164),MONTH(A164),1),Avg!$A$2:$A$50,0)),"")</f>
        <v/>
      </c>
    </row>
    <row r="165" ht="15.75" customHeight="1">
      <c r="A165" s="7" t="s">
        <v>238</v>
      </c>
      <c r="B165" s="7" t="s">
        <v>235</v>
      </c>
      <c r="C165" s="8" t="s">
        <v>72</v>
      </c>
      <c r="D165" s="9">
        <f>IF(SUMPRODUCT((Data!$D$2:$D$2277=A165)*(Data!$E$2:$E$2277=C165)*(Data!$M$2:$M$2277="Vladimir Zelenskiy"))&gt;0,SUMPRODUCT((Data!$D$2:$D$2277=A165)*(Data!$E$2:$E$2277=C165)*(Data!$M$2:$M$2277="Vladimir Zelenskiy")*IF(ISNUMBER(Data!$W$2:$W$2277),Data!$W$2:$W$2277,0))/SUMPRODUCT((Data!$D$2:$D$2277=A165)*(Data!$E$2:$E$2277=C165)*(Data!$M$2:$M$2277="Vladimir Zelenskiy")),"")</f>
        <v>19.8</v>
      </c>
      <c r="E165" s="9" t="str">
        <f>IF(SUMPRODUCT((Data!$D$2:$D$2277=A165)*(Data!$E$2:$E$2277=C165)*(Data!$M$2:$M$2277="Valerii Zaluzhniy"))&gt;0,SUMPRODUCT((Data!$D$2:$D$2277=A165)*(Data!$E$2:$E$2277=C165)*(Data!$M$2:$M$2277="Valerii Zaluzhniy")*IF(ISNUMBER(Data!$W$2:$W$2277),Data!$W$2:$W$2277,0))/SUMPRODUCT((Data!$D$2:$D$2277=A165)*(Data!$E$2:$E$2277=C165)*(Data!$M$2:$M$2277="Valerii Zaluzhniy")),"")</f>
        <v/>
      </c>
      <c r="F165" s="9" t="str">
        <f>IF(SUMPRODUCT((Data!$D$2:$D$2277=A165)*(Data!$E$2:$E$2277=C165)*(Data!$M$2:$M$2277="Kyrylo Budanov"))&gt;0,SUMPRODUCT((Data!$D$2:$D$2277=A165)*(Data!$E$2:$E$2277=C165)*(Data!$M$2:$M$2277="Kyrylo Budanov")*IF(ISNUMBER(Data!$W$2:$W$2277),Data!$W$2:$W$2277,0))/SUMPRODUCT((Data!$D$2:$D$2277=A165)*(Data!$E$2:$E$2277=C165)*(Data!$M$2:$M$2277="Kyrylo Budanov")),"")</f>
        <v/>
      </c>
      <c r="G165" s="9">
        <f>IF(SUMPRODUCT((Data!$D$2:$D$2277=A165)*(Data!$E$2:$E$2277=C165)*(Data!$M$2:$M$2277="Pyotr Poroshenko"))&gt;0,SUMPRODUCT((Data!$D$2:$D$2277=A165)*(Data!$E$2:$E$2277=C165)*(Data!$M$2:$M$2277="Pyotr Poroshenko")*IF(ISNUMBER(Data!$W$2:$W$2277),Data!$W$2:$W$2277,0))/SUMPRODUCT((Data!$D$2:$D$2277=A165)*(Data!$E$2:$E$2277=C165)*(Data!$M$2:$M$2277="Pyotr Poroshenko")),"")</f>
        <v>15.7</v>
      </c>
      <c r="H165" s="10" t="str">
        <f t="array" ref="H165">IFERROR(INDEX(Avg!$F$2:$F$50,MATCH(DATE(YEAR(A165),MONTH(A165),1),Avg!$A$2:$A$50,0)),"")</f>
        <v/>
      </c>
      <c r="I165" s="10" t="str">
        <f t="array" ref="I165">IFERROR(INDEX(Avg!$G$2:$G$50,MATCH(DATE(YEAR(A165),MONTH(A165),1),Avg!$A$2:$A$50,0)),"")</f>
        <v/>
      </c>
      <c r="J165" s="10" t="str">
        <f t="array" ref="J165">IFERROR(INDEX(Avg!$H$2:$H$50,MATCH(DATE(YEAR(A165),MONTH(A165),1),Avg!$A$2:$A$50,0)),"")</f>
        <v/>
      </c>
      <c r="K165" s="10" t="str">
        <f t="array" ref="K165">IFERROR(INDEX(Avg!$I$2:$I$50,MATCH(DATE(YEAR(A165),MONTH(A165),1),Avg!$A$2:$A$50,0)),"")</f>
        <v/>
      </c>
      <c r="L165" s="11" t="str">
        <f t="array" ref="L165">IFERROR(INDEX(Avg!$L$2:$L$50,MATCH(DATE(YEAR(A165),MONTH(A165),1),Avg!$A$2:$A$50,0)),"")</f>
        <v/>
      </c>
      <c r="M165" s="11" t="str">
        <f t="array" ref="M165">IFERROR(INDEX(Avg!$M$2:$M$50,MATCH(DATE(YEAR(A165),MONTH(A165),1),Avg!$A$2:$A$50,0)),"")</f>
        <v/>
      </c>
      <c r="N165" s="11" t="str">
        <f t="array" ref="N165">IFERROR(INDEX(Avg!$N$2:$N$50,MATCH(DATE(YEAR(A165),MONTH(A165),1),Avg!$A$2:$A$50,0)),"")</f>
        <v/>
      </c>
      <c r="O165" s="11" t="str">
        <f t="array" ref="O165">IFERROR(INDEX(Avg!$O$2:$O$50,MATCH(DATE(YEAR(A165),MONTH(A165),1),Avg!$A$2:$A$50,0)),"")</f>
        <v/>
      </c>
    </row>
    <row r="166" ht="15.75" customHeight="1">
      <c r="A166" s="7" t="s">
        <v>224</v>
      </c>
      <c r="B166" s="7" t="s">
        <v>235</v>
      </c>
      <c r="C166" s="8" t="s">
        <v>155</v>
      </c>
      <c r="D166" s="9">
        <f>IF(SUMPRODUCT((Data!$D$2:$D$2277=A166)*(Data!$E$2:$E$2277=C166)*(Data!$M$2:$M$2277="Vladimir Zelenskiy"))&gt;0,SUMPRODUCT((Data!$D$2:$D$2277=A166)*(Data!$E$2:$E$2277=C166)*(Data!$M$2:$M$2277="Vladimir Zelenskiy")*IF(ISNUMBER(Data!$W$2:$W$2277),Data!$W$2:$W$2277,0))/SUMPRODUCT((Data!$D$2:$D$2277=A166)*(Data!$E$2:$E$2277=C166)*(Data!$M$2:$M$2277="Vladimir Zelenskiy")),"")</f>
        <v>25.2</v>
      </c>
      <c r="E166" s="9" t="str">
        <f>IF(SUMPRODUCT((Data!$D$2:$D$2277=A166)*(Data!$E$2:$E$2277=C166)*(Data!$M$2:$M$2277="Valerii Zaluzhniy"))&gt;0,SUMPRODUCT((Data!$D$2:$D$2277=A166)*(Data!$E$2:$E$2277=C166)*(Data!$M$2:$M$2277="Valerii Zaluzhniy")*IF(ISNUMBER(Data!$W$2:$W$2277),Data!$W$2:$W$2277,0))/SUMPRODUCT((Data!$D$2:$D$2277=A166)*(Data!$E$2:$E$2277=C166)*(Data!$M$2:$M$2277="Valerii Zaluzhniy")),"")</f>
        <v/>
      </c>
      <c r="F166" s="9" t="str">
        <f>IF(SUMPRODUCT((Data!$D$2:$D$2277=A166)*(Data!$E$2:$E$2277=C166)*(Data!$M$2:$M$2277="Kyrylo Budanov"))&gt;0,SUMPRODUCT((Data!$D$2:$D$2277=A166)*(Data!$E$2:$E$2277=C166)*(Data!$M$2:$M$2277="Kyrylo Budanov")*IF(ISNUMBER(Data!$W$2:$W$2277),Data!$W$2:$W$2277,0))/SUMPRODUCT((Data!$D$2:$D$2277=A166)*(Data!$E$2:$E$2277=C166)*(Data!$M$2:$M$2277="Kyrylo Budanov")),"")</f>
        <v/>
      </c>
      <c r="G166" s="9">
        <f>IF(SUMPRODUCT((Data!$D$2:$D$2277=A166)*(Data!$E$2:$E$2277=C166)*(Data!$M$2:$M$2277="Pyotr Poroshenko"))&gt;0,SUMPRODUCT((Data!$D$2:$D$2277=A166)*(Data!$E$2:$E$2277=C166)*(Data!$M$2:$M$2277="Pyotr Poroshenko")*IF(ISNUMBER(Data!$W$2:$W$2277),Data!$W$2:$W$2277,0))/SUMPRODUCT((Data!$D$2:$D$2277=A166)*(Data!$E$2:$E$2277=C166)*(Data!$M$2:$M$2277="Pyotr Poroshenko")),"")</f>
        <v>15.4</v>
      </c>
      <c r="H166" s="10" t="str">
        <f t="array" ref="H166">IFERROR(INDEX(Avg!$F$2:$F$50,MATCH(DATE(YEAR(A166),MONTH(A166),1),Avg!$A$2:$A$50,0)),"")</f>
        <v/>
      </c>
      <c r="I166" s="10" t="str">
        <f t="array" ref="I166">IFERROR(INDEX(Avg!$G$2:$G$50,MATCH(DATE(YEAR(A166),MONTH(A166),1),Avg!$A$2:$A$50,0)),"")</f>
        <v/>
      </c>
      <c r="J166" s="10" t="str">
        <f t="array" ref="J166">IFERROR(INDEX(Avg!$H$2:$H$50,MATCH(DATE(YEAR(A166),MONTH(A166),1),Avg!$A$2:$A$50,0)),"")</f>
        <v/>
      </c>
      <c r="K166" s="10" t="str">
        <f t="array" ref="K166">IFERROR(INDEX(Avg!$I$2:$I$50,MATCH(DATE(YEAR(A166),MONTH(A166),1),Avg!$A$2:$A$50,0)),"")</f>
        <v/>
      </c>
      <c r="L166" s="11" t="str">
        <f t="array" ref="L166">IFERROR(INDEX(Avg!$L$2:$L$50,MATCH(DATE(YEAR(A166),MONTH(A166),1),Avg!$A$2:$A$50,0)),"")</f>
        <v/>
      </c>
      <c r="M166" s="11" t="str">
        <f t="array" ref="M166">IFERROR(INDEX(Avg!$M$2:$M$50,MATCH(DATE(YEAR(A166),MONTH(A166),1),Avg!$A$2:$A$50,0)),"")</f>
        <v/>
      </c>
      <c r="N166" s="11" t="str">
        <f t="array" ref="N166">IFERROR(INDEX(Avg!$N$2:$N$50,MATCH(DATE(YEAR(A166),MONTH(A166),1),Avg!$A$2:$A$50,0)),"")</f>
        <v/>
      </c>
      <c r="O166" s="11" t="str">
        <f t="array" ref="O166">IFERROR(INDEX(Avg!$O$2:$O$50,MATCH(DATE(YEAR(A166),MONTH(A166),1),Avg!$A$2:$A$50,0)),"")</f>
        <v/>
      </c>
    </row>
    <row r="167" ht="15.75" customHeight="1">
      <c r="A167" s="7" t="s">
        <v>239</v>
      </c>
      <c r="B167" s="7" t="s">
        <v>235</v>
      </c>
      <c r="C167" s="8" t="s">
        <v>240</v>
      </c>
      <c r="D167" s="9">
        <f>IF(SUMPRODUCT((Data!$D$2:$D$2277=A167)*(Data!$E$2:$E$2277=C167)*(Data!$M$2:$M$2277="Vladimir Zelenskiy"))&gt;0,SUMPRODUCT((Data!$D$2:$D$2277=A167)*(Data!$E$2:$E$2277=C167)*(Data!$M$2:$M$2277="Vladimir Zelenskiy")*IF(ISNUMBER(Data!$W$2:$W$2277),Data!$W$2:$W$2277,0))/SUMPRODUCT((Data!$D$2:$D$2277=A167)*(Data!$E$2:$E$2277=C167)*(Data!$M$2:$M$2277="Vladimir Zelenskiy")),"")</f>
        <v>47</v>
      </c>
      <c r="E167" s="9" t="str">
        <f>IF(SUMPRODUCT((Data!$D$2:$D$2277=A167)*(Data!$E$2:$E$2277=C167)*(Data!$M$2:$M$2277="Valerii Zaluzhniy"))&gt;0,SUMPRODUCT((Data!$D$2:$D$2277=A167)*(Data!$E$2:$E$2277=C167)*(Data!$M$2:$M$2277="Valerii Zaluzhniy")*IF(ISNUMBER(Data!$W$2:$W$2277),Data!$W$2:$W$2277,0))/SUMPRODUCT((Data!$D$2:$D$2277=A167)*(Data!$E$2:$E$2277=C167)*(Data!$M$2:$M$2277="Valerii Zaluzhniy")),"")</f>
        <v/>
      </c>
      <c r="F167" s="9" t="str">
        <f>IF(SUMPRODUCT((Data!$D$2:$D$2277=A167)*(Data!$E$2:$E$2277=C167)*(Data!$M$2:$M$2277="Kyrylo Budanov"))&gt;0,SUMPRODUCT((Data!$D$2:$D$2277=A167)*(Data!$E$2:$E$2277=C167)*(Data!$M$2:$M$2277="Kyrylo Budanov")*IF(ISNUMBER(Data!$W$2:$W$2277),Data!$W$2:$W$2277,0))/SUMPRODUCT((Data!$D$2:$D$2277=A167)*(Data!$E$2:$E$2277=C167)*(Data!$M$2:$M$2277="Kyrylo Budanov")),"")</f>
        <v/>
      </c>
      <c r="G167" s="9">
        <f>IF(SUMPRODUCT((Data!$D$2:$D$2277=A167)*(Data!$E$2:$E$2277=C167)*(Data!$M$2:$M$2277="Pyotr Poroshenko"))&gt;0,SUMPRODUCT((Data!$D$2:$D$2277=A167)*(Data!$E$2:$E$2277=C167)*(Data!$M$2:$M$2277="Pyotr Poroshenko")*IF(ISNUMBER(Data!$W$2:$W$2277),Data!$W$2:$W$2277,0))/SUMPRODUCT((Data!$D$2:$D$2277=A167)*(Data!$E$2:$E$2277=C167)*(Data!$M$2:$M$2277="Pyotr Poroshenko")),"")</f>
        <v>15</v>
      </c>
      <c r="H167" s="10" t="str">
        <f t="array" ref="H167">IFERROR(INDEX(Avg!$F$2:$F$50,MATCH(DATE(YEAR(A167),MONTH(A167),1),Avg!$A$2:$A$50,0)),"")</f>
        <v/>
      </c>
      <c r="I167" s="10" t="str">
        <f t="array" ref="I167">IFERROR(INDEX(Avg!$G$2:$G$50,MATCH(DATE(YEAR(A167),MONTH(A167),1),Avg!$A$2:$A$50,0)),"")</f>
        <v/>
      </c>
      <c r="J167" s="10" t="str">
        <f t="array" ref="J167">IFERROR(INDEX(Avg!$H$2:$H$50,MATCH(DATE(YEAR(A167),MONTH(A167),1),Avg!$A$2:$A$50,0)),"")</f>
        <v/>
      </c>
      <c r="K167" s="10" t="str">
        <f t="array" ref="K167">IFERROR(INDEX(Avg!$I$2:$I$50,MATCH(DATE(YEAR(A167),MONTH(A167),1),Avg!$A$2:$A$50,0)),"")</f>
        <v/>
      </c>
      <c r="L167" s="11" t="str">
        <f t="array" ref="L167">IFERROR(INDEX(Avg!$L$2:$L$50,MATCH(DATE(YEAR(A167),MONTH(A167),1),Avg!$A$2:$A$50,0)),"")</f>
        <v/>
      </c>
      <c r="M167" s="11" t="str">
        <f t="array" ref="M167">IFERROR(INDEX(Avg!$M$2:$M$50,MATCH(DATE(YEAR(A167),MONTH(A167),1),Avg!$A$2:$A$50,0)),"")</f>
        <v/>
      </c>
      <c r="N167" s="11" t="str">
        <f t="array" ref="N167">IFERROR(INDEX(Avg!$N$2:$N$50,MATCH(DATE(YEAR(A167),MONTH(A167),1),Avg!$A$2:$A$50,0)),"")</f>
        <v/>
      </c>
      <c r="O167" s="11" t="str">
        <f t="array" ref="O167">IFERROR(INDEX(Avg!$O$2:$O$50,MATCH(DATE(YEAR(A167),MONTH(A167),1),Avg!$A$2:$A$50,0)),"")</f>
        <v/>
      </c>
    </row>
    <row r="168" ht="15.75" customHeight="1">
      <c r="A168" s="7" t="s">
        <v>241</v>
      </c>
      <c r="B168" s="7" t="s">
        <v>235</v>
      </c>
      <c r="C168" s="8" t="s">
        <v>40</v>
      </c>
      <c r="D168" s="9">
        <f>IF(SUMPRODUCT((Data!$D$2:$D$2277=A168)*(Data!$E$2:$E$2277=C168)*(Data!$M$2:$M$2277="Vladimir Zelenskiy"))&gt;0,SUMPRODUCT((Data!$D$2:$D$2277=A168)*(Data!$E$2:$E$2277=C168)*(Data!$M$2:$M$2277="Vladimir Zelenskiy")*IF(ISNUMBER(Data!$W$2:$W$2277),Data!$W$2:$W$2277,0))/SUMPRODUCT((Data!$D$2:$D$2277=A168)*(Data!$E$2:$E$2277=C168)*(Data!$M$2:$M$2277="Vladimir Zelenskiy")),"")</f>
        <v>26.2</v>
      </c>
      <c r="E168" s="9" t="str">
        <f>IF(SUMPRODUCT((Data!$D$2:$D$2277=A168)*(Data!$E$2:$E$2277=C168)*(Data!$M$2:$M$2277="Valerii Zaluzhniy"))&gt;0,SUMPRODUCT((Data!$D$2:$D$2277=A168)*(Data!$E$2:$E$2277=C168)*(Data!$M$2:$M$2277="Valerii Zaluzhniy")*IF(ISNUMBER(Data!$W$2:$W$2277),Data!$W$2:$W$2277,0))/SUMPRODUCT((Data!$D$2:$D$2277=A168)*(Data!$E$2:$E$2277=C168)*(Data!$M$2:$M$2277="Valerii Zaluzhniy")),"")</f>
        <v/>
      </c>
      <c r="F168" s="9" t="str">
        <f>IF(SUMPRODUCT((Data!$D$2:$D$2277=A168)*(Data!$E$2:$E$2277=C168)*(Data!$M$2:$M$2277="Kyrylo Budanov"))&gt;0,SUMPRODUCT((Data!$D$2:$D$2277=A168)*(Data!$E$2:$E$2277=C168)*(Data!$M$2:$M$2277="Kyrylo Budanov")*IF(ISNUMBER(Data!$W$2:$W$2277),Data!$W$2:$W$2277,0))/SUMPRODUCT((Data!$D$2:$D$2277=A168)*(Data!$E$2:$E$2277=C168)*(Data!$M$2:$M$2277="Kyrylo Budanov")),"")</f>
        <v/>
      </c>
      <c r="G168" s="9">
        <f>IF(SUMPRODUCT((Data!$D$2:$D$2277=A168)*(Data!$E$2:$E$2277=C168)*(Data!$M$2:$M$2277="Pyotr Poroshenko"))&gt;0,SUMPRODUCT((Data!$D$2:$D$2277=A168)*(Data!$E$2:$E$2277=C168)*(Data!$M$2:$M$2277="Pyotr Poroshenko")*IF(ISNUMBER(Data!$W$2:$W$2277),Data!$W$2:$W$2277,0))/SUMPRODUCT((Data!$D$2:$D$2277=A168)*(Data!$E$2:$E$2277=C168)*(Data!$M$2:$M$2277="Pyotr Poroshenko")),"")</f>
        <v>13.3</v>
      </c>
      <c r="H168" s="10" t="str">
        <f t="array" ref="H168">IFERROR(INDEX(Avg!$F$2:$F$50,MATCH(DATE(YEAR(A168),MONTH(A168),1),Avg!$A$2:$A$50,0)),"")</f>
        <v/>
      </c>
      <c r="I168" s="10" t="str">
        <f t="array" ref="I168">IFERROR(INDEX(Avg!$G$2:$G$50,MATCH(DATE(YEAR(A168),MONTH(A168),1),Avg!$A$2:$A$50,0)),"")</f>
        <v/>
      </c>
      <c r="J168" s="10" t="str">
        <f t="array" ref="J168">IFERROR(INDEX(Avg!$H$2:$H$50,MATCH(DATE(YEAR(A168),MONTH(A168),1),Avg!$A$2:$A$50,0)),"")</f>
        <v/>
      </c>
      <c r="K168" s="10" t="str">
        <f t="array" ref="K168">IFERROR(INDEX(Avg!$I$2:$I$50,MATCH(DATE(YEAR(A168),MONTH(A168),1),Avg!$A$2:$A$50,0)),"")</f>
        <v/>
      </c>
      <c r="L168" s="11" t="str">
        <f t="array" ref="L168">IFERROR(INDEX(Avg!$L$2:$L$50,MATCH(DATE(YEAR(A168),MONTH(A168),1),Avg!$A$2:$A$50,0)),"")</f>
        <v/>
      </c>
      <c r="M168" s="11" t="str">
        <f t="array" ref="M168">IFERROR(INDEX(Avg!$M$2:$M$50,MATCH(DATE(YEAR(A168),MONTH(A168),1),Avg!$A$2:$A$50,0)),"")</f>
        <v/>
      </c>
      <c r="N168" s="11" t="str">
        <f t="array" ref="N168">IFERROR(INDEX(Avg!$N$2:$N$50,MATCH(DATE(YEAR(A168),MONTH(A168),1),Avg!$A$2:$A$50,0)),"")</f>
        <v/>
      </c>
      <c r="O168" s="11" t="str">
        <f t="array" ref="O168">IFERROR(INDEX(Avg!$O$2:$O$50,MATCH(DATE(YEAR(A168),MONTH(A168),1),Avg!$A$2:$A$50,0)),"")</f>
        <v/>
      </c>
    </row>
    <row r="169" ht="15.75" customHeight="1">
      <c r="A169" s="7" t="s">
        <v>242</v>
      </c>
      <c r="B169" s="7" t="s">
        <v>243</v>
      </c>
      <c r="C169" s="8" t="s">
        <v>72</v>
      </c>
      <c r="D169" s="9">
        <f>IF(SUMPRODUCT((Data!$D$2:$D$2277=A169)*(Data!$E$2:$E$2277=C169)*(Data!$M$2:$M$2277="Vladimir Zelenskiy"))&gt;0,SUMPRODUCT((Data!$D$2:$D$2277=A169)*(Data!$E$2:$E$2277=C169)*(Data!$M$2:$M$2277="Vladimir Zelenskiy")*IF(ISNUMBER(Data!$W$2:$W$2277),Data!$W$2:$W$2277,0))/SUMPRODUCT((Data!$D$2:$D$2277=A169)*(Data!$E$2:$E$2277=C169)*(Data!$M$2:$M$2277="Vladimir Zelenskiy")),"")</f>
        <v>27.35</v>
      </c>
      <c r="E169" s="9" t="str">
        <f>IF(SUMPRODUCT((Data!$D$2:$D$2277=A169)*(Data!$E$2:$E$2277=C169)*(Data!$M$2:$M$2277="Valerii Zaluzhniy"))&gt;0,SUMPRODUCT((Data!$D$2:$D$2277=A169)*(Data!$E$2:$E$2277=C169)*(Data!$M$2:$M$2277="Valerii Zaluzhniy")*IF(ISNUMBER(Data!$W$2:$W$2277),Data!$W$2:$W$2277,0))/SUMPRODUCT((Data!$D$2:$D$2277=A169)*(Data!$E$2:$E$2277=C169)*(Data!$M$2:$M$2277="Valerii Zaluzhniy")),"")</f>
        <v/>
      </c>
      <c r="F169" s="9" t="str">
        <f>IF(SUMPRODUCT((Data!$D$2:$D$2277=A169)*(Data!$E$2:$E$2277=C169)*(Data!$M$2:$M$2277="Kyrylo Budanov"))&gt;0,SUMPRODUCT((Data!$D$2:$D$2277=A169)*(Data!$E$2:$E$2277=C169)*(Data!$M$2:$M$2277="Kyrylo Budanov")*IF(ISNUMBER(Data!$W$2:$W$2277),Data!$W$2:$W$2277,0))/SUMPRODUCT((Data!$D$2:$D$2277=A169)*(Data!$E$2:$E$2277=C169)*(Data!$M$2:$M$2277="Kyrylo Budanov")),"")</f>
        <v/>
      </c>
      <c r="G169" s="9">
        <f>IF(SUMPRODUCT((Data!$D$2:$D$2277=A169)*(Data!$E$2:$E$2277=C169)*(Data!$M$2:$M$2277="Pyotr Poroshenko"))&gt;0,SUMPRODUCT((Data!$D$2:$D$2277=A169)*(Data!$E$2:$E$2277=C169)*(Data!$M$2:$M$2277="Pyotr Poroshenko")*IF(ISNUMBER(Data!$W$2:$W$2277),Data!$W$2:$W$2277,0))/SUMPRODUCT((Data!$D$2:$D$2277=A169)*(Data!$E$2:$E$2277=C169)*(Data!$M$2:$M$2277="Pyotr Poroshenko")),"")</f>
        <v>13.95</v>
      </c>
      <c r="H169" s="10" t="str">
        <f t="array" ref="H169">IFERROR(INDEX(Avg!$F$2:$F$50,MATCH(DATE(YEAR(A169),MONTH(A169),1),Avg!$A$2:$A$50,0)),"")</f>
        <v/>
      </c>
      <c r="I169" s="10" t="str">
        <f t="array" ref="I169">IFERROR(INDEX(Avg!$G$2:$G$50,MATCH(DATE(YEAR(A169),MONTH(A169),1),Avg!$A$2:$A$50,0)),"")</f>
        <v/>
      </c>
      <c r="J169" s="10" t="str">
        <f t="array" ref="J169">IFERROR(INDEX(Avg!$H$2:$H$50,MATCH(DATE(YEAR(A169),MONTH(A169),1),Avg!$A$2:$A$50,0)),"")</f>
        <v/>
      </c>
      <c r="K169" s="10" t="str">
        <f t="array" ref="K169">IFERROR(INDEX(Avg!$I$2:$I$50,MATCH(DATE(YEAR(A169),MONTH(A169),1),Avg!$A$2:$A$50,0)),"")</f>
        <v/>
      </c>
      <c r="L169" s="11" t="str">
        <f t="array" ref="L169">IFERROR(INDEX(Avg!$L$2:$L$50,MATCH(DATE(YEAR(A169),MONTH(A169),1),Avg!$A$2:$A$50,0)),"")</f>
        <v/>
      </c>
      <c r="M169" s="11" t="str">
        <f t="array" ref="M169">IFERROR(INDEX(Avg!$M$2:$M$50,MATCH(DATE(YEAR(A169),MONTH(A169),1),Avg!$A$2:$A$50,0)),"")</f>
        <v/>
      </c>
      <c r="N169" s="11" t="str">
        <f t="array" ref="N169">IFERROR(INDEX(Avg!$N$2:$N$50,MATCH(DATE(YEAR(A169),MONTH(A169),1),Avg!$A$2:$A$50,0)),"")</f>
        <v/>
      </c>
      <c r="O169" s="11" t="str">
        <f t="array" ref="O169">IFERROR(INDEX(Avg!$O$2:$O$50,MATCH(DATE(YEAR(A169),MONTH(A169),1),Avg!$A$2:$A$50,0)),"")</f>
        <v/>
      </c>
    </row>
    <row r="170" ht="15.75" customHeight="1">
      <c r="A170" s="7" t="s">
        <v>244</v>
      </c>
      <c r="B170" s="7" t="s">
        <v>243</v>
      </c>
      <c r="C170" s="8" t="s">
        <v>150</v>
      </c>
      <c r="D170" s="9">
        <f>IF(SUMPRODUCT((Data!$D$2:$D$2277=A170)*(Data!$E$2:$E$2277=C170)*(Data!$M$2:$M$2277="Vladimir Zelenskiy"))&gt;0,SUMPRODUCT((Data!$D$2:$D$2277=A170)*(Data!$E$2:$E$2277=C170)*(Data!$M$2:$M$2277="Vladimir Zelenskiy")*IF(ISNUMBER(Data!$W$2:$W$2277),Data!$W$2:$W$2277,0))/SUMPRODUCT((Data!$D$2:$D$2277=A170)*(Data!$E$2:$E$2277=C170)*(Data!$M$2:$M$2277="Vladimir Zelenskiy")),"")</f>
        <v>26.2</v>
      </c>
      <c r="E170" s="9" t="str">
        <f>IF(SUMPRODUCT((Data!$D$2:$D$2277=A170)*(Data!$E$2:$E$2277=C170)*(Data!$M$2:$M$2277="Valerii Zaluzhniy"))&gt;0,SUMPRODUCT((Data!$D$2:$D$2277=A170)*(Data!$E$2:$E$2277=C170)*(Data!$M$2:$M$2277="Valerii Zaluzhniy")*IF(ISNUMBER(Data!$W$2:$W$2277),Data!$W$2:$W$2277,0))/SUMPRODUCT((Data!$D$2:$D$2277=A170)*(Data!$E$2:$E$2277=C170)*(Data!$M$2:$M$2277="Valerii Zaluzhniy")),"")</f>
        <v/>
      </c>
      <c r="F170" s="9" t="str">
        <f>IF(SUMPRODUCT((Data!$D$2:$D$2277=A170)*(Data!$E$2:$E$2277=C170)*(Data!$M$2:$M$2277="Kyrylo Budanov"))&gt;0,SUMPRODUCT((Data!$D$2:$D$2277=A170)*(Data!$E$2:$E$2277=C170)*(Data!$M$2:$M$2277="Kyrylo Budanov")*IF(ISNUMBER(Data!$W$2:$W$2277),Data!$W$2:$W$2277,0))/SUMPRODUCT((Data!$D$2:$D$2277=A170)*(Data!$E$2:$E$2277=C170)*(Data!$M$2:$M$2277="Kyrylo Budanov")),"")</f>
        <v/>
      </c>
      <c r="G170" s="9">
        <f>IF(SUMPRODUCT((Data!$D$2:$D$2277=A170)*(Data!$E$2:$E$2277=C170)*(Data!$M$2:$M$2277="Pyotr Poroshenko"))&gt;0,SUMPRODUCT((Data!$D$2:$D$2277=A170)*(Data!$E$2:$E$2277=C170)*(Data!$M$2:$M$2277="Pyotr Poroshenko")*IF(ISNUMBER(Data!$W$2:$W$2277),Data!$W$2:$W$2277,0))/SUMPRODUCT((Data!$D$2:$D$2277=A170)*(Data!$E$2:$E$2277=C170)*(Data!$M$2:$M$2277="Pyotr Poroshenko")),"")</f>
        <v>14.6</v>
      </c>
      <c r="H170" s="10" t="str">
        <f t="array" ref="H170">IFERROR(INDEX(Avg!$F$2:$F$50,MATCH(DATE(YEAR(A170),MONTH(A170),1),Avg!$A$2:$A$50,0)),"")</f>
        <v/>
      </c>
      <c r="I170" s="10" t="str">
        <f t="array" ref="I170">IFERROR(INDEX(Avg!$G$2:$G$50,MATCH(DATE(YEAR(A170),MONTH(A170),1),Avg!$A$2:$A$50,0)),"")</f>
        <v/>
      </c>
      <c r="J170" s="10" t="str">
        <f t="array" ref="J170">IFERROR(INDEX(Avg!$H$2:$H$50,MATCH(DATE(YEAR(A170),MONTH(A170),1),Avg!$A$2:$A$50,0)),"")</f>
        <v/>
      </c>
      <c r="K170" s="10" t="str">
        <f t="array" ref="K170">IFERROR(INDEX(Avg!$I$2:$I$50,MATCH(DATE(YEAR(A170),MONTH(A170),1),Avg!$A$2:$A$50,0)),"")</f>
        <v/>
      </c>
      <c r="L170" s="11" t="str">
        <f t="array" ref="L170">IFERROR(INDEX(Avg!$L$2:$L$50,MATCH(DATE(YEAR(A170),MONTH(A170),1),Avg!$A$2:$A$50,0)),"")</f>
        <v/>
      </c>
      <c r="M170" s="11" t="str">
        <f t="array" ref="M170">IFERROR(INDEX(Avg!$M$2:$M$50,MATCH(DATE(YEAR(A170),MONTH(A170),1),Avg!$A$2:$A$50,0)),"")</f>
        <v/>
      </c>
      <c r="N170" s="11" t="str">
        <f t="array" ref="N170">IFERROR(INDEX(Avg!$N$2:$N$50,MATCH(DATE(YEAR(A170),MONTH(A170),1),Avg!$A$2:$A$50,0)),"")</f>
        <v/>
      </c>
      <c r="O170" s="11" t="str">
        <f t="array" ref="O170">IFERROR(INDEX(Avg!$O$2:$O$50,MATCH(DATE(YEAR(A170),MONTH(A170),1),Avg!$A$2:$A$50,0)),"")</f>
        <v/>
      </c>
    </row>
    <row r="171" ht="15.75" customHeight="1">
      <c r="A171" s="7" t="s">
        <v>245</v>
      </c>
      <c r="B171" s="7" t="s">
        <v>243</v>
      </c>
      <c r="C171" s="8" t="s">
        <v>40</v>
      </c>
      <c r="D171" s="9">
        <f>IF(SUMPRODUCT((Data!$D$2:$D$2277=A171)*(Data!$E$2:$E$2277=C171)*(Data!$M$2:$M$2277="Vladimir Zelenskiy"))&gt;0,SUMPRODUCT((Data!$D$2:$D$2277=A171)*(Data!$E$2:$E$2277=C171)*(Data!$M$2:$M$2277="Vladimir Zelenskiy")*IF(ISNUMBER(Data!$W$2:$W$2277),Data!$W$2:$W$2277,0))/SUMPRODUCT((Data!$D$2:$D$2277=A171)*(Data!$E$2:$E$2277=C171)*(Data!$M$2:$M$2277="Vladimir Zelenskiy")),"")</f>
        <v>24</v>
      </c>
      <c r="E171" s="9" t="str">
        <f>IF(SUMPRODUCT((Data!$D$2:$D$2277=A171)*(Data!$E$2:$E$2277=C171)*(Data!$M$2:$M$2277="Valerii Zaluzhniy"))&gt;0,SUMPRODUCT((Data!$D$2:$D$2277=A171)*(Data!$E$2:$E$2277=C171)*(Data!$M$2:$M$2277="Valerii Zaluzhniy")*IF(ISNUMBER(Data!$W$2:$W$2277),Data!$W$2:$W$2277,0))/SUMPRODUCT((Data!$D$2:$D$2277=A171)*(Data!$E$2:$E$2277=C171)*(Data!$M$2:$M$2277="Valerii Zaluzhniy")),"")</f>
        <v/>
      </c>
      <c r="F171" s="9" t="str">
        <f>IF(SUMPRODUCT((Data!$D$2:$D$2277=A171)*(Data!$E$2:$E$2277=C171)*(Data!$M$2:$M$2277="Kyrylo Budanov"))&gt;0,SUMPRODUCT((Data!$D$2:$D$2277=A171)*(Data!$E$2:$E$2277=C171)*(Data!$M$2:$M$2277="Kyrylo Budanov")*IF(ISNUMBER(Data!$W$2:$W$2277),Data!$W$2:$W$2277,0))/SUMPRODUCT((Data!$D$2:$D$2277=A171)*(Data!$E$2:$E$2277=C171)*(Data!$M$2:$M$2277="Kyrylo Budanov")),"")</f>
        <v/>
      </c>
      <c r="G171" s="9">
        <f>IF(SUMPRODUCT((Data!$D$2:$D$2277=A171)*(Data!$E$2:$E$2277=C171)*(Data!$M$2:$M$2277="Pyotr Poroshenko"))&gt;0,SUMPRODUCT((Data!$D$2:$D$2277=A171)*(Data!$E$2:$E$2277=C171)*(Data!$M$2:$M$2277="Pyotr Poroshenko")*IF(ISNUMBER(Data!$W$2:$W$2277),Data!$W$2:$W$2277,0))/SUMPRODUCT((Data!$D$2:$D$2277=A171)*(Data!$E$2:$E$2277=C171)*(Data!$M$2:$M$2277="Pyotr Poroshenko")),"")</f>
        <v>13</v>
      </c>
      <c r="H171" s="10" t="str">
        <f t="array" ref="H171">IFERROR(INDEX(Avg!$F$2:$F$50,MATCH(DATE(YEAR(A171),MONTH(A171),1),Avg!$A$2:$A$50,0)),"")</f>
        <v/>
      </c>
      <c r="I171" s="10" t="str">
        <f t="array" ref="I171">IFERROR(INDEX(Avg!$G$2:$G$50,MATCH(DATE(YEAR(A171),MONTH(A171),1),Avg!$A$2:$A$50,0)),"")</f>
        <v/>
      </c>
      <c r="J171" s="10" t="str">
        <f t="array" ref="J171">IFERROR(INDEX(Avg!$H$2:$H$50,MATCH(DATE(YEAR(A171),MONTH(A171),1),Avg!$A$2:$A$50,0)),"")</f>
        <v/>
      </c>
      <c r="K171" s="10" t="str">
        <f t="array" ref="K171">IFERROR(INDEX(Avg!$I$2:$I$50,MATCH(DATE(YEAR(A171),MONTH(A171),1),Avg!$A$2:$A$50,0)),"")</f>
        <v/>
      </c>
      <c r="L171" s="11" t="str">
        <f t="array" ref="L171">IFERROR(INDEX(Avg!$L$2:$L$50,MATCH(DATE(YEAR(A171),MONTH(A171),1),Avg!$A$2:$A$50,0)),"")</f>
        <v/>
      </c>
      <c r="M171" s="11" t="str">
        <f t="array" ref="M171">IFERROR(INDEX(Avg!$M$2:$M$50,MATCH(DATE(YEAR(A171),MONTH(A171),1),Avg!$A$2:$A$50,0)),"")</f>
        <v/>
      </c>
      <c r="N171" s="11" t="str">
        <f t="array" ref="N171">IFERROR(INDEX(Avg!$N$2:$N$50,MATCH(DATE(YEAR(A171),MONTH(A171),1),Avg!$A$2:$A$50,0)),"")</f>
        <v/>
      </c>
      <c r="O171" s="11" t="str">
        <f t="array" ref="O171">IFERROR(INDEX(Avg!$O$2:$O$50,MATCH(DATE(YEAR(A171),MONTH(A171),1),Avg!$A$2:$A$50,0)),"")</f>
        <v/>
      </c>
    </row>
    <row r="172" ht="15.75" customHeight="1">
      <c r="A172" s="7" t="s">
        <v>246</v>
      </c>
      <c r="B172" s="7" t="s">
        <v>243</v>
      </c>
      <c r="C172" s="8" t="s">
        <v>106</v>
      </c>
      <c r="D172" s="9">
        <f>IF(SUMPRODUCT((Data!$D$2:$D$2277=A172)*(Data!$E$2:$E$2277=C172)*(Data!$M$2:$M$2277="Vladimir Zelenskiy"))&gt;0,SUMPRODUCT((Data!$D$2:$D$2277=A172)*(Data!$E$2:$E$2277=C172)*(Data!$M$2:$M$2277="Vladimir Zelenskiy")*IF(ISNUMBER(Data!$W$2:$W$2277),Data!$W$2:$W$2277,0))/SUMPRODUCT((Data!$D$2:$D$2277=A172)*(Data!$E$2:$E$2277=C172)*(Data!$M$2:$M$2277="Vladimir Zelenskiy")),"")</f>
        <v>18.6</v>
      </c>
      <c r="E172" s="9" t="str">
        <f>IF(SUMPRODUCT((Data!$D$2:$D$2277=A172)*(Data!$E$2:$E$2277=C172)*(Data!$M$2:$M$2277="Valerii Zaluzhniy"))&gt;0,SUMPRODUCT((Data!$D$2:$D$2277=A172)*(Data!$E$2:$E$2277=C172)*(Data!$M$2:$M$2277="Valerii Zaluzhniy")*IF(ISNUMBER(Data!$W$2:$W$2277),Data!$W$2:$W$2277,0))/SUMPRODUCT((Data!$D$2:$D$2277=A172)*(Data!$E$2:$E$2277=C172)*(Data!$M$2:$M$2277="Valerii Zaluzhniy")),"")</f>
        <v/>
      </c>
      <c r="F172" s="9" t="str">
        <f>IF(SUMPRODUCT((Data!$D$2:$D$2277=A172)*(Data!$E$2:$E$2277=C172)*(Data!$M$2:$M$2277="Kyrylo Budanov"))&gt;0,SUMPRODUCT((Data!$D$2:$D$2277=A172)*(Data!$E$2:$E$2277=C172)*(Data!$M$2:$M$2277="Kyrylo Budanov")*IF(ISNUMBER(Data!$W$2:$W$2277),Data!$W$2:$W$2277,0))/SUMPRODUCT((Data!$D$2:$D$2277=A172)*(Data!$E$2:$E$2277=C172)*(Data!$M$2:$M$2277="Kyrylo Budanov")),"")</f>
        <v/>
      </c>
      <c r="G172" s="9">
        <f>IF(SUMPRODUCT((Data!$D$2:$D$2277=A172)*(Data!$E$2:$E$2277=C172)*(Data!$M$2:$M$2277="Pyotr Poroshenko"))&gt;0,SUMPRODUCT((Data!$D$2:$D$2277=A172)*(Data!$E$2:$E$2277=C172)*(Data!$M$2:$M$2277="Pyotr Poroshenko")*IF(ISNUMBER(Data!$W$2:$W$2277),Data!$W$2:$W$2277,0))/SUMPRODUCT((Data!$D$2:$D$2277=A172)*(Data!$E$2:$E$2277=C172)*(Data!$M$2:$M$2277="Pyotr Poroshenko")),"")</f>
        <v>12.9</v>
      </c>
      <c r="H172" s="10" t="str">
        <f t="array" ref="H172">IFERROR(INDEX(Avg!$F$2:$F$50,MATCH(DATE(YEAR(A172),MONTH(A172),1),Avg!$A$2:$A$50,0)),"")</f>
        <v/>
      </c>
      <c r="I172" s="10" t="str">
        <f t="array" ref="I172">IFERROR(INDEX(Avg!$G$2:$G$50,MATCH(DATE(YEAR(A172),MONTH(A172),1),Avg!$A$2:$A$50,0)),"")</f>
        <v/>
      </c>
      <c r="J172" s="10" t="str">
        <f t="array" ref="J172">IFERROR(INDEX(Avg!$H$2:$H$50,MATCH(DATE(YEAR(A172),MONTH(A172),1),Avg!$A$2:$A$50,0)),"")</f>
        <v/>
      </c>
      <c r="K172" s="10" t="str">
        <f t="array" ref="K172">IFERROR(INDEX(Avg!$I$2:$I$50,MATCH(DATE(YEAR(A172),MONTH(A172),1),Avg!$A$2:$A$50,0)),"")</f>
        <v/>
      </c>
      <c r="L172" s="11" t="str">
        <f t="array" ref="L172">IFERROR(INDEX(Avg!$L$2:$L$50,MATCH(DATE(YEAR(A172),MONTH(A172),1),Avg!$A$2:$A$50,0)),"")</f>
        <v/>
      </c>
      <c r="M172" s="11" t="str">
        <f t="array" ref="M172">IFERROR(INDEX(Avg!$M$2:$M$50,MATCH(DATE(YEAR(A172),MONTH(A172),1),Avg!$A$2:$A$50,0)),"")</f>
        <v/>
      </c>
      <c r="N172" s="11" t="str">
        <f t="array" ref="N172">IFERROR(INDEX(Avg!$N$2:$N$50,MATCH(DATE(YEAR(A172),MONTH(A172),1),Avg!$A$2:$A$50,0)),"")</f>
        <v/>
      </c>
      <c r="O172" s="11" t="str">
        <f t="array" ref="O172">IFERROR(INDEX(Avg!$O$2:$O$50,MATCH(DATE(YEAR(A172),MONTH(A172),1),Avg!$A$2:$A$50,0)),"")</f>
        <v/>
      </c>
    </row>
    <row r="173" ht="15.75" customHeight="1">
      <c r="A173" s="7" t="s">
        <v>247</v>
      </c>
      <c r="B173" s="7" t="s">
        <v>248</v>
      </c>
      <c r="C173" s="8" t="s">
        <v>249</v>
      </c>
      <c r="D173" s="9">
        <f>IF(SUMPRODUCT((Data!$D$2:$D$2277=A173)*(Data!$E$2:$E$2277=C173)*(Data!$M$2:$M$2277="Vladimir Zelenskiy"))&gt;0,SUMPRODUCT((Data!$D$2:$D$2277=A173)*(Data!$E$2:$E$2277=C173)*(Data!$M$2:$M$2277="Vladimir Zelenskiy")*IF(ISNUMBER(Data!$W$2:$W$2277),Data!$W$2:$W$2277,0))/SUMPRODUCT((Data!$D$2:$D$2277=A173)*(Data!$E$2:$E$2277=C173)*(Data!$M$2:$M$2277="Vladimir Zelenskiy")),"")</f>
        <v>26.4</v>
      </c>
      <c r="E173" s="9" t="str">
        <f>IF(SUMPRODUCT((Data!$D$2:$D$2277=A173)*(Data!$E$2:$E$2277=C173)*(Data!$M$2:$M$2277="Valerii Zaluzhniy"))&gt;0,SUMPRODUCT((Data!$D$2:$D$2277=A173)*(Data!$E$2:$E$2277=C173)*(Data!$M$2:$M$2277="Valerii Zaluzhniy")*IF(ISNUMBER(Data!$W$2:$W$2277),Data!$W$2:$W$2277,0))/SUMPRODUCT((Data!$D$2:$D$2277=A173)*(Data!$E$2:$E$2277=C173)*(Data!$M$2:$M$2277="Valerii Zaluzhniy")),"")</f>
        <v/>
      </c>
      <c r="F173" s="9" t="str">
        <f>IF(SUMPRODUCT((Data!$D$2:$D$2277=A173)*(Data!$E$2:$E$2277=C173)*(Data!$M$2:$M$2277="Kyrylo Budanov"))&gt;0,SUMPRODUCT((Data!$D$2:$D$2277=A173)*(Data!$E$2:$E$2277=C173)*(Data!$M$2:$M$2277="Kyrylo Budanov")*IF(ISNUMBER(Data!$W$2:$W$2277),Data!$W$2:$W$2277,0))/SUMPRODUCT((Data!$D$2:$D$2277=A173)*(Data!$E$2:$E$2277=C173)*(Data!$M$2:$M$2277="Kyrylo Budanov")),"")</f>
        <v/>
      </c>
      <c r="G173" s="9">
        <f>IF(SUMPRODUCT((Data!$D$2:$D$2277=A173)*(Data!$E$2:$E$2277=C173)*(Data!$M$2:$M$2277="Pyotr Poroshenko"))&gt;0,SUMPRODUCT((Data!$D$2:$D$2277=A173)*(Data!$E$2:$E$2277=C173)*(Data!$M$2:$M$2277="Pyotr Poroshenko")*IF(ISNUMBER(Data!$W$2:$W$2277),Data!$W$2:$W$2277,0))/SUMPRODUCT((Data!$D$2:$D$2277=A173)*(Data!$E$2:$E$2277=C173)*(Data!$M$2:$M$2277="Pyotr Poroshenko")),"")</f>
        <v>10.4</v>
      </c>
      <c r="H173" s="10" t="str">
        <f t="array" ref="H173">IFERROR(INDEX(Avg!$F$2:$F$50,MATCH(DATE(YEAR(A173),MONTH(A173),1),Avg!$A$2:$A$50,0)),"")</f>
        <v/>
      </c>
      <c r="I173" s="10" t="str">
        <f t="array" ref="I173">IFERROR(INDEX(Avg!$G$2:$G$50,MATCH(DATE(YEAR(A173),MONTH(A173),1),Avg!$A$2:$A$50,0)),"")</f>
        <v/>
      </c>
      <c r="J173" s="10" t="str">
        <f t="array" ref="J173">IFERROR(INDEX(Avg!$H$2:$H$50,MATCH(DATE(YEAR(A173),MONTH(A173),1),Avg!$A$2:$A$50,0)),"")</f>
        <v/>
      </c>
      <c r="K173" s="10" t="str">
        <f t="array" ref="K173">IFERROR(INDEX(Avg!$I$2:$I$50,MATCH(DATE(YEAR(A173),MONTH(A173),1),Avg!$A$2:$A$50,0)),"")</f>
        <v/>
      </c>
      <c r="L173" s="11" t="str">
        <f t="array" ref="L173">IFERROR(INDEX(Avg!$L$2:$L$50,MATCH(DATE(YEAR(A173),MONTH(A173),1),Avg!$A$2:$A$50,0)),"")</f>
        <v/>
      </c>
      <c r="M173" s="11" t="str">
        <f t="array" ref="M173">IFERROR(INDEX(Avg!$M$2:$M$50,MATCH(DATE(YEAR(A173),MONTH(A173),1),Avg!$A$2:$A$50,0)),"")</f>
        <v/>
      </c>
      <c r="N173" s="11" t="str">
        <f t="array" ref="N173">IFERROR(INDEX(Avg!$N$2:$N$50,MATCH(DATE(YEAR(A173),MONTH(A173),1),Avg!$A$2:$A$50,0)),"")</f>
        <v/>
      </c>
      <c r="O173" s="11" t="str">
        <f t="array" ref="O173">IFERROR(INDEX(Avg!$O$2:$O$50,MATCH(DATE(YEAR(A173),MONTH(A173),1),Avg!$A$2:$A$50,0)),"")</f>
        <v/>
      </c>
    </row>
    <row r="174" ht="15.75" customHeight="1">
      <c r="A174" s="7" t="s">
        <v>250</v>
      </c>
      <c r="B174" s="7" t="s">
        <v>248</v>
      </c>
      <c r="C174" s="8" t="s">
        <v>106</v>
      </c>
      <c r="D174" s="9">
        <f>IF(SUMPRODUCT((Data!$D$2:$D$2277=A174)*(Data!$E$2:$E$2277=C174)*(Data!$M$2:$M$2277="Vladimir Zelenskiy"))&gt;0,SUMPRODUCT((Data!$D$2:$D$2277=A174)*(Data!$E$2:$E$2277=C174)*(Data!$M$2:$M$2277="Vladimir Zelenskiy")*IF(ISNUMBER(Data!$W$2:$W$2277),Data!$W$2:$W$2277,0))/SUMPRODUCT((Data!$D$2:$D$2277=A174)*(Data!$E$2:$E$2277=C174)*(Data!$M$2:$M$2277="Vladimir Zelenskiy")),"")</f>
        <v>21.4</v>
      </c>
      <c r="E174" s="9" t="str">
        <f>IF(SUMPRODUCT((Data!$D$2:$D$2277=A174)*(Data!$E$2:$E$2277=C174)*(Data!$M$2:$M$2277="Valerii Zaluzhniy"))&gt;0,SUMPRODUCT((Data!$D$2:$D$2277=A174)*(Data!$E$2:$E$2277=C174)*(Data!$M$2:$M$2277="Valerii Zaluzhniy")*IF(ISNUMBER(Data!$W$2:$W$2277),Data!$W$2:$W$2277,0))/SUMPRODUCT((Data!$D$2:$D$2277=A174)*(Data!$E$2:$E$2277=C174)*(Data!$M$2:$M$2277="Valerii Zaluzhniy")),"")</f>
        <v/>
      </c>
      <c r="F174" s="9" t="str">
        <f>IF(SUMPRODUCT((Data!$D$2:$D$2277=A174)*(Data!$E$2:$E$2277=C174)*(Data!$M$2:$M$2277="Kyrylo Budanov"))&gt;0,SUMPRODUCT((Data!$D$2:$D$2277=A174)*(Data!$E$2:$E$2277=C174)*(Data!$M$2:$M$2277="Kyrylo Budanov")*IF(ISNUMBER(Data!$W$2:$W$2277),Data!$W$2:$W$2277,0))/SUMPRODUCT((Data!$D$2:$D$2277=A174)*(Data!$E$2:$E$2277=C174)*(Data!$M$2:$M$2277="Kyrylo Budanov")),"")</f>
        <v/>
      </c>
      <c r="G174" s="9">
        <f>IF(SUMPRODUCT((Data!$D$2:$D$2277=A174)*(Data!$E$2:$E$2277=C174)*(Data!$M$2:$M$2277="Pyotr Poroshenko"))&gt;0,SUMPRODUCT((Data!$D$2:$D$2277=A174)*(Data!$E$2:$E$2277=C174)*(Data!$M$2:$M$2277="Pyotr Poroshenko")*IF(ISNUMBER(Data!$W$2:$W$2277),Data!$W$2:$W$2277,0))/SUMPRODUCT((Data!$D$2:$D$2277=A174)*(Data!$E$2:$E$2277=C174)*(Data!$M$2:$M$2277="Pyotr Poroshenko")),"")</f>
        <v>13.6</v>
      </c>
      <c r="H174" s="10" t="str">
        <f t="array" ref="H174">IFERROR(INDEX(Avg!$F$2:$F$50,MATCH(DATE(YEAR(A174),MONTH(A174),1),Avg!$A$2:$A$50,0)),"")</f>
        <v/>
      </c>
      <c r="I174" s="10" t="str">
        <f t="array" ref="I174">IFERROR(INDEX(Avg!$G$2:$G$50,MATCH(DATE(YEAR(A174),MONTH(A174),1),Avg!$A$2:$A$50,0)),"")</f>
        <v/>
      </c>
      <c r="J174" s="10" t="str">
        <f t="array" ref="J174">IFERROR(INDEX(Avg!$H$2:$H$50,MATCH(DATE(YEAR(A174),MONTH(A174),1),Avg!$A$2:$A$50,0)),"")</f>
        <v/>
      </c>
      <c r="K174" s="10" t="str">
        <f t="array" ref="K174">IFERROR(INDEX(Avg!$I$2:$I$50,MATCH(DATE(YEAR(A174),MONTH(A174),1),Avg!$A$2:$A$50,0)),"")</f>
        <v/>
      </c>
      <c r="L174" s="11" t="str">
        <f t="array" ref="L174">IFERROR(INDEX(Avg!$L$2:$L$50,MATCH(DATE(YEAR(A174),MONTH(A174),1),Avg!$A$2:$A$50,0)),"")</f>
        <v/>
      </c>
      <c r="M174" s="11" t="str">
        <f t="array" ref="M174">IFERROR(INDEX(Avg!$M$2:$M$50,MATCH(DATE(YEAR(A174),MONTH(A174),1),Avg!$A$2:$A$50,0)),"")</f>
        <v/>
      </c>
      <c r="N174" s="11" t="str">
        <f t="array" ref="N174">IFERROR(INDEX(Avg!$N$2:$N$50,MATCH(DATE(YEAR(A174),MONTH(A174),1),Avg!$A$2:$A$50,0)),"")</f>
        <v/>
      </c>
      <c r="O174" s="11" t="str">
        <f t="array" ref="O174">IFERROR(INDEX(Avg!$O$2:$O$50,MATCH(DATE(YEAR(A174),MONTH(A174),1),Avg!$A$2:$A$50,0)),"")</f>
        <v/>
      </c>
    </row>
    <row r="175" ht="15.75" customHeight="1">
      <c r="A175" s="7" t="s">
        <v>251</v>
      </c>
      <c r="B175" s="7" t="s">
        <v>252</v>
      </c>
      <c r="C175" s="8" t="s">
        <v>17</v>
      </c>
      <c r="D175" s="9">
        <f>IF(SUMPRODUCT((Data!$D$2:$D$2277=A175)*(Data!$E$2:$E$2277=C175)*(Data!$M$2:$M$2277="Vladimir Zelenskiy"))&gt;0,SUMPRODUCT((Data!$D$2:$D$2277=A175)*(Data!$E$2:$E$2277=C175)*(Data!$M$2:$M$2277="Vladimir Zelenskiy")*IF(ISNUMBER(Data!$W$2:$W$2277),Data!$W$2:$W$2277,0))/SUMPRODUCT((Data!$D$2:$D$2277=A175)*(Data!$E$2:$E$2277=C175)*(Data!$M$2:$M$2277="Vladimir Zelenskiy")),"")</f>
        <v>23.8</v>
      </c>
      <c r="E175" s="9" t="str">
        <f>IF(SUMPRODUCT((Data!$D$2:$D$2277=A175)*(Data!$E$2:$E$2277=C175)*(Data!$M$2:$M$2277="Valerii Zaluzhniy"))&gt;0,SUMPRODUCT((Data!$D$2:$D$2277=A175)*(Data!$E$2:$E$2277=C175)*(Data!$M$2:$M$2277="Valerii Zaluzhniy")*IF(ISNUMBER(Data!$W$2:$W$2277),Data!$W$2:$W$2277,0))/SUMPRODUCT((Data!$D$2:$D$2277=A175)*(Data!$E$2:$E$2277=C175)*(Data!$M$2:$M$2277="Valerii Zaluzhniy")),"")</f>
        <v/>
      </c>
      <c r="F175" s="9" t="str">
        <f>IF(SUMPRODUCT((Data!$D$2:$D$2277=A175)*(Data!$E$2:$E$2277=C175)*(Data!$M$2:$M$2277="Kyrylo Budanov"))&gt;0,SUMPRODUCT((Data!$D$2:$D$2277=A175)*(Data!$E$2:$E$2277=C175)*(Data!$M$2:$M$2277="Kyrylo Budanov")*IF(ISNUMBER(Data!$W$2:$W$2277),Data!$W$2:$W$2277,0))/SUMPRODUCT((Data!$D$2:$D$2277=A175)*(Data!$E$2:$E$2277=C175)*(Data!$M$2:$M$2277="Kyrylo Budanov")),"")</f>
        <v/>
      </c>
      <c r="G175" s="9">
        <f>IF(SUMPRODUCT((Data!$D$2:$D$2277=A175)*(Data!$E$2:$E$2277=C175)*(Data!$M$2:$M$2277="Pyotr Poroshenko"))&gt;0,SUMPRODUCT((Data!$D$2:$D$2277=A175)*(Data!$E$2:$E$2277=C175)*(Data!$M$2:$M$2277="Pyotr Poroshenko")*IF(ISNUMBER(Data!$W$2:$W$2277),Data!$W$2:$W$2277,0))/SUMPRODUCT((Data!$D$2:$D$2277=A175)*(Data!$E$2:$E$2277=C175)*(Data!$M$2:$M$2277="Pyotr Poroshenko")),"")</f>
        <v>13</v>
      </c>
      <c r="H175" s="10" t="str">
        <f t="array" ref="H175">IFERROR(INDEX(Avg!$F$2:$F$50,MATCH(DATE(YEAR(A175),MONTH(A175),1),Avg!$A$2:$A$50,0)),"")</f>
        <v/>
      </c>
      <c r="I175" s="10" t="str">
        <f t="array" ref="I175">IFERROR(INDEX(Avg!$G$2:$G$50,MATCH(DATE(YEAR(A175),MONTH(A175),1),Avg!$A$2:$A$50,0)),"")</f>
        <v/>
      </c>
      <c r="J175" s="10" t="str">
        <f t="array" ref="J175">IFERROR(INDEX(Avg!$H$2:$H$50,MATCH(DATE(YEAR(A175),MONTH(A175),1),Avg!$A$2:$A$50,0)),"")</f>
        <v/>
      </c>
      <c r="K175" s="10" t="str">
        <f t="array" ref="K175">IFERROR(INDEX(Avg!$I$2:$I$50,MATCH(DATE(YEAR(A175),MONTH(A175),1),Avg!$A$2:$A$50,0)),"")</f>
        <v/>
      </c>
      <c r="L175" s="11" t="str">
        <f t="array" ref="L175">IFERROR(INDEX(Avg!$L$2:$L$50,MATCH(DATE(YEAR(A175),MONTH(A175),1),Avg!$A$2:$A$50,0)),"")</f>
        <v/>
      </c>
      <c r="M175" s="11" t="str">
        <f t="array" ref="M175">IFERROR(INDEX(Avg!$M$2:$M$50,MATCH(DATE(YEAR(A175),MONTH(A175),1),Avg!$A$2:$A$50,0)),"")</f>
        <v/>
      </c>
      <c r="N175" s="11" t="str">
        <f t="array" ref="N175">IFERROR(INDEX(Avg!$N$2:$N$50,MATCH(DATE(YEAR(A175),MONTH(A175),1),Avg!$A$2:$A$50,0)),"")</f>
        <v/>
      </c>
      <c r="O175" s="11" t="str">
        <f t="array" ref="O175">IFERROR(INDEX(Avg!$O$2:$O$50,MATCH(DATE(YEAR(A175),MONTH(A175),1),Avg!$A$2:$A$50,0)),"")</f>
        <v/>
      </c>
    </row>
    <row r="176" ht="15.75" customHeight="1">
      <c r="A176" s="7" t="s">
        <v>250</v>
      </c>
      <c r="B176" s="7" t="s">
        <v>252</v>
      </c>
      <c r="C176" s="8" t="s">
        <v>72</v>
      </c>
      <c r="D176" s="9">
        <f>IF(SUMPRODUCT((Data!$D$2:$D$2277=A176)*(Data!$E$2:$E$2277=C176)*(Data!$M$2:$M$2277="Vladimir Zelenskiy"))&gt;0,SUMPRODUCT((Data!$D$2:$D$2277=A176)*(Data!$E$2:$E$2277=C176)*(Data!$M$2:$M$2277="Vladimir Zelenskiy")*IF(ISNUMBER(Data!$W$2:$W$2277),Data!$W$2:$W$2277,0))/SUMPRODUCT((Data!$D$2:$D$2277=A176)*(Data!$E$2:$E$2277=C176)*(Data!$M$2:$M$2277="Vladimir Zelenskiy")),"")</f>
        <v>25.3</v>
      </c>
      <c r="E176" s="9" t="str">
        <f>IF(SUMPRODUCT((Data!$D$2:$D$2277=A176)*(Data!$E$2:$E$2277=C176)*(Data!$M$2:$M$2277="Valerii Zaluzhniy"))&gt;0,SUMPRODUCT((Data!$D$2:$D$2277=A176)*(Data!$E$2:$E$2277=C176)*(Data!$M$2:$M$2277="Valerii Zaluzhniy")*IF(ISNUMBER(Data!$W$2:$W$2277),Data!$W$2:$W$2277,0))/SUMPRODUCT((Data!$D$2:$D$2277=A176)*(Data!$E$2:$E$2277=C176)*(Data!$M$2:$M$2277="Valerii Zaluzhniy")),"")</f>
        <v/>
      </c>
      <c r="F176" s="9" t="str">
        <f>IF(SUMPRODUCT((Data!$D$2:$D$2277=A176)*(Data!$E$2:$E$2277=C176)*(Data!$M$2:$M$2277="Kyrylo Budanov"))&gt;0,SUMPRODUCT((Data!$D$2:$D$2277=A176)*(Data!$E$2:$E$2277=C176)*(Data!$M$2:$M$2277="Kyrylo Budanov")*IF(ISNUMBER(Data!$W$2:$W$2277),Data!$W$2:$W$2277,0))/SUMPRODUCT((Data!$D$2:$D$2277=A176)*(Data!$E$2:$E$2277=C176)*(Data!$M$2:$M$2277="Kyrylo Budanov")),"")</f>
        <v/>
      </c>
      <c r="G176" s="9">
        <f>IF(SUMPRODUCT((Data!$D$2:$D$2277=A176)*(Data!$E$2:$E$2277=C176)*(Data!$M$2:$M$2277="Pyotr Poroshenko"))&gt;0,SUMPRODUCT((Data!$D$2:$D$2277=A176)*(Data!$E$2:$E$2277=C176)*(Data!$M$2:$M$2277="Pyotr Poroshenko")*IF(ISNUMBER(Data!$W$2:$W$2277),Data!$W$2:$W$2277,0))/SUMPRODUCT((Data!$D$2:$D$2277=A176)*(Data!$E$2:$E$2277=C176)*(Data!$M$2:$M$2277="Pyotr Poroshenko")),"")</f>
        <v>13.2</v>
      </c>
      <c r="H176" s="10" t="str">
        <f t="array" ref="H176">IFERROR(INDEX(Avg!$F$2:$F$50,MATCH(DATE(YEAR(A176),MONTH(A176),1),Avg!$A$2:$A$50,0)),"")</f>
        <v/>
      </c>
      <c r="I176" s="10" t="str">
        <f t="array" ref="I176">IFERROR(INDEX(Avg!$G$2:$G$50,MATCH(DATE(YEAR(A176),MONTH(A176),1),Avg!$A$2:$A$50,0)),"")</f>
        <v/>
      </c>
      <c r="J176" s="10" t="str">
        <f t="array" ref="J176">IFERROR(INDEX(Avg!$H$2:$H$50,MATCH(DATE(YEAR(A176),MONTH(A176),1),Avg!$A$2:$A$50,0)),"")</f>
        <v/>
      </c>
      <c r="K176" s="10" t="str">
        <f t="array" ref="K176">IFERROR(INDEX(Avg!$I$2:$I$50,MATCH(DATE(YEAR(A176),MONTH(A176),1),Avg!$A$2:$A$50,0)),"")</f>
        <v/>
      </c>
      <c r="L176" s="11" t="str">
        <f t="array" ref="L176">IFERROR(INDEX(Avg!$L$2:$L$50,MATCH(DATE(YEAR(A176),MONTH(A176),1),Avg!$A$2:$A$50,0)),"")</f>
        <v/>
      </c>
      <c r="M176" s="11" t="str">
        <f t="array" ref="M176">IFERROR(INDEX(Avg!$M$2:$M$50,MATCH(DATE(YEAR(A176),MONTH(A176),1),Avg!$A$2:$A$50,0)),"")</f>
        <v/>
      </c>
      <c r="N176" s="11" t="str">
        <f t="array" ref="N176">IFERROR(INDEX(Avg!$N$2:$N$50,MATCH(DATE(YEAR(A176),MONTH(A176),1),Avg!$A$2:$A$50,0)),"")</f>
        <v/>
      </c>
      <c r="O176" s="11" t="str">
        <f t="array" ref="O176">IFERROR(INDEX(Avg!$O$2:$O$50,MATCH(DATE(YEAR(A176),MONTH(A176),1),Avg!$A$2:$A$50,0)),"")</f>
        <v/>
      </c>
    </row>
    <row r="177" ht="15.75" customHeight="1">
      <c r="A177" s="7" t="s">
        <v>253</v>
      </c>
      <c r="B177" s="7" t="s">
        <v>254</v>
      </c>
      <c r="C177" s="8" t="s">
        <v>17</v>
      </c>
      <c r="D177" s="9">
        <f>IF(SUMPRODUCT((Data!$D$2:$D$2277=A177)*(Data!$E$2:$E$2277=C177)*(Data!$M$2:$M$2277="Vladimir Zelenskiy"))&gt;0,SUMPRODUCT((Data!$D$2:$D$2277=A177)*(Data!$E$2:$E$2277=C177)*(Data!$M$2:$M$2277="Vladimir Zelenskiy")*IF(ISNUMBER(Data!$W$2:$W$2277),Data!$W$2:$W$2277,0))/SUMPRODUCT((Data!$D$2:$D$2277=A177)*(Data!$E$2:$E$2277=C177)*(Data!$M$2:$M$2277="Vladimir Zelenskiy")),"")</f>
        <v>22.3</v>
      </c>
      <c r="E177" s="9" t="str">
        <f>IF(SUMPRODUCT((Data!$D$2:$D$2277=A177)*(Data!$E$2:$E$2277=C177)*(Data!$M$2:$M$2277="Valerii Zaluzhniy"))&gt;0,SUMPRODUCT((Data!$D$2:$D$2277=A177)*(Data!$E$2:$E$2277=C177)*(Data!$M$2:$M$2277="Valerii Zaluzhniy")*IF(ISNUMBER(Data!$W$2:$W$2277),Data!$W$2:$W$2277,0))/SUMPRODUCT((Data!$D$2:$D$2277=A177)*(Data!$E$2:$E$2277=C177)*(Data!$M$2:$M$2277="Valerii Zaluzhniy")),"")</f>
        <v/>
      </c>
      <c r="F177" s="9" t="str">
        <f>IF(SUMPRODUCT((Data!$D$2:$D$2277=A177)*(Data!$E$2:$E$2277=C177)*(Data!$M$2:$M$2277="Kyrylo Budanov"))&gt;0,SUMPRODUCT((Data!$D$2:$D$2277=A177)*(Data!$E$2:$E$2277=C177)*(Data!$M$2:$M$2277="Kyrylo Budanov")*IF(ISNUMBER(Data!$W$2:$W$2277),Data!$W$2:$W$2277,0))/SUMPRODUCT((Data!$D$2:$D$2277=A177)*(Data!$E$2:$E$2277=C177)*(Data!$M$2:$M$2277="Kyrylo Budanov")),"")</f>
        <v/>
      </c>
      <c r="G177" s="9">
        <f>IF(SUMPRODUCT((Data!$D$2:$D$2277=A177)*(Data!$E$2:$E$2277=C177)*(Data!$M$2:$M$2277="Pyotr Poroshenko"))&gt;0,SUMPRODUCT((Data!$D$2:$D$2277=A177)*(Data!$E$2:$E$2277=C177)*(Data!$M$2:$M$2277="Pyotr Poroshenko")*IF(ISNUMBER(Data!$W$2:$W$2277),Data!$W$2:$W$2277,0))/SUMPRODUCT((Data!$D$2:$D$2277=A177)*(Data!$E$2:$E$2277=C177)*(Data!$M$2:$M$2277="Pyotr Poroshenko")),"")</f>
        <v>14</v>
      </c>
      <c r="H177" s="10" t="str">
        <f t="array" ref="H177">IFERROR(INDEX(Avg!$F$2:$F$50,MATCH(DATE(YEAR(A177),MONTH(A177),1),Avg!$A$2:$A$50,0)),"")</f>
        <v/>
      </c>
      <c r="I177" s="10" t="str">
        <f t="array" ref="I177">IFERROR(INDEX(Avg!$G$2:$G$50,MATCH(DATE(YEAR(A177),MONTH(A177),1),Avg!$A$2:$A$50,0)),"")</f>
        <v/>
      </c>
      <c r="J177" s="10" t="str">
        <f t="array" ref="J177">IFERROR(INDEX(Avg!$H$2:$H$50,MATCH(DATE(YEAR(A177),MONTH(A177),1),Avg!$A$2:$A$50,0)),"")</f>
        <v/>
      </c>
      <c r="K177" s="10" t="str">
        <f t="array" ref="K177">IFERROR(INDEX(Avg!$I$2:$I$50,MATCH(DATE(YEAR(A177),MONTH(A177),1),Avg!$A$2:$A$50,0)),"")</f>
        <v/>
      </c>
      <c r="L177" s="11" t="str">
        <f t="array" ref="L177">IFERROR(INDEX(Avg!$L$2:$L$50,MATCH(DATE(YEAR(A177),MONTH(A177),1),Avg!$A$2:$A$50,0)),"")</f>
        <v/>
      </c>
      <c r="M177" s="11" t="str">
        <f t="array" ref="M177">IFERROR(INDEX(Avg!$M$2:$M$50,MATCH(DATE(YEAR(A177),MONTH(A177),1),Avg!$A$2:$A$50,0)),"")</f>
        <v/>
      </c>
      <c r="N177" s="11" t="str">
        <f t="array" ref="N177">IFERROR(INDEX(Avg!$N$2:$N$50,MATCH(DATE(YEAR(A177),MONTH(A177),1),Avg!$A$2:$A$50,0)),"")</f>
        <v/>
      </c>
      <c r="O177" s="11" t="str">
        <f t="array" ref="O177">IFERROR(INDEX(Avg!$O$2:$O$50,MATCH(DATE(YEAR(A177),MONTH(A177),1),Avg!$A$2:$A$50,0)),"")</f>
        <v/>
      </c>
    </row>
    <row r="178" ht="15.75" customHeight="1">
      <c r="A178" s="7" t="s">
        <v>255</v>
      </c>
      <c r="B178" s="7" t="s">
        <v>254</v>
      </c>
      <c r="C178" s="8" t="s">
        <v>72</v>
      </c>
      <c r="D178" s="9">
        <f>IF(SUMPRODUCT((Data!$D$2:$D$2277=A178)*(Data!$E$2:$E$2277=C178)*(Data!$M$2:$M$2277="Vladimir Zelenskiy"))&gt;0,SUMPRODUCT((Data!$D$2:$D$2277=A178)*(Data!$E$2:$E$2277=C178)*(Data!$M$2:$M$2277="Vladimir Zelenskiy")*IF(ISNUMBER(Data!$W$2:$W$2277),Data!$W$2:$W$2277,0))/SUMPRODUCT((Data!$D$2:$D$2277=A178)*(Data!$E$2:$E$2277=C178)*(Data!$M$2:$M$2277="Vladimir Zelenskiy")),"")</f>
        <v>22.2</v>
      </c>
      <c r="E178" s="9" t="str">
        <f>IF(SUMPRODUCT((Data!$D$2:$D$2277=A178)*(Data!$E$2:$E$2277=C178)*(Data!$M$2:$M$2277="Valerii Zaluzhniy"))&gt;0,SUMPRODUCT((Data!$D$2:$D$2277=A178)*(Data!$E$2:$E$2277=C178)*(Data!$M$2:$M$2277="Valerii Zaluzhniy")*IF(ISNUMBER(Data!$W$2:$W$2277),Data!$W$2:$W$2277,0))/SUMPRODUCT((Data!$D$2:$D$2277=A178)*(Data!$E$2:$E$2277=C178)*(Data!$M$2:$M$2277="Valerii Zaluzhniy")),"")</f>
        <v/>
      </c>
      <c r="F178" s="9" t="str">
        <f>IF(SUMPRODUCT((Data!$D$2:$D$2277=A178)*(Data!$E$2:$E$2277=C178)*(Data!$M$2:$M$2277="Kyrylo Budanov"))&gt;0,SUMPRODUCT((Data!$D$2:$D$2277=A178)*(Data!$E$2:$E$2277=C178)*(Data!$M$2:$M$2277="Kyrylo Budanov")*IF(ISNUMBER(Data!$W$2:$W$2277),Data!$W$2:$W$2277,0))/SUMPRODUCT((Data!$D$2:$D$2277=A178)*(Data!$E$2:$E$2277=C178)*(Data!$M$2:$M$2277="Kyrylo Budanov")),"")</f>
        <v/>
      </c>
      <c r="G178" s="9">
        <f>IF(SUMPRODUCT((Data!$D$2:$D$2277=A178)*(Data!$E$2:$E$2277=C178)*(Data!$M$2:$M$2277="Pyotr Poroshenko"))&gt;0,SUMPRODUCT((Data!$D$2:$D$2277=A178)*(Data!$E$2:$E$2277=C178)*(Data!$M$2:$M$2277="Pyotr Poroshenko")*IF(ISNUMBER(Data!$W$2:$W$2277),Data!$W$2:$W$2277,0))/SUMPRODUCT((Data!$D$2:$D$2277=A178)*(Data!$E$2:$E$2277=C178)*(Data!$M$2:$M$2277="Pyotr Poroshenko")),"")</f>
        <v>13.2</v>
      </c>
      <c r="H178" s="10" t="str">
        <f t="array" ref="H178">IFERROR(INDEX(Avg!$F$2:$F$50,MATCH(DATE(YEAR(A178),MONTH(A178),1),Avg!$A$2:$A$50,0)),"")</f>
        <v/>
      </c>
      <c r="I178" s="10" t="str">
        <f t="array" ref="I178">IFERROR(INDEX(Avg!$G$2:$G$50,MATCH(DATE(YEAR(A178),MONTH(A178),1),Avg!$A$2:$A$50,0)),"")</f>
        <v/>
      </c>
      <c r="J178" s="10" t="str">
        <f t="array" ref="J178">IFERROR(INDEX(Avg!$H$2:$H$50,MATCH(DATE(YEAR(A178),MONTH(A178),1),Avg!$A$2:$A$50,0)),"")</f>
        <v/>
      </c>
      <c r="K178" s="10" t="str">
        <f t="array" ref="K178">IFERROR(INDEX(Avg!$I$2:$I$50,MATCH(DATE(YEAR(A178),MONTH(A178),1),Avg!$A$2:$A$50,0)),"")</f>
        <v/>
      </c>
      <c r="L178" s="11" t="str">
        <f t="array" ref="L178">IFERROR(INDEX(Avg!$L$2:$L$50,MATCH(DATE(YEAR(A178),MONTH(A178),1),Avg!$A$2:$A$50,0)),"")</f>
        <v/>
      </c>
      <c r="M178" s="11" t="str">
        <f t="array" ref="M178">IFERROR(INDEX(Avg!$M$2:$M$50,MATCH(DATE(YEAR(A178),MONTH(A178),1),Avg!$A$2:$A$50,0)),"")</f>
        <v/>
      </c>
      <c r="N178" s="11" t="str">
        <f t="array" ref="N178">IFERROR(INDEX(Avg!$N$2:$N$50,MATCH(DATE(YEAR(A178),MONTH(A178),1),Avg!$A$2:$A$50,0)),"")</f>
        <v/>
      </c>
      <c r="O178" s="11" t="str">
        <f t="array" ref="O178">IFERROR(INDEX(Avg!$O$2:$O$50,MATCH(DATE(YEAR(A178),MONTH(A178),1),Avg!$A$2:$A$50,0)),"")</f>
        <v/>
      </c>
    </row>
    <row r="179" ht="15.75" customHeight="1">
      <c r="A179" s="7" t="s">
        <v>256</v>
      </c>
      <c r="B179" s="7" t="s">
        <v>254</v>
      </c>
      <c r="C179" s="8" t="s">
        <v>240</v>
      </c>
      <c r="D179" s="9">
        <f>IF(SUMPRODUCT((Data!$D$2:$D$2277=A179)*(Data!$E$2:$E$2277=C179)*(Data!$M$2:$M$2277="Vladimir Zelenskiy"))&gt;0,SUMPRODUCT((Data!$D$2:$D$2277=A179)*(Data!$E$2:$E$2277=C179)*(Data!$M$2:$M$2277="Vladimir Zelenskiy")*IF(ISNUMBER(Data!$W$2:$W$2277),Data!$W$2:$W$2277,0))/SUMPRODUCT((Data!$D$2:$D$2277=A179)*(Data!$E$2:$E$2277=C179)*(Data!$M$2:$M$2277="Vladimir Zelenskiy")),"")</f>
        <v>48</v>
      </c>
      <c r="E179" s="9" t="str">
        <f>IF(SUMPRODUCT((Data!$D$2:$D$2277=A179)*(Data!$E$2:$E$2277=C179)*(Data!$M$2:$M$2277="Valerii Zaluzhniy"))&gt;0,SUMPRODUCT((Data!$D$2:$D$2277=A179)*(Data!$E$2:$E$2277=C179)*(Data!$M$2:$M$2277="Valerii Zaluzhniy")*IF(ISNUMBER(Data!$W$2:$W$2277),Data!$W$2:$W$2277,0))/SUMPRODUCT((Data!$D$2:$D$2277=A179)*(Data!$E$2:$E$2277=C179)*(Data!$M$2:$M$2277="Valerii Zaluzhniy")),"")</f>
        <v/>
      </c>
      <c r="F179" s="9" t="str">
        <f>IF(SUMPRODUCT((Data!$D$2:$D$2277=A179)*(Data!$E$2:$E$2277=C179)*(Data!$M$2:$M$2277="Kyrylo Budanov"))&gt;0,SUMPRODUCT((Data!$D$2:$D$2277=A179)*(Data!$E$2:$E$2277=C179)*(Data!$M$2:$M$2277="Kyrylo Budanov")*IF(ISNUMBER(Data!$W$2:$W$2277),Data!$W$2:$W$2277,0))/SUMPRODUCT((Data!$D$2:$D$2277=A179)*(Data!$E$2:$E$2277=C179)*(Data!$M$2:$M$2277="Kyrylo Budanov")),"")</f>
        <v/>
      </c>
      <c r="G179" s="9">
        <f>IF(SUMPRODUCT((Data!$D$2:$D$2277=A179)*(Data!$E$2:$E$2277=C179)*(Data!$M$2:$M$2277="Pyotr Poroshenko"))&gt;0,SUMPRODUCT((Data!$D$2:$D$2277=A179)*(Data!$E$2:$E$2277=C179)*(Data!$M$2:$M$2277="Pyotr Poroshenko")*IF(ISNUMBER(Data!$W$2:$W$2277),Data!$W$2:$W$2277,0))/SUMPRODUCT((Data!$D$2:$D$2277=A179)*(Data!$E$2:$E$2277=C179)*(Data!$M$2:$M$2277="Pyotr Poroshenko")),"")</f>
        <v>13</v>
      </c>
      <c r="H179" s="10" t="str">
        <f t="array" ref="H179">IFERROR(INDEX(Avg!$F$2:$F$50,MATCH(DATE(YEAR(A179),MONTH(A179),1),Avg!$A$2:$A$50,0)),"")</f>
        <v/>
      </c>
      <c r="I179" s="10" t="str">
        <f t="array" ref="I179">IFERROR(INDEX(Avg!$G$2:$G$50,MATCH(DATE(YEAR(A179),MONTH(A179),1),Avg!$A$2:$A$50,0)),"")</f>
        <v/>
      </c>
      <c r="J179" s="10" t="str">
        <f t="array" ref="J179">IFERROR(INDEX(Avg!$H$2:$H$50,MATCH(DATE(YEAR(A179),MONTH(A179),1),Avg!$A$2:$A$50,0)),"")</f>
        <v/>
      </c>
      <c r="K179" s="10" t="str">
        <f t="array" ref="K179">IFERROR(INDEX(Avg!$I$2:$I$50,MATCH(DATE(YEAR(A179),MONTH(A179),1),Avg!$A$2:$A$50,0)),"")</f>
        <v/>
      </c>
      <c r="L179" s="11" t="str">
        <f t="array" ref="L179">IFERROR(INDEX(Avg!$L$2:$L$50,MATCH(DATE(YEAR(A179),MONTH(A179),1),Avg!$A$2:$A$50,0)),"")</f>
        <v/>
      </c>
      <c r="M179" s="11" t="str">
        <f t="array" ref="M179">IFERROR(INDEX(Avg!$M$2:$M$50,MATCH(DATE(YEAR(A179),MONTH(A179),1),Avg!$A$2:$A$50,0)),"")</f>
        <v/>
      </c>
      <c r="N179" s="11" t="str">
        <f t="array" ref="N179">IFERROR(INDEX(Avg!$N$2:$N$50,MATCH(DATE(YEAR(A179),MONTH(A179),1),Avg!$A$2:$A$50,0)),"")</f>
        <v/>
      </c>
      <c r="O179" s="11" t="str">
        <f t="array" ref="O179">IFERROR(INDEX(Avg!$O$2:$O$50,MATCH(DATE(YEAR(A179),MONTH(A179),1),Avg!$A$2:$A$50,0)),"")</f>
        <v/>
      </c>
    </row>
    <row r="180" ht="15.75" customHeight="1">
      <c r="A180" s="7" t="s">
        <v>257</v>
      </c>
      <c r="B180" s="7" t="s">
        <v>254</v>
      </c>
      <c r="C180" s="8" t="s">
        <v>40</v>
      </c>
      <c r="D180" s="9">
        <f>IF(SUMPRODUCT((Data!$D$2:$D$2277=A180)*(Data!$E$2:$E$2277=C180)*(Data!$M$2:$M$2277="Vladimir Zelenskiy"))&gt;0,SUMPRODUCT((Data!$D$2:$D$2277=A180)*(Data!$E$2:$E$2277=C180)*(Data!$M$2:$M$2277="Vladimir Zelenskiy")*IF(ISNUMBER(Data!$W$2:$W$2277),Data!$W$2:$W$2277,0))/SUMPRODUCT((Data!$D$2:$D$2277=A180)*(Data!$E$2:$E$2277=C180)*(Data!$M$2:$M$2277="Vladimir Zelenskiy")),"")</f>
        <v>22.2</v>
      </c>
      <c r="E180" s="9" t="str">
        <f>IF(SUMPRODUCT((Data!$D$2:$D$2277=A180)*(Data!$E$2:$E$2277=C180)*(Data!$M$2:$M$2277="Valerii Zaluzhniy"))&gt;0,SUMPRODUCT((Data!$D$2:$D$2277=A180)*(Data!$E$2:$E$2277=C180)*(Data!$M$2:$M$2277="Valerii Zaluzhniy")*IF(ISNUMBER(Data!$W$2:$W$2277),Data!$W$2:$W$2277,0))/SUMPRODUCT((Data!$D$2:$D$2277=A180)*(Data!$E$2:$E$2277=C180)*(Data!$M$2:$M$2277="Valerii Zaluzhniy")),"")</f>
        <v/>
      </c>
      <c r="F180" s="9" t="str">
        <f>IF(SUMPRODUCT((Data!$D$2:$D$2277=A180)*(Data!$E$2:$E$2277=C180)*(Data!$M$2:$M$2277="Kyrylo Budanov"))&gt;0,SUMPRODUCT((Data!$D$2:$D$2277=A180)*(Data!$E$2:$E$2277=C180)*(Data!$M$2:$M$2277="Kyrylo Budanov")*IF(ISNUMBER(Data!$W$2:$W$2277),Data!$W$2:$W$2277,0))/SUMPRODUCT((Data!$D$2:$D$2277=A180)*(Data!$E$2:$E$2277=C180)*(Data!$M$2:$M$2277="Kyrylo Budanov")),"")</f>
        <v/>
      </c>
      <c r="G180" s="9">
        <f>IF(SUMPRODUCT((Data!$D$2:$D$2277=A180)*(Data!$E$2:$E$2277=C180)*(Data!$M$2:$M$2277="Pyotr Poroshenko"))&gt;0,SUMPRODUCT((Data!$D$2:$D$2277=A180)*(Data!$E$2:$E$2277=C180)*(Data!$M$2:$M$2277="Pyotr Poroshenko")*IF(ISNUMBER(Data!$W$2:$W$2277),Data!$W$2:$W$2277,0))/SUMPRODUCT((Data!$D$2:$D$2277=A180)*(Data!$E$2:$E$2277=C180)*(Data!$M$2:$M$2277="Pyotr Poroshenko")),"")</f>
        <v>10.1</v>
      </c>
      <c r="H180" s="10" t="str">
        <f t="array" ref="H180">IFERROR(INDEX(Avg!$F$2:$F$50,MATCH(DATE(YEAR(A180),MONTH(A180),1),Avg!$A$2:$A$50,0)),"")</f>
        <v/>
      </c>
      <c r="I180" s="10" t="str">
        <f t="array" ref="I180">IFERROR(INDEX(Avg!$G$2:$G$50,MATCH(DATE(YEAR(A180),MONTH(A180),1),Avg!$A$2:$A$50,0)),"")</f>
        <v/>
      </c>
      <c r="J180" s="10" t="str">
        <f t="array" ref="J180">IFERROR(INDEX(Avg!$H$2:$H$50,MATCH(DATE(YEAR(A180),MONTH(A180),1),Avg!$A$2:$A$50,0)),"")</f>
        <v/>
      </c>
      <c r="K180" s="10" t="str">
        <f t="array" ref="K180">IFERROR(INDEX(Avg!$I$2:$I$50,MATCH(DATE(YEAR(A180),MONTH(A180),1),Avg!$A$2:$A$50,0)),"")</f>
        <v/>
      </c>
      <c r="L180" s="11" t="str">
        <f t="array" ref="L180">IFERROR(INDEX(Avg!$L$2:$L$50,MATCH(DATE(YEAR(A180),MONTH(A180),1),Avg!$A$2:$A$50,0)),"")</f>
        <v/>
      </c>
      <c r="M180" s="11" t="str">
        <f t="array" ref="M180">IFERROR(INDEX(Avg!$M$2:$M$50,MATCH(DATE(YEAR(A180),MONTH(A180),1),Avg!$A$2:$A$50,0)),"")</f>
        <v/>
      </c>
      <c r="N180" s="11" t="str">
        <f t="array" ref="N180">IFERROR(INDEX(Avg!$N$2:$N$50,MATCH(DATE(YEAR(A180),MONTH(A180),1),Avg!$A$2:$A$50,0)),"")</f>
        <v/>
      </c>
      <c r="O180" s="11" t="str">
        <f t="array" ref="O180">IFERROR(INDEX(Avg!$O$2:$O$50,MATCH(DATE(YEAR(A180),MONTH(A180),1),Avg!$A$2:$A$50,0)),"")</f>
        <v/>
      </c>
    </row>
    <row r="181" ht="15.75" customHeight="1">
      <c r="A181" s="7" t="s">
        <v>258</v>
      </c>
      <c r="B181" s="7" t="s">
        <v>259</v>
      </c>
      <c r="C181" s="8" t="s">
        <v>240</v>
      </c>
      <c r="D181" s="9">
        <f>IF(SUMPRODUCT((Data!$D$2:$D$2277=A181)*(Data!$E$2:$E$2277=C181)*(Data!$M$2:$M$2277="Vladimir Zelenskiy"))&gt;0,SUMPRODUCT((Data!$D$2:$D$2277=A181)*(Data!$E$2:$E$2277=C181)*(Data!$M$2:$M$2277="Vladimir Zelenskiy")*IF(ISNUMBER(Data!$W$2:$W$2277),Data!$W$2:$W$2277,0))/SUMPRODUCT((Data!$D$2:$D$2277=A181)*(Data!$E$2:$E$2277=C181)*(Data!$M$2:$M$2277="Vladimir Zelenskiy")),"")</f>
        <v>54.5</v>
      </c>
      <c r="E181" s="9" t="str">
        <f>IF(SUMPRODUCT((Data!$D$2:$D$2277=A181)*(Data!$E$2:$E$2277=C181)*(Data!$M$2:$M$2277="Valerii Zaluzhniy"))&gt;0,SUMPRODUCT((Data!$D$2:$D$2277=A181)*(Data!$E$2:$E$2277=C181)*(Data!$M$2:$M$2277="Valerii Zaluzhniy")*IF(ISNUMBER(Data!$W$2:$W$2277),Data!$W$2:$W$2277,0))/SUMPRODUCT((Data!$D$2:$D$2277=A181)*(Data!$E$2:$E$2277=C181)*(Data!$M$2:$M$2277="Valerii Zaluzhniy")),"")</f>
        <v/>
      </c>
      <c r="F181" s="9" t="str">
        <f>IF(SUMPRODUCT((Data!$D$2:$D$2277=A181)*(Data!$E$2:$E$2277=C181)*(Data!$M$2:$M$2277="Kyrylo Budanov"))&gt;0,SUMPRODUCT((Data!$D$2:$D$2277=A181)*(Data!$E$2:$E$2277=C181)*(Data!$M$2:$M$2277="Kyrylo Budanov")*IF(ISNUMBER(Data!$W$2:$W$2277),Data!$W$2:$W$2277,0))/SUMPRODUCT((Data!$D$2:$D$2277=A181)*(Data!$E$2:$E$2277=C181)*(Data!$M$2:$M$2277="Kyrylo Budanov")),"")</f>
        <v/>
      </c>
      <c r="G181" s="9">
        <f>IF(SUMPRODUCT((Data!$D$2:$D$2277=A181)*(Data!$E$2:$E$2277=C181)*(Data!$M$2:$M$2277="Pyotr Poroshenko"))&gt;0,SUMPRODUCT((Data!$D$2:$D$2277=A181)*(Data!$E$2:$E$2277=C181)*(Data!$M$2:$M$2277="Pyotr Poroshenko")*IF(ISNUMBER(Data!$W$2:$W$2277),Data!$W$2:$W$2277,0))/SUMPRODUCT((Data!$D$2:$D$2277=A181)*(Data!$E$2:$E$2277=C181)*(Data!$M$2:$M$2277="Pyotr Poroshenko")),"")</f>
        <v>15.8</v>
      </c>
      <c r="H181" s="10" t="str">
        <f t="array" ref="H181">IFERROR(INDEX(Avg!$F$2:$F$50,MATCH(DATE(YEAR(A181),MONTH(A181),1),Avg!$A$2:$A$50,0)),"")</f>
        <v/>
      </c>
      <c r="I181" s="10" t="str">
        <f t="array" ref="I181">IFERROR(INDEX(Avg!$G$2:$G$50,MATCH(DATE(YEAR(A181),MONTH(A181),1),Avg!$A$2:$A$50,0)),"")</f>
        <v/>
      </c>
      <c r="J181" s="10" t="str">
        <f t="array" ref="J181">IFERROR(INDEX(Avg!$H$2:$H$50,MATCH(DATE(YEAR(A181),MONTH(A181),1),Avg!$A$2:$A$50,0)),"")</f>
        <v/>
      </c>
      <c r="K181" s="10" t="str">
        <f t="array" ref="K181">IFERROR(INDEX(Avg!$I$2:$I$50,MATCH(DATE(YEAR(A181),MONTH(A181),1),Avg!$A$2:$A$50,0)),"")</f>
        <v/>
      </c>
      <c r="L181" s="11" t="str">
        <f t="array" ref="L181">IFERROR(INDEX(Avg!$L$2:$L$50,MATCH(DATE(YEAR(A181),MONTH(A181),1),Avg!$A$2:$A$50,0)),"")</f>
        <v/>
      </c>
      <c r="M181" s="11" t="str">
        <f t="array" ref="M181">IFERROR(INDEX(Avg!$M$2:$M$50,MATCH(DATE(YEAR(A181),MONTH(A181),1),Avg!$A$2:$A$50,0)),"")</f>
        <v/>
      </c>
      <c r="N181" s="11" t="str">
        <f t="array" ref="N181">IFERROR(INDEX(Avg!$N$2:$N$50,MATCH(DATE(YEAR(A181),MONTH(A181),1),Avg!$A$2:$A$50,0)),"")</f>
        <v/>
      </c>
      <c r="O181" s="11" t="str">
        <f t="array" ref="O181">IFERROR(INDEX(Avg!$O$2:$O$50,MATCH(DATE(YEAR(A181),MONTH(A181),1),Avg!$A$2:$A$50,0)),"")</f>
        <v/>
      </c>
    </row>
    <row r="182" ht="15.75" customHeight="1">
      <c r="A182" s="7" t="s">
        <v>260</v>
      </c>
      <c r="B182" s="7" t="s">
        <v>259</v>
      </c>
      <c r="C182" s="8" t="s">
        <v>261</v>
      </c>
      <c r="D182" s="9">
        <f>IF(SUMPRODUCT((Data!$D$2:$D$2277=A182)*(Data!$E$2:$E$2277=C182)*(Data!$M$2:$M$2277="Vladimir Zelenskiy"))&gt;0,SUMPRODUCT((Data!$D$2:$D$2277=A182)*(Data!$E$2:$E$2277=C182)*(Data!$M$2:$M$2277="Vladimir Zelenskiy")*IF(ISNUMBER(Data!$W$2:$W$2277),Data!$W$2:$W$2277,0))/SUMPRODUCT((Data!$D$2:$D$2277=A182)*(Data!$E$2:$E$2277=C182)*(Data!$M$2:$M$2277="Vladimir Zelenskiy")),"")</f>
        <v>25.6</v>
      </c>
      <c r="E182" s="9" t="str">
        <f>IF(SUMPRODUCT((Data!$D$2:$D$2277=A182)*(Data!$E$2:$E$2277=C182)*(Data!$M$2:$M$2277="Valerii Zaluzhniy"))&gt;0,SUMPRODUCT((Data!$D$2:$D$2277=A182)*(Data!$E$2:$E$2277=C182)*(Data!$M$2:$M$2277="Valerii Zaluzhniy")*IF(ISNUMBER(Data!$W$2:$W$2277),Data!$W$2:$W$2277,0))/SUMPRODUCT((Data!$D$2:$D$2277=A182)*(Data!$E$2:$E$2277=C182)*(Data!$M$2:$M$2277="Valerii Zaluzhniy")),"")</f>
        <v/>
      </c>
      <c r="F182" s="9" t="str">
        <f>IF(SUMPRODUCT((Data!$D$2:$D$2277=A182)*(Data!$E$2:$E$2277=C182)*(Data!$M$2:$M$2277="Kyrylo Budanov"))&gt;0,SUMPRODUCT((Data!$D$2:$D$2277=A182)*(Data!$E$2:$E$2277=C182)*(Data!$M$2:$M$2277="Kyrylo Budanov")*IF(ISNUMBER(Data!$W$2:$W$2277),Data!$W$2:$W$2277,0))/SUMPRODUCT((Data!$D$2:$D$2277=A182)*(Data!$E$2:$E$2277=C182)*(Data!$M$2:$M$2277="Kyrylo Budanov")),"")</f>
        <v/>
      </c>
      <c r="G182" s="9">
        <f>IF(SUMPRODUCT((Data!$D$2:$D$2277=A182)*(Data!$E$2:$E$2277=C182)*(Data!$M$2:$M$2277="Pyotr Poroshenko"))&gt;0,SUMPRODUCT((Data!$D$2:$D$2277=A182)*(Data!$E$2:$E$2277=C182)*(Data!$M$2:$M$2277="Pyotr Poroshenko")*IF(ISNUMBER(Data!$W$2:$W$2277),Data!$W$2:$W$2277,0))/SUMPRODUCT((Data!$D$2:$D$2277=A182)*(Data!$E$2:$E$2277=C182)*(Data!$M$2:$M$2277="Pyotr Poroshenko")),"")</f>
        <v>13.7</v>
      </c>
      <c r="H182" s="10" t="str">
        <f t="array" ref="H182">IFERROR(INDEX(Avg!$F$2:$F$50,MATCH(DATE(YEAR(A182),MONTH(A182),1),Avg!$A$2:$A$50,0)),"")</f>
        <v/>
      </c>
      <c r="I182" s="10" t="str">
        <f t="array" ref="I182">IFERROR(INDEX(Avg!$G$2:$G$50,MATCH(DATE(YEAR(A182),MONTH(A182),1),Avg!$A$2:$A$50,0)),"")</f>
        <v/>
      </c>
      <c r="J182" s="10" t="str">
        <f t="array" ref="J182">IFERROR(INDEX(Avg!$H$2:$H$50,MATCH(DATE(YEAR(A182),MONTH(A182),1),Avg!$A$2:$A$50,0)),"")</f>
        <v/>
      </c>
      <c r="K182" s="10" t="str">
        <f t="array" ref="K182">IFERROR(INDEX(Avg!$I$2:$I$50,MATCH(DATE(YEAR(A182),MONTH(A182),1),Avg!$A$2:$A$50,0)),"")</f>
        <v/>
      </c>
      <c r="L182" s="11" t="str">
        <f t="array" ref="L182">IFERROR(INDEX(Avg!$L$2:$L$50,MATCH(DATE(YEAR(A182),MONTH(A182),1),Avg!$A$2:$A$50,0)),"")</f>
        <v/>
      </c>
      <c r="M182" s="11" t="str">
        <f t="array" ref="M182">IFERROR(INDEX(Avg!$M$2:$M$50,MATCH(DATE(YEAR(A182),MONTH(A182),1),Avg!$A$2:$A$50,0)),"")</f>
        <v/>
      </c>
      <c r="N182" s="11" t="str">
        <f t="array" ref="N182">IFERROR(INDEX(Avg!$N$2:$N$50,MATCH(DATE(YEAR(A182),MONTH(A182),1),Avg!$A$2:$A$50,0)),"")</f>
        <v/>
      </c>
      <c r="O182" s="11" t="str">
        <f t="array" ref="O182">IFERROR(INDEX(Avg!$O$2:$O$50,MATCH(DATE(YEAR(A182),MONTH(A182),1),Avg!$A$2:$A$50,0)),"")</f>
        <v/>
      </c>
    </row>
    <row r="183" ht="15.75" customHeight="1">
      <c r="A183" s="7" t="s">
        <v>262</v>
      </c>
      <c r="B183" s="7" t="s">
        <v>259</v>
      </c>
      <c r="C183" s="8" t="s">
        <v>40</v>
      </c>
      <c r="D183" s="9">
        <f>IF(SUMPRODUCT((Data!$D$2:$D$2277=A183)*(Data!$E$2:$E$2277=C183)*(Data!$M$2:$M$2277="Vladimir Zelenskiy"))&gt;0,SUMPRODUCT((Data!$D$2:$D$2277=A183)*(Data!$E$2:$E$2277=C183)*(Data!$M$2:$M$2277="Vladimir Zelenskiy")*IF(ISNUMBER(Data!$W$2:$W$2277),Data!$W$2:$W$2277,0))/SUMPRODUCT((Data!$D$2:$D$2277=A183)*(Data!$E$2:$E$2277=C183)*(Data!$M$2:$M$2277="Vladimir Zelenskiy")),"")</f>
        <v>23</v>
      </c>
      <c r="E183" s="9" t="str">
        <f>IF(SUMPRODUCT((Data!$D$2:$D$2277=A183)*(Data!$E$2:$E$2277=C183)*(Data!$M$2:$M$2277="Valerii Zaluzhniy"))&gt;0,SUMPRODUCT((Data!$D$2:$D$2277=A183)*(Data!$E$2:$E$2277=C183)*(Data!$M$2:$M$2277="Valerii Zaluzhniy")*IF(ISNUMBER(Data!$W$2:$W$2277),Data!$W$2:$W$2277,0))/SUMPRODUCT((Data!$D$2:$D$2277=A183)*(Data!$E$2:$E$2277=C183)*(Data!$M$2:$M$2277="Valerii Zaluzhniy")),"")</f>
        <v/>
      </c>
      <c r="F183" s="9" t="str">
        <f>IF(SUMPRODUCT((Data!$D$2:$D$2277=A183)*(Data!$E$2:$E$2277=C183)*(Data!$M$2:$M$2277="Kyrylo Budanov"))&gt;0,SUMPRODUCT((Data!$D$2:$D$2277=A183)*(Data!$E$2:$E$2277=C183)*(Data!$M$2:$M$2277="Kyrylo Budanov")*IF(ISNUMBER(Data!$W$2:$W$2277),Data!$W$2:$W$2277,0))/SUMPRODUCT((Data!$D$2:$D$2277=A183)*(Data!$E$2:$E$2277=C183)*(Data!$M$2:$M$2277="Kyrylo Budanov")),"")</f>
        <v/>
      </c>
      <c r="G183" s="9">
        <f>IF(SUMPRODUCT((Data!$D$2:$D$2277=A183)*(Data!$E$2:$E$2277=C183)*(Data!$M$2:$M$2277="Pyotr Poroshenko"))&gt;0,SUMPRODUCT((Data!$D$2:$D$2277=A183)*(Data!$E$2:$E$2277=C183)*(Data!$M$2:$M$2277="Pyotr Poroshenko")*IF(ISNUMBER(Data!$W$2:$W$2277),Data!$W$2:$W$2277,0))/SUMPRODUCT((Data!$D$2:$D$2277=A183)*(Data!$E$2:$E$2277=C183)*(Data!$M$2:$M$2277="Pyotr Poroshenko")),"")</f>
        <v>10.4</v>
      </c>
      <c r="H183" s="10" t="str">
        <f t="array" ref="H183">IFERROR(INDEX(Avg!$F$2:$F$50,MATCH(DATE(YEAR(A183),MONTH(A183),1),Avg!$A$2:$A$50,0)),"")</f>
        <v/>
      </c>
      <c r="I183" s="10" t="str">
        <f t="array" ref="I183">IFERROR(INDEX(Avg!$G$2:$G$50,MATCH(DATE(YEAR(A183),MONTH(A183),1),Avg!$A$2:$A$50,0)),"")</f>
        <v/>
      </c>
      <c r="J183" s="10" t="str">
        <f t="array" ref="J183">IFERROR(INDEX(Avg!$H$2:$H$50,MATCH(DATE(YEAR(A183),MONTH(A183),1),Avg!$A$2:$A$50,0)),"")</f>
        <v/>
      </c>
      <c r="K183" s="10" t="str">
        <f t="array" ref="K183">IFERROR(INDEX(Avg!$I$2:$I$50,MATCH(DATE(YEAR(A183),MONTH(A183),1),Avg!$A$2:$A$50,0)),"")</f>
        <v/>
      </c>
      <c r="L183" s="11" t="str">
        <f t="array" ref="L183">IFERROR(INDEX(Avg!$L$2:$L$50,MATCH(DATE(YEAR(A183),MONTH(A183),1),Avg!$A$2:$A$50,0)),"")</f>
        <v/>
      </c>
      <c r="M183" s="11" t="str">
        <f t="array" ref="M183">IFERROR(INDEX(Avg!$M$2:$M$50,MATCH(DATE(YEAR(A183),MONTH(A183),1),Avg!$A$2:$A$50,0)),"")</f>
        <v/>
      </c>
      <c r="N183" s="11" t="str">
        <f t="array" ref="N183">IFERROR(INDEX(Avg!$N$2:$N$50,MATCH(DATE(YEAR(A183),MONTH(A183),1),Avg!$A$2:$A$50,0)),"")</f>
        <v/>
      </c>
      <c r="O183" s="11" t="str">
        <f t="array" ref="O183">IFERROR(INDEX(Avg!$O$2:$O$50,MATCH(DATE(YEAR(A183),MONTH(A183),1),Avg!$A$2:$A$50,0)),"")</f>
        <v/>
      </c>
    </row>
    <row r="184" ht="15.75" customHeight="1">
      <c r="A184" s="7" t="s">
        <v>263</v>
      </c>
      <c r="B184" s="7" t="s">
        <v>259</v>
      </c>
      <c r="C184" s="8" t="s">
        <v>145</v>
      </c>
      <c r="D184" s="9">
        <f>IF(SUMPRODUCT((Data!$D$2:$D$2277=A184)*(Data!$E$2:$E$2277=C184)*(Data!$M$2:$M$2277="Vladimir Zelenskiy"))&gt;0,SUMPRODUCT((Data!$D$2:$D$2277=A184)*(Data!$E$2:$E$2277=C184)*(Data!$M$2:$M$2277="Vladimir Zelenskiy")*IF(ISNUMBER(Data!$W$2:$W$2277),Data!$W$2:$W$2277,0))/SUMPRODUCT((Data!$D$2:$D$2277=A184)*(Data!$E$2:$E$2277=C184)*(Data!$M$2:$M$2277="Vladimir Zelenskiy")),"")</f>
        <v>26.9</v>
      </c>
      <c r="E184" s="9" t="str">
        <f>IF(SUMPRODUCT((Data!$D$2:$D$2277=A184)*(Data!$E$2:$E$2277=C184)*(Data!$M$2:$M$2277="Valerii Zaluzhniy"))&gt;0,SUMPRODUCT((Data!$D$2:$D$2277=A184)*(Data!$E$2:$E$2277=C184)*(Data!$M$2:$M$2277="Valerii Zaluzhniy")*IF(ISNUMBER(Data!$W$2:$W$2277),Data!$W$2:$W$2277,0))/SUMPRODUCT((Data!$D$2:$D$2277=A184)*(Data!$E$2:$E$2277=C184)*(Data!$M$2:$M$2277="Valerii Zaluzhniy")),"")</f>
        <v/>
      </c>
      <c r="F184" s="9" t="str">
        <f>IF(SUMPRODUCT((Data!$D$2:$D$2277=A184)*(Data!$E$2:$E$2277=C184)*(Data!$M$2:$M$2277="Kyrylo Budanov"))&gt;0,SUMPRODUCT((Data!$D$2:$D$2277=A184)*(Data!$E$2:$E$2277=C184)*(Data!$M$2:$M$2277="Kyrylo Budanov")*IF(ISNUMBER(Data!$W$2:$W$2277),Data!$W$2:$W$2277,0))/SUMPRODUCT((Data!$D$2:$D$2277=A184)*(Data!$E$2:$E$2277=C184)*(Data!$M$2:$M$2277="Kyrylo Budanov")),"")</f>
        <v/>
      </c>
      <c r="G184" s="9">
        <f>IF(SUMPRODUCT((Data!$D$2:$D$2277=A184)*(Data!$E$2:$E$2277=C184)*(Data!$M$2:$M$2277="Pyotr Poroshenko"))&gt;0,SUMPRODUCT((Data!$D$2:$D$2277=A184)*(Data!$E$2:$E$2277=C184)*(Data!$M$2:$M$2277="Pyotr Poroshenko")*IF(ISNUMBER(Data!$W$2:$W$2277),Data!$W$2:$W$2277,0))/SUMPRODUCT((Data!$D$2:$D$2277=A184)*(Data!$E$2:$E$2277=C184)*(Data!$M$2:$M$2277="Pyotr Poroshenko")),"")</f>
        <v>11.3</v>
      </c>
      <c r="H184" s="10" t="str">
        <f t="array" ref="H184">IFERROR(INDEX(Avg!$F$2:$F$50,MATCH(DATE(YEAR(A184),MONTH(A184),1),Avg!$A$2:$A$50,0)),"")</f>
        <v/>
      </c>
      <c r="I184" s="10" t="str">
        <f t="array" ref="I184">IFERROR(INDEX(Avg!$G$2:$G$50,MATCH(DATE(YEAR(A184),MONTH(A184),1),Avg!$A$2:$A$50,0)),"")</f>
        <v/>
      </c>
      <c r="J184" s="10" t="str">
        <f t="array" ref="J184">IFERROR(INDEX(Avg!$H$2:$H$50,MATCH(DATE(YEAR(A184),MONTH(A184),1),Avg!$A$2:$A$50,0)),"")</f>
        <v/>
      </c>
      <c r="K184" s="10" t="str">
        <f t="array" ref="K184">IFERROR(INDEX(Avg!$I$2:$I$50,MATCH(DATE(YEAR(A184),MONTH(A184),1),Avg!$A$2:$A$50,0)),"")</f>
        <v/>
      </c>
      <c r="L184" s="11" t="str">
        <f t="array" ref="L184">IFERROR(INDEX(Avg!$L$2:$L$50,MATCH(DATE(YEAR(A184),MONTH(A184),1),Avg!$A$2:$A$50,0)),"")</f>
        <v/>
      </c>
      <c r="M184" s="11" t="str">
        <f t="array" ref="M184">IFERROR(INDEX(Avg!$M$2:$M$50,MATCH(DATE(YEAR(A184),MONTH(A184),1),Avg!$A$2:$A$50,0)),"")</f>
        <v/>
      </c>
      <c r="N184" s="11" t="str">
        <f t="array" ref="N184">IFERROR(INDEX(Avg!$N$2:$N$50,MATCH(DATE(YEAR(A184),MONTH(A184),1),Avg!$A$2:$A$50,0)),"")</f>
        <v/>
      </c>
      <c r="O184" s="11" t="str">
        <f t="array" ref="O184">IFERROR(INDEX(Avg!$O$2:$O$50,MATCH(DATE(YEAR(A184),MONTH(A184),1),Avg!$A$2:$A$50,0)),"")</f>
        <v/>
      </c>
    </row>
    <row r="185" ht="15.75" customHeight="1">
      <c r="A185" s="7" t="s">
        <v>264</v>
      </c>
      <c r="B185" s="7" t="s">
        <v>265</v>
      </c>
      <c r="C185" s="8" t="s">
        <v>17</v>
      </c>
      <c r="D185" s="9">
        <f>IF(SUMPRODUCT((Data!$D$2:$D$2277=A185)*(Data!$E$2:$E$2277=C185)*(Data!$M$2:$M$2277="Vladimir Zelenskiy"))&gt;0,SUMPRODUCT((Data!$D$2:$D$2277=A185)*(Data!$E$2:$E$2277=C185)*(Data!$M$2:$M$2277="Vladimir Zelenskiy")*IF(ISNUMBER(Data!$W$2:$W$2277),Data!$W$2:$W$2277,0))/SUMPRODUCT((Data!$D$2:$D$2277=A185)*(Data!$E$2:$E$2277=C185)*(Data!$M$2:$M$2277="Vladimir Zelenskiy")),"")</f>
        <v>25.6</v>
      </c>
      <c r="E185" s="9" t="str">
        <f>IF(SUMPRODUCT((Data!$D$2:$D$2277=A185)*(Data!$E$2:$E$2277=C185)*(Data!$M$2:$M$2277="Valerii Zaluzhniy"))&gt;0,SUMPRODUCT((Data!$D$2:$D$2277=A185)*(Data!$E$2:$E$2277=C185)*(Data!$M$2:$M$2277="Valerii Zaluzhniy")*IF(ISNUMBER(Data!$W$2:$W$2277),Data!$W$2:$W$2277,0))/SUMPRODUCT((Data!$D$2:$D$2277=A185)*(Data!$E$2:$E$2277=C185)*(Data!$M$2:$M$2277="Valerii Zaluzhniy")),"")</f>
        <v/>
      </c>
      <c r="F185" s="9" t="str">
        <f>IF(SUMPRODUCT((Data!$D$2:$D$2277=A185)*(Data!$E$2:$E$2277=C185)*(Data!$M$2:$M$2277="Kyrylo Budanov"))&gt;0,SUMPRODUCT((Data!$D$2:$D$2277=A185)*(Data!$E$2:$E$2277=C185)*(Data!$M$2:$M$2277="Kyrylo Budanov")*IF(ISNUMBER(Data!$W$2:$W$2277),Data!$W$2:$W$2277,0))/SUMPRODUCT((Data!$D$2:$D$2277=A185)*(Data!$E$2:$E$2277=C185)*(Data!$M$2:$M$2277="Kyrylo Budanov")),"")</f>
        <v/>
      </c>
      <c r="G185" s="9">
        <f>IF(SUMPRODUCT((Data!$D$2:$D$2277=A185)*(Data!$E$2:$E$2277=C185)*(Data!$M$2:$M$2277="Pyotr Poroshenko"))&gt;0,SUMPRODUCT((Data!$D$2:$D$2277=A185)*(Data!$E$2:$E$2277=C185)*(Data!$M$2:$M$2277="Pyotr Poroshenko")*IF(ISNUMBER(Data!$W$2:$W$2277),Data!$W$2:$W$2277,0))/SUMPRODUCT((Data!$D$2:$D$2277=A185)*(Data!$E$2:$E$2277=C185)*(Data!$M$2:$M$2277="Pyotr Poroshenko")),"")</f>
        <v>14.7</v>
      </c>
      <c r="H185" s="10" t="str">
        <f t="array" ref="H185">IFERROR(INDEX(Avg!$F$2:$F$50,MATCH(DATE(YEAR(A185),MONTH(A185),1),Avg!$A$2:$A$50,0)),"")</f>
        <v/>
      </c>
      <c r="I185" s="10" t="str">
        <f t="array" ref="I185">IFERROR(INDEX(Avg!$G$2:$G$50,MATCH(DATE(YEAR(A185),MONTH(A185),1),Avg!$A$2:$A$50,0)),"")</f>
        <v/>
      </c>
      <c r="J185" s="10" t="str">
        <f t="array" ref="J185">IFERROR(INDEX(Avg!$H$2:$H$50,MATCH(DATE(YEAR(A185),MONTH(A185),1),Avg!$A$2:$A$50,0)),"")</f>
        <v/>
      </c>
      <c r="K185" s="10" t="str">
        <f t="array" ref="K185">IFERROR(INDEX(Avg!$I$2:$I$50,MATCH(DATE(YEAR(A185),MONTH(A185),1),Avg!$A$2:$A$50,0)),"")</f>
        <v/>
      </c>
      <c r="L185" s="11" t="str">
        <f t="array" ref="L185">IFERROR(INDEX(Avg!$L$2:$L$50,MATCH(DATE(YEAR(A185),MONTH(A185),1),Avg!$A$2:$A$50,0)),"")</f>
        <v/>
      </c>
      <c r="M185" s="11" t="str">
        <f t="array" ref="M185">IFERROR(INDEX(Avg!$M$2:$M$50,MATCH(DATE(YEAR(A185),MONTH(A185),1),Avg!$A$2:$A$50,0)),"")</f>
        <v/>
      </c>
      <c r="N185" s="11" t="str">
        <f t="array" ref="N185">IFERROR(INDEX(Avg!$N$2:$N$50,MATCH(DATE(YEAR(A185),MONTH(A185),1),Avg!$A$2:$A$50,0)),"")</f>
        <v/>
      </c>
      <c r="O185" s="11" t="str">
        <f t="array" ref="O185">IFERROR(INDEX(Avg!$O$2:$O$50,MATCH(DATE(YEAR(A185),MONTH(A185),1),Avg!$A$2:$A$50,0)),"")</f>
        <v/>
      </c>
    </row>
    <row r="186" ht="15.75" customHeight="1">
      <c r="A186" s="7" t="s">
        <v>266</v>
      </c>
      <c r="B186" s="7" t="s">
        <v>265</v>
      </c>
      <c r="C186" s="8" t="s">
        <v>40</v>
      </c>
      <c r="D186" s="9">
        <f>IF(SUMPRODUCT((Data!$D$2:$D$2277=A186)*(Data!$E$2:$E$2277=C186)*(Data!$M$2:$M$2277="Vladimir Zelenskiy"))&gt;0,SUMPRODUCT((Data!$D$2:$D$2277=A186)*(Data!$E$2:$E$2277=C186)*(Data!$M$2:$M$2277="Vladimir Zelenskiy")*IF(ISNUMBER(Data!$W$2:$W$2277),Data!$W$2:$W$2277,0))/SUMPRODUCT((Data!$D$2:$D$2277=A186)*(Data!$E$2:$E$2277=C186)*(Data!$M$2:$M$2277="Vladimir Zelenskiy")),"")</f>
        <v>25.2</v>
      </c>
      <c r="E186" s="9" t="str">
        <f>IF(SUMPRODUCT((Data!$D$2:$D$2277=A186)*(Data!$E$2:$E$2277=C186)*(Data!$M$2:$M$2277="Valerii Zaluzhniy"))&gt;0,SUMPRODUCT((Data!$D$2:$D$2277=A186)*(Data!$E$2:$E$2277=C186)*(Data!$M$2:$M$2277="Valerii Zaluzhniy")*IF(ISNUMBER(Data!$W$2:$W$2277),Data!$W$2:$W$2277,0))/SUMPRODUCT((Data!$D$2:$D$2277=A186)*(Data!$E$2:$E$2277=C186)*(Data!$M$2:$M$2277="Valerii Zaluzhniy")),"")</f>
        <v/>
      </c>
      <c r="F186" s="9" t="str">
        <f>IF(SUMPRODUCT((Data!$D$2:$D$2277=A186)*(Data!$E$2:$E$2277=C186)*(Data!$M$2:$M$2277="Kyrylo Budanov"))&gt;0,SUMPRODUCT((Data!$D$2:$D$2277=A186)*(Data!$E$2:$E$2277=C186)*(Data!$M$2:$M$2277="Kyrylo Budanov")*IF(ISNUMBER(Data!$W$2:$W$2277),Data!$W$2:$W$2277,0))/SUMPRODUCT((Data!$D$2:$D$2277=A186)*(Data!$E$2:$E$2277=C186)*(Data!$M$2:$M$2277="Kyrylo Budanov")),"")</f>
        <v/>
      </c>
      <c r="G186" s="9">
        <f>IF(SUMPRODUCT((Data!$D$2:$D$2277=A186)*(Data!$E$2:$E$2277=C186)*(Data!$M$2:$M$2277="Pyotr Poroshenko"))&gt;0,SUMPRODUCT((Data!$D$2:$D$2277=A186)*(Data!$E$2:$E$2277=C186)*(Data!$M$2:$M$2277="Pyotr Poroshenko")*IF(ISNUMBER(Data!$W$2:$W$2277),Data!$W$2:$W$2277,0))/SUMPRODUCT((Data!$D$2:$D$2277=A186)*(Data!$E$2:$E$2277=C186)*(Data!$M$2:$M$2277="Pyotr Poroshenko")),"")</f>
        <v>8.5</v>
      </c>
      <c r="H186" s="10" t="str">
        <f t="array" ref="H186">IFERROR(INDEX(Avg!$F$2:$F$50,MATCH(DATE(YEAR(A186),MONTH(A186),1),Avg!$A$2:$A$50,0)),"")</f>
        <v/>
      </c>
      <c r="I186" s="10" t="str">
        <f t="array" ref="I186">IFERROR(INDEX(Avg!$G$2:$G$50,MATCH(DATE(YEAR(A186),MONTH(A186),1),Avg!$A$2:$A$50,0)),"")</f>
        <v/>
      </c>
      <c r="J186" s="10" t="str">
        <f t="array" ref="J186">IFERROR(INDEX(Avg!$H$2:$H$50,MATCH(DATE(YEAR(A186),MONTH(A186),1),Avg!$A$2:$A$50,0)),"")</f>
        <v/>
      </c>
      <c r="K186" s="10" t="str">
        <f t="array" ref="K186">IFERROR(INDEX(Avg!$I$2:$I$50,MATCH(DATE(YEAR(A186),MONTH(A186),1),Avg!$A$2:$A$50,0)),"")</f>
        <v/>
      </c>
      <c r="L186" s="11" t="str">
        <f t="array" ref="L186">IFERROR(INDEX(Avg!$L$2:$L$50,MATCH(DATE(YEAR(A186),MONTH(A186),1),Avg!$A$2:$A$50,0)),"")</f>
        <v/>
      </c>
      <c r="M186" s="11" t="str">
        <f t="array" ref="M186">IFERROR(INDEX(Avg!$M$2:$M$50,MATCH(DATE(YEAR(A186),MONTH(A186),1),Avg!$A$2:$A$50,0)),"")</f>
        <v/>
      </c>
      <c r="N186" s="11" t="str">
        <f t="array" ref="N186">IFERROR(INDEX(Avg!$N$2:$N$50,MATCH(DATE(YEAR(A186),MONTH(A186),1),Avg!$A$2:$A$50,0)),"")</f>
        <v/>
      </c>
      <c r="O186" s="11" t="str">
        <f t="array" ref="O186">IFERROR(INDEX(Avg!$O$2:$O$50,MATCH(DATE(YEAR(A186),MONTH(A186),1),Avg!$A$2:$A$50,0)),"")</f>
        <v/>
      </c>
    </row>
    <row r="187" ht="15.75" customHeight="1">
      <c r="A187" s="7" t="s">
        <v>267</v>
      </c>
      <c r="B187" s="7" t="s">
        <v>265</v>
      </c>
      <c r="C187" s="8" t="s">
        <v>106</v>
      </c>
      <c r="D187" s="9">
        <f>IF(SUMPRODUCT((Data!$D$2:$D$2277=A187)*(Data!$E$2:$E$2277=C187)*(Data!$M$2:$M$2277="Vladimir Zelenskiy"))&gt;0,SUMPRODUCT((Data!$D$2:$D$2277=A187)*(Data!$E$2:$E$2277=C187)*(Data!$M$2:$M$2277="Vladimir Zelenskiy")*IF(ISNUMBER(Data!$W$2:$W$2277),Data!$W$2:$W$2277,0))/SUMPRODUCT((Data!$D$2:$D$2277=A187)*(Data!$E$2:$E$2277=C187)*(Data!$M$2:$M$2277="Vladimir Zelenskiy")),"")</f>
        <v>25.3</v>
      </c>
      <c r="E187" s="9" t="str">
        <f>IF(SUMPRODUCT((Data!$D$2:$D$2277=A187)*(Data!$E$2:$E$2277=C187)*(Data!$M$2:$M$2277="Valerii Zaluzhniy"))&gt;0,SUMPRODUCT((Data!$D$2:$D$2277=A187)*(Data!$E$2:$E$2277=C187)*(Data!$M$2:$M$2277="Valerii Zaluzhniy")*IF(ISNUMBER(Data!$W$2:$W$2277),Data!$W$2:$W$2277,0))/SUMPRODUCT((Data!$D$2:$D$2277=A187)*(Data!$E$2:$E$2277=C187)*(Data!$M$2:$M$2277="Valerii Zaluzhniy")),"")</f>
        <v/>
      </c>
      <c r="F187" s="9" t="str">
        <f>IF(SUMPRODUCT((Data!$D$2:$D$2277=A187)*(Data!$E$2:$E$2277=C187)*(Data!$M$2:$M$2277="Kyrylo Budanov"))&gt;0,SUMPRODUCT((Data!$D$2:$D$2277=A187)*(Data!$E$2:$E$2277=C187)*(Data!$M$2:$M$2277="Kyrylo Budanov")*IF(ISNUMBER(Data!$W$2:$W$2277),Data!$W$2:$W$2277,0))/SUMPRODUCT((Data!$D$2:$D$2277=A187)*(Data!$E$2:$E$2277=C187)*(Data!$M$2:$M$2277="Kyrylo Budanov")),"")</f>
        <v/>
      </c>
      <c r="G187" s="9">
        <f>IF(SUMPRODUCT((Data!$D$2:$D$2277=A187)*(Data!$E$2:$E$2277=C187)*(Data!$M$2:$M$2277="Pyotr Poroshenko"))&gt;0,SUMPRODUCT((Data!$D$2:$D$2277=A187)*(Data!$E$2:$E$2277=C187)*(Data!$M$2:$M$2277="Pyotr Poroshenko")*IF(ISNUMBER(Data!$W$2:$W$2277),Data!$W$2:$W$2277,0))/SUMPRODUCT((Data!$D$2:$D$2277=A187)*(Data!$E$2:$E$2277=C187)*(Data!$M$2:$M$2277="Pyotr Poroshenko")),"")</f>
        <v>11.1</v>
      </c>
      <c r="H187" s="10" t="str">
        <f t="array" ref="H187">IFERROR(INDEX(Avg!$F$2:$F$50,MATCH(DATE(YEAR(A187),MONTH(A187),1),Avg!$A$2:$A$50,0)),"")</f>
        <v/>
      </c>
      <c r="I187" s="10" t="str">
        <f t="array" ref="I187">IFERROR(INDEX(Avg!$G$2:$G$50,MATCH(DATE(YEAR(A187),MONTH(A187),1),Avg!$A$2:$A$50,0)),"")</f>
        <v/>
      </c>
      <c r="J187" s="10" t="str">
        <f t="array" ref="J187">IFERROR(INDEX(Avg!$H$2:$H$50,MATCH(DATE(YEAR(A187),MONTH(A187),1),Avg!$A$2:$A$50,0)),"")</f>
        <v/>
      </c>
      <c r="K187" s="10" t="str">
        <f t="array" ref="K187">IFERROR(INDEX(Avg!$I$2:$I$50,MATCH(DATE(YEAR(A187),MONTH(A187),1),Avg!$A$2:$A$50,0)),"")</f>
        <v/>
      </c>
      <c r="L187" s="11" t="str">
        <f t="array" ref="L187">IFERROR(INDEX(Avg!$L$2:$L$50,MATCH(DATE(YEAR(A187),MONTH(A187),1),Avg!$A$2:$A$50,0)),"")</f>
        <v/>
      </c>
      <c r="M187" s="11" t="str">
        <f t="array" ref="M187">IFERROR(INDEX(Avg!$M$2:$M$50,MATCH(DATE(YEAR(A187),MONTH(A187),1),Avg!$A$2:$A$50,0)),"")</f>
        <v/>
      </c>
      <c r="N187" s="11" t="str">
        <f t="array" ref="N187">IFERROR(INDEX(Avg!$N$2:$N$50,MATCH(DATE(YEAR(A187),MONTH(A187),1),Avg!$A$2:$A$50,0)),"")</f>
        <v/>
      </c>
      <c r="O187" s="11" t="str">
        <f t="array" ref="O187">IFERROR(INDEX(Avg!$O$2:$O$50,MATCH(DATE(YEAR(A187),MONTH(A187),1),Avg!$A$2:$A$50,0)),"")</f>
        <v/>
      </c>
    </row>
    <row r="188" ht="15.75" customHeight="1">
      <c r="A188" s="7" t="s">
        <v>268</v>
      </c>
      <c r="B188" s="7" t="s">
        <v>269</v>
      </c>
      <c r="C188" s="8" t="s">
        <v>72</v>
      </c>
      <c r="D188" s="9">
        <f>IF(SUMPRODUCT((Data!$D$2:$D$2277=A188)*(Data!$E$2:$E$2277=C188)*(Data!$M$2:$M$2277="Vladimir Zelenskiy"))&gt;0,SUMPRODUCT((Data!$D$2:$D$2277=A188)*(Data!$E$2:$E$2277=C188)*(Data!$M$2:$M$2277="Vladimir Zelenskiy")*IF(ISNUMBER(Data!$W$2:$W$2277),Data!$W$2:$W$2277,0))/SUMPRODUCT((Data!$D$2:$D$2277=A188)*(Data!$E$2:$E$2277=C188)*(Data!$M$2:$M$2277="Vladimir Zelenskiy")),"")</f>
        <v>25.7</v>
      </c>
      <c r="E188" s="9" t="str">
        <f>IF(SUMPRODUCT((Data!$D$2:$D$2277=A188)*(Data!$E$2:$E$2277=C188)*(Data!$M$2:$M$2277="Valerii Zaluzhniy"))&gt;0,SUMPRODUCT((Data!$D$2:$D$2277=A188)*(Data!$E$2:$E$2277=C188)*(Data!$M$2:$M$2277="Valerii Zaluzhniy")*IF(ISNUMBER(Data!$W$2:$W$2277),Data!$W$2:$W$2277,0))/SUMPRODUCT((Data!$D$2:$D$2277=A188)*(Data!$E$2:$E$2277=C188)*(Data!$M$2:$M$2277="Valerii Zaluzhniy")),"")</f>
        <v/>
      </c>
      <c r="F188" s="9" t="str">
        <f>IF(SUMPRODUCT((Data!$D$2:$D$2277=A188)*(Data!$E$2:$E$2277=C188)*(Data!$M$2:$M$2277="Kyrylo Budanov"))&gt;0,SUMPRODUCT((Data!$D$2:$D$2277=A188)*(Data!$E$2:$E$2277=C188)*(Data!$M$2:$M$2277="Kyrylo Budanov")*IF(ISNUMBER(Data!$W$2:$W$2277),Data!$W$2:$W$2277,0))/SUMPRODUCT((Data!$D$2:$D$2277=A188)*(Data!$E$2:$E$2277=C188)*(Data!$M$2:$M$2277="Kyrylo Budanov")),"")</f>
        <v/>
      </c>
      <c r="G188" s="9">
        <f>IF(SUMPRODUCT((Data!$D$2:$D$2277=A188)*(Data!$E$2:$E$2277=C188)*(Data!$M$2:$M$2277="Pyotr Poroshenko"))&gt;0,SUMPRODUCT((Data!$D$2:$D$2277=A188)*(Data!$E$2:$E$2277=C188)*(Data!$M$2:$M$2277="Pyotr Poroshenko")*IF(ISNUMBER(Data!$W$2:$W$2277),Data!$W$2:$W$2277,0))/SUMPRODUCT((Data!$D$2:$D$2277=A188)*(Data!$E$2:$E$2277=C188)*(Data!$M$2:$M$2277="Pyotr Poroshenko")),"")</f>
        <v>11.1</v>
      </c>
      <c r="H188" s="10" t="str">
        <f t="array" ref="H188">IFERROR(INDEX(Avg!$F$2:$F$50,MATCH(DATE(YEAR(A188),MONTH(A188),1),Avg!$A$2:$A$50,0)),"")</f>
        <v/>
      </c>
      <c r="I188" s="10" t="str">
        <f t="array" ref="I188">IFERROR(INDEX(Avg!$G$2:$G$50,MATCH(DATE(YEAR(A188),MONTH(A188),1),Avg!$A$2:$A$50,0)),"")</f>
        <v/>
      </c>
      <c r="J188" s="10" t="str">
        <f t="array" ref="J188">IFERROR(INDEX(Avg!$H$2:$H$50,MATCH(DATE(YEAR(A188),MONTH(A188),1),Avg!$A$2:$A$50,0)),"")</f>
        <v/>
      </c>
      <c r="K188" s="10" t="str">
        <f t="array" ref="K188">IFERROR(INDEX(Avg!$I$2:$I$50,MATCH(DATE(YEAR(A188),MONTH(A188),1),Avg!$A$2:$A$50,0)),"")</f>
        <v/>
      </c>
      <c r="L188" s="11" t="str">
        <f t="array" ref="L188">IFERROR(INDEX(Avg!$L$2:$L$50,MATCH(DATE(YEAR(A188),MONTH(A188),1),Avg!$A$2:$A$50,0)),"")</f>
        <v/>
      </c>
      <c r="M188" s="11" t="str">
        <f t="array" ref="M188">IFERROR(INDEX(Avg!$M$2:$M$50,MATCH(DATE(YEAR(A188),MONTH(A188),1),Avg!$A$2:$A$50,0)),"")</f>
        <v/>
      </c>
      <c r="N188" s="11" t="str">
        <f t="array" ref="N188">IFERROR(INDEX(Avg!$N$2:$N$50,MATCH(DATE(YEAR(A188),MONTH(A188),1),Avg!$A$2:$A$50,0)),"")</f>
        <v/>
      </c>
      <c r="O188" s="11" t="str">
        <f t="array" ref="O188">IFERROR(INDEX(Avg!$O$2:$O$50,MATCH(DATE(YEAR(A188),MONTH(A188),1),Avg!$A$2:$A$50,0)),"")</f>
        <v/>
      </c>
    </row>
    <row r="189" ht="15.75" customHeight="1">
      <c r="A189" s="7" t="s">
        <v>270</v>
      </c>
      <c r="B189" s="7" t="s">
        <v>269</v>
      </c>
      <c r="C189" s="8" t="s">
        <v>17</v>
      </c>
      <c r="D189" s="9">
        <f>IF(SUMPRODUCT((Data!$D$2:$D$2277=A189)*(Data!$E$2:$E$2277=C189)*(Data!$M$2:$M$2277="Vladimir Zelenskiy"))&gt;0,SUMPRODUCT((Data!$D$2:$D$2277=A189)*(Data!$E$2:$E$2277=C189)*(Data!$M$2:$M$2277="Vladimir Zelenskiy")*IF(ISNUMBER(Data!$W$2:$W$2277),Data!$W$2:$W$2277,0))/SUMPRODUCT((Data!$D$2:$D$2277=A189)*(Data!$E$2:$E$2277=C189)*(Data!$M$2:$M$2277="Vladimir Zelenskiy")),"")</f>
        <v>41.1</v>
      </c>
      <c r="E189" s="9" t="str">
        <f>IF(SUMPRODUCT((Data!$D$2:$D$2277=A189)*(Data!$E$2:$E$2277=C189)*(Data!$M$2:$M$2277="Valerii Zaluzhniy"))&gt;0,SUMPRODUCT((Data!$D$2:$D$2277=A189)*(Data!$E$2:$E$2277=C189)*(Data!$M$2:$M$2277="Valerii Zaluzhniy")*IF(ISNUMBER(Data!$W$2:$W$2277),Data!$W$2:$W$2277,0))/SUMPRODUCT((Data!$D$2:$D$2277=A189)*(Data!$E$2:$E$2277=C189)*(Data!$M$2:$M$2277="Valerii Zaluzhniy")),"")</f>
        <v/>
      </c>
      <c r="F189" s="9" t="str">
        <f>IF(SUMPRODUCT((Data!$D$2:$D$2277=A189)*(Data!$E$2:$E$2277=C189)*(Data!$M$2:$M$2277="Kyrylo Budanov"))&gt;0,SUMPRODUCT((Data!$D$2:$D$2277=A189)*(Data!$E$2:$E$2277=C189)*(Data!$M$2:$M$2277="Kyrylo Budanov")*IF(ISNUMBER(Data!$W$2:$W$2277),Data!$W$2:$W$2277,0))/SUMPRODUCT((Data!$D$2:$D$2277=A189)*(Data!$E$2:$E$2277=C189)*(Data!$M$2:$M$2277="Kyrylo Budanov")),"")</f>
        <v/>
      </c>
      <c r="G189" s="9">
        <f>IF(SUMPRODUCT((Data!$D$2:$D$2277=A189)*(Data!$E$2:$E$2277=C189)*(Data!$M$2:$M$2277="Pyotr Poroshenko"))&gt;0,SUMPRODUCT((Data!$D$2:$D$2277=A189)*(Data!$E$2:$E$2277=C189)*(Data!$M$2:$M$2277="Pyotr Poroshenko")*IF(ISNUMBER(Data!$W$2:$W$2277),Data!$W$2:$W$2277,0))/SUMPRODUCT((Data!$D$2:$D$2277=A189)*(Data!$E$2:$E$2277=C189)*(Data!$M$2:$M$2277="Pyotr Poroshenko")),"")</f>
        <v>15.2</v>
      </c>
      <c r="H189" s="10" t="str">
        <f t="array" ref="H189">IFERROR(INDEX(Avg!$F$2:$F$50,MATCH(DATE(YEAR(A189),MONTH(A189),1),Avg!$A$2:$A$50,0)),"")</f>
        <v/>
      </c>
      <c r="I189" s="10" t="str">
        <f t="array" ref="I189">IFERROR(INDEX(Avg!$G$2:$G$50,MATCH(DATE(YEAR(A189),MONTH(A189),1),Avg!$A$2:$A$50,0)),"")</f>
        <v/>
      </c>
      <c r="J189" s="10" t="str">
        <f t="array" ref="J189">IFERROR(INDEX(Avg!$H$2:$H$50,MATCH(DATE(YEAR(A189),MONTH(A189),1),Avg!$A$2:$A$50,0)),"")</f>
        <v/>
      </c>
      <c r="K189" s="10" t="str">
        <f t="array" ref="K189">IFERROR(INDEX(Avg!$I$2:$I$50,MATCH(DATE(YEAR(A189),MONTH(A189),1),Avg!$A$2:$A$50,0)),"")</f>
        <v/>
      </c>
      <c r="L189" s="11" t="str">
        <f t="array" ref="L189">IFERROR(INDEX(Avg!$L$2:$L$50,MATCH(DATE(YEAR(A189),MONTH(A189),1),Avg!$A$2:$A$50,0)),"")</f>
        <v/>
      </c>
      <c r="M189" s="11" t="str">
        <f t="array" ref="M189">IFERROR(INDEX(Avg!$M$2:$M$50,MATCH(DATE(YEAR(A189),MONTH(A189),1),Avg!$A$2:$A$50,0)),"")</f>
        <v/>
      </c>
      <c r="N189" s="11" t="str">
        <f t="array" ref="N189">IFERROR(INDEX(Avg!$N$2:$N$50,MATCH(DATE(YEAR(A189),MONTH(A189),1),Avg!$A$2:$A$50,0)),"")</f>
        <v/>
      </c>
      <c r="O189" s="11" t="str">
        <f t="array" ref="O189">IFERROR(INDEX(Avg!$O$2:$O$50,MATCH(DATE(YEAR(A189),MONTH(A189),1),Avg!$A$2:$A$50,0)),"")</f>
        <v/>
      </c>
    </row>
    <row r="190" ht="15.75" customHeight="1">
      <c r="A190" s="7" t="s">
        <v>271</v>
      </c>
      <c r="B190" s="7" t="s">
        <v>269</v>
      </c>
      <c r="C190" s="8" t="s">
        <v>40</v>
      </c>
      <c r="D190" s="9">
        <f>IF(SUMPRODUCT((Data!$D$2:$D$2277=A190)*(Data!$E$2:$E$2277=C190)*(Data!$M$2:$M$2277="Vladimir Zelenskiy"))&gt;0,SUMPRODUCT((Data!$D$2:$D$2277=A190)*(Data!$E$2:$E$2277=C190)*(Data!$M$2:$M$2277="Vladimir Zelenskiy")*IF(ISNUMBER(Data!$W$2:$W$2277),Data!$W$2:$W$2277,0))/SUMPRODUCT((Data!$D$2:$D$2277=A190)*(Data!$E$2:$E$2277=C190)*(Data!$M$2:$M$2277="Vladimir Zelenskiy")),"")</f>
        <v>33.8</v>
      </c>
      <c r="E190" s="9" t="str">
        <f>IF(SUMPRODUCT((Data!$D$2:$D$2277=A190)*(Data!$E$2:$E$2277=C190)*(Data!$M$2:$M$2277="Valerii Zaluzhniy"))&gt;0,SUMPRODUCT((Data!$D$2:$D$2277=A190)*(Data!$E$2:$E$2277=C190)*(Data!$M$2:$M$2277="Valerii Zaluzhniy")*IF(ISNUMBER(Data!$W$2:$W$2277),Data!$W$2:$W$2277,0))/SUMPRODUCT((Data!$D$2:$D$2277=A190)*(Data!$E$2:$E$2277=C190)*(Data!$M$2:$M$2277="Valerii Zaluzhniy")),"")</f>
        <v/>
      </c>
      <c r="F190" s="9" t="str">
        <f>IF(SUMPRODUCT((Data!$D$2:$D$2277=A190)*(Data!$E$2:$E$2277=C190)*(Data!$M$2:$M$2277="Kyrylo Budanov"))&gt;0,SUMPRODUCT((Data!$D$2:$D$2277=A190)*(Data!$E$2:$E$2277=C190)*(Data!$M$2:$M$2277="Kyrylo Budanov")*IF(ISNUMBER(Data!$W$2:$W$2277),Data!$W$2:$W$2277,0))/SUMPRODUCT((Data!$D$2:$D$2277=A190)*(Data!$E$2:$E$2277=C190)*(Data!$M$2:$M$2277="Kyrylo Budanov")),"")</f>
        <v/>
      </c>
      <c r="G190" s="9">
        <f>IF(SUMPRODUCT((Data!$D$2:$D$2277=A190)*(Data!$E$2:$E$2277=C190)*(Data!$M$2:$M$2277="Pyotr Poroshenko"))&gt;0,SUMPRODUCT((Data!$D$2:$D$2277=A190)*(Data!$E$2:$E$2277=C190)*(Data!$M$2:$M$2277="Pyotr Poroshenko")*IF(ISNUMBER(Data!$W$2:$W$2277),Data!$W$2:$W$2277,0))/SUMPRODUCT((Data!$D$2:$D$2277=A190)*(Data!$E$2:$E$2277=C190)*(Data!$M$2:$M$2277="Pyotr Poroshenko")),"")</f>
        <v>11.5</v>
      </c>
      <c r="H190" s="10" t="str">
        <f t="array" ref="H190">IFERROR(INDEX(Avg!$F$2:$F$50,MATCH(DATE(YEAR(A190),MONTH(A190),1),Avg!$A$2:$A$50,0)),"")</f>
        <v/>
      </c>
      <c r="I190" s="10" t="str">
        <f t="array" ref="I190">IFERROR(INDEX(Avg!$G$2:$G$50,MATCH(DATE(YEAR(A190),MONTH(A190),1),Avg!$A$2:$A$50,0)),"")</f>
        <v/>
      </c>
      <c r="J190" s="10" t="str">
        <f t="array" ref="J190">IFERROR(INDEX(Avg!$H$2:$H$50,MATCH(DATE(YEAR(A190),MONTH(A190),1),Avg!$A$2:$A$50,0)),"")</f>
        <v/>
      </c>
      <c r="K190" s="10" t="str">
        <f t="array" ref="K190">IFERROR(INDEX(Avg!$I$2:$I$50,MATCH(DATE(YEAR(A190),MONTH(A190),1),Avg!$A$2:$A$50,0)),"")</f>
        <v/>
      </c>
      <c r="L190" s="11" t="str">
        <f t="array" ref="L190">IFERROR(INDEX(Avg!$L$2:$L$50,MATCH(DATE(YEAR(A190),MONTH(A190),1),Avg!$A$2:$A$50,0)),"")</f>
        <v/>
      </c>
      <c r="M190" s="11" t="str">
        <f t="array" ref="M190">IFERROR(INDEX(Avg!$M$2:$M$50,MATCH(DATE(YEAR(A190),MONTH(A190),1),Avg!$A$2:$A$50,0)),"")</f>
        <v/>
      </c>
      <c r="N190" s="11" t="str">
        <f t="array" ref="N190">IFERROR(INDEX(Avg!$N$2:$N$50,MATCH(DATE(YEAR(A190),MONTH(A190),1),Avg!$A$2:$A$50,0)),"")</f>
        <v/>
      </c>
      <c r="O190" s="11" t="str">
        <f t="array" ref="O190">IFERROR(INDEX(Avg!$O$2:$O$50,MATCH(DATE(YEAR(A190),MONTH(A190),1),Avg!$A$2:$A$50,0)),"")</f>
        <v/>
      </c>
    </row>
    <row r="191" ht="15.75" customHeight="1">
      <c r="A191" s="7" t="s">
        <v>272</v>
      </c>
      <c r="B191" s="7" t="s">
        <v>273</v>
      </c>
      <c r="C191" s="8" t="s">
        <v>72</v>
      </c>
      <c r="D191" s="9">
        <f>IF(SUMPRODUCT((Data!$D$2:$D$2277=A191)*(Data!$E$2:$E$2277=C191)*(Data!$M$2:$M$2277="Vladimir Zelenskiy"))&gt;0,SUMPRODUCT((Data!$D$2:$D$2277=A191)*(Data!$E$2:$E$2277=C191)*(Data!$M$2:$M$2277="Vladimir Zelenskiy")*IF(ISNUMBER(Data!$W$2:$W$2277),Data!$W$2:$W$2277,0))/SUMPRODUCT((Data!$D$2:$D$2277=A191)*(Data!$E$2:$E$2277=C191)*(Data!$M$2:$M$2277="Vladimir Zelenskiy")),"")</f>
        <v>28.9</v>
      </c>
      <c r="E191" s="9" t="str">
        <f>IF(SUMPRODUCT((Data!$D$2:$D$2277=A191)*(Data!$E$2:$E$2277=C191)*(Data!$M$2:$M$2277="Valerii Zaluzhniy"))&gt;0,SUMPRODUCT((Data!$D$2:$D$2277=A191)*(Data!$E$2:$E$2277=C191)*(Data!$M$2:$M$2277="Valerii Zaluzhniy")*IF(ISNUMBER(Data!$W$2:$W$2277),Data!$W$2:$W$2277,0))/SUMPRODUCT((Data!$D$2:$D$2277=A191)*(Data!$E$2:$E$2277=C191)*(Data!$M$2:$M$2277="Valerii Zaluzhniy")),"")</f>
        <v/>
      </c>
      <c r="F191" s="9" t="str">
        <f>IF(SUMPRODUCT((Data!$D$2:$D$2277=A191)*(Data!$E$2:$E$2277=C191)*(Data!$M$2:$M$2277="Kyrylo Budanov"))&gt;0,SUMPRODUCT((Data!$D$2:$D$2277=A191)*(Data!$E$2:$E$2277=C191)*(Data!$M$2:$M$2277="Kyrylo Budanov")*IF(ISNUMBER(Data!$W$2:$W$2277),Data!$W$2:$W$2277,0))/SUMPRODUCT((Data!$D$2:$D$2277=A191)*(Data!$E$2:$E$2277=C191)*(Data!$M$2:$M$2277="Kyrylo Budanov")),"")</f>
        <v/>
      </c>
      <c r="G191" s="9">
        <f>IF(SUMPRODUCT((Data!$D$2:$D$2277=A191)*(Data!$E$2:$E$2277=C191)*(Data!$M$2:$M$2277="Pyotr Poroshenko"))&gt;0,SUMPRODUCT((Data!$D$2:$D$2277=A191)*(Data!$E$2:$E$2277=C191)*(Data!$M$2:$M$2277="Pyotr Poroshenko")*IF(ISNUMBER(Data!$W$2:$W$2277),Data!$W$2:$W$2277,0))/SUMPRODUCT((Data!$D$2:$D$2277=A191)*(Data!$E$2:$E$2277=C191)*(Data!$M$2:$M$2277="Pyotr Poroshenko")),"")</f>
        <v>11.1</v>
      </c>
      <c r="H191" s="10" t="str">
        <f t="array" ref="H191">IFERROR(INDEX(Avg!$F$2:$F$50,MATCH(DATE(YEAR(A191),MONTH(A191),1),Avg!$A$2:$A$50,0)),"")</f>
        <v/>
      </c>
      <c r="I191" s="10" t="str">
        <f t="array" ref="I191">IFERROR(INDEX(Avg!$G$2:$G$50,MATCH(DATE(YEAR(A191),MONTH(A191),1),Avg!$A$2:$A$50,0)),"")</f>
        <v/>
      </c>
      <c r="J191" s="10" t="str">
        <f t="array" ref="J191">IFERROR(INDEX(Avg!$H$2:$H$50,MATCH(DATE(YEAR(A191),MONTH(A191),1),Avg!$A$2:$A$50,0)),"")</f>
        <v/>
      </c>
      <c r="K191" s="10" t="str">
        <f t="array" ref="K191">IFERROR(INDEX(Avg!$I$2:$I$50,MATCH(DATE(YEAR(A191),MONTH(A191),1),Avg!$A$2:$A$50,0)),"")</f>
        <v/>
      </c>
      <c r="L191" s="11" t="str">
        <f t="array" ref="L191">IFERROR(INDEX(Avg!$L$2:$L$50,MATCH(DATE(YEAR(A191),MONTH(A191),1),Avg!$A$2:$A$50,0)),"")</f>
        <v/>
      </c>
      <c r="M191" s="11" t="str">
        <f t="array" ref="M191">IFERROR(INDEX(Avg!$M$2:$M$50,MATCH(DATE(YEAR(A191),MONTH(A191),1),Avg!$A$2:$A$50,0)),"")</f>
        <v/>
      </c>
      <c r="N191" s="11" t="str">
        <f t="array" ref="N191">IFERROR(INDEX(Avg!$N$2:$N$50,MATCH(DATE(YEAR(A191),MONTH(A191),1),Avg!$A$2:$A$50,0)),"")</f>
        <v/>
      </c>
      <c r="O191" s="11" t="str">
        <f t="array" ref="O191">IFERROR(INDEX(Avg!$O$2:$O$50,MATCH(DATE(YEAR(A191),MONTH(A191),1),Avg!$A$2:$A$50,0)),"")</f>
        <v/>
      </c>
    </row>
    <row r="192" ht="15.75" customHeight="1">
      <c r="A192" s="7" t="s">
        <v>274</v>
      </c>
      <c r="B192" s="7" t="s">
        <v>273</v>
      </c>
      <c r="C192" s="8" t="s">
        <v>106</v>
      </c>
      <c r="D192" s="9">
        <f>IF(SUMPRODUCT((Data!$D$2:$D$2277=A192)*(Data!$E$2:$E$2277=C192)*(Data!$M$2:$M$2277="Vladimir Zelenskiy"))&gt;0,SUMPRODUCT((Data!$D$2:$D$2277=A192)*(Data!$E$2:$E$2277=C192)*(Data!$M$2:$M$2277="Vladimir Zelenskiy")*IF(ISNUMBER(Data!$W$2:$W$2277),Data!$W$2:$W$2277,0))/SUMPRODUCT((Data!$D$2:$D$2277=A192)*(Data!$E$2:$E$2277=C192)*(Data!$M$2:$M$2277="Vladimir Zelenskiy")),"")</f>
        <v>45.1</v>
      </c>
      <c r="E192" s="9" t="str">
        <f>IF(SUMPRODUCT((Data!$D$2:$D$2277=A192)*(Data!$E$2:$E$2277=C192)*(Data!$M$2:$M$2277="Valerii Zaluzhniy"))&gt;0,SUMPRODUCT((Data!$D$2:$D$2277=A192)*(Data!$E$2:$E$2277=C192)*(Data!$M$2:$M$2277="Valerii Zaluzhniy")*IF(ISNUMBER(Data!$W$2:$W$2277),Data!$W$2:$W$2277,0))/SUMPRODUCT((Data!$D$2:$D$2277=A192)*(Data!$E$2:$E$2277=C192)*(Data!$M$2:$M$2277="Valerii Zaluzhniy")),"")</f>
        <v/>
      </c>
      <c r="F192" s="9" t="str">
        <f>IF(SUMPRODUCT((Data!$D$2:$D$2277=A192)*(Data!$E$2:$E$2277=C192)*(Data!$M$2:$M$2277="Kyrylo Budanov"))&gt;0,SUMPRODUCT((Data!$D$2:$D$2277=A192)*(Data!$E$2:$E$2277=C192)*(Data!$M$2:$M$2277="Kyrylo Budanov")*IF(ISNUMBER(Data!$W$2:$W$2277),Data!$W$2:$W$2277,0))/SUMPRODUCT((Data!$D$2:$D$2277=A192)*(Data!$E$2:$E$2277=C192)*(Data!$M$2:$M$2277="Kyrylo Budanov")),"")</f>
        <v/>
      </c>
      <c r="G192" s="9">
        <f>IF(SUMPRODUCT((Data!$D$2:$D$2277=A192)*(Data!$E$2:$E$2277=C192)*(Data!$M$2:$M$2277="Pyotr Poroshenko"))&gt;0,SUMPRODUCT((Data!$D$2:$D$2277=A192)*(Data!$E$2:$E$2277=C192)*(Data!$M$2:$M$2277="Pyotr Poroshenko")*IF(ISNUMBER(Data!$W$2:$W$2277),Data!$W$2:$W$2277,0))/SUMPRODUCT((Data!$D$2:$D$2277=A192)*(Data!$E$2:$E$2277=C192)*(Data!$M$2:$M$2277="Pyotr Poroshenko")),"")</f>
        <v>12.8</v>
      </c>
      <c r="H192" s="10" t="str">
        <f t="array" ref="H192">IFERROR(INDEX(Avg!$F$2:$F$50,MATCH(DATE(YEAR(A192),MONTH(A192),1),Avg!$A$2:$A$50,0)),"")</f>
        <v/>
      </c>
      <c r="I192" s="10" t="str">
        <f t="array" ref="I192">IFERROR(INDEX(Avg!$G$2:$G$50,MATCH(DATE(YEAR(A192),MONTH(A192),1),Avg!$A$2:$A$50,0)),"")</f>
        <v/>
      </c>
      <c r="J192" s="10" t="str">
        <f t="array" ref="J192">IFERROR(INDEX(Avg!$H$2:$H$50,MATCH(DATE(YEAR(A192),MONTH(A192),1),Avg!$A$2:$A$50,0)),"")</f>
        <v/>
      </c>
      <c r="K192" s="10" t="str">
        <f t="array" ref="K192">IFERROR(INDEX(Avg!$I$2:$I$50,MATCH(DATE(YEAR(A192),MONTH(A192),1),Avg!$A$2:$A$50,0)),"")</f>
        <v/>
      </c>
      <c r="L192" s="11" t="str">
        <f t="array" ref="L192">IFERROR(INDEX(Avg!$L$2:$L$50,MATCH(DATE(YEAR(A192),MONTH(A192),1),Avg!$A$2:$A$50,0)),"")</f>
        <v/>
      </c>
      <c r="M192" s="11" t="str">
        <f t="array" ref="M192">IFERROR(INDEX(Avg!$M$2:$M$50,MATCH(DATE(YEAR(A192),MONTH(A192),1),Avg!$A$2:$A$50,0)),"")</f>
        <v/>
      </c>
      <c r="N192" s="11" t="str">
        <f t="array" ref="N192">IFERROR(INDEX(Avg!$N$2:$N$50,MATCH(DATE(YEAR(A192),MONTH(A192),1),Avg!$A$2:$A$50,0)),"")</f>
        <v/>
      </c>
      <c r="O192" s="11" t="str">
        <f t="array" ref="O192">IFERROR(INDEX(Avg!$O$2:$O$50,MATCH(DATE(YEAR(A192),MONTH(A192),1),Avg!$A$2:$A$50,0)),"")</f>
        <v/>
      </c>
    </row>
    <row r="193" ht="15.75" customHeight="1">
      <c r="A193" s="7" t="s">
        <v>274</v>
      </c>
      <c r="B193" s="7" t="s">
        <v>273</v>
      </c>
      <c r="C193" s="8" t="s">
        <v>72</v>
      </c>
      <c r="D193" s="9">
        <f>IF(SUMPRODUCT((Data!$D$2:$D$2277=A193)*(Data!$E$2:$E$2277=C193)*(Data!$M$2:$M$2277="Vladimir Zelenskiy"))&gt;0,SUMPRODUCT((Data!$D$2:$D$2277=A193)*(Data!$E$2:$E$2277=C193)*(Data!$M$2:$M$2277="Vladimir Zelenskiy")*IF(ISNUMBER(Data!$W$2:$W$2277),Data!$W$2:$W$2277,0))/SUMPRODUCT((Data!$D$2:$D$2277=A193)*(Data!$E$2:$E$2277=C193)*(Data!$M$2:$M$2277="Vladimir Zelenskiy")),"")</f>
        <v>27.7</v>
      </c>
      <c r="E193" s="9" t="str">
        <f>IF(SUMPRODUCT((Data!$D$2:$D$2277=A193)*(Data!$E$2:$E$2277=C193)*(Data!$M$2:$M$2277="Valerii Zaluzhniy"))&gt;0,SUMPRODUCT((Data!$D$2:$D$2277=A193)*(Data!$E$2:$E$2277=C193)*(Data!$M$2:$M$2277="Valerii Zaluzhniy")*IF(ISNUMBER(Data!$W$2:$W$2277),Data!$W$2:$W$2277,0))/SUMPRODUCT((Data!$D$2:$D$2277=A193)*(Data!$E$2:$E$2277=C193)*(Data!$M$2:$M$2277="Valerii Zaluzhniy")),"")</f>
        <v/>
      </c>
      <c r="F193" s="9" t="str">
        <f>IF(SUMPRODUCT((Data!$D$2:$D$2277=A193)*(Data!$E$2:$E$2277=C193)*(Data!$M$2:$M$2277="Kyrylo Budanov"))&gt;0,SUMPRODUCT((Data!$D$2:$D$2277=A193)*(Data!$E$2:$E$2277=C193)*(Data!$M$2:$M$2277="Kyrylo Budanov")*IF(ISNUMBER(Data!$W$2:$W$2277),Data!$W$2:$W$2277,0))/SUMPRODUCT((Data!$D$2:$D$2277=A193)*(Data!$E$2:$E$2277=C193)*(Data!$M$2:$M$2277="Kyrylo Budanov")),"")</f>
        <v/>
      </c>
      <c r="G193" s="9">
        <f>IF(SUMPRODUCT((Data!$D$2:$D$2277=A193)*(Data!$E$2:$E$2277=C193)*(Data!$M$2:$M$2277="Pyotr Poroshenko"))&gt;0,SUMPRODUCT((Data!$D$2:$D$2277=A193)*(Data!$E$2:$E$2277=C193)*(Data!$M$2:$M$2277="Pyotr Poroshenko")*IF(ISNUMBER(Data!$W$2:$W$2277),Data!$W$2:$W$2277,0))/SUMPRODUCT((Data!$D$2:$D$2277=A193)*(Data!$E$2:$E$2277=C193)*(Data!$M$2:$M$2277="Pyotr Poroshenko")),"")</f>
        <v>9.7</v>
      </c>
      <c r="H193" s="10" t="str">
        <f t="array" ref="H193">IFERROR(INDEX(Avg!$F$2:$F$50,MATCH(DATE(YEAR(A193),MONTH(A193),1),Avg!$A$2:$A$50,0)),"")</f>
        <v/>
      </c>
      <c r="I193" s="10" t="str">
        <f t="array" ref="I193">IFERROR(INDEX(Avg!$G$2:$G$50,MATCH(DATE(YEAR(A193),MONTH(A193),1),Avg!$A$2:$A$50,0)),"")</f>
        <v/>
      </c>
      <c r="J193" s="10" t="str">
        <f t="array" ref="J193">IFERROR(INDEX(Avg!$H$2:$H$50,MATCH(DATE(YEAR(A193),MONTH(A193),1),Avg!$A$2:$A$50,0)),"")</f>
        <v/>
      </c>
      <c r="K193" s="10" t="str">
        <f t="array" ref="K193">IFERROR(INDEX(Avg!$I$2:$I$50,MATCH(DATE(YEAR(A193),MONTH(A193),1),Avg!$A$2:$A$50,0)),"")</f>
        <v/>
      </c>
      <c r="L193" s="11" t="str">
        <f t="array" ref="L193">IFERROR(INDEX(Avg!$L$2:$L$50,MATCH(DATE(YEAR(A193),MONTH(A193),1),Avg!$A$2:$A$50,0)),"")</f>
        <v/>
      </c>
      <c r="M193" s="11" t="str">
        <f t="array" ref="M193">IFERROR(INDEX(Avg!$M$2:$M$50,MATCH(DATE(YEAR(A193),MONTH(A193),1),Avg!$A$2:$A$50,0)),"")</f>
        <v/>
      </c>
      <c r="N193" s="11" t="str">
        <f t="array" ref="N193">IFERROR(INDEX(Avg!$N$2:$N$50,MATCH(DATE(YEAR(A193),MONTH(A193),1),Avg!$A$2:$A$50,0)),"")</f>
        <v/>
      </c>
      <c r="O193" s="11" t="str">
        <f t="array" ref="O193">IFERROR(INDEX(Avg!$O$2:$O$50,MATCH(DATE(YEAR(A193),MONTH(A193),1),Avg!$A$2:$A$50,0)),"")</f>
        <v/>
      </c>
    </row>
    <row r="194" ht="15.75" customHeight="1">
      <c r="A194" s="7" t="s">
        <v>275</v>
      </c>
      <c r="B194" s="7" t="s">
        <v>276</v>
      </c>
      <c r="C194" s="8" t="s">
        <v>17</v>
      </c>
      <c r="D194" s="9">
        <f>IF(SUMPRODUCT((Data!$D$2:$D$2277=A194)*(Data!$E$2:$E$2277=C194)*(Data!$M$2:$M$2277="Vladimir Zelenskiy"))&gt;0,SUMPRODUCT((Data!$D$2:$D$2277=A194)*(Data!$E$2:$E$2277=C194)*(Data!$M$2:$M$2277="Vladimir Zelenskiy")*IF(ISNUMBER(Data!$W$2:$W$2277),Data!$W$2:$W$2277,0))/SUMPRODUCT((Data!$D$2:$D$2277=A194)*(Data!$E$2:$E$2277=C194)*(Data!$M$2:$M$2277="Vladimir Zelenskiy")),"")</f>
        <v>40.4</v>
      </c>
      <c r="E194" s="9" t="str">
        <f>IF(SUMPRODUCT((Data!$D$2:$D$2277=A194)*(Data!$E$2:$E$2277=C194)*(Data!$M$2:$M$2277="Valerii Zaluzhniy"))&gt;0,SUMPRODUCT((Data!$D$2:$D$2277=A194)*(Data!$E$2:$E$2277=C194)*(Data!$M$2:$M$2277="Valerii Zaluzhniy")*IF(ISNUMBER(Data!$W$2:$W$2277),Data!$W$2:$W$2277,0))/SUMPRODUCT((Data!$D$2:$D$2277=A194)*(Data!$E$2:$E$2277=C194)*(Data!$M$2:$M$2277="Valerii Zaluzhniy")),"")</f>
        <v/>
      </c>
      <c r="F194" s="9" t="str">
        <f>IF(SUMPRODUCT((Data!$D$2:$D$2277=A194)*(Data!$E$2:$E$2277=C194)*(Data!$M$2:$M$2277="Kyrylo Budanov"))&gt;0,SUMPRODUCT((Data!$D$2:$D$2277=A194)*(Data!$E$2:$E$2277=C194)*(Data!$M$2:$M$2277="Kyrylo Budanov")*IF(ISNUMBER(Data!$W$2:$W$2277),Data!$W$2:$W$2277,0))/SUMPRODUCT((Data!$D$2:$D$2277=A194)*(Data!$E$2:$E$2277=C194)*(Data!$M$2:$M$2277="Kyrylo Budanov")),"")</f>
        <v/>
      </c>
      <c r="G194" s="9">
        <f>IF(SUMPRODUCT((Data!$D$2:$D$2277=A194)*(Data!$E$2:$E$2277=C194)*(Data!$M$2:$M$2277="Pyotr Poroshenko"))&gt;0,SUMPRODUCT((Data!$D$2:$D$2277=A194)*(Data!$E$2:$E$2277=C194)*(Data!$M$2:$M$2277="Pyotr Poroshenko")*IF(ISNUMBER(Data!$W$2:$W$2277),Data!$W$2:$W$2277,0))/SUMPRODUCT((Data!$D$2:$D$2277=A194)*(Data!$E$2:$E$2277=C194)*(Data!$M$2:$M$2277="Pyotr Poroshenko")),"")</f>
        <v>11.8</v>
      </c>
      <c r="H194" s="10" t="str">
        <f t="array" ref="H194">IFERROR(INDEX(Avg!$F$2:$F$50,MATCH(DATE(YEAR(A194),MONTH(A194),1),Avg!$A$2:$A$50,0)),"")</f>
        <v/>
      </c>
      <c r="I194" s="10" t="str">
        <f t="array" ref="I194">IFERROR(INDEX(Avg!$G$2:$G$50,MATCH(DATE(YEAR(A194),MONTH(A194),1),Avg!$A$2:$A$50,0)),"")</f>
        <v/>
      </c>
      <c r="J194" s="10" t="str">
        <f t="array" ref="J194">IFERROR(INDEX(Avg!$H$2:$H$50,MATCH(DATE(YEAR(A194),MONTH(A194),1),Avg!$A$2:$A$50,0)),"")</f>
        <v/>
      </c>
      <c r="K194" s="10" t="str">
        <f t="array" ref="K194">IFERROR(INDEX(Avg!$I$2:$I$50,MATCH(DATE(YEAR(A194),MONTH(A194),1),Avg!$A$2:$A$50,0)),"")</f>
        <v/>
      </c>
      <c r="L194" s="11" t="str">
        <f t="array" ref="L194">IFERROR(INDEX(Avg!$L$2:$L$50,MATCH(DATE(YEAR(A194),MONTH(A194),1),Avg!$A$2:$A$50,0)),"")</f>
        <v/>
      </c>
      <c r="M194" s="11" t="str">
        <f t="array" ref="M194">IFERROR(INDEX(Avg!$M$2:$M$50,MATCH(DATE(YEAR(A194),MONTH(A194),1),Avg!$A$2:$A$50,0)),"")</f>
        <v/>
      </c>
      <c r="N194" s="11" t="str">
        <f t="array" ref="N194">IFERROR(INDEX(Avg!$N$2:$N$50,MATCH(DATE(YEAR(A194),MONTH(A194),1),Avg!$A$2:$A$50,0)),"")</f>
        <v/>
      </c>
      <c r="O194" s="11" t="str">
        <f t="array" ref="O194">IFERROR(INDEX(Avg!$O$2:$O$50,MATCH(DATE(YEAR(A194),MONTH(A194),1),Avg!$A$2:$A$50,0)),"")</f>
        <v/>
      </c>
    </row>
    <row r="195" ht="15.75" customHeight="1">
      <c r="A195" s="7" t="s">
        <v>277</v>
      </c>
      <c r="B195" s="7" t="s">
        <v>278</v>
      </c>
      <c r="C195" s="8" t="s">
        <v>156</v>
      </c>
      <c r="D195" s="9">
        <f>IF(SUMPRODUCT((Data!$D$2:$D$2277=A195)*(Data!$E$2:$E$2277=C195)*(Data!$M$2:$M$2277="Vladimir Zelenskiy"))&gt;0,SUMPRODUCT((Data!$D$2:$D$2277=A195)*(Data!$E$2:$E$2277=C195)*(Data!$M$2:$M$2277="Vladimir Zelenskiy")*IF(ISNUMBER(Data!$W$2:$W$2277),Data!$W$2:$W$2277,0))/SUMPRODUCT((Data!$D$2:$D$2277=A195)*(Data!$E$2:$E$2277=C195)*(Data!$M$2:$M$2277="Vladimir Zelenskiy")),"")</f>
        <v>42</v>
      </c>
      <c r="E195" s="9" t="str">
        <f>IF(SUMPRODUCT((Data!$D$2:$D$2277=A195)*(Data!$E$2:$E$2277=C195)*(Data!$M$2:$M$2277="Valerii Zaluzhniy"))&gt;0,SUMPRODUCT((Data!$D$2:$D$2277=A195)*(Data!$E$2:$E$2277=C195)*(Data!$M$2:$M$2277="Valerii Zaluzhniy")*IF(ISNUMBER(Data!$W$2:$W$2277),Data!$W$2:$W$2277,0))/SUMPRODUCT((Data!$D$2:$D$2277=A195)*(Data!$E$2:$E$2277=C195)*(Data!$M$2:$M$2277="Valerii Zaluzhniy")),"")</f>
        <v/>
      </c>
      <c r="F195" s="9" t="str">
        <f>IF(SUMPRODUCT((Data!$D$2:$D$2277=A195)*(Data!$E$2:$E$2277=C195)*(Data!$M$2:$M$2277="Kyrylo Budanov"))&gt;0,SUMPRODUCT((Data!$D$2:$D$2277=A195)*(Data!$E$2:$E$2277=C195)*(Data!$M$2:$M$2277="Kyrylo Budanov")*IF(ISNUMBER(Data!$W$2:$W$2277),Data!$W$2:$W$2277,0))/SUMPRODUCT((Data!$D$2:$D$2277=A195)*(Data!$E$2:$E$2277=C195)*(Data!$M$2:$M$2277="Kyrylo Budanov")),"")</f>
        <v/>
      </c>
      <c r="G195" s="9">
        <f>IF(SUMPRODUCT((Data!$D$2:$D$2277=A195)*(Data!$E$2:$E$2277=C195)*(Data!$M$2:$M$2277="Pyotr Poroshenko"))&gt;0,SUMPRODUCT((Data!$D$2:$D$2277=A195)*(Data!$E$2:$E$2277=C195)*(Data!$M$2:$M$2277="Pyotr Poroshenko")*IF(ISNUMBER(Data!$W$2:$W$2277),Data!$W$2:$W$2277,0))/SUMPRODUCT((Data!$D$2:$D$2277=A195)*(Data!$E$2:$E$2277=C195)*(Data!$M$2:$M$2277="Pyotr Poroshenko")),"")</f>
        <v>12</v>
      </c>
      <c r="H195" s="10" t="str">
        <f t="array" ref="H195">IFERROR(INDEX(Avg!$F$2:$F$50,MATCH(DATE(YEAR(A195),MONTH(A195),1),Avg!$A$2:$A$50,0)),"")</f>
        <v/>
      </c>
      <c r="I195" s="10" t="str">
        <f t="array" ref="I195">IFERROR(INDEX(Avg!$G$2:$G$50,MATCH(DATE(YEAR(A195),MONTH(A195),1),Avg!$A$2:$A$50,0)),"")</f>
        <v/>
      </c>
      <c r="J195" s="10" t="str">
        <f t="array" ref="J195">IFERROR(INDEX(Avg!$H$2:$H$50,MATCH(DATE(YEAR(A195),MONTH(A195),1),Avg!$A$2:$A$50,0)),"")</f>
        <v/>
      </c>
      <c r="K195" s="10" t="str">
        <f t="array" ref="K195">IFERROR(INDEX(Avg!$I$2:$I$50,MATCH(DATE(YEAR(A195),MONTH(A195),1),Avg!$A$2:$A$50,0)),"")</f>
        <v/>
      </c>
      <c r="L195" s="11" t="str">
        <f t="array" ref="L195">IFERROR(INDEX(Avg!$L$2:$L$50,MATCH(DATE(YEAR(A195),MONTH(A195),1),Avg!$A$2:$A$50,0)),"")</f>
        <v/>
      </c>
      <c r="M195" s="11" t="str">
        <f t="array" ref="M195">IFERROR(INDEX(Avg!$M$2:$M$50,MATCH(DATE(YEAR(A195),MONTH(A195),1),Avg!$A$2:$A$50,0)),"")</f>
        <v/>
      </c>
      <c r="N195" s="11" t="str">
        <f t="array" ref="N195">IFERROR(INDEX(Avg!$N$2:$N$50,MATCH(DATE(YEAR(A195),MONTH(A195),1),Avg!$A$2:$A$50,0)),"")</f>
        <v/>
      </c>
      <c r="O195" s="11" t="str">
        <f t="array" ref="O195">IFERROR(INDEX(Avg!$O$2:$O$50,MATCH(DATE(YEAR(A195),MONTH(A195),1),Avg!$A$2:$A$50,0)),"")</f>
        <v/>
      </c>
    </row>
    <row r="196" ht="15.75" customHeight="1">
      <c r="A196" s="7" t="s">
        <v>279</v>
      </c>
      <c r="B196" s="7" t="s">
        <v>278</v>
      </c>
      <c r="C196" s="8" t="s">
        <v>106</v>
      </c>
      <c r="D196" s="9">
        <f>IF(SUMPRODUCT((Data!$D$2:$D$2277=A196)*(Data!$E$2:$E$2277=C196)*(Data!$M$2:$M$2277="Vladimir Zelenskiy"))&gt;0,SUMPRODUCT((Data!$D$2:$D$2277=A196)*(Data!$E$2:$E$2277=C196)*(Data!$M$2:$M$2277="Vladimir Zelenskiy")*IF(ISNUMBER(Data!$W$2:$W$2277),Data!$W$2:$W$2277,0))/SUMPRODUCT((Data!$D$2:$D$2277=A196)*(Data!$E$2:$E$2277=C196)*(Data!$M$2:$M$2277="Vladimir Zelenskiy")),"")</f>
        <v>40.1</v>
      </c>
      <c r="E196" s="9" t="str">
        <f>IF(SUMPRODUCT((Data!$D$2:$D$2277=A196)*(Data!$E$2:$E$2277=C196)*(Data!$M$2:$M$2277="Valerii Zaluzhniy"))&gt;0,SUMPRODUCT((Data!$D$2:$D$2277=A196)*(Data!$E$2:$E$2277=C196)*(Data!$M$2:$M$2277="Valerii Zaluzhniy")*IF(ISNUMBER(Data!$W$2:$W$2277),Data!$W$2:$W$2277,0))/SUMPRODUCT((Data!$D$2:$D$2277=A196)*(Data!$E$2:$E$2277=C196)*(Data!$M$2:$M$2277="Valerii Zaluzhniy")),"")</f>
        <v/>
      </c>
      <c r="F196" s="9" t="str">
        <f>IF(SUMPRODUCT((Data!$D$2:$D$2277=A196)*(Data!$E$2:$E$2277=C196)*(Data!$M$2:$M$2277="Kyrylo Budanov"))&gt;0,SUMPRODUCT((Data!$D$2:$D$2277=A196)*(Data!$E$2:$E$2277=C196)*(Data!$M$2:$M$2277="Kyrylo Budanov")*IF(ISNUMBER(Data!$W$2:$W$2277),Data!$W$2:$W$2277,0))/SUMPRODUCT((Data!$D$2:$D$2277=A196)*(Data!$E$2:$E$2277=C196)*(Data!$M$2:$M$2277="Kyrylo Budanov")),"")</f>
        <v/>
      </c>
      <c r="G196" s="9">
        <f>IF(SUMPRODUCT((Data!$D$2:$D$2277=A196)*(Data!$E$2:$E$2277=C196)*(Data!$M$2:$M$2277="Pyotr Poroshenko"))&gt;0,SUMPRODUCT((Data!$D$2:$D$2277=A196)*(Data!$E$2:$E$2277=C196)*(Data!$M$2:$M$2277="Pyotr Poroshenko")*IF(ISNUMBER(Data!$W$2:$W$2277),Data!$W$2:$W$2277,0))/SUMPRODUCT((Data!$D$2:$D$2277=A196)*(Data!$E$2:$E$2277=C196)*(Data!$M$2:$M$2277="Pyotr Poroshenko")),"")</f>
        <v>13.5</v>
      </c>
      <c r="H196" s="10" t="str">
        <f t="array" ref="H196">IFERROR(INDEX(Avg!$F$2:$F$50,MATCH(DATE(YEAR(A196),MONTH(A196),1),Avg!$A$2:$A$50,0)),"")</f>
        <v/>
      </c>
      <c r="I196" s="10" t="str">
        <f t="array" ref="I196">IFERROR(INDEX(Avg!$G$2:$G$50,MATCH(DATE(YEAR(A196),MONTH(A196),1),Avg!$A$2:$A$50,0)),"")</f>
        <v/>
      </c>
      <c r="J196" s="10" t="str">
        <f t="array" ref="J196">IFERROR(INDEX(Avg!$H$2:$H$50,MATCH(DATE(YEAR(A196),MONTH(A196),1),Avg!$A$2:$A$50,0)),"")</f>
        <v/>
      </c>
      <c r="K196" s="10" t="str">
        <f t="array" ref="K196">IFERROR(INDEX(Avg!$I$2:$I$50,MATCH(DATE(YEAR(A196),MONTH(A196),1),Avg!$A$2:$A$50,0)),"")</f>
        <v/>
      </c>
      <c r="L196" s="11" t="str">
        <f t="array" ref="L196">IFERROR(INDEX(Avg!$L$2:$L$50,MATCH(DATE(YEAR(A196),MONTH(A196),1),Avg!$A$2:$A$50,0)),"")</f>
        <v/>
      </c>
      <c r="M196" s="11" t="str">
        <f t="array" ref="M196">IFERROR(INDEX(Avg!$M$2:$M$50,MATCH(DATE(YEAR(A196),MONTH(A196),1),Avg!$A$2:$A$50,0)),"")</f>
        <v/>
      </c>
      <c r="N196" s="11" t="str">
        <f t="array" ref="N196">IFERROR(INDEX(Avg!$N$2:$N$50,MATCH(DATE(YEAR(A196),MONTH(A196),1),Avg!$A$2:$A$50,0)),"")</f>
        <v/>
      </c>
      <c r="O196" s="11" t="str">
        <f t="array" ref="O196">IFERROR(INDEX(Avg!$O$2:$O$50,MATCH(DATE(YEAR(A196),MONTH(A196),1),Avg!$A$2:$A$50,0)),"")</f>
        <v/>
      </c>
    </row>
    <row r="197" ht="15.75" customHeight="1">
      <c r="A197" s="7" t="s">
        <v>279</v>
      </c>
      <c r="B197" s="7" t="s">
        <v>278</v>
      </c>
      <c r="C197" s="8" t="s">
        <v>72</v>
      </c>
      <c r="D197" s="9">
        <f>IF(SUMPRODUCT((Data!$D$2:$D$2277=A197)*(Data!$E$2:$E$2277=C197)*(Data!$M$2:$M$2277="Vladimir Zelenskiy"))&gt;0,SUMPRODUCT((Data!$D$2:$D$2277=A197)*(Data!$E$2:$E$2277=C197)*(Data!$M$2:$M$2277="Vladimir Zelenskiy")*IF(ISNUMBER(Data!$W$2:$W$2277),Data!$W$2:$W$2277,0))/SUMPRODUCT((Data!$D$2:$D$2277=A197)*(Data!$E$2:$E$2277=C197)*(Data!$M$2:$M$2277="Vladimir Zelenskiy")),"")</f>
        <v>24.8</v>
      </c>
      <c r="E197" s="9" t="str">
        <f>IF(SUMPRODUCT((Data!$D$2:$D$2277=A197)*(Data!$E$2:$E$2277=C197)*(Data!$M$2:$M$2277="Valerii Zaluzhniy"))&gt;0,SUMPRODUCT((Data!$D$2:$D$2277=A197)*(Data!$E$2:$E$2277=C197)*(Data!$M$2:$M$2277="Valerii Zaluzhniy")*IF(ISNUMBER(Data!$W$2:$W$2277),Data!$W$2:$W$2277,0))/SUMPRODUCT((Data!$D$2:$D$2277=A197)*(Data!$E$2:$E$2277=C197)*(Data!$M$2:$M$2277="Valerii Zaluzhniy")),"")</f>
        <v/>
      </c>
      <c r="F197" s="9" t="str">
        <f>IF(SUMPRODUCT((Data!$D$2:$D$2277=A197)*(Data!$E$2:$E$2277=C197)*(Data!$M$2:$M$2277="Kyrylo Budanov"))&gt;0,SUMPRODUCT((Data!$D$2:$D$2277=A197)*(Data!$E$2:$E$2277=C197)*(Data!$M$2:$M$2277="Kyrylo Budanov")*IF(ISNUMBER(Data!$W$2:$W$2277),Data!$W$2:$W$2277,0))/SUMPRODUCT((Data!$D$2:$D$2277=A197)*(Data!$E$2:$E$2277=C197)*(Data!$M$2:$M$2277="Kyrylo Budanov")),"")</f>
        <v/>
      </c>
      <c r="G197" s="9">
        <f>IF(SUMPRODUCT((Data!$D$2:$D$2277=A197)*(Data!$E$2:$E$2277=C197)*(Data!$M$2:$M$2277="Pyotr Poroshenko"))&gt;0,SUMPRODUCT((Data!$D$2:$D$2277=A197)*(Data!$E$2:$E$2277=C197)*(Data!$M$2:$M$2277="Pyotr Poroshenko")*IF(ISNUMBER(Data!$W$2:$W$2277),Data!$W$2:$W$2277,0))/SUMPRODUCT((Data!$D$2:$D$2277=A197)*(Data!$E$2:$E$2277=C197)*(Data!$M$2:$M$2277="Pyotr Poroshenko")),"")</f>
        <v>6.5</v>
      </c>
      <c r="H197" s="10" t="str">
        <f t="array" ref="H197">IFERROR(INDEX(Avg!$F$2:$F$50,MATCH(DATE(YEAR(A197),MONTH(A197),1),Avg!$A$2:$A$50,0)),"")</f>
        <v/>
      </c>
      <c r="I197" s="10" t="str">
        <f t="array" ref="I197">IFERROR(INDEX(Avg!$G$2:$G$50,MATCH(DATE(YEAR(A197),MONTH(A197),1),Avg!$A$2:$A$50,0)),"")</f>
        <v/>
      </c>
      <c r="J197" s="10" t="str">
        <f t="array" ref="J197">IFERROR(INDEX(Avg!$H$2:$H$50,MATCH(DATE(YEAR(A197),MONTH(A197),1),Avg!$A$2:$A$50,0)),"")</f>
        <v/>
      </c>
      <c r="K197" s="10" t="str">
        <f t="array" ref="K197">IFERROR(INDEX(Avg!$I$2:$I$50,MATCH(DATE(YEAR(A197),MONTH(A197),1),Avg!$A$2:$A$50,0)),"")</f>
        <v/>
      </c>
      <c r="L197" s="11" t="str">
        <f t="array" ref="L197">IFERROR(INDEX(Avg!$L$2:$L$50,MATCH(DATE(YEAR(A197),MONTH(A197),1),Avg!$A$2:$A$50,0)),"")</f>
        <v/>
      </c>
      <c r="M197" s="11" t="str">
        <f t="array" ref="M197">IFERROR(INDEX(Avg!$M$2:$M$50,MATCH(DATE(YEAR(A197),MONTH(A197),1),Avg!$A$2:$A$50,0)),"")</f>
        <v/>
      </c>
      <c r="N197" s="11" t="str">
        <f t="array" ref="N197">IFERROR(INDEX(Avg!$N$2:$N$50,MATCH(DATE(YEAR(A197),MONTH(A197),1),Avg!$A$2:$A$50,0)),"")</f>
        <v/>
      </c>
      <c r="O197" s="11" t="str">
        <f t="array" ref="O197">IFERROR(INDEX(Avg!$O$2:$O$50,MATCH(DATE(YEAR(A197),MONTH(A197),1),Avg!$A$2:$A$50,0)),"")</f>
        <v/>
      </c>
    </row>
    <row r="198" ht="15.75" customHeight="1">
      <c r="A198" s="7" t="s">
        <v>280</v>
      </c>
      <c r="B198" s="7" t="s">
        <v>278</v>
      </c>
      <c r="C198" s="8" t="s">
        <v>17</v>
      </c>
      <c r="D198" s="9">
        <f>IF(SUMPRODUCT((Data!$D$2:$D$2277=A198)*(Data!$E$2:$E$2277=C198)*(Data!$M$2:$M$2277="Vladimir Zelenskiy"))&gt;0,SUMPRODUCT((Data!$D$2:$D$2277=A198)*(Data!$E$2:$E$2277=C198)*(Data!$M$2:$M$2277="Vladimir Zelenskiy")*IF(ISNUMBER(Data!$W$2:$W$2277),Data!$W$2:$W$2277,0))/SUMPRODUCT((Data!$D$2:$D$2277=A198)*(Data!$E$2:$E$2277=C198)*(Data!$M$2:$M$2277="Vladimir Zelenskiy")),"")</f>
        <v>38.4</v>
      </c>
      <c r="E198" s="9" t="str">
        <f>IF(SUMPRODUCT((Data!$D$2:$D$2277=A198)*(Data!$E$2:$E$2277=C198)*(Data!$M$2:$M$2277="Valerii Zaluzhniy"))&gt;0,SUMPRODUCT((Data!$D$2:$D$2277=A198)*(Data!$E$2:$E$2277=C198)*(Data!$M$2:$M$2277="Valerii Zaluzhniy")*IF(ISNUMBER(Data!$W$2:$W$2277),Data!$W$2:$W$2277,0))/SUMPRODUCT((Data!$D$2:$D$2277=A198)*(Data!$E$2:$E$2277=C198)*(Data!$M$2:$M$2277="Valerii Zaluzhniy")),"")</f>
        <v/>
      </c>
      <c r="F198" s="9" t="str">
        <f>IF(SUMPRODUCT((Data!$D$2:$D$2277=A198)*(Data!$E$2:$E$2277=C198)*(Data!$M$2:$M$2277="Kyrylo Budanov"))&gt;0,SUMPRODUCT((Data!$D$2:$D$2277=A198)*(Data!$E$2:$E$2277=C198)*(Data!$M$2:$M$2277="Kyrylo Budanov")*IF(ISNUMBER(Data!$W$2:$W$2277),Data!$W$2:$W$2277,0))/SUMPRODUCT((Data!$D$2:$D$2277=A198)*(Data!$E$2:$E$2277=C198)*(Data!$M$2:$M$2277="Kyrylo Budanov")),"")</f>
        <v/>
      </c>
      <c r="G198" s="9">
        <f>IF(SUMPRODUCT((Data!$D$2:$D$2277=A198)*(Data!$E$2:$E$2277=C198)*(Data!$M$2:$M$2277="Pyotr Poroshenko"))&gt;0,SUMPRODUCT((Data!$D$2:$D$2277=A198)*(Data!$E$2:$E$2277=C198)*(Data!$M$2:$M$2277="Pyotr Poroshenko")*IF(ISNUMBER(Data!$W$2:$W$2277),Data!$W$2:$W$2277,0))/SUMPRODUCT((Data!$D$2:$D$2277=A198)*(Data!$E$2:$E$2277=C198)*(Data!$M$2:$M$2277="Pyotr Poroshenko")),"")</f>
        <v>9.6</v>
      </c>
      <c r="H198" s="10" t="str">
        <f t="array" ref="H198">IFERROR(INDEX(Avg!$F$2:$F$50,MATCH(DATE(YEAR(A198),MONTH(A198),1),Avg!$A$2:$A$50,0)),"")</f>
        <v/>
      </c>
      <c r="I198" s="10" t="str">
        <f t="array" ref="I198">IFERROR(INDEX(Avg!$G$2:$G$50,MATCH(DATE(YEAR(A198),MONTH(A198),1),Avg!$A$2:$A$50,0)),"")</f>
        <v/>
      </c>
      <c r="J198" s="10" t="str">
        <f t="array" ref="J198">IFERROR(INDEX(Avg!$H$2:$H$50,MATCH(DATE(YEAR(A198),MONTH(A198),1),Avg!$A$2:$A$50,0)),"")</f>
        <v/>
      </c>
      <c r="K198" s="10" t="str">
        <f t="array" ref="K198">IFERROR(INDEX(Avg!$I$2:$I$50,MATCH(DATE(YEAR(A198),MONTH(A198),1),Avg!$A$2:$A$50,0)),"")</f>
        <v/>
      </c>
      <c r="L198" s="11" t="str">
        <f t="array" ref="L198">IFERROR(INDEX(Avg!$L$2:$L$50,MATCH(DATE(YEAR(A198),MONTH(A198),1),Avg!$A$2:$A$50,0)),"")</f>
        <v/>
      </c>
      <c r="M198" s="11" t="str">
        <f t="array" ref="M198">IFERROR(INDEX(Avg!$M$2:$M$50,MATCH(DATE(YEAR(A198),MONTH(A198),1),Avg!$A$2:$A$50,0)),"")</f>
        <v/>
      </c>
      <c r="N198" s="11" t="str">
        <f t="array" ref="N198">IFERROR(INDEX(Avg!$N$2:$N$50,MATCH(DATE(YEAR(A198),MONTH(A198),1),Avg!$A$2:$A$50,0)),"")</f>
        <v/>
      </c>
      <c r="O198" s="11" t="str">
        <f t="array" ref="O198">IFERROR(INDEX(Avg!$O$2:$O$50,MATCH(DATE(YEAR(A198),MONTH(A198),1),Avg!$A$2:$A$50,0)),"")</f>
        <v/>
      </c>
    </row>
    <row r="199" ht="15.75" customHeight="1">
      <c r="A199" s="7" t="s">
        <v>281</v>
      </c>
      <c r="B199" s="7" t="s">
        <v>282</v>
      </c>
      <c r="C199" s="8" t="s">
        <v>283</v>
      </c>
      <c r="D199" s="9">
        <f>IF(SUMPRODUCT((Data!$D$2:$D$2277=A199)*(Data!$E$2:$E$2277=C199)*(Data!$M$2:$M$2277="Vladimir Zelenskiy"))&gt;0,SUMPRODUCT((Data!$D$2:$D$2277=A199)*(Data!$E$2:$E$2277=C199)*(Data!$M$2:$M$2277="Vladimir Zelenskiy")*IF(ISNUMBER(Data!$W$2:$W$2277),Data!$W$2:$W$2277,0))/SUMPRODUCT((Data!$D$2:$D$2277=A199)*(Data!$E$2:$E$2277=C199)*(Data!$M$2:$M$2277="Vladimir Zelenskiy")),"")</f>
        <v>73.2</v>
      </c>
      <c r="E199" s="9" t="str">
        <f>IF(SUMPRODUCT((Data!$D$2:$D$2277=A199)*(Data!$E$2:$E$2277=C199)*(Data!$M$2:$M$2277="Valerii Zaluzhniy"))&gt;0,SUMPRODUCT((Data!$D$2:$D$2277=A199)*(Data!$E$2:$E$2277=C199)*(Data!$M$2:$M$2277="Valerii Zaluzhniy")*IF(ISNUMBER(Data!$W$2:$W$2277),Data!$W$2:$W$2277,0))/SUMPRODUCT((Data!$D$2:$D$2277=A199)*(Data!$E$2:$E$2277=C199)*(Data!$M$2:$M$2277="Valerii Zaluzhniy")),"")</f>
        <v/>
      </c>
      <c r="F199" s="9" t="str">
        <f>IF(SUMPRODUCT((Data!$D$2:$D$2277=A199)*(Data!$E$2:$E$2277=C199)*(Data!$M$2:$M$2277="Kyrylo Budanov"))&gt;0,SUMPRODUCT((Data!$D$2:$D$2277=A199)*(Data!$E$2:$E$2277=C199)*(Data!$M$2:$M$2277="Kyrylo Budanov")*IF(ISNUMBER(Data!$W$2:$W$2277),Data!$W$2:$W$2277,0))/SUMPRODUCT((Data!$D$2:$D$2277=A199)*(Data!$E$2:$E$2277=C199)*(Data!$M$2:$M$2277="Kyrylo Budanov")),"")</f>
        <v/>
      </c>
      <c r="G199" s="9">
        <f>IF(SUMPRODUCT((Data!$D$2:$D$2277=A199)*(Data!$E$2:$E$2277=C199)*(Data!$M$2:$M$2277="Pyotr Poroshenko"))&gt;0,SUMPRODUCT((Data!$D$2:$D$2277=A199)*(Data!$E$2:$E$2277=C199)*(Data!$M$2:$M$2277="Pyotr Poroshenko")*IF(ISNUMBER(Data!$W$2:$W$2277),Data!$W$2:$W$2277,0))/SUMPRODUCT((Data!$D$2:$D$2277=A199)*(Data!$E$2:$E$2277=C199)*(Data!$M$2:$M$2277="Pyotr Poroshenko")),"")</f>
        <v>24.3</v>
      </c>
      <c r="H199" s="10" t="str">
        <f t="array" ref="H199">IFERROR(INDEX(Avg!$F$2:$F$50,MATCH(DATE(YEAR(A199),MONTH(A199),1),Avg!$A$2:$A$50,0)),"")</f>
        <v/>
      </c>
      <c r="I199" s="10" t="str">
        <f t="array" ref="I199">IFERROR(INDEX(Avg!$G$2:$G$50,MATCH(DATE(YEAR(A199),MONTH(A199),1),Avg!$A$2:$A$50,0)),"")</f>
        <v/>
      </c>
      <c r="J199" s="10" t="str">
        <f t="array" ref="J199">IFERROR(INDEX(Avg!$H$2:$H$50,MATCH(DATE(YEAR(A199),MONTH(A199),1),Avg!$A$2:$A$50,0)),"")</f>
        <v/>
      </c>
      <c r="K199" s="10" t="str">
        <f t="array" ref="K199">IFERROR(INDEX(Avg!$I$2:$I$50,MATCH(DATE(YEAR(A199),MONTH(A199),1),Avg!$A$2:$A$50,0)),"")</f>
        <v/>
      </c>
      <c r="L199" s="11" t="str">
        <f t="array" ref="L199">IFERROR(INDEX(Avg!$L$2:$L$50,MATCH(DATE(YEAR(A199),MONTH(A199),1),Avg!$A$2:$A$50,0)),"")</f>
        <v/>
      </c>
      <c r="M199" s="11" t="str">
        <f t="array" ref="M199">IFERROR(INDEX(Avg!$M$2:$M$50,MATCH(DATE(YEAR(A199),MONTH(A199),1),Avg!$A$2:$A$50,0)),"")</f>
        <v/>
      </c>
      <c r="N199" s="11" t="str">
        <f t="array" ref="N199">IFERROR(INDEX(Avg!$N$2:$N$50,MATCH(DATE(YEAR(A199),MONTH(A199),1),Avg!$A$2:$A$50,0)),"")</f>
        <v/>
      </c>
      <c r="O199" s="11" t="str">
        <f t="array" ref="O199">IFERROR(INDEX(Avg!$O$2:$O$50,MATCH(DATE(YEAR(A199),MONTH(A199),1),Avg!$A$2:$A$50,0)),"")</f>
        <v/>
      </c>
    </row>
    <row r="200" ht="15.75" customHeight="1">
      <c r="A200" s="7" t="s">
        <v>284</v>
      </c>
      <c r="B200" s="7" t="s">
        <v>282</v>
      </c>
      <c r="C200" s="8" t="s">
        <v>285</v>
      </c>
      <c r="D200" s="9">
        <f>IF(SUMPRODUCT((Data!$D$2:$D$2277=A200)*(Data!$E$2:$E$2277=C200)*(Data!$M$2:$M$2277="Vladimir Zelenskiy"))&gt;0,SUMPRODUCT((Data!$D$2:$D$2277=A200)*(Data!$E$2:$E$2277=C200)*(Data!$M$2:$M$2277="Vladimir Zelenskiy")*IF(ISNUMBER(Data!$W$2:$W$2277),Data!$W$2:$W$2277,0))/SUMPRODUCT((Data!$D$2:$D$2277=A200)*(Data!$E$2:$E$2277=C200)*(Data!$M$2:$M$2277="Vladimir Zelenskiy")),"")</f>
        <v>73.7</v>
      </c>
      <c r="E200" s="9" t="str">
        <f>IF(SUMPRODUCT((Data!$D$2:$D$2277=A200)*(Data!$E$2:$E$2277=C200)*(Data!$M$2:$M$2277="Valerii Zaluzhniy"))&gt;0,SUMPRODUCT((Data!$D$2:$D$2277=A200)*(Data!$E$2:$E$2277=C200)*(Data!$M$2:$M$2277="Valerii Zaluzhniy")*IF(ISNUMBER(Data!$W$2:$W$2277),Data!$W$2:$W$2277,0))/SUMPRODUCT((Data!$D$2:$D$2277=A200)*(Data!$E$2:$E$2277=C200)*(Data!$M$2:$M$2277="Valerii Zaluzhniy")),"")</f>
        <v/>
      </c>
      <c r="F200" s="9" t="str">
        <f>IF(SUMPRODUCT((Data!$D$2:$D$2277=A200)*(Data!$E$2:$E$2277=C200)*(Data!$M$2:$M$2277="Kyrylo Budanov"))&gt;0,SUMPRODUCT((Data!$D$2:$D$2277=A200)*(Data!$E$2:$E$2277=C200)*(Data!$M$2:$M$2277="Kyrylo Budanov")*IF(ISNUMBER(Data!$W$2:$W$2277),Data!$W$2:$W$2277,0))/SUMPRODUCT((Data!$D$2:$D$2277=A200)*(Data!$E$2:$E$2277=C200)*(Data!$M$2:$M$2277="Kyrylo Budanov")),"")</f>
        <v/>
      </c>
      <c r="G200" s="9">
        <f>IF(SUMPRODUCT((Data!$D$2:$D$2277=A200)*(Data!$E$2:$E$2277=C200)*(Data!$M$2:$M$2277="Pyotr Poroshenko"))&gt;0,SUMPRODUCT((Data!$D$2:$D$2277=A200)*(Data!$E$2:$E$2277=C200)*(Data!$M$2:$M$2277="Pyotr Poroshenko")*IF(ISNUMBER(Data!$W$2:$W$2277),Data!$W$2:$W$2277,0))/SUMPRODUCT((Data!$D$2:$D$2277=A200)*(Data!$E$2:$E$2277=C200)*(Data!$M$2:$M$2277="Pyotr Poroshenko")),"")</f>
        <v>26.3</v>
      </c>
      <c r="H200" s="10" t="str">
        <f t="array" ref="H200">IFERROR(INDEX(Avg!$F$2:$F$50,MATCH(DATE(YEAR(A200),MONTH(A200),1),Avg!$A$2:$A$50,0)),"")</f>
        <v/>
      </c>
      <c r="I200" s="10" t="str">
        <f t="array" ref="I200">IFERROR(INDEX(Avg!$G$2:$G$50,MATCH(DATE(YEAR(A200),MONTH(A200),1),Avg!$A$2:$A$50,0)),"")</f>
        <v/>
      </c>
      <c r="J200" s="10" t="str">
        <f t="array" ref="J200">IFERROR(INDEX(Avg!$H$2:$H$50,MATCH(DATE(YEAR(A200),MONTH(A200),1),Avg!$A$2:$A$50,0)),"")</f>
        <v/>
      </c>
      <c r="K200" s="10" t="str">
        <f t="array" ref="K200">IFERROR(INDEX(Avg!$I$2:$I$50,MATCH(DATE(YEAR(A200),MONTH(A200),1),Avg!$A$2:$A$50,0)),"")</f>
        <v/>
      </c>
      <c r="L200" s="11" t="str">
        <f t="array" ref="L200">IFERROR(INDEX(Avg!$L$2:$L$50,MATCH(DATE(YEAR(A200),MONTH(A200),1),Avg!$A$2:$A$50,0)),"")</f>
        <v/>
      </c>
      <c r="M200" s="11" t="str">
        <f t="array" ref="M200">IFERROR(INDEX(Avg!$M$2:$M$50,MATCH(DATE(YEAR(A200),MONTH(A200),1),Avg!$A$2:$A$50,0)),"")</f>
        <v/>
      </c>
      <c r="N200" s="11" t="str">
        <f t="array" ref="N200">IFERROR(INDEX(Avg!$N$2:$N$50,MATCH(DATE(YEAR(A200),MONTH(A200),1),Avg!$A$2:$A$50,0)),"")</f>
        <v/>
      </c>
      <c r="O200" s="11" t="str">
        <f t="array" ref="O200">IFERROR(INDEX(Avg!$O$2:$O$50,MATCH(DATE(YEAR(A200),MONTH(A200),1),Avg!$A$2:$A$50,0)),"")</f>
        <v/>
      </c>
    </row>
    <row r="201" ht="15.75" customHeight="1">
      <c r="A201" s="7" t="s">
        <v>284</v>
      </c>
      <c r="B201" s="7" t="s">
        <v>282</v>
      </c>
      <c r="C201" s="8" t="s">
        <v>286</v>
      </c>
      <c r="D201" s="9">
        <f>IF(SUMPRODUCT((Data!$D$2:$D$2277=A201)*(Data!$E$2:$E$2277=C201)*(Data!$M$2:$M$2277="Vladimir Zelenskiy"))&gt;0,SUMPRODUCT((Data!$D$2:$D$2277=A201)*(Data!$E$2:$E$2277=C201)*(Data!$M$2:$M$2277="Vladimir Zelenskiy")*IF(ISNUMBER(Data!$W$2:$W$2277),Data!$W$2:$W$2277,0))/SUMPRODUCT((Data!$D$2:$D$2277=A201)*(Data!$E$2:$E$2277=C201)*(Data!$M$2:$M$2277="Vladimir Zelenskiy")),"")</f>
        <v>72.8</v>
      </c>
      <c r="E201" s="9" t="str">
        <f>IF(SUMPRODUCT((Data!$D$2:$D$2277=A201)*(Data!$E$2:$E$2277=C201)*(Data!$M$2:$M$2277="Valerii Zaluzhniy"))&gt;0,SUMPRODUCT((Data!$D$2:$D$2277=A201)*(Data!$E$2:$E$2277=C201)*(Data!$M$2:$M$2277="Valerii Zaluzhniy")*IF(ISNUMBER(Data!$W$2:$W$2277),Data!$W$2:$W$2277,0))/SUMPRODUCT((Data!$D$2:$D$2277=A201)*(Data!$E$2:$E$2277=C201)*(Data!$M$2:$M$2277="Valerii Zaluzhniy")),"")</f>
        <v/>
      </c>
      <c r="F201" s="9" t="str">
        <f>IF(SUMPRODUCT((Data!$D$2:$D$2277=A201)*(Data!$E$2:$E$2277=C201)*(Data!$M$2:$M$2277="Kyrylo Budanov"))&gt;0,SUMPRODUCT((Data!$D$2:$D$2277=A201)*(Data!$E$2:$E$2277=C201)*(Data!$M$2:$M$2277="Kyrylo Budanov")*IF(ISNUMBER(Data!$W$2:$W$2277),Data!$W$2:$W$2277,0))/SUMPRODUCT((Data!$D$2:$D$2277=A201)*(Data!$E$2:$E$2277=C201)*(Data!$M$2:$M$2277="Kyrylo Budanov")),"")</f>
        <v/>
      </c>
      <c r="G201" s="9">
        <f>IF(SUMPRODUCT((Data!$D$2:$D$2277=A201)*(Data!$E$2:$E$2277=C201)*(Data!$M$2:$M$2277="Pyotr Poroshenko"))&gt;0,SUMPRODUCT((Data!$D$2:$D$2277=A201)*(Data!$E$2:$E$2277=C201)*(Data!$M$2:$M$2277="Pyotr Poroshenko")*IF(ISNUMBER(Data!$W$2:$W$2277),Data!$W$2:$W$2277,0))/SUMPRODUCT((Data!$D$2:$D$2277=A201)*(Data!$E$2:$E$2277=C201)*(Data!$M$2:$M$2277="Pyotr Poroshenko")),"")</f>
        <v>27.2</v>
      </c>
      <c r="H201" s="10" t="str">
        <f t="array" ref="H201">IFERROR(INDEX(Avg!$F$2:$F$50,MATCH(DATE(YEAR(A201),MONTH(A201),1),Avg!$A$2:$A$50,0)),"")</f>
        <v/>
      </c>
      <c r="I201" s="10" t="str">
        <f t="array" ref="I201">IFERROR(INDEX(Avg!$G$2:$G$50,MATCH(DATE(YEAR(A201),MONTH(A201),1),Avg!$A$2:$A$50,0)),"")</f>
        <v/>
      </c>
      <c r="J201" s="10" t="str">
        <f t="array" ref="J201">IFERROR(INDEX(Avg!$H$2:$H$50,MATCH(DATE(YEAR(A201),MONTH(A201),1),Avg!$A$2:$A$50,0)),"")</f>
        <v/>
      </c>
      <c r="K201" s="10" t="str">
        <f t="array" ref="K201">IFERROR(INDEX(Avg!$I$2:$I$50,MATCH(DATE(YEAR(A201),MONTH(A201),1),Avg!$A$2:$A$50,0)),"")</f>
        <v/>
      </c>
      <c r="L201" s="11" t="str">
        <f t="array" ref="L201">IFERROR(INDEX(Avg!$L$2:$L$50,MATCH(DATE(YEAR(A201),MONTH(A201),1),Avg!$A$2:$A$50,0)),"")</f>
        <v/>
      </c>
      <c r="M201" s="11" t="str">
        <f t="array" ref="M201">IFERROR(INDEX(Avg!$M$2:$M$50,MATCH(DATE(YEAR(A201),MONTH(A201),1),Avg!$A$2:$A$50,0)),"")</f>
        <v/>
      </c>
      <c r="N201" s="11" t="str">
        <f t="array" ref="N201">IFERROR(INDEX(Avg!$N$2:$N$50,MATCH(DATE(YEAR(A201),MONTH(A201),1),Avg!$A$2:$A$50,0)),"")</f>
        <v/>
      </c>
      <c r="O201" s="11" t="str">
        <f t="array" ref="O201">IFERROR(INDEX(Avg!$O$2:$O$50,MATCH(DATE(YEAR(A201),MONTH(A201),1),Avg!$A$2:$A$50,0)),"")</f>
        <v/>
      </c>
    </row>
    <row r="202" ht="15.75" customHeight="1">
      <c r="A202" s="7" t="s">
        <v>284</v>
      </c>
      <c r="B202" s="7" t="s">
        <v>282</v>
      </c>
      <c r="C202" s="8" t="s">
        <v>287</v>
      </c>
      <c r="D202" s="9">
        <f>IF(SUMPRODUCT((Data!$D$2:$D$2277=A202)*(Data!$E$2:$E$2277=C202)*(Data!$M$2:$M$2277="Vladimir Zelenskiy"))&gt;0,SUMPRODUCT((Data!$D$2:$D$2277=A202)*(Data!$E$2:$E$2277=C202)*(Data!$M$2:$M$2277="Vladimir Zelenskiy")*IF(ISNUMBER(Data!$W$2:$W$2277),Data!$W$2:$W$2277,0))/SUMPRODUCT((Data!$D$2:$D$2277=A202)*(Data!$E$2:$E$2277=C202)*(Data!$M$2:$M$2277="Vladimir Zelenskiy")),"")</f>
        <v>73</v>
      </c>
      <c r="E202" s="9" t="str">
        <f>IF(SUMPRODUCT((Data!$D$2:$D$2277=A202)*(Data!$E$2:$E$2277=C202)*(Data!$M$2:$M$2277="Valerii Zaluzhniy"))&gt;0,SUMPRODUCT((Data!$D$2:$D$2277=A202)*(Data!$E$2:$E$2277=C202)*(Data!$M$2:$M$2277="Valerii Zaluzhniy")*IF(ISNUMBER(Data!$W$2:$W$2277),Data!$W$2:$W$2277,0))/SUMPRODUCT((Data!$D$2:$D$2277=A202)*(Data!$E$2:$E$2277=C202)*(Data!$M$2:$M$2277="Valerii Zaluzhniy")),"")</f>
        <v/>
      </c>
      <c r="F202" s="9" t="str">
        <f>IF(SUMPRODUCT((Data!$D$2:$D$2277=A202)*(Data!$E$2:$E$2277=C202)*(Data!$M$2:$M$2277="Kyrylo Budanov"))&gt;0,SUMPRODUCT((Data!$D$2:$D$2277=A202)*(Data!$E$2:$E$2277=C202)*(Data!$M$2:$M$2277="Kyrylo Budanov")*IF(ISNUMBER(Data!$W$2:$W$2277),Data!$W$2:$W$2277,0))/SUMPRODUCT((Data!$D$2:$D$2277=A202)*(Data!$E$2:$E$2277=C202)*(Data!$M$2:$M$2277="Kyrylo Budanov")),"")</f>
        <v/>
      </c>
      <c r="G202" s="9">
        <f>IF(SUMPRODUCT((Data!$D$2:$D$2277=A202)*(Data!$E$2:$E$2277=C202)*(Data!$M$2:$M$2277="Pyotr Poroshenko"))&gt;0,SUMPRODUCT((Data!$D$2:$D$2277=A202)*(Data!$E$2:$E$2277=C202)*(Data!$M$2:$M$2277="Pyotr Poroshenko")*IF(ISNUMBER(Data!$W$2:$W$2277),Data!$W$2:$W$2277,0))/SUMPRODUCT((Data!$D$2:$D$2277=A202)*(Data!$E$2:$E$2277=C202)*(Data!$M$2:$M$2277="Pyotr Poroshenko")),"")</f>
        <v>25.5</v>
      </c>
      <c r="H202" s="10" t="str">
        <f t="array" ref="H202">IFERROR(INDEX(Avg!$F$2:$F$50,MATCH(DATE(YEAR(A202),MONTH(A202),1),Avg!$A$2:$A$50,0)),"")</f>
        <v/>
      </c>
      <c r="I202" s="10" t="str">
        <f t="array" ref="I202">IFERROR(INDEX(Avg!$G$2:$G$50,MATCH(DATE(YEAR(A202),MONTH(A202),1),Avg!$A$2:$A$50,0)),"")</f>
        <v/>
      </c>
      <c r="J202" s="10" t="str">
        <f t="array" ref="J202">IFERROR(INDEX(Avg!$H$2:$H$50,MATCH(DATE(YEAR(A202),MONTH(A202),1),Avg!$A$2:$A$50,0)),"")</f>
        <v/>
      </c>
      <c r="K202" s="10" t="str">
        <f t="array" ref="K202">IFERROR(INDEX(Avg!$I$2:$I$50,MATCH(DATE(YEAR(A202),MONTH(A202),1),Avg!$A$2:$A$50,0)),"")</f>
        <v/>
      </c>
      <c r="L202" s="11" t="str">
        <f t="array" ref="L202">IFERROR(INDEX(Avg!$L$2:$L$50,MATCH(DATE(YEAR(A202),MONTH(A202),1),Avg!$A$2:$A$50,0)),"")</f>
        <v/>
      </c>
      <c r="M202" s="11" t="str">
        <f t="array" ref="M202">IFERROR(INDEX(Avg!$M$2:$M$50,MATCH(DATE(YEAR(A202),MONTH(A202),1),Avg!$A$2:$A$50,0)),"")</f>
        <v/>
      </c>
      <c r="N202" s="11" t="str">
        <f t="array" ref="N202">IFERROR(INDEX(Avg!$N$2:$N$50,MATCH(DATE(YEAR(A202),MONTH(A202),1),Avg!$A$2:$A$50,0)),"")</f>
        <v/>
      </c>
      <c r="O202" s="11" t="str">
        <f t="array" ref="O202">IFERROR(INDEX(Avg!$O$2:$O$50,MATCH(DATE(YEAR(A202),MONTH(A202),1),Avg!$A$2:$A$50,0)),"")</f>
        <v/>
      </c>
    </row>
    <row r="203" ht="15.75" customHeight="1">
      <c r="A203" s="7" t="s">
        <v>288</v>
      </c>
      <c r="B203" s="7" t="s">
        <v>282</v>
      </c>
      <c r="C203" s="8" t="s">
        <v>40</v>
      </c>
      <c r="D203" s="9">
        <f>IF(SUMPRODUCT((Data!$D$2:$D$2277=A203)*(Data!$E$2:$E$2277=C203)*(Data!$M$2:$M$2277="Vladimir Zelenskiy"))&gt;0,SUMPRODUCT((Data!$D$2:$D$2277=A203)*(Data!$E$2:$E$2277=C203)*(Data!$M$2:$M$2277="Vladimir Zelenskiy")*IF(ISNUMBER(Data!$W$2:$W$2277),Data!$W$2:$W$2277,0))/SUMPRODUCT((Data!$D$2:$D$2277=A203)*(Data!$E$2:$E$2277=C203)*(Data!$M$2:$M$2277="Vladimir Zelenskiy")),"")</f>
        <v>51.8</v>
      </c>
      <c r="E203" s="9" t="str">
        <f>IF(SUMPRODUCT((Data!$D$2:$D$2277=A203)*(Data!$E$2:$E$2277=C203)*(Data!$M$2:$M$2277="Valerii Zaluzhniy"))&gt;0,SUMPRODUCT((Data!$D$2:$D$2277=A203)*(Data!$E$2:$E$2277=C203)*(Data!$M$2:$M$2277="Valerii Zaluzhniy")*IF(ISNUMBER(Data!$W$2:$W$2277),Data!$W$2:$W$2277,0))/SUMPRODUCT((Data!$D$2:$D$2277=A203)*(Data!$E$2:$E$2277=C203)*(Data!$M$2:$M$2277="Valerii Zaluzhniy")),"")</f>
        <v/>
      </c>
      <c r="F203" s="9" t="str">
        <f>IF(SUMPRODUCT((Data!$D$2:$D$2277=A203)*(Data!$E$2:$E$2277=C203)*(Data!$M$2:$M$2277="Kyrylo Budanov"))&gt;0,SUMPRODUCT((Data!$D$2:$D$2277=A203)*(Data!$E$2:$E$2277=C203)*(Data!$M$2:$M$2277="Kyrylo Budanov")*IF(ISNUMBER(Data!$W$2:$W$2277),Data!$W$2:$W$2277,0))/SUMPRODUCT((Data!$D$2:$D$2277=A203)*(Data!$E$2:$E$2277=C203)*(Data!$M$2:$M$2277="Kyrylo Budanov")),"")</f>
        <v/>
      </c>
      <c r="G203" s="9">
        <f>IF(SUMPRODUCT((Data!$D$2:$D$2277=A203)*(Data!$E$2:$E$2277=C203)*(Data!$M$2:$M$2277="Pyotr Poroshenko"))&gt;0,SUMPRODUCT((Data!$D$2:$D$2277=A203)*(Data!$E$2:$E$2277=C203)*(Data!$M$2:$M$2277="Pyotr Poroshenko")*IF(ISNUMBER(Data!$W$2:$W$2277),Data!$W$2:$W$2277,0))/SUMPRODUCT((Data!$D$2:$D$2277=A203)*(Data!$E$2:$E$2277=C203)*(Data!$M$2:$M$2277="Pyotr Poroshenko")),"")</f>
        <v>19</v>
      </c>
      <c r="H203" s="10" t="str">
        <f t="array" ref="H203">IFERROR(INDEX(Avg!$F$2:$F$50,MATCH(DATE(YEAR(A203),MONTH(A203),1),Avg!$A$2:$A$50,0)),"")</f>
        <v/>
      </c>
      <c r="I203" s="10" t="str">
        <f t="array" ref="I203">IFERROR(INDEX(Avg!$G$2:$G$50,MATCH(DATE(YEAR(A203),MONTH(A203),1),Avg!$A$2:$A$50,0)),"")</f>
        <v/>
      </c>
      <c r="J203" s="10" t="str">
        <f t="array" ref="J203">IFERROR(INDEX(Avg!$H$2:$H$50,MATCH(DATE(YEAR(A203),MONTH(A203),1),Avg!$A$2:$A$50,0)),"")</f>
        <v/>
      </c>
      <c r="K203" s="10" t="str">
        <f t="array" ref="K203">IFERROR(INDEX(Avg!$I$2:$I$50,MATCH(DATE(YEAR(A203),MONTH(A203),1),Avg!$A$2:$A$50,0)),"")</f>
        <v/>
      </c>
      <c r="L203" s="11" t="str">
        <f t="array" ref="L203">IFERROR(INDEX(Avg!$L$2:$L$50,MATCH(DATE(YEAR(A203),MONTH(A203),1),Avg!$A$2:$A$50,0)),"")</f>
        <v/>
      </c>
      <c r="M203" s="11" t="str">
        <f t="array" ref="M203">IFERROR(INDEX(Avg!$M$2:$M$50,MATCH(DATE(YEAR(A203),MONTH(A203),1),Avg!$A$2:$A$50,0)),"")</f>
        <v/>
      </c>
      <c r="N203" s="11" t="str">
        <f t="array" ref="N203">IFERROR(INDEX(Avg!$N$2:$N$50,MATCH(DATE(YEAR(A203),MONTH(A203),1),Avg!$A$2:$A$50,0)),"")</f>
        <v/>
      </c>
      <c r="O203" s="11" t="str">
        <f t="array" ref="O203">IFERROR(INDEX(Avg!$O$2:$O$50,MATCH(DATE(YEAR(A203),MONTH(A203),1),Avg!$A$2:$A$50,0)),"")</f>
        <v/>
      </c>
    </row>
    <row r="204" ht="15.75" customHeight="1">
      <c r="A204" s="7" t="s">
        <v>289</v>
      </c>
      <c r="B204" s="7" t="s">
        <v>282</v>
      </c>
      <c r="C204" s="8" t="s">
        <v>72</v>
      </c>
      <c r="D204" s="9">
        <f>IF(SUMPRODUCT((Data!$D$2:$D$2277=A204)*(Data!$E$2:$E$2277=C204)*(Data!$M$2:$M$2277="Vladimir Zelenskiy"))&gt;0,SUMPRODUCT((Data!$D$2:$D$2277=A204)*(Data!$E$2:$E$2277=C204)*(Data!$M$2:$M$2277="Vladimir Zelenskiy")*IF(ISNUMBER(Data!$W$2:$W$2277),Data!$W$2:$W$2277,0))/SUMPRODUCT((Data!$D$2:$D$2277=A204)*(Data!$E$2:$E$2277=C204)*(Data!$M$2:$M$2277="Vladimir Zelenskiy")),"")</f>
        <v>48.4</v>
      </c>
      <c r="E204" s="9" t="str">
        <f>IF(SUMPRODUCT((Data!$D$2:$D$2277=A204)*(Data!$E$2:$E$2277=C204)*(Data!$M$2:$M$2277="Valerii Zaluzhniy"))&gt;0,SUMPRODUCT((Data!$D$2:$D$2277=A204)*(Data!$E$2:$E$2277=C204)*(Data!$M$2:$M$2277="Valerii Zaluzhniy")*IF(ISNUMBER(Data!$W$2:$W$2277),Data!$W$2:$W$2277,0))/SUMPRODUCT((Data!$D$2:$D$2277=A204)*(Data!$E$2:$E$2277=C204)*(Data!$M$2:$M$2277="Valerii Zaluzhniy")),"")</f>
        <v/>
      </c>
      <c r="F204" s="9" t="str">
        <f>IF(SUMPRODUCT((Data!$D$2:$D$2277=A204)*(Data!$E$2:$E$2277=C204)*(Data!$M$2:$M$2277="Kyrylo Budanov"))&gt;0,SUMPRODUCT((Data!$D$2:$D$2277=A204)*(Data!$E$2:$E$2277=C204)*(Data!$M$2:$M$2277="Kyrylo Budanov")*IF(ISNUMBER(Data!$W$2:$W$2277),Data!$W$2:$W$2277,0))/SUMPRODUCT((Data!$D$2:$D$2277=A204)*(Data!$E$2:$E$2277=C204)*(Data!$M$2:$M$2277="Kyrylo Budanov")),"")</f>
        <v/>
      </c>
      <c r="G204" s="9">
        <f>IF(SUMPRODUCT((Data!$D$2:$D$2277=A204)*(Data!$E$2:$E$2277=C204)*(Data!$M$2:$M$2277="Pyotr Poroshenko"))&gt;0,SUMPRODUCT((Data!$D$2:$D$2277=A204)*(Data!$E$2:$E$2277=C204)*(Data!$M$2:$M$2277="Pyotr Poroshenko")*IF(ISNUMBER(Data!$W$2:$W$2277),Data!$W$2:$W$2277,0))/SUMPRODUCT((Data!$D$2:$D$2277=A204)*(Data!$E$2:$E$2277=C204)*(Data!$M$2:$M$2277="Pyotr Poroshenko")),"")</f>
        <v>17</v>
      </c>
      <c r="H204" s="10" t="str">
        <f t="array" ref="H204">IFERROR(INDEX(Avg!$F$2:$F$50,MATCH(DATE(YEAR(A204),MONTH(A204),1),Avg!$A$2:$A$50,0)),"")</f>
        <v/>
      </c>
      <c r="I204" s="10" t="str">
        <f t="array" ref="I204">IFERROR(INDEX(Avg!$G$2:$G$50,MATCH(DATE(YEAR(A204),MONTH(A204),1),Avg!$A$2:$A$50,0)),"")</f>
        <v/>
      </c>
      <c r="J204" s="10" t="str">
        <f t="array" ref="J204">IFERROR(INDEX(Avg!$H$2:$H$50,MATCH(DATE(YEAR(A204),MONTH(A204),1),Avg!$A$2:$A$50,0)),"")</f>
        <v/>
      </c>
      <c r="K204" s="10" t="str">
        <f t="array" ref="K204">IFERROR(INDEX(Avg!$I$2:$I$50,MATCH(DATE(YEAR(A204),MONTH(A204),1),Avg!$A$2:$A$50,0)),"")</f>
        <v/>
      </c>
      <c r="L204" s="11" t="str">
        <f t="array" ref="L204">IFERROR(INDEX(Avg!$L$2:$L$50,MATCH(DATE(YEAR(A204),MONTH(A204),1),Avg!$A$2:$A$50,0)),"")</f>
        <v/>
      </c>
      <c r="M204" s="11" t="str">
        <f t="array" ref="M204">IFERROR(INDEX(Avg!$M$2:$M$50,MATCH(DATE(YEAR(A204),MONTH(A204),1),Avg!$A$2:$A$50,0)),"")</f>
        <v/>
      </c>
      <c r="N204" s="11" t="str">
        <f t="array" ref="N204">IFERROR(INDEX(Avg!$N$2:$N$50,MATCH(DATE(YEAR(A204),MONTH(A204),1),Avg!$A$2:$A$50,0)),"")</f>
        <v/>
      </c>
      <c r="O204" s="11" t="str">
        <f t="array" ref="O204">IFERROR(INDEX(Avg!$O$2:$O$50,MATCH(DATE(YEAR(A204),MONTH(A204),1),Avg!$A$2:$A$50,0)),"")</f>
        <v/>
      </c>
    </row>
    <row r="205" ht="15.75" customHeight="1">
      <c r="A205" s="7" t="s">
        <v>290</v>
      </c>
      <c r="B205" s="7" t="s">
        <v>282</v>
      </c>
      <c r="C205" s="8" t="s">
        <v>40</v>
      </c>
      <c r="D205" s="9">
        <f>IF(SUMPRODUCT((Data!$D$2:$D$2277=A205)*(Data!$E$2:$E$2277=C205)*(Data!$M$2:$M$2277="Vladimir Zelenskiy"))&gt;0,SUMPRODUCT((Data!$D$2:$D$2277=A205)*(Data!$E$2:$E$2277=C205)*(Data!$M$2:$M$2277="Vladimir Zelenskiy")*IF(ISNUMBER(Data!$W$2:$W$2277),Data!$W$2:$W$2277,0))/SUMPRODUCT((Data!$D$2:$D$2277=A205)*(Data!$E$2:$E$2277=C205)*(Data!$M$2:$M$2277="Vladimir Zelenskiy")),"")</f>
        <v>51</v>
      </c>
      <c r="E205" s="9" t="str">
        <f>IF(SUMPRODUCT((Data!$D$2:$D$2277=A205)*(Data!$E$2:$E$2277=C205)*(Data!$M$2:$M$2277="Valerii Zaluzhniy"))&gt;0,SUMPRODUCT((Data!$D$2:$D$2277=A205)*(Data!$E$2:$E$2277=C205)*(Data!$M$2:$M$2277="Valerii Zaluzhniy")*IF(ISNUMBER(Data!$W$2:$W$2277),Data!$W$2:$W$2277,0))/SUMPRODUCT((Data!$D$2:$D$2277=A205)*(Data!$E$2:$E$2277=C205)*(Data!$M$2:$M$2277="Valerii Zaluzhniy")),"")</f>
        <v/>
      </c>
      <c r="F205" s="9" t="str">
        <f>IF(SUMPRODUCT((Data!$D$2:$D$2277=A205)*(Data!$E$2:$E$2277=C205)*(Data!$M$2:$M$2277="Kyrylo Budanov"))&gt;0,SUMPRODUCT((Data!$D$2:$D$2277=A205)*(Data!$E$2:$E$2277=C205)*(Data!$M$2:$M$2277="Kyrylo Budanov")*IF(ISNUMBER(Data!$W$2:$W$2277),Data!$W$2:$W$2277,0))/SUMPRODUCT((Data!$D$2:$D$2277=A205)*(Data!$E$2:$E$2277=C205)*(Data!$M$2:$M$2277="Kyrylo Budanov")),"")</f>
        <v/>
      </c>
      <c r="G205" s="9">
        <f>IF(SUMPRODUCT((Data!$D$2:$D$2277=A205)*(Data!$E$2:$E$2277=C205)*(Data!$M$2:$M$2277="Pyotr Poroshenko"))&gt;0,SUMPRODUCT((Data!$D$2:$D$2277=A205)*(Data!$E$2:$E$2277=C205)*(Data!$M$2:$M$2277="Pyotr Poroshenko")*IF(ISNUMBER(Data!$W$2:$W$2277),Data!$W$2:$W$2277,0))/SUMPRODUCT((Data!$D$2:$D$2277=A205)*(Data!$E$2:$E$2277=C205)*(Data!$M$2:$M$2277="Pyotr Poroshenko")),"")</f>
        <v>20.8</v>
      </c>
      <c r="H205" s="10" t="str">
        <f t="array" ref="H205">IFERROR(INDEX(Avg!$F$2:$F$50,MATCH(DATE(YEAR(A205),MONTH(A205),1),Avg!$A$2:$A$50,0)),"")</f>
        <v/>
      </c>
      <c r="I205" s="10" t="str">
        <f t="array" ref="I205">IFERROR(INDEX(Avg!$G$2:$G$50,MATCH(DATE(YEAR(A205),MONTH(A205),1),Avg!$A$2:$A$50,0)),"")</f>
        <v/>
      </c>
      <c r="J205" s="10" t="str">
        <f t="array" ref="J205">IFERROR(INDEX(Avg!$H$2:$H$50,MATCH(DATE(YEAR(A205),MONTH(A205),1),Avg!$A$2:$A$50,0)),"")</f>
        <v/>
      </c>
      <c r="K205" s="10" t="str">
        <f t="array" ref="K205">IFERROR(INDEX(Avg!$I$2:$I$50,MATCH(DATE(YEAR(A205),MONTH(A205),1),Avg!$A$2:$A$50,0)),"")</f>
        <v/>
      </c>
      <c r="L205" s="11" t="str">
        <f t="array" ref="L205">IFERROR(INDEX(Avg!$L$2:$L$50,MATCH(DATE(YEAR(A205),MONTH(A205),1),Avg!$A$2:$A$50,0)),"")</f>
        <v/>
      </c>
      <c r="M205" s="11" t="str">
        <f t="array" ref="M205">IFERROR(INDEX(Avg!$M$2:$M$50,MATCH(DATE(YEAR(A205),MONTH(A205),1),Avg!$A$2:$A$50,0)),"")</f>
        <v/>
      </c>
      <c r="N205" s="11" t="str">
        <f t="array" ref="N205">IFERROR(INDEX(Avg!$N$2:$N$50,MATCH(DATE(YEAR(A205),MONTH(A205),1),Avg!$A$2:$A$50,0)),"")</f>
        <v/>
      </c>
      <c r="O205" s="11" t="str">
        <f t="array" ref="O205">IFERROR(INDEX(Avg!$O$2:$O$50,MATCH(DATE(YEAR(A205),MONTH(A205),1),Avg!$A$2:$A$50,0)),"")</f>
        <v/>
      </c>
    </row>
    <row r="206" ht="15.75" customHeight="1">
      <c r="A206" s="7" t="s">
        <v>291</v>
      </c>
      <c r="B206" s="7" t="s">
        <v>292</v>
      </c>
      <c r="C206" s="8" t="s">
        <v>293</v>
      </c>
      <c r="D206" s="9">
        <f>IF(SUMPRODUCT((Data!$D$2:$D$2277=A206)*(Data!$E$2:$E$2277=C206)*(Data!$M$2:$M$2277="Vladimir Zelenskiy"))&gt;0,SUMPRODUCT((Data!$D$2:$D$2277=A206)*(Data!$E$2:$E$2277=C206)*(Data!$M$2:$M$2277="Vladimir Zelenskiy")*IF(ISNUMBER(Data!$W$2:$W$2277),Data!$W$2:$W$2277,0))/SUMPRODUCT((Data!$D$2:$D$2277=A206)*(Data!$E$2:$E$2277=C206)*(Data!$M$2:$M$2277="Vladimir Zelenskiy")),"")</f>
        <v>49.4</v>
      </c>
      <c r="E206" s="9" t="str">
        <f>IF(SUMPRODUCT((Data!$D$2:$D$2277=A206)*(Data!$E$2:$E$2277=C206)*(Data!$M$2:$M$2277="Valerii Zaluzhniy"))&gt;0,SUMPRODUCT((Data!$D$2:$D$2277=A206)*(Data!$E$2:$E$2277=C206)*(Data!$M$2:$M$2277="Valerii Zaluzhniy")*IF(ISNUMBER(Data!$W$2:$W$2277),Data!$W$2:$W$2277,0))/SUMPRODUCT((Data!$D$2:$D$2277=A206)*(Data!$E$2:$E$2277=C206)*(Data!$M$2:$M$2277="Valerii Zaluzhniy")),"")</f>
        <v/>
      </c>
      <c r="F206" s="9" t="str">
        <f>IF(SUMPRODUCT((Data!$D$2:$D$2277=A206)*(Data!$E$2:$E$2277=C206)*(Data!$M$2:$M$2277="Kyrylo Budanov"))&gt;0,SUMPRODUCT((Data!$D$2:$D$2277=A206)*(Data!$E$2:$E$2277=C206)*(Data!$M$2:$M$2277="Kyrylo Budanov")*IF(ISNUMBER(Data!$W$2:$W$2277),Data!$W$2:$W$2277,0))/SUMPRODUCT((Data!$D$2:$D$2277=A206)*(Data!$E$2:$E$2277=C206)*(Data!$M$2:$M$2277="Kyrylo Budanov")),"")</f>
        <v/>
      </c>
      <c r="G206" s="9">
        <f>IF(SUMPRODUCT((Data!$D$2:$D$2277=A206)*(Data!$E$2:$E$2277=C206)*(Data!$M$2:$M$2277="Pyotr Poroshenko"))&gt;0,SUMPRODUCT((Data!$D$2:$D$2277=A206)*(Data!$E$2:$E$2277=C206)*(Data!$M$2:$M$2277="Pyotr Poroshenko")*IF(ISNUMBER(Data!$W$2:$W$2277),Data!$W$2:$W$2277,0))/SUMPRODUCT((Data!$D$2:$D$2277=A206)*(Data!$E$2:$E$2277=C206)*(Data!$M$2:$M$2277="Pyotr Poroshenko")),"")</f>
        <v>19.8</v>
      </c>
      <c r="H206" s="10" t="str">
        <f t="array" ref="H206">IFERROR(INDEX(Avg!$F$2:$F$50,MATCH(DATE(YEAR(A206),MONTH(A206),1),Avg!$A$2:$A$50,0)),"")</f>
        <v/>
      </c>
      <c r="I206" s="10" t="str">
        <f t="array" ref="I206">IFERROR(INDEX(Avg!$G$2:$G$50,MATCH(DATE(YEAR(A206),MONTH(A206),1),Avg!$A$2:$A$50,0)),"")</f>
        <v/>
      </c>
      <c r="J206" s="10" t="str">
        <f t="array" ref="J206">IFERROR(INDEX(Avg!$H$2:$H$50,MATCH(DATE(YEAR(A206),MONTH(A206),1),Avg!$A$2:$A$50,0)),"")</f>
        <v/>
      </c>
      <c r="K206" s="10" t="str">
        <f t="array" ref="K206">IFERROR(INDEX(Avg!$I$2:$I$50,MATCH(DATE(YEAR(A206),MONTH(A206),1),Avg!$A$2:$A$50,0)),"")</f>
        <v/>
      </c>
      <c r="L206" s="11" t="str">
        <f t="array" ref="L206">IFERROR(INDEX(Avg!$L$2:$L$50,MATCH(DATE(YEAR(A206),MONTH(A206),1),Avg!$A$2:$A$50,0)),"")</f>
        <v/>
      </c>
      <c r="M206" s="11" t="str">
        <f t="array" ref="M206">IFERROR(INDEX(Avg!$M$2:$M$50,MATCH(DATE(YEAR(A206),MONTH(A206),1),Avg!$A$2:$A$50,0)),"")</f>
        <v/>
      </c>
      <c r="N206" s="11" t="str">
        <f t="array" ref="N206">IFERROR(INDEX(Avg!$N$2:$N$50,MATCH(DATE(YEAR(A206),MONTH(A206),1),Avg!$A$2:$A$50,0)),"")</f>
        <v/>
      </c>
      <c r="O206" s="11" t="str">
        <f t="array" ref="O206">IFERROR(INDEX(Avg!$O$2:$O$50,MATCH(DATE(YEAR(A206),MONTH(A206),1),Avg!$A$2:$A$50,0)),"")</f>
        <v/>
      </c>
    </row>
    <row r="207" ht="15.75" customHeight="1">
      <c r="A207" s="7" t="s">
        <v>282</v>
      </c>
      <c r="B207" s="7" t="s">
        <v>292</v>
      </c>
      <c r="C207" s="8" t="s">
        <v>283</v>
      </c>
      <c r="D207" s="9">
        <f>IF(SUMPRODUCT((Data!$D$2:$D$2277=A207)*(Data!$E$2:$E$2277=C207)*(Data!$M$2:$M$2277="Vladimir Zelenskiy"))&gt;0,SUMPRODUCT((Data!$D$2:$D$2277=A207)*(Data!$E$2:$E$2277=C207)*(Data!$M$2:$M$2277="Vladimir Zelenskiy")*IF(ISNUMBER(Data!$W$2:$W$2277),Data!$W$2:$W$2277,0))/SUMPRODUCT((Data!$D$2:$D$2277=A207)*(Data!$E$2:$E$2277=C207)*(Data!$M$2:$M$2277="Vladimir Zelenskiy")),"")</f>
        <v>30.1</v>
      </c>
      <c r="E207" s="9" t="str">
        <f>IF(SUMPRODUCT((Data!$D$2:$D$2277=A207)*(Data!$E$2:$E$2277=C207)*(Data!$M$2:$M$2277="Valerii Zaluzhniy"))&gt;0,SUMPRODUCT((Data!$D$2:$D$2277=A207)*(Data!$E$2:$E$2277=C207)*(Data!$M$2:$M$2277="Valerii Zaluzhniy")*IF(ISNUMBER(Data!$W$2:$W$2277),Data!$W$2:$W$2277,0))/SUMPRODUCT((Data!$D$2:$D$2277=A207)*(Data!$E$2:$E$2277=C207)*(Data!$M$2:$M$2277="Valerii Zaluzhniy")),"")</f>
        <v/>
      </c>
      <c r="F207" s="9" t="str">
        <f>IF(SUMPRODUCT((Data!$D$2:$D$2277=A207)*(Data!$E$2:$E$2277=C207)*(Data!$M$2:$M$2277="Kyrylo Budanov"))&gt;0,SUMPRODUCT((Data!$D$2:$D$2277=A207)*(Data!$E$2:$E$2277=C207)*(Data!$M$2:$M$2277="Kyrylo Budanov")*IF(ISNUMBER(Data!$W$2:$W$2277),Data!$W$2:$W$2277,0))/SUMPRODUCT((Data!$D$2:$D$2277=A207)*(Data!$E$2:$E$2277=C207)*(Data!$M$2:$M$2277="Kyrylo Budanov")),"")</f>
        <v/>
      </c>
      <c r="G207" s="9">
        <f>IF(SUMPRODUCT((Data!$D$2:$D$2277=A207)*(Data!$E$2:$E$2277=C207)*(Data!$M$2:$M$2277="Pyotr Poroshenko"))&gt;0,SUMPRODUCT((Data!$D$2:$D$2277=A207)*(Data!$E$2:$E$2277=C207)*(Data!$M$2:$M$2277="Pyotr Poroshenko")*IF(ISNUMBER(Data!$W$2:$W$2277),Data!$W$2:$W$2277,0))/SUMPRODUCT((Data!$D$2:$D$2277=A207)*(Data!$E$2:$E$2277=C207)*(Data!$M$2:$M$2277="Pyotr Poroshenko")),"")</f>
        <v>15.7</v>
      </c>
      <c r="H207" s="10" t="str">
        <f t="array" ref="H207">IFERROR(INDEX(Avg!$F$2:$F$50,MATCH(DATE(YEAR(A207),MONTH(A207),1),Avg!$A$2:$A$50,0)),"")</f>
        <v/>
      </c>
      <c r="I207" s="10" t="str">
        <f t="array" ref="I207">IFERROR(INDEX(Avg!$G$2:$G$50,MATCH(DATE(YEAR(A207),MONTH(A207),1),Avg!$A$2:$A$50,0)),"")</f>
        <v/>
      </c>
      <c r="J207" s="10" t="str">
        <f t="array" ref="J207">IFERROR(INDEX(Avg!$H$2:$H$50,MATCH(DATE(YEAR(A207),MONTH(A207),1),Avg!$A$2:$A$50,0)),"")</f>
        <v/>
      </c>
      <c r="K207" s="10" t="str">
        <f t="array" ref="K207">IFERROR(INDEX(Avg!$I$2:$I$50,MATCH(DATE(YEAR(A207),MONTH(A207),1),Avg!$A$2:$A$50,0)),"")</f>
        <v/>
      </c>
      <c r="L207" s="11" t="str">
        <f t="array" ref="L207">IFERROR(INDEX(Avg!$L$2:$L$50,MATCH(DATE(YEAR(A207),MONTH(A207),1),Avg!$A$2:$A$50,0)),"")</f>
        <v/>
      </c>
      <c r="M207" s="11" t="str">
        <f t="array" ref="M207">IFERROR(INDEX(Avg!$M$2:$M$50,MATCH(DATE(YEAR(A207),MONTH(A207),1),Avg!$A$2:$A$50,0)),"")</f>
        <v/>
      </c>
      <c r="N207" s="11" t="str">
        <f t="array" ref="N207">IFERROR(INDEX(Avg!$N$2:$N$50,MATCH(DATE(YEAR(A207),MONTH(A207),1),Avg!$A$2:$A$50,0)),"")</f>
        <v/>
      </c>
      <c r="O207" s="11" t="str">
        <f t="array" ref="O207">IFERROR(INDEX(Avg!$O$2:$O$50,MATCH(DATE(YEAR(A207),MONTH(A207),1),Avg!$A$2:$A$50,0)),"")</f>
        <v/>
      </c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5.88"/>
    <col customWidth="1" min="3" max="3" width="12.63"/>
    <col customWidth="1" min="4" max="4" width="13.13"/>
    <col customWidth="1" min="5" max="6" width="12.63"/>
    <col customWidth="1" min="13" max="13" width="18.13"/>
    <col customWidth="1" min="14" max="14" width="6.5"/>
    <col customWidth="1" min="15" max="16" width="14.0"/>
    <col customWidth="1" min="17" max="17" width="16.0"/>
    <col customWidth="1" min="18" max="18" width="12.0"/>
    <col customWidth="1" min="19" max="19" width="14.0"/>
    <col customWidth="1" min="20" max="20" width="12.0"/>
    <col customWidth="1" min="21" max="21" width="14.0"/>
    <col customWidth="1" min="22" max="22" width="12.0"/>
    <col customWidth="1" min="23" max="23" width="18.0"/>
  </cols>
  <sheetData>
    <row r="1" ht="15.75" customHeight="1">
      <c r="A1" s="8" t="s">
        <v>294</v>
      </c>
      <c r="B1" s="8" t="s">
        <v>295</v>
      </c>
      <c r="C1" s="8" t="s">
        <v>296</v>
      </c>
      <c r="D1" s="8" t="s">
        <v>297</v>
      </c>
      <c r="E1" s="8" t="s">
        <v>2</v>
      </c>
      <c r="F1" s="8" t="s">
        <v>298</v>
      </c>
      <c r="G1" s="8" t="s">
        <v>299</v>
      </c>
      <c r="H1" s="8" t="s">
        <v>300</v>
      </c>
      <c r="I1" s="8" t="s">
        <v>301</v>
      </c>
      <c r="J1" s="8" t="s">
        <v>302</v>
      </c>
      <c r="K1" s="8" t="s">
        <v>303</v>
      </c>
      <c r="L1" s="8" t="s">
        <v>304</v>
      </c>
      <c r="M1" s="8" t="s">
        <v>305</v>
      </c>
      <c r="N1" s="8" t="s">
        <v>306</v>
      </c>
      <c r="O1" s="12" t="s">
        <v>1</v>
      </c>
      <c r="P1" s="12" t="s">
        <v>307</v>
      </c>
      <c r="Q1" s="12" t="s">
        <v>308</v>
      </c>
      <c r="R1" s="12" t="s">
        <v>309</v>
      </c>
      <c r="S1" s="12" t="s">
        <v>310</v>
      </c>
      <c r="T1" s="12" t="s">
        <v>311</v>
      </c>
      <c r="U1" s="12" t="s">
        <v>312</v>
      </c>
      <c r="V1" s="6" t="s">
        <v>313</v>
      </c>
      <c r="W1" s="6" t="s">
        <v>314</v>
      </c>
    </row>
    <row r="2" ht="15.75" customHeight="1">
      <c r="A2" s="8" t="s">
        <v>315</v>
      </c>
      <c r="B2" s="7" t="s">
        <v>316</v>
      </c>
      <c r="C2" s="13" t="s">
        <v>317</v>
      </c>
      <c r="D2" s="7" t="s">
        <v>15</v>
      </c>
      <c r="E2" s="8" t="s">
        <v>17</v>
      </c>
      <c r="F2" s="8" t="s">
        <v>318</v>
      </c>
      <c r="G2" s="7" t="s">
        <v>319</v>
      </c>
      <c r="H2" s="7" t="s">
        <v>320</v>
      </c>
      <c r="I2" s="8">
        <v>1204.0</v>
      </c>
      <c r="J2" s="8">
        <v>2.5</v>
      </c>
      <c r="K2" s="8" t="s">
        <v>321</v>
      </c>
      <c r="L2" s="8" t="s">
        <v>322</v>
      </c>
      <c r="M2" s="8" t="s">
        <v>323</v>
      </c>
      <c r="N2" s="8">
        <v>29.3</v>
      </c>
      <c r="O2" s="14">
        <f t="shared" ref="O2:O2277" si="1">DATE(YEAR(D2),MONTH(D2),1)</f>
        <v>46082</v>
      </c>
      <c r="P2" s="15">
        <f>IFERROR(VLOOKUP(K2,Formula!$A$11:$B$20,2,FALSE),Formula!$C$26)</f>
        <v>0.9</v>
      </c>
      <c r="Q2" s="15">
        <f>IF(AND(ISNUMBER(J2),J2&gt;0),1/J2,IF(AND(ISNUMBER(I2),I2&gt;0),SQRT(MIN(I2,Formula!$C$27))/Formula!$C$24,1/Formula!$C$25))</f>
        <v>0.4</v>
      </c>
      <c r="R2" s="15">
        <f t="shared" ref="R2:R2277" si="2">P2*Q2</f>
        <v>0.36</v>
      </c>
      <c r="S2" s="15">
        <f>IF(H2&lt;&gt;"",EXP(-Formula!$C$28*(EOMONTH(H2,0)-H2)),EXP(-Formula!$C$28*(EOMONTH(D2,0)-D2)))</f>
        <v>0.5220457768</v>
      </c>
      <c r="T2" s="15">
        <f t="shared" ref="T2:T2277" si="3">IFERROR(SQRT(1/COUNTIFS($E$2:$E$2277,E2,$O$2:$O$2277,O2)),1)</f>
        <v>0.2886751346</v>
      </c>
      <c r="U2" s="15">
        <f t="shared" ref="U2:U2277" si="4">P2*Q2*S2*T2</f>
        <v>0.05425258855</v>
      </c>
      <c r="V2" s="16">
        <f>IF(AND(L2="Among all respondents",NOT(OR(K2="Online poll in Telegram channel",K2="Website online poll",K2="CAWI (Computer Assisted Web Interviewing)"))),1/(1-MIN(MAX(Formula!$C$33+(YEAR(D2)-Formula!$C$34)/(Formula!$C$35-Formula!$C$34)*(Formula!$C$32-Formula!$C$33),Formula!$C$33),Formula!$C$32)),1)</f>
        <v>1</v>
      </c>
      <c r="W2" s="17">
        <f t="shared" ref="W2:W2277" si="5">IF(ISNUMBER(N2),N2*V2,"")</f>
        <v>29.3</v>
      </c>
    </row>
    <row r="3" ht="15.75" customHeight="1">
      <c r="A3" s="8" t="s">
        <v>324</v>
      </c>
      <c r="B3" s="7" t="s">
        <v>316</v>
      </c>
      <c r="C3" s="13" t="s">
        <v>317</v>
      </c>
      <c r="D3" s="7" t="s">
        <v>15</v>
      </c>
      <c r="E3" s="8" t="s">
        <v>17</v>
      </c>
      <c r="F3" s="8" t="s">
        <v>318</v>
      </c>
      <c r="G3" s="7" t="s">
        <v>319</v>
      </c>
      <c r="H3" s="7" t="s">
        <v>320</v>
      </c>
      <c r="I3" s="8">
        <v>1204.0</v>
      </c>
      <c r="J3" s="8">
        <v>2.5</v>
      </c>
      <c r="K3" s="8" t="s">
        <v>321</v>
      </c>
      <c r="L3" s="8" t="s">
        <v>322</v>
      </c>
      <c r="M3" s="8" t="s">
        <v>325</v>
      </c>
      <c r="N3" s="8">
        <v>25.0</v>
      </c>
      <c r="O3" s="14">
        <f t="shared" si="1"/>
        <v>46082</v>
      </c>
      <c r="P3" s="15">
        <f>IFERROR(VLOOKUP(K3,Formula!$A$11:$B$20,2,FALSE),Formula!$C$26)</f>
        <v>0.9</v>
      </c>
      <c r="Q3" s="15">
        <f>IF(AND(ISNUMBER(J3),J3&gt;0),1/J3,IF(AND(ISNUMBER(I3),I3&gt;0),SQRT(MIN(I3,Formula!$C$27))/Formula!$C$24,1/Formula!$C$25))</f>
        <v>0.4</v>
      </c>
      <c r="R3" s="15">
        <f t="shared" si="2"/>
        <v>0.36</v>
      </c>
      <c r="S3" s="15">
        <f>IF(H3&lt;&gt;"",EXP(-Formula!$C$28*(EOMONTH(H3,0)-H3)),EXP(-Formula!$C$28*(EOMONTH(D3,0)-D3)))</f>
        <v>0.5220457768</v>
      </c>
      <c r="T3" s="15">
        <f t="shared" si="3"/>
        <v>0.2886751346</v>
      </c>
      <c r="U3" s="15">
        <f t="shared" si="4"/>
        <v>0.05425258855</v>
      </c>
      <c r="V3" s="16">
        <f>IF(AND(L3="Among all respondents",NOT(OR(K3="Online poll in Telegram channel",K3="Website online poll",K3="CAWI (Computer Assisted Web Interviewing)"))),1/(1-MIN(MAX(Formula!$C$33+(YEAR(D3)-Formula!$C$34)/(Formula!$C$35-Formula!$C$34)*(Formula!$C$32-Formula!$C$33),Formula!$C$33),Formula!$C$32)),1)</f>
        <v>1</v>
      </c>
      <c r="W3" s="17">
        <f t="shared" si="5"/>
        <v>25</v>
      </c>
    </row>
    <row r="4" ht="15.75" customHeight="1">
      <c r="A4" s="8" t="s">
        <v>326</v>
      </c>
      <c r="B4" s="7" t="s">
        <v>316</v>
      </c>
      <c r="C4" s="13" t="s">
        <v>317</v>
      </c>
      <c r="D4" s="7" t="s">
        <v>15</v>
      </c>
      <c r="E4" s="8" t="s">
        <v>17</v>
      </c>
      <c r="F4" s="8" t="s">
        <v>318</v>
      </c>
      <c r="G4" s="7" t="s">
        <v>319</v>
      </c>
      <c r="H4" s="7" t="s">
        <v>320</v>
      </c>
      <c r="I4" s="8">
        <v>1204.0</v>
      </c>
      <c r="J4" s="8">
        <v>2.5</v>
      </c>
      <c r="K4" s="8" t="s">
        <v>321</v>
      </c>
      <c r="L4" s="8" t="s">
        <v>322</v>
      </c>
      <c r="M4" s="8" t="s">
        <v>327</v>
      </c>
      <c r="N4" s="8">
        <v>13.7</v>
      </c>
      <c r="O4" s="14">
        <f t="shared" si="1"/>
        <v>46082</v>
      </c>
      <c r="P4" s="15">
        <f>IFERROR(VLOOKUP(K4,Formula!$A$11:$B$20,2,FALSE),Formula!$C$26)</f>
        <v>0.9</v>
      </c>
      <c r="Q4" s="15">
        <f>IF(AND(ISNUMBER(J4),J4&gt;0),1/J4,IF(AND(ISNUMBER(I4),I4&gt;0),SQRT(MIN(I4,Formula!$C$27))/Formula!$C$24,1/Formula!$C$25))</f>
        <v>0.4</v>
      </c>
      <c r="R4" s="15">
        <f t="shared" si="2"/>
        <v>0.36</v>
      </c>
      <c r="S4" s="15">
        <f>IF(H4&lt;&gt;"",EXP(-Formula!$C$28*(EOMONTH(H4,0)-H4)),EXP(-Formula!$C$28*(EOMONTH(D4,0)-D4)))</f>
        <v>0.5220457768</v>
      </c>
      <c r="T4" s="15">
        <f t="shared" si="3"/>
        <v>0.2886751346</v>
      </c>
      <c r="U4" s="15">
        <f t="shared" si="4"/>
        <v>0.05425258855</v>
      </c>
      <c r="V4" s="16">
        <f>IF(AND(L4="Among all respondents",NOT(OR(K4="Online poll in Telegram channel",K4="Website online poll",K4="CAWI (Computer Assisted Web Interviewing)"))),1/(1-MIN(MAX(Formula!$C$33+(YEAR(D4)-Formula!$C$34)/(Formula!$C$35-Formula!$C$34)*(Formula!$C$32-Formula!$C$33),Formula!$C$33),Formula!$C$32)),1)</f>
        <v>1</v>
      </c>
      <c r="W4" s="17">
        <f t="shared" si="5"/>
        <v>13.7</v>
      </c>
    </row>
    <row r="5" ht="15.75" customHeight="1">
      <c r="A5" s="8" t="s">
        <v>328</v>
      </c>
      <c r="B5" s="7" t="s">
        <v>316</v>
      </c>
      <c r="C5" s="13" t="s">
        <v>317</v>
      </c>
      <c r="D5" s="7" t="s">
        <v>15</v>
      </c>
      <c r="E5" s="8" t="s">
        <v>17</v>
      </c>
      <c r="F5" s="8" t="s">
        <v>318</v>
      </c>
      <c r="G5" s="7" t="s">
        <v>319</v>
      </c>
      <c r="H5" s="7" t="s">
        <v>320</v>
      </c>
      <c r="I5" s="8">
        <v>1204.0</v>
      </c>
      <c r="J5" s="8">
        <v>2.5</v>
      </c>
      <c r="K5" s="8" t="s">
        <v>321</v>
      </c>
      <c r="L5" s="8" t="s">
        <v>322</v>
      </c>
      <c r="M5" s="8" t="s">
        <v>329</v>
      </c>
      <c r="N5" s="8">
        <v>7.4</v>
      </c>
      <c r="O5" s="14">
        <f t="shared" si="1"/>
        <v>46082</v>
      </c>
      <c r="P5" s="15">
        <f>IFERROR(VLOOKUP(K5,Formula!$A$11:$B$20,2,FALSE),Formula!$C$26)</f>
        <v>0.9</v>
      </c>
      <c r="Q5" s="15">
        <f>IF(AND(ISNUMBER(J5),J5&gt;0),1/J5,IF(AND(ISNUMBER(I5),I5&gt;0),SQRT(MIN(I5,Formula!$C$27))/Formula!$C$24,1/Formula!$C$25))</f>
        <v>0.4</v>
      </c>
      <c r="R5" s="15">
        <f t="shared" si="2"/>
        <v>0.36</v>
      </c>
      <c r="S5" s="15">
        <f>IF(H5&lt;&gt;"",EXP(-Formula!$C$28*(EOMONTH(H5,0)-H5)),EXP(-Formula!$C$28*(EOMONTH(D5,0)-D5)))</f>
        <v>0.5220457768</v>
      </c>
      <c r="T5" s="15">
        <f t="shared" si="3"/>
        <v>0.2886751346</v>
      </c>
      <c r="U5" s="15">
        <f t="shared" si="4"/>
        <v>0.05425258855</v>
      </c>
      <c r="V5" s="16">
        <f>IF(AND(L5="Among all respondents",NOT(OR(K5="Online poll in Telegram channel",K5="Website online poll",K5="CAWI (Computer Assisted Web Interviewing)"))),1/(1-MIN(MAX(Formula!$C$33+(YEAR(D5)-Formula!$C$34)/(Formula!$C$35-Formula!$C$34)*(Formula!$C$32-Formula!$C$33),Formula!$C$33),Formula!$C$32)),1)</f>
        <v>1</v>
      </c>
      <c r="W5" s="17">
        <f t="shared" si="5"/>
        <v>7.4</v>
      </c>
    </row>
    <row r="6" ht="15.75" customHeight="1">
      <c r="A6" s="8" t="s">
        <v>330</v>
      </c>
      <c r="B6" s="7" t="s">
        <v>316</v>
      </c>
      <c r="C6" s="13" t="s">
        <v>317</v>
      </c>
      <c r="D6" s="7" t="s">
        <v>15</v>
      </c>
      <c r="E6" s="8" t="s">
        <v>17</v>
      </c>
      <c r="F6" s="8" t="s">
        <v>318</v>
      </c>
      <c r="G6" s="7" t="s">
        <v>319</v>
      </c>
      <c r="H6" s="7" t="s">
        <v>320</v>
      </c>
      <c r="I6" s="8">
        <v>1204.0</v>
      </c>
      <c r="J6" s="8">
        <v>2.5</v>
      </c>
      <c r="K6" s="8" t="s">
        <v>321</v>
      </c>
      <c r="L6" s="8" t="s">
        <v>322</v>
      </c>
      <c r="M6" s="8" t="s">
        <v>331</v>
      </c>
      <c r="N6" s="8">
        <v>4.4</v>
      </c>
      <c r="O6" s="14">
        <f t="shared" si="1"/>
        <v>46082</v>
      </c>
      <c r="P6" s="15">
        <f>IFERROR(VLOOKUP(K6,Formula!$A$11:$B$20,2,FALSE),Formula!$C$26)</f>
        <v>0.9</v>
      </c>
      <c r="Q6" s="15">
        <f>IF(AND(ISNUMBER(J6),J6&gt;0),1/J6,IF(AND(ISNUMBER(I6),I6&gt;0),SQRT(MIN(I6,Formula!$C$27))/Formula!$C$24,1/Formula!$C$25))</f>
        <v>0.4</v>
      </c>
      <c r="R6" s="15">
        <f t="shared" si="2"/>
        <v>0.36</v>
      </c>
      <c r="S6" s="15">
        <f>IF(H6&lt;&gt;"",EXP(-Formula!$C$28*(EOMONTH(H6,0)-H6)),EXP(-Formula!$C$28*(EOMONTH(D6,0)-D6)))</f>
        <v>0.5220457768</v>
      </c>
      <c r="T6" s="15">
        <f t="shared" si="3"/>
        <v>0.2886751346</v>
      </c>
      <c r="U6" s="15">
        <f t="shared" si="4"/>
        <v>0.05425258855</v>
      </c>
      <c r="V6" s="16">
        <f>IF(AND(L6="Among all respondents",NOT(OR(K6="Online poll in Telegram channel",K6="Website online poll",K6="CAWI (Computer Assisted Web Interviewing)"))),1/(1-MIN(MAX(Formula!$C$33+(YEAR(D6)-Formula!$C$34)/(Formula!$C$35-Formula!$C$34)*(Formula!$C$32-Formula!$C$33),Formula!$C$33),Formula!$C$32)),1)</f>
        <v>1</v>
      </c>
      <c r="W6" s="17">
        <f t="shared" si="5"/>
        <v>4.4</v>
      </c>
    </row>
    <row r="7" ht="15.75" customHeight="1">
      <c r="A7" s="8" t="s">
        <v>332</v>
      </c>
      <c r="B7" s="7" t="s">
        <v>316</v>
      </c>
      <c r="C7" s="13" t="s">
        <v>317</v>
      </c>
      <c r="D7" s="7" t="s">
        <v>15</v>
      </c>
      <c r="E7" s="8" t="s">
        <v>17</v>
      </c>
      <c r="F7" s="8" t="s">
        <v>318</v>
      </c>
      <c r="G7" s="7" t="s">
        <v>319</v>
      </c>
      <c r="H7" s="7" t="s">
        <v>320</v>
      </c>
      <c r="I7" s="8">
        <v>1204.0</v>
      </c>
      <c r="J7" s="8">
        <v>2.5</v>
      </c>
      <c r="K7" s="8" t="s">
        <v>321</v>
      </c>
      <c r="L7" s="8" t="s">
        <v>322</v>
      </c>
      <c r="M7" s="8" t="s">
        <v>333</v>
      </c>
      <c r="N7" s="8">
        <v>4.3</v>
      </c>
      <c r="O7" s="14">
        <f t="shared" si="1"/>
        <v>46082</v>
      </c>
      <c r="P7" s="15">
        <f>IFERROR(VLOOKUP(K7,Formula!$A$11:$B$20,2,FALSE),Formula!$C$26)</f>
        <v>0.9</v>
      </c>
      <c r="Q7" s="15">
        <f>IF(AND(ISNUMBER(J7),J7&gt;0),1/J7,IF(AND(ISNUMBER(I7),I7&gt;0),SQRT(MIN(I7,Formula!$C$27))/Formula!$C$24,1/Formula!$C$25))</f>
        <v>0.4</v>
      </c>
      <c r="R7" s="15">
        <f t="shared" si="2"/>
        <v>0.36</v>
      </c>
      <c r="S7" s="15">
        <f>IF(H7&lt;&gt;"",EXP(-Formula!$C$28*(EOMONTH(H7,0)-H7)),EXP(-Formula!$C$28*(EOMONTH(D7,0)-D7)))</f>
        <v>0.5220457768</v>
      </c>
      <c r="T7" s="15">
        <f t="shared" si="3"/>
        <v>0.2886751346</v>
      </c>
      <c r="U7" s="15">
        <f t="shared" si="4"/>
        <v>0.05425258855</v>
      </c>
      <c r="V7" s="16">
        <f>IF(AND(L7="Among all respondents",NOT(OR(K7="Online poll in Telegram channel",K7="Website online poll",K7="CAWI (Computer Assisted Web Interviewing)"))),1/(1-MIN(MAX(Formula!$C$33+(YEAR(D7)-Formula!$C$34)/(Formula!$C$35-Formula!$C$34)*(Formula!$C$32-Formula!$C$33),Formula!$C$33),Formula!$C$32)),1)</f>
        <v>1</v>
      </c>
      <c r="W7" s="17">
        <f t="shared" si="5"/>
        <v>4.3</v>
      </c>
    </row>
    <row r="8" ht="15.75" customHeight="1">
      <c r="A8" s="8" t="s">
        <v>334</v>
      </c>
      <c r="B8" s="7" t="s">
        <v>316</v>
      </c>
      <c r="C8" s="13" t="s">
        <v>317</v>
      </c>
      <c r="D8" s="7" t="s">
        <v>15</v>
      </c>
      <c r="E8" s="8" t="s">
        <v>17</v>
      </c>
      <c r="F8" s="8" t="s">
        <v>318</v>
      </c>
      <c r="G8" s="7" t="s">
        <v>319</v>
      </c>
      <c r="H8" s="7" t="s">
        <v>320</v>
      </c>
      <c r="I8" s="8">
        <v>1204.0</v>
      </c>
      <c r="J8" s="8">
        <v>2.5</v>
      </c>
      <c r="K8" s="8" t="s">
        <v>321</v>
      </c>
      <c r="L8" s="8" t="s">
        <v>322</v>
      </c>
      <c r="M8" s="8" t="s">
        <v>335</v>
      </c>
      <c r="N8" s="8">
        <v>4.0</v>
      </c>
      <c r="O8" s="14">
        <f t="shared" si="1"/>
        <v>46082</v>
      </c>
      <c r="P8" s="15">
        <f>IFERROR(VLOOKUP(K8,Formula!$A$11:$B$20,2,FALSE),Formula!$C$26)</f>
        <v>0.9</v>
      </c>
      <c r="Q8" s="15">
        <f>IF(AND(ISNUMBER(J8),J8&gt;0),1/J8,IF(AND(ISNUMBER(I8),I8&gt;0),SQRT(MIN(I8,Formula!$C$27))/Formula!$C$24,1/Formula!$C$25))</f>
        <v>0.4</v>
      </c>
      <c r="R8" s="15">
        <f t="shared" si="2"/>
        <v>0.36</v>
      </c>
      <c r="S8" s="15">
        <f>IF(H8&lt;&gt;"",EXP(-Formula!$C$28*(EOMONTH(H8,0)-H8)),EXP(-Formula!$C$28*(EOMONTH(D8,0)-D8)))</f>
        <v>0.5220457768</v>
      </c>
      <c r="T8" s="15">
        <f t="shared" si="3"/>
        <v>0.2886751346</v>
      </c>
      <c r="U8" s="15">
        <f t="shared" si="4"/>
        <v>0.05425258855</v>
      </c>
      <c r="V8" s="16">
        <f>IF(AND(L8="Among all respondents",NOT(OR(K8="Online poll in Telegram channel",K8="Website online poll",K8="CAWI (Computer Assisted Web Interviewing)"))),1/(1-MIN(MAX(Formula!$C$33+(YEAR(D8)-Formula!$C$34)/(Formula!$C$35-Formula!$C$34)*(Formula!$C$32-Formula!$C$33),Formula!$C$33),Formula!$C$32)),1)</f>
        <v>1</v>
      </c>
      <c r="W8" s="17">
        <f t="shared" si="5"/>
        <v>4</v>
      </c>
    </row>
    <row r="9" ht="15.75" customHeight="1">
      <c r="A9" s="8" t="s">
        <v>336</v>
      </c>
      <c r="B9" s="7" t="s">
        <v>316</v>
      </c>
      <c r="C9" s="13" t="s">
        <v>317</v>
      </c>
      <c r="D9" s="7" t="s">
        <v>15</v>
      </c>
      <c r="E9" s="8" t="s">
        <v>17</v>
      </c>
      <c r="F9" s="8" t="s">
        <v>318</v>
      </c>
      <c r="G9" s="7" t="s">
        <v>319</v>
      </c>
      <c r="H9" s="7" t="s">
        <v>320</v>
      </c>
      <c r="I9" s="8">
        <v>1204.0</v>
      </c>
      <c r="J9" s="8">
        <v>2.5</v>
      </c>
      <c r="K9" s="8" t="s">
        <v>321</v>
      </c>
      <c r="L9" s="8" t="s">
        <v>322</v>
      </c>
      <c r="M9" s="8" t="s">
        <v>337</v>
      </c>
      <c r="N9" s="8">
        <v>2.9</v>
      </c>
      <c r="O9" s="14">
        <f t="shared" si="1"/>
        <v>46082</v>
      </c>
      <c r="P9" s="15">
        <f>IFERROR(VLOOKUP(K9,Formula!$A$11:$B$20,2,FALSE),Formula!$C$26)</f>
        <v>0.9</v>
      </c>
      <c r="Q9" s="15">
        <f>IF(AND(ISNUMBER(J9),J9&gt;0),1/J9,IF(AND(ISNUMBER(I9),I9&gt;0),SQRT(MIN(I9,Formula!$C$27))/Formula!$C$24,1/Formula!$C$25))</f>
        <v>0.4</v>
      </c>
      <c r="R9" s="15">
        <f t="shared" si="2"/>
        <v>0.36</v>
      </c>
      <c r="S9" s="15">
        <f>IF(H9&lt;&gt;"",EXP(-Formula!$C$28*(EOMONTH(H9,0)-H9)),EXP(-Formula!$C$28*(EOMONTH(D9,0)-D9)))</f>
        <v>0.5220457768</v>
      </c>
      <c r="T9" s="15">
        <f t="shared" si="3"/>
        <v>0.2886751346</v>
      </c>
      <c r="U9" s="15">
        <f t="shared" si="4"/>
        <v>0.05425258855</v>
      </c>
      <c r="V9" s="16">
        <f>IF(AND(L9="Among all respondents",NOT(OR(K9="Online poll in Telegram channel",K9="Website online poll",K9="CAWI (Computer Assisted Web Interviewing)"))),1/(1-MIN(MAX(Formula!$C$33+(YEAR(D9)-Formula!$C$34)/(Formula!$C$35-Formula!$C$34)*(Formula!$C$32-Formula!$C$33),Formula!$C$33),Formula!$C$32)),1)</f>
        <v>1</v>
      </c>
      <c r="W9" s="17">
        <f t="shared" si="5"/>
        <v>2.9</v>
      </c>
    </row>
    <row r="10" ht="15.75" customHeight="1">
      <c r="A10" s="8" t="s">
        <v>338</v>
      </c>
      <c r="B10" s="7" t="s">
        <v>316</v>
      </c>
      <c r="C10" s="13" t="s">
        <v>317</v>
      </c>
      <c r="D10" s="7" t="s">
        <v>15</v>
      </c>
      <c r="E10" s="8" t="s">
        <v>17</v>
      </c>
      <c r="F10" s="8" t="s">
        <v>318</v>
      </c>
      <c r="G10" s="7" t="s">
        <v>319</v>
      </c>
      <c r="H10" s="7" t="s">
        <v>320</v>
      </c>
      <c r="I10" s="8">
        <v>1204.0</v>
      </c>
      <c r="J10" s="8">
        <v>2.5</v>
      </c>
      <c r="K10" s="8" t="s">
        <v>321</v>
      </c>
      <c r="L10" s="8" t="s">
        <v>322</v>
      </c>
      <c r="M10" s="8" t="s">
        <v>339</v>
      </c>
      <c r="N10" s="8">
        <v>1.6</v>
      </c>
      <c r="O10" s="14">
        <f t="shared" si="1"/>
        <v>46082</v>
      </c>
      <c r="P10" s="15">
        <f>IFERROR(VLOOKUP(K10,Formula!$A$11:$B$20,2,FALSE),Formula!$C$26)</f>
        <v>0.9</v>
      </c>
      <c r="Q10" s="15">
        <f>IF(AND(ISNUMBER(J10),J10&gt;0),1/J10,IF(AND(ISNUMBER(I10),I10&gt;0),SQRT(MIN(I10,Formula!$C$27))/Formula!$C$24,1/Formula!$C$25))</f>
        <v>0.4</v>
      </c>
      <c r="R10" s="15">
        <f t="shared" si="2"/>
        <v>0.36</v>
      </c>
      <c r="S10" s="15">
        <f>IF(H10&lt;&gt;"",EXP(-Formula!$C$28*(EOMONTH(H10,0)-H10)),EXP(-Formula!$C$28*(EOMONTH(D10,0)-D10)))</f>
        <v>0.5220457768</v>
      </c>
      <c r="T10" s="15">
        <f t="shared" si="3"/>
        <v>0.2886751346</v>
      </c>
      <c r="U10" s="15">
        <f t="shared" si="4"/>
        <v>0.05425258855</v>
      </c>
      <c r="V10" s="16">
        <f>IF(AND(L10="Among all respondents",NOT(OR(K10="Online poll in Telegram channel",K10="Website online poll",K10="CAWI (Computer Assisted Web Interviewing)"))),1/(1-MIN(MAX(Formula!$C$33+(YEAR(D10)-Formula!$C$34)/(Formula!$C$35-Formula!$C$34)*(Formula!$C$32-Formula!$C$33),Formula!$C$33),Formula!$C$32)),1)</f>
        <v>1</v>
      </c>
      <c r="W10" s="17">
        <f t="shared" si="5"/>
        <v>1.6</v>
      </c>
    </row>
    <row r="11" ht="15.75" customHeight="1">
      <c r="A11" s="8" t="s">
        <v>340</v>
      </c>
      <c r="B11" s="7" t="s">
        <v>316</v>
      </c>
      <c r="C11" s="13" t="s">
        <v>317</v>
      </c>
      <c r="D11" s="7" t="s">
        <v>15</v>
      </c>
      <c r="E11" s="8" t="s">
        <v>17</v>
      </c>
      <c r="F11" s="8" t="s">
        <v>318</v>
      </c>
      <c r="G11" s="7" t="s">
        <v>319</v>
      </c>
      <c r="H11" s="7" t="s">
        <v>320</v>
      </c>
      <c r="I11" s="8">
        <v>1204.0</v>
      </c>
      <c r="J11" s="8">
        <v>2.5</v>
      </c>
      <c r="K11" s="8" t="s">
        <v>321</v>
      </c>
      <c r="L11" s="8" t="s">
        <v>322</v>
      </c>
      <c r="M11" s="8" t="s">
        <v>341</v>
      </c>
      <c r="N11" s="8">
        <v>1.4</v>
      </c>
      <c r="O11" s="14">
        <f t="shared" si="1"/>
        <v>46082</v>
      </c>
      <c r="P11" s="15">
        <f>IFERROR(VLOOKUP(K11,Formula!$A$11:$B$20,2,FALSE),Formula!$C$26)</f>
        <v>0.9</v>
      </c>
      <c r="Q11" s="15">
        <f>IF(AND(ISNUMBER(J11),J11&gt;0),1/J11,IF(AND(ISNUMBER(I11),I11&gt;0),SQRT(MIN(I11,Formula!$C$27))/Formula!$C$24,1/Formula!$C$25))</f>
        <v>0.4</v>
      </c>
      <c r="R11" s="15">
        <f t="shared" si="2"/>
        <v>0.36</v>
      </c>
      <c r="S11" s="15">
        <f>IF(H11&lt;&gt;"",EXP(-Formula!$C$28*(EOMONTH(H11,0)-H11)),EXP(-Formula!$C$28*(EOMONTH(D11,0)-D11)))</f>
        <v>0.5220457768</v>
      </c>
      <c r="T11" s="15">
        <f t="shared" si="3"/>
        <v>0.2886751346</v>
      </c>
      <c r="U11" s="15">
        <f t="shared" si="4"/>
        <v>0.05425258855</v>
      </c>
      <c r="V11" s="16">
        <f>IF(AND(L11="Among all respondents",NOT(OR(K11="Online poll in Telegram channel",K11="Website online poll",K11="CAWI (Computer Assisted Web Interviewing)"))),1/(1-MIN(MAX(Formula!$C$33+(YEAR(D11)-Formula!$C$34)/(Formula!$C$35-Formula!$C$34)*(Formula!$C$32-Formula!$C$33),Formula!$C$33),Formula!$C$32)),1)</f>
        <v>1</v>
      </c>
      <c r="W11" s="17">
        <f t="shared" si="5"/>
        <v>1.4</v>
      </c>
    </row>
    <row r="12" ht="15.75" customHeight="1">
      <c r="A12" s="8" t="s">
        <v>342</v>
      </c>
      <c r="B12" s="7" t="s">
        <v>316</v>
      </c>
      <c r="C12" s="13" t="s">
        <v>317</v>
      </c>
      <c r="D12" s="7" t="s">
        <v>15</v>
      </c>
      <c r="E12" s="8" t="s">
        <v>17</v>
      </c>
      <c r="F12" s="8" t="s">
        <v>318</v>
      </c>
      <c r="G12" s="7" t="s">
        <v>319</v>
      </c>
      <c r="H12" s="7" t="s">
        <v>320</v>
      </c>
      <c r="I12" s="8">
        <v>1204.0</v>
      </c>
      <c r="J12" s="8">
        <v>2.5</v>
      </c>
      <c r="K12" s="8" t="s">
        <v>321</v>
      </c>
      <c r="L12" s="8" t="s">
        <v>322</v>
      </c>
      <c r="M12" s="8" t="s">
        <v>343</v>
      </c>
      <c r="N12" s="8">
        <v>0.7</v>
      </c>
      <c r="O12" s="14">
        <f t="shared" si="1"/>
        <v>46082</v>
      </c>
      <c r="P12" s="15">
        <f>IFERROR(VLOOKUP(K12,Formula!$A$11:$B$20,2,FALSE),Formula!$C$26)</f>
        <v>0.9</v>
      </c>
      <c r="Q12" s="15">
        <f>IF(AND(ISNUMBER(J12),J12&gt;0),1/J12,IF(AND(ISNUMBER(I12),I12&gt;0),SQRT(MIN(I12,Formula!$C$27))/Formula!$C$24,1/Formula!$C$25))</f>
        <v>0.4</v>
      </c>
      <c r="R12" s="15">
        <f t="shared" si="2"/>
        <v>0.36</v>
      </c>
      <c r="S12" s="15">
        <f>IF(H12&lt;&gt;"",EXP(-Formula!$C$28*(EOMONTH(H12,0)-H12)),EXP(-Formula!$C$28*(EOMONTH(D12,0)-D12)))</f>
        <v>0.5220457768</v>
      </c>
      <c r="T12" s="15">
        <f t="shared" si="3"/>
        <v>0.2886751346</v>
      </c>
      <c r="U12" s="15">
        <f t="shared" si="4"/>
        <v>0.05425258855</v>
      </c>
      <c r="V12" s="16">
        <f>IF(AND(L12="Among all respondents",NOT(OR(K12="Online poll in Telegram channel",K12="Website online poll",K12="CAWI (Computer Assisted Web Interviewing)"))),1/(1-MIN(MAX(Formula!$C$33+(YEAR(D12)-Formula!$C$34)/(Formula!$C$35-Formula!$C$34)*(Formula!$C$32-Formula!$C$33),Formula!$C$33),Formula!$C$32)),1)</f>
        <v>1</v>
      </c>
      <c r="W12" s="17">
        <f t="shared" si="5"/>
        <v>0.7</v>
      </c>
    </row>
    <row r="13" ht="15.75" customHeight="1">
      <c r="A13" s="8" t="s">
        <v>344</v>
      </c>
      <c r="B13" s="7" t="s">
        <v>316</v>
      </c>
      <c r="C13" s="13" t="s">
        <v>317</v>
      </c>
      <c r="D13" s="7" t="s">
        <v>15</v>
      </c>
      <c r="E13" s="8" t="s">
        <v>17</v>
      </c>
      <c r="F13" s="8" t="s">
        <v>318</v>
      </c>
      <c r="G13" s="7" t="s">
        <v>319</v>
      </c>
      <c r="H13" s="7" t="s">
        <v>320</v>
      </c>
      <c r="I13" s="8">
        <v>1204.0</v>
      </c>
      <c r="J13" s="8">
        <v>2.5</v>
      </c>
      <c r="K13" s="8" t="s">
        <v>321</v>
      </c>
      <c r="L13" s="8" t="s">
        <v>322</v>
      </c>
      <c r="M13" s="8" t="s">
        <v>345</v>
      </c>
      <c r="N13" s="8">
        <v>0.6</v>
      </c>
      <c r="O13" s="14">
        <f t="shared" si="1"/>
        <v>46082</v>
      </c>
      <c r="P13" s="15">
        <f>IFERROR(VLOOKUP(K13,Formula!$A$11:$B$20,2,FALSE),Formula!$C$26)</f>
        <v>0.9</v>
      </c>
      <c r="Q13" s="15">
        <f>IF(AND(ISNUMBER(J13),J13&gt;0),1/J13,IF(AND(ISNUMBER(I13),I13&gt;0),SQRT(MIN(I13,Formula!$C$27))/Formula!$C$24,1/Formula!$C$25))</f>
        <v>0.4</v>
      </c>
      <c r="R13" s="15">
        <f t="shared" si="2"/>
        <v>0.36</v>
      </c>
      <c r="S13" s="15">
        <f>IF(H13&lt;&gt;"",EXP(-Formula!$C$28*(EOMONTH(H13,0)-H13)),EXP(-Formula!$C$28*(EOMONTH(D13,0)-D13)))</f>
        <v>0.5220457768</v>
      </c>
      <c r="T13" s="15">
        <f t="shared" si="3"/>
        <v>0.2886751346</v>
      </c>
      <c r="U13" s="15">
        <f t="shared" si="4"/>
        <v>0.05425258855</v>
      </c>
      <c r="V13" s="16">
        <f>IF(AND(L13="Among all respondents",NOT(OR(K13="Online poll in Telegram channel",K13="Website online poll",K13="CAWI (Computer Assisted Web Interviewing)"))),1/(1-MIN(MAX(Formula!$C$33+(YEAR(D13)-Formula!$C$34)/(Formula!$C$35-Formula!$C$34)*(Formula!$C$32-Formula!$C$33),Formula!$C$33),Formula!$C$32)),1)</f>
        <v>1</v>
      </c>
      <c r="W13" s="17">
        <f t="shared" si="5"/>
        <v>0.6</v>
      </c>
    </row>
    <row r="14" ht="15.75" customHeight="1">
      <c r="A14" s="8" t="s">
        <v>346</v>
      </c>
      <c r="B14" s="7" t="s">
        <v>347</v>
      </c>
      <c r="C14" s="13" t="s">
        <v>348</v>
      </c>
      <c r="D14" s="7" t="s">
        <v>18</v>
      </c>
      <c r="E14" s="8" t="s">
        <v>20</v>
      </c>
      <c r="F14" s="8" t="s">
        <v>318</v>
      </c>
      <c r="G14" s="7" t="s">
        <v>349</v>
      </c>
      <c r="H14" s="7" t="s">
        <v>350</v>
      </c>
      <c r="I14" s="8">
        <v>2000.0</v>
      </c>
      <c r="J14" s="8">
        <v>2.2</v>
      </c>
      <c r="K14" s="8" t="s">
        <v>351</v>
      </c>
      <c r="L14" s="8" t="s">
        <v>322</v>
      </c>
      <c r="M14" s="8" t="s">
        <v>323</v>
      </c>
      <c r="N14" s="8">
        <v>32.9</v>
      </c>
      <c r="O14" s="14">
        <f t="shared" si="1"/>
        <v>46054</v>
      </c>
      <c r="P14" s="15">
        <f>IFERROR(VLOOKUP(K14,Formula!$A$11:$B$20,2,FALSE),Formula!$C$26)</f>
        <v>0.6</v>
      </c>
      <c r="Q14" s="15">
        <f>IF(AND(ISNUMBER(J14),J14&gt;0),1/J14,IF(AND(ISNUMBER(I14),I14&gt;0),SQRT(MIN(I14,Formula!$C$27))/Formula!$C$24,1/Formula!$C$25))</f>
        <v>0.4545454545</v>
      </c>
      <c r="R14" s="15">
        <f t="shared" si="2"/>
        <v>0.2727272727</v>
      </c>
      <c r="S14" s="15">
        <f>IF(H14&lt;&gt;"",EXP(-Formula!$C$28*(EOMONTH(H14,0)-H14)),EXP(-Formula!$C$28*(EOMONTH(D14,0)-D14)))</f>
        <v>0.2592402606</v>
      </c>
      <c r="T14" s="15">
        <f t="shared" si="3"/>
        <v>0.2773500981</v>
      </c>
      <c r="U14" s="15">
        <f t="shared" si="4"/>
        <v>0.01960917592</v>
      </c>
      <c r="V14" s="16">
        <f>IF(AND(L14="Among all respondents",NOT(OR(K14="Online poll in Telegram channel",K14="Website online poll",K14="CAWI (Computer Assisted Web Interviewing)"))),1/(1-MIN(MAX(Formula!$C$33+(YEAR(D14)-Formula!$C$34)/(Formula!$C$35-Formula!$C$34)*(Formula!$C$32-Formula!$C$33),Formula!$C$33),Formula!$C$32)),1)</f>
        <v>1</v>
      </c>
      <c r="W14" s="17">
        <f t="shared" si="5"/>
        <v>32.9</v>
      </c>
    </row>
    <row r="15" ht="15.75" customHeight="1">
      <c r="A15" s="8" t="s">
        <v>352</v>
      </c>
      <c r="B15" s="7" t="s">
        <v>347</v>
      </c>
      <c r="C15" s="13" t="s">
        <v>348</v>
      </c>
      <c r="D15" s="7" t="s">
        <v>18</v>
      </c>
      <c r="E15" s="8" t="s">
        <v>20</v>
      </c>
      <c r="F15" s="8" t="s">
        <v>318</v>
      </c>
      <c r="G15" s="7" t="s">
        <v>349</v>
      </c>
      <c r="H15" s="7" t="s">
        <v>350</v>
      </c>
      <c r="I15" s="8">
        <v>2000.0</v>
      </c>
      <c r="J15" s="8">
        <v>2.2</v>
      </c>
      <c r="K15" s="8" t="s">
        <v>351</v>
      </c>
      <c r="L15" s="8" t="s">
        <v>322</v>
      </c>
      <c r="M15" s="8" t="s">
        <v>325</v>
      </c>
      <c r="N15" s="8">
        <v>15.9</v>
      </c>
      <c r="O15" s="14">
        <f t="shared" si="1"/>
        <v>46054</v>
      </c>
      <c r="P15" s="15">
        <f>IFERROR(VLOOKUP(K15,Formula!$A$11:$B$20,2,FALSE),Formula!$C$26)</f>
        <v>0.6</v>
      </c>
      <c r="Q15" s="15">
        <f>IF(AND(ISNUMBER(J15),J15&gt;0),1/J15,IF(AND(ISNUMBER(I15),I15&gt;0),SQRT(MIN(I15,Formula!$C$27))/Formula!$C$24,1/Formula!$C$25))</f>
        <v>0.4545454545</v>
      </c>
      <c r="R15" s="15">
        <f t="shared" si="2"/>
        <v>0.2727272727</v>
      </c>
      <c r="S15" s="15">
        <f>IF(H15&lt;&gt;"",EXP(-Formula!$C$28*(EOMONTH(H15,0)-H15)),EXP(-Formula!$C$28*(EOMONTH(D15,0)-D15)))</f>
        <v>0.2592402606</v>
      </c>
      <c r="T15" s="15">
        <f t="shared" si="3"/>
        <v>0.2773500981</v>
      </c>
      <c r="U15" s="15">
        <f t="shared" si="4"/>
        <v>0.01960917592</v>
      </c>
      <c r="V15" s="16">
        <f>IF(AND(L15="Among all respondents",NOT(OR(K15="Online poll in Telegram channel",K15="Website online poll",K15="CAWI (Computer Assisted Web Interviewing)"))),1/(1-MIN(MAX(Formula!$C$33+(YEAR(D15)-Formula!$C$34)/(Formula!$C$35-Formula!$C$34)*(Formula!$C$32-Formula!$C$33),Formula!$C$33),Formula!$C$32)),1)</f>
        <v>1</v>
      </c>
      <c r="W15" s="17">
        <f t="shared" si="5"/>
        <v>15.9</v>
      </c>
    </row>
    <row r="16" ht="15.75" customHeight="1">
      <c r="A16" s="8" t="s">
        <v>353</v>
      </c>
      <c r="B16" s="7" t="s">
        <v>347</v>
      </c>
      <c r="C16" s="13" t="s">
        <v>348</v>
      </c>
      <c r="D16" s="7" t="s">
        <v>18</v>
      </c>
      <c r="E16" s="8" t="s">
        <v>20</v>
      </c>
      <c r="F16" s="8" t="s">
        <v>318</v>
      </c>
      <c r="G16" s="7" t="s">
        <v>349</v>
      </c>
      <c r="H16" s="7" t="s">
        <v>350</v>
      </c>
      <c r="I16" s="8">
        <v>2000.0</v>
      </c>
      <c r="J16" s="8">
        <v>2.2</v>
      </c>
      <c r="K16" s="8" t="s">
        <v>351</v>
      </c>
      <c r="L16" s="8" t="s">
        <v>322</v>
      </c>
      <c r="M16" s="8" t="s">
        <v>327</v>
      </c>
      <c r="N16" s="8">
        <v>13.8</v>
      </c>
      <c r="O16" s="14">
        <f t="shared" si="1"/>
        <v>46054</v>
      </c>
      <c r="P16" s="15">
        <f>IFERROR(VLOOKUP(K16,Formula!$A$11:$B$20,2,FALSE),Formula!$C$26)</f>
        <v>0.6</v>
      </c>
      <c r="Q16" s="15">
        <f>IF(AND(ISNUMBER(J16),J16&gt;0),1/J16,IF(AND(ISNUMBER(I16),I16&gt;0),SQRT(MIN(I16,Formula!$C$27))/Formula!$C$24,1/Formula!$C$25))</f>
        <v>0.4545454545</v>
      </c>
      <c r="R16" s="15">
        <f t="shared" si="2"/>
        <v>0.2727272727</v>
      </c>
      <c r="S16" s="15">
        <f>IF(H16&lt;&gt;"",EXP(-Formula!$C$28*(EOMONTH(H16,0)-H16)),EXP(-Formula!$C$28*(EOMONTH(D16,0)-D16)))</f>
        <v>0.2592402606</v>
      </c>
      <c r="T16" s="15">
        <f t="shared" si="3"/>
        <v>0.2773500981</v>
      </c>
      <c r="U16" s="15">
        <f t="shared" si="4"/>
        <v>0.01960917592</v>
      </c>
      <c r="V16" s="16">
        <f>IF(AND(L16="Among all respondents",NOT(OR(K16="Online poll in Telegram channel",K16="Website online poll",K16="CAWI (Computer Assisted Web Interviewing)"))),1/(1-MIN(MAX(Formula!$C$33+(YEAR(D16)-Formula!$C$34)/(Formula!$C$35-Formula!$C$34)*(Formula!$C$32-Formula!$C$33),Formula!$C$33),Formula!$C$32)),1)</f>
        <v>1</v>
      </c>
      <c r="W16" s="17">
        <f t="shared" si="5"/>
        <v>13.8</v>
      </c>
    </row>
    <row r="17" ht="15.75" customHeight="1">
      <c r="A17" s="8" t="s">
        <v>354</v>
      </c>
      <c r="B17" s="7" t="s">
        <v>347</v>
      </c>
      <c r="C17" s="13" t="s">
        <v>348</v>
      </c>
      <c r="D17" s="7" t="s">
        <v>18</v>
      </c>
      <c r="E17" s="8" t="s">
        <v>20</v>
      </c>
      <c r="F17" s="8" t="s">
        <v>318</v>
      </c>
      <c r="G17" s="7" t="s">
        <v>349</v>
      </c>
      <c r="H17" s="7" t="s">
        <v>350</v>
      </c>
      <c r="I17" s="8">
        <v>2000.0</v>
      </c>
      <c r="J17" s="8">
        <v>2.2</v>
      </c>
      <c r="K17" s="8" t="s">
        <v>351</v>
      </c>
      <c r="L17" s="8" t="s">
        <v>322</v>
      </c>
      <c r="M17" s="8" t="s">
        <v>329</v>
      </c>
      <c r="N17" s="8">
        <v>10.9</v>
      </c>
      <c r="O17" s="14">
        <f t="shared" si="1"/>
        <v>46054</v>
      </c>
      <c r="P17" s="15">
        <f>IFERROR(VLOOKUP(K17,Formula!$A$11:$B$20,2,FALSE),Formula!$C$26)</f>
        <v>0.6</v>
      </c>
      <c r="Q17" s="15">
        <f>IF(AND(ISNUMBER(J17),J17&gt;0),1/J17,IF(AND(ISNUMBER(I17),I17&gt;0),SQRT(MIN(I17,Formula!$C$27))/Formula!$C$24,1/Formula!$C$25))</f>
        <v>0.4545454545</v>
      </c>
      <c r="R17" s="15">
        <f t="shared" si="2"/>
        <v>0.2727272727</v>
      </c>
      <c r="S17" s="15">
        <f>IF(H17&lt;&gt;"",EXP(-Formula!$C$28*(EOMONTH(H17,0)-H17)),EXP(-Formula!$C$28*(EOMONTH(D17,0)-D17)))</f>
        <v>0.2592402606</v>
      </c>
      <c r="T17" s="15">
        <f t="shared" si="3"/>
        <v>0.2773500981</v>
      </c>
      <c r="U17" s="15">
        <f t="shared" si="4"/>
        <v>0.01960917592</v>
      </c>
      <c r="V17" s="16">
        <f>IF(AND(L17="Among all respondents",NOT(OR(K17="Online poll in Telegram channel",K17="Website online poll",K17="CAWI (Computer Assisted Web Interviewing)"))),1/(1-MIN(MAX(Formula!$C$33+(YEAR(D17)-Formula!$C$34)/(Formula!$C$35-Formula!$C$34)*(Formula!$C$32-Formula!$C$33),Formula!$C$33),Formula!$C$32)),1)</f>
        <v>1</v>
      </c>
      <c r="W17" s="17">
        <f t="shared" si="5"/>
        <v>10.9</v>
      </c>
    </row>
    <row r="18" ht="15.75" customHeight="1">
      <c r="A18" s="8" t="s">
        <v>355</v>
      </c>
      <c r="B18" s="7" t="s">
        <v>347</v>
      </c>
      <c r="C18" s="13" t="s">
        <v>348</v>
      </c>
      <c r="D18" s="7" t="s">
        <v>18</v>
      </c>
      <c r="E18" s="8" t="s">
        <v>20</v>
      </c>
      <c r="F18" s="8" t="s">
        <v>318</v>
      </c>
      <c r="G18" s="7" t="s">
        <v>349</v>
      </c>
      <c r="H18" s="7" t="s">
        <v>350</v>
      </c>
      <c r="I18" s="8">
        <v>2000.0</v>
      </c>
      <c r="J18" s="8">
        <v>2.2</v>
      </c>
      <c r="K18" s="8" t="s">
        <v>351</v>
      </c>
      <c r="L18" s="8" t="s">
        <v>322</v>
      </c>
      <c r="M18" s="8" t="s">
        <v>333</v>
      </c>
      <c r="N18" s="8">
        <v>5.8</v>
      </c>
      <c r="O18" s="14">
        <f t="shared" si="1"/>
        <v>46054</v>
      </c>
      <c r="P18" s="15">
        <f>IFERROR(VLOOKUP(K18,Formula!$A$11:$B$20,2,FALSE),Formula!$C$26)</f>
        <v>0.6</v>
      </c>
      <c r="Q18" s="15">
        <f>IF(AND(ISNUMBER(J18),J18&gt;0),1/J18,IF(AND(ISNUMBER(I18),I18&gt;0),SQRT(MIN(I18,Formula!$C$27))/Formula!$C$24,1/Formula!$C$25))</f>
        <v>0.4545454545</v>
      </c>
      <c r="R18" s="15">
        <f t="shared" si="2"/>
        <v>0.2727272727</v>
      </c>
      <c r="S18" s="15">
        <f>IF(H18&lt;&gt;"",EXP(-Formula!$C$28*(EOMONTH(H18,0)-H18)),EXP(-Formula!$C$28*(EOMONTH(D18,0)-D18)))</f>
        <v>0.2592402606</v>
      </c>
      <c r="T18" s="15">
        <f t="shared" si="3"/>
        <v>0.2773500981</v>
      </c>
      <c r="U18" s="15">
        <f t="shared" si="4"/>
        <v>0.01960917592</v>
      </c>
      <c r="V18" s="16">
        <f>IF(AND(L18="Among all respondents",NOT(OR(K18="Online poll in Telegram channel",K18="Website online poll",K18="CAWI (Computer Assisted Web Interviewing)"))),1/(1-MIN(MAX(Formula!$C$33+(YEAR(D18)-Formula!$C$34)/(Formula!$C$35-Formula!$C$34)*(Formula!$C$32-Formula!$C$33),Formula!$C$33),Formula!$C$32)),1)</f>
        <v>1</v>
      </c>
      <c r="W18" s="17">
        <f t="shared" si="5"/>
        <v>5.8</v>
      </c>
    </row>
    <row r="19" ht="15.75" customHeight="1">
      <c r="A19" s="8" t="s">
        <v>356</v>
      </c>
      <c r="B19" s="7" t="s">
        <v>347</v>
      </c>
      <c r="C19" s="13" t="s">
        <v>348</v>
      </c>
      <c r="D19" s="7" t="s">
        <v>18</v>
      </c>
      <c r="E19" s="8" t="s">
        <v>20</v>
      </c>
      <c r="F19" s="8" t="s">
        <v>318</v>
      </c>
      <c r="G19" s="7" t="s">
        <v>349</v>
      </c>
      <c r="H19" s="7" t="s">
        <v>350</v>
      </c>
      <c r="I19" s="8">
        <v>2000.0</v>
      </c>
      <c r="J19" s="8">
        <v>2.2</v>
      </c>
      <c r="K19" s="8" t="s">
        <v>351</v>
      </c>
      <c r="L19" s="8" t="s">
        <v>322</v>
      </c>
      <c r="M19" s="8" t="s">
        <v>337</v>
      </c>
      <c r="N19" s="8">
        <v>5.6</v>
      </c>
      <c r="O19" s="14">
        <f t="shared" si="1"/>
        <v>46054</v>
      </c>
      <c r="P19" s="15">
        <f>IFERROR(VLOOKUP(K19,Formula!$A$11:$B$20,2,FALSE),Formula!$C$26)</f>
        <v>0.6</v>
      </c>
      <c r="Q19" s="15">
        <f>IF(AND(ISNUMBER(J19),J19&gt;0),1/J19,IF(AND(ISNUMBER(I19),I19&gt;0),SQRT(MIN(I19,Formula!$C$27))/Formula!$C$24,1/Formula!$C$25))</f>
        <v>0.4545454545</v>
      </c>
      <c r="R19" s="15">
        <f t="shared" si="2"/>
        <v>0.2727272727</v>
      </c>
      <c r="S19" s="15">
        <f>IF(H19&lt;&gt;"",EXP(-Formula!$C$28*(EOMONTH(H19,0)-H19)),EXP(-Formula!$C$28*(EOMONTH(D19,0)-D19)))</f>
        <v>0.2592402606</v>
      </c>
      <c r="T19" s="15">
        <f t="shared" si="3"/>
        <v>0.2773500981</v>
      </c>
      <c r="U19" s="15">
        <f t="shared" si="4"/>
        <v>0.01960917592</v>
      </c>
      <c r="V19" s="16">
        <f>IF(AND(L19="Among all respondents",NOT(OR(K19="Online poll in Telegram channel",K19="Website online poll",K19="CAWI (Computer Assisted Web Interviewing)"))),1/(1-MIN(MAX(Formula!$C$33+(YEAR(D19)-Formula!$C$34)/(Formula!$C$35-Formula!$C$34)*(Formula!$C$32-Formula!$C$33),Formula!$C$33),Formula!$C$32)),1)</f>
        <v>1</v>
      </c>
      <c r="W19" s="17">
        <f t="shared" si="5"/>
        <v>5.6</v>
      </c>
    </row>
    <row r="20" ht="15.75" customHeight="1">
      <c r="A20" s="8" t="s">
        <v>357</v>
      </c>
      <c r="B20" s="7" t="s">
        <v>347</v>
      </c>
      <c r="C20" s="13" t="s">
        <v>348</v>
      </c>
      <c r="D20" s="7" t="s">
        <v>18</v>
      </c>
      <c r="E20" s="8" t="s">
        <v>20</v>
      </c>
      <c r="F20" s="8" t="s">
        <v>318</v>
      </c>
      <c r="G20" s="7" t="s">
        <v>349</v>
      </c>
      <c r="H20" s="7" t="s">
        <v>350</v>
      </c>
      <c r="I20" s="8">
        <v>2000.0</v>
      </c>
      <c r="J20" s="8">
        <v>2.2</v>
      </c>
      <c r="K20" s="8" t="s">
        <v>351</v>
      </c>
      <c r="L20" s="8" t="s">
        <v>322</v>
      </c>
      <c r="M20" s="8" t="s">
        <v>335</v>
      </c>
      <c r="N20" s="8">
        <v>5.2</v>
      </c>
      <c r="O20" s="14">
        <f t="shared" si="1"/>
        <v>46054</v>
      </c>
      <c r="P20" s="15">
        <f>IFERROR(VLOOKUP(K20,Formula!$A$11:$B$20,2,FALSE),Formula!$C$26)</f>
        <v>0.6</v>
      </c>
      <c r="Q20" s="15">
        <f>IF(AND(ISNUMBER(J20),J20&gt;0),1/J20,IF(AND(ISNUMBER(I20),I20&gt;0),SQRT(MIN(I20,Formula!$C$27))/Formula!$C$24,1/Formula!$C$25))</f>
        <v>0.4545454545</v>
      </c>
      <c r="R20" s="15">
        <f t="shared" si="2"/>
        <v>0.2727272727</v>
      </c>
      <c r="S20" s="15">
        <f>IF(H20&lt;&gt;"",EXP(-Formula!$C$28*(EOMONTH(H20,0)-H20)),EXP(-Formula!$C$28*(EOMONTH(D20,0)-D20)))</f>
        <v>0.2592402606</v>
      </c>
      <c r="T20" s="15">
        <f t="shared" si="3"/>
        <v>0.2773500981</v>
      </c>
      <c r="U20" s="15">
        <f t="shared" si="4"/>
        <v>0.01960917592</v>
      </c>
      <c r="V20" s="16">
        <f>IF(AND(L20="Among all respondents",NOT(OR(K20="Online poll in Telegram channel",K20="Website online poll",K20="CAWI (Computer Assisted Web Interviewing)"))),1/(1-MIN(MAX(Formula!$C$33+(YEAR(D20)-Formula!$C$34)/(Formula!$C$35-Formula!$C$34)*(Formula!$C$32-Formula!$C$33),Formula!$C$33),Formula!$C$32)),1)</f>
        <v>1</v>
      </c>
      <c r="W20" s="17">
        <f t="shared" si="5"/>
        <v>5.2</v>
      </c>
    </row>
    <row r="21" ht="15.75" customHeight="1">
      <c r="A21" s="8" t="s">
        <v>358</v>
      </c>
      <c r="B21" s="7" t="s">
        <v>347</v>
      </c>
      <c r="C21" s="13" t="s">
        <v>348</v>
      </c>
      <c r="D21" s="7" t="s">
        <v>18</v>
      </c>
      <c r="E21" s="8" t="s">
        <v>20</v>
      </c>
      <c r="F21" s="8" t="s">
        <v>318</v>
      </c>
      <c r="G21" s="7" t="s">
        <v>349</v>
      </c>
      <c r="H21" s="7" t="s">
        <v>350</v>
      </c>
      <c r="I21" s="8">
        <v>2000.0</v>
      </c>
      <c r="J21" s="8">
        <v>2.2</v>
      </c>
      <c r="K21" s="8" t="s">
        <v>351</v>
      </c>
      <c r="L21" s="8" t="s">
        <v>322</v>
      </c>
      <c r="M21" s="8" t="s">
        <v>359</v>
      </c>
      <c r="N21" s="8">
        <v>2.6</v>
      </c>
      <c r="O21" s="14">
        <f t="shared" si="1"/>
        <v>46054</v>
      </c>
      <c r="P21" s="15">
        <f>IFERROR(VLOOKUP(K21,Formula!$A$11:$B$20,2,FALSE),Formula!$C$26)</f>
        <v>0.6</v>
      </c>
      <c r="Q21" s="15">
        <f>IF(AND(ISNUMBER(J21),J21&gt;0),1/J21,IF(AND(ISNUMBER(I21),I21&gt;0),SQRT(MIN(I21,Formula!$C$27))/Formula!$C$24,1/Formula!$C$25))</f>
        <v>0.4545454545</v>
      </c>
      <c r="R21" s="15">
        <f t="shared" si="2"/>
        <v>0.2727272727</v>
      </c>
      <c r="S21" s="15">
        <f>IF(H21&lt;&gt;"",EXP(-Formula!$C$28*(EOMONTH(H21,0)-H21)),EXP(-Formula!$C$28*(EOMONTH(D21,0)-D21)))</f>
        <v>0.2592402606</v>
      </c>
      <c r="T21" s="15">
        <f t="shared" si="3"/>
        <v>0.2773500981</v>
      </c>
      <c r="U21" s="15">
        <f t="shared" si="4"/>
        <v>0.01960917592</v>
      </c>
      <c r="V21" s="16">
        <f>IF(AND(L21="Among all respondents",NOT(OR(K21="Online poll in Telegram channel",K21="Website online poll",K21="CAWI (Computer Assisted Web Interviewing)"))),1/(1-MIN(MAX(Formula!$C$33+(YEAR(D21)-Formula!$C$34)/(Formula!$C$35-Formula!$C$34)*(Formula!$C$32-Formula!$C$33),Formula!$C$33),Formula!$C$32)),1)</f>
        <v>1</v>
      </c>
      <c r="W21" s="17">
        <f t="shared" si="5"/>
        <v>2.6</v>
      </c>
    </row>
    <row r="22" ht="15.75" customHeight="1">
      <c r="A22" s="8" t="s">
        <v>360</v>
      </c>
      <c r="B22" s="7" t="s">
        <v>347</v>
      </c>
      <c r="C22" s="13" t="s">
        <v>348</v>
      </c>
      <c r="D22" s="7" t="s">
        <v>18</v>
      </c>
      <c r="E22" s="8" t="s">
        <v>20</v>
      </c>
      <c r="F22" s="8" t="s">
        <v>318</v>
      </c>
      <c r="G22" s="7" t="s">
        <v>349</v>
      </c>
      <c r="H22" s="7" t="s">
        <v>350</v>
      </c>
      <c r="I22" s="8">
        <v>2000.0</v>
      </c>
      <c r="J22" s="8">
        <v>2.2</v>
      </c>
      <c r="K22" s="8" t="s">
        <v>351</v>
      </c>
      <c r="L22" s="8" t="s">
        <v>322</v>
      </c>
      <c r="M22" s="8" t="s">
        <v>339</v>
      </c>
      <c r="N22" s="8">
        <v>2.5</v>
      </c>
      <c r="O22" s="14">
        <f t="shared" si="1"/>
        <v>46054</v>
      </c>
      <c r="P22" s="15">
        <f>IFERROR(VLOOKUP(K22,Formula!$A$11:$B$20,2,FALSE),Formula!$C$26)</f>
        <v>0.6</v>
      </c>
      <c r="Q22" s="15">
        <f>IF(AND(ISNUMBER(J22),J22&gt;0),1/J22,IF(AND(ISNUMBER(I22),I22&gt;0),SQRT(MIN(I22,Formula!$C$27))/Formula!$C$24,1/Formula!$C$25))</f>
        <v>0.4545454545</v>
      </c>
      <c r="R22" s="15">
        <f t="shared" si="2"/>
        <v>0.2727272727</v>
      </c>
      <c r="S22" s="15">
        <f>IF(H22&lt;&gt;"",EXP(-Formula!$C$28*(EOMONTH(H22,0)-H22)),EXP(-Formula!$C$28*(EOMONTH(D22,0)-D22)))</f>
        <v>0.2592402606</v>
      </c>
      <c r="T22" s="15">
        <f t="shared" si="3"/>
        <v>0.2773500981</v>
      </c>
      <c r="U22" s="15">
        <f t="shared" si="4"/>
        <v>0.01960917592</v>
      </c>
      <c r="V22" s="16">
        <f>IF(AND(L22="Among all respondents",NOT(OR(K22="Online poll in Telegram channel",K22="Website online poll",K22="CAWI (Computer Assisted Web Interviewing)"))),1/(1-MIN(MAX(Formula!$C$33+(YEAR(D22)-Formula!$C$34)/(Formula!$C$35-Formula!$C$34)*(Formula!$C$32-Formula!$C$33),Formula!$C$33),Formula!$C$32)),1)</f>
        <v>1</v>
      </c>
      <c r="W22" s="17">
        <f t="shared" si="5"/>
        <v>2.5</v>
      </c>
    </row>
    <row r="23" ht="15.75" customHeight="1">
      <c r="A23" s="8" t="s">
        <v>361</v>
      </c>
      <c r="B23" s="7" t="s">
        <v>347</v>
      </c>
      <c r="C23" s="13" t="s">
        <v>348</v>
      </c>
      <c r="D23" s="7" t="s">
        <v>18</v>
      </c>
      <c r="E23" s="8" t="s">
        <v>20</v>
      </c>
      <c r="F23" s="8" t="s">
        <v>318</v>
      </c>
      <c r="G23" s="7" t="s">
        <v>349</v>
      </c>
      <c r="H23" s="7" t="s">
        <v>350</v>
      </c>
      <c r="I23" s="8">
        <v>2000.0</v>
      </c>
      <c r="J23" s="8">
        <v>2.2</v>
      </c>
      <c r="K23" s="8" t="s">
        <v>351</v>
      </c>
      <c r="L23" s="8" t="s">
        <v>322</v>
      </c>
      <c r="M23" s="8" t="s">
        <v>362</v>
      </c>
      <c r="N23" s="8">
        <v>1.8</v>
      </c>
      <c r="O23" s="14">
        <f t="shared" si="1"/>
        <v>46054</v>
      </c>
      <c r="P23" s="15">
        <f>IFERROR(VLOOKUP(K23,Formula!$A$11:$B$20,2,FALSE),Formula!$C$26)</f>
        <v>0.6</v>
      </c>
      <c r="Q23" s="15">
        <f>IF(AND(ISNUMBER(J23),J23&gt;0),1/J23,IF(AND(ISNUMBER(I23),I23&gt;0),SQRT(MIN(I23,Formula!$C$27))/Formula!$C$24,1/Formula!$C$25))</f>
        <v>0.4545454545</v>
      </c>
      <c r="R23" s="15">
        <f t="shared" si="2"/>
        <v>0.2727272727</v>
      </c>
      <c r="S23" s="15">
        <f>IF(H23&lt;&gt;"",EXP(-Formula!$C$28*(EOMONTH(H23,0)-H23)),EXP(-Formula!$C$28*(EOMONTH(D23,0)-D23)))</f>
        <v>0.2592402606</v>
      </c>
      <c r="T23" s="15">
        <f t="shared" si="3"/>
        <v>0.2773500981</v>
      </c>
      <c r="U23" s="15">
        <f t="shared" si="4"/>
        <v>0.01960917592</v>
      </c>
      <c r="V23" s="16">
        <f>IF(AND(L23="Among all respondents",NOT(OR(K23="Online poll in Telegram channel",K23="Website online poll",K23="CAWI (Computer Assisted Web Interviewing)"))),1/(1-MIN(MAX(Formula!$C$33+(YEAR(D23)-Formula!$C$34)/(Formula!$C$35-Formula!$C$34)*(Formula!$C$32-Formula!$C$33),Formula!$C$33),Formula!$C$32)),1)</f>
        <v>1</v>
      </c>
      <c r="W23" s="17">
        <f t="shared" si="5"/>
        <v>1.8</v>
      </c>
    </row>
    <row r="24" ht="15.75" customHeight="1">
      <c r="A24" s="8" t="s">
        <v>363</v>
      </c>
      <c r="B24" s="7" t="s">
        <v>347</v>
      </c>
      <c r="C24" s="13" t="s">
        <v>348</v>
      </c>
      <c r="D24" s="7" t="s">
        <v>18</v>
      </c>
      <c r="E24" s="8" t="s">
        <v>20</v>
      </c>
      <c r="F24" s="8" t="s">
        <v>318</v>
      </c>
      <c r="G24" s="7" t="s">
        <v>349</v>
      </c>
      <c r="H24" s="7" t="s">
        <v>350</v>
      </c>
      <c r="I24" s="8">
        <v>2000.0</v>
      </c>
      <c r="J24" s="8">
        <v>2.2</v>
      </c>
      <c r="K24" s="8" t="s">
        <v>351</v>
      </c>
      <c r="L24" s="8" t="s">
        <v>322</v>
      </c>
      <c r="M24" s="8" t="s">
        <v>343</v>
      </c>
      <c r="N24" s="8">
        <v>1.6</v>
      </c>
      <c r="O24" s="14">
        <f t="shared" si="1"/>
        <v>46054</v>
      </c>
      <c r="P24" s="15">
        <f>IFERROR(VLOOKUP(K24,Formula!$A$11:$B$20,2,FALSE),Formula!$C$26)</f>
        <v>0.6</v>
      </c>
      <c r="Q24" s="15">
        <f>IF(AND(ISNUMBER(J24),J24&gt;0),1/J24,IF(AND(ISNUMBER(I24),I24&gt;0),SQRT(MIN(I24,Formula!$C$27))/Formula!$C$24,1/Formula!$C$25))</f>
        <v>0.4545454545</v>
      </c>
      <c r="R24" s="15">
        <f t="shared" si="2"/>
        <v>0.2727272727</v>
      </c>
      <c r="S24" s="15">
        <f>IF(H24&lt;&gt;"",EXP(-Formula!$C$28*(EOMONTH(H24,0)-H24)),EXP(-Formula!$C$28*(EOMONTH(D24,0)-D24)))</f>
        <v>0.2592402606</v>
      </c>
      <c r="T24" s="15">
        <f t="shared" si="3"/>
        <v>0.2773500981</v>
      </c>
      <c r="U24" s="15">
        <f t="shared" si="4"/>
        <v>0.01960917592</v>
      </c>
      <c r="V24" s="16">
        <f>IF(AND(L24="Among all respondents",NOT(OR(K24="Online poll in Telegram channel",K24="Website online poll",K24="CAWI (Computer Assisted Web Interviewing)"))),1/(1-MIN(MAX(Formula!$C$33+(YEAR(D24)-Formula!$C$34)/(Formula!$C$35-Formula!$C$34)*(Formula!$C$32-Formula!$C$33),Formula!$C$33),Formula!$C$32)),1)</f>
        <v>1</v>
      </c>
      <c r="W24" s="17">
        <f t="shared" si="5"/>
        <v>1.6</v>
      </c>
    </row>
    <row r="25" ht="15.75" customHeight="1">
      <c r="A25" s="8" t="s">
        <v>364</v>
      </c>
      <c r="B25" s="7" t="s">
        <v>347</v>
      </c>
      <c r="C25" s="13" t="s">
        <v>348</v>
      </c>
      <c r="D25" s="7" t="s">
        <v>18</v>
      </c>
      <c r="E25" s="8" t="s">
        <v>20</v>
      </c>
      <c r="F25" s="8" t="s">
        <v>318</v>
      </c>
      <c r="G25" s="7" t="s">
        <v>349</v>
      </c>
      <c r="H25" s="7" t="s">
        <v>350</v>
      </c>
      <c r="I25" s="8">
        <v>2000.0</v>
      </c>
      <c r="J25" s="8">
        <v>2.2</v>
      </c>
      <c r="K25" s="8" t="s">
        <v>351</v>
      </c>
      <c r="L25" s="8" t="s">
        <v>322</v>
      </c>
      <c r="M25" s="8" t="s">
        <v>365</v>
      </c>
      <c r="N25" s="8">
        <v>1.0</v>
      </c>
      <c r="O25" s="14">
        <f t="shared" si="1"/>
        <v>46054</v>
      </c>
      <c r="P25" s="15">
        <f>IFERROR(VLOOKUP(K25,Formula!$A$11:$B$20,2,FALSE),Formula!$C$26)</f>
        <v>0.6</v>
      </c>
      <c r="Q25" s="15">
        <f>IF(AND(ISNUMBER(J25),J25&gt;0),1/J25,IF(AND(ISNUMBER(I25),I25&gt;0),SQRT(MIN(I25,Formula!$C$27))/Formula!$C$24,1/Formula!$C$25))</f>
        <v>0.4545454545</v>
      </c>
      <c r="R25" s="15">
        <f t="shared" si="2"/>
        <v>0.2727272727</v>
      </c>
      <c r="S25" s="15">
        <f>IF(H25&lt;&gt;"",EXP(-Formula!$C$28*(EOMONTH(H25,0)-H25)),EXP(-Formula!$C$28*(EOMONTH(D25,0)-D25)))</f>
        <v>0.2592402606</v>
      </c>
      <c r="T25" s="15">
        <f t="shared" si="3"/>
        <v>0.2773500981</v>
      </c>
      <c r="U25" s="15">
        <f t="shared" si="4"/>
        <v>0.01960917592</v>
      </c>
      <c r="V25" s="16">
        <f>IF(AND(L25="Among all respondents",NOT(OR(K25="Online poll in Telegram channel",K25="Website online poll",K25="CAWI (Computer Assisted Web Interviewing)"))),1/(1-MIN(MAX(Formula!$C$33+(YEAR(D25)-Formula!$C$34)/(Formula!$C$35-Formula!$C$34)*(Formula!$C$32-Formula!$C$33),Formula!$C$33),Formula!$C$32)),1)</f>
        <v>1</v>
      </c>
      <c r="W25" s="17">
        <f t="shared" si="5"/>
        <v>1</v>
      </c>
    </row>
    <row r="26" ht="15.75" customHeight="1">
      <c r="A26" s="8" t="s">
        <v>366</v>
      </c>
      <c r="B26" s="7" t="s">
        <v>347</v>
      </c>
      <c r="C26" s="13" t="s">
        <v>348</v>
      </c>
      <c r="D26" s="7" t="s">
        <v>18</v>
      </c>
      <c r="E26" s="8" t="s">
        <v>20</v>
      </c>
      <c r="F26" s="8" t="s">
        <v>318</v>
      </c>
      <c r="G26" s="7" t="s">
        <v>349</v>
      </c>
      <c r="H26" s="7" t="s">
        <v>350</v>
      </c>
      <c r="I26" s="8">
        <v>2000.0</v>
      </c>
      <c r="J26" s="8">
        <v>2.2</v>
      </c>
      <c r="K26" s="8" t="s">
        <v>351</v>
      </c>
      <c r="L26" s="8" t="s">
        <v>322</v>
      </c>
      <c r="M26" s="8" t="s">
        <v>367</v>
      </c>
      <c r="N26" s="8">
        <v>0.4</v>
      </c>
      <c r="O26" s="14">
        <f t="shared" si="1"/>
        <v>46054</v>
      </c>
      <c r="P26" s="15">
        <f>IFERROR(VLOOKUP(K26,Formula!$A$11:$B$20,2,FALSE),Formula!$C$26)</f>
        <v>0.6</v>
      </c>
      <c r="Q26" s="15">
        <f>IF(AND(ISNUMBER(J26),J26&gt;0),1/J26,IF(AND(ISNUMBER(I26),I26&gt;0),SQRT(MIN(I26,Formula!$C$27))/Formula!$C$24,1/Formula!$C$25))</f>
        <v>0.4545454545</v>
      </c>
      <c r="R26" s="15">
        <f t="shared" si="2"/>
        <v>0.2727272727</v>
      </c>
      <c r="S26" s="15">
        <f>IF(H26&lt;&gt;"",EXP(-Formula!$C$28*(EOMONTH(H26,0)-H26)),EXP(-Formula!$C$28*(EOMONTH(D26,0)-D26)))</f>
        <v>0.2592402606</v>
      </c>
      <c r="T26" s="15">
        <f t="shared" si="3"/>
        <v>0.2773500981</v>
      </c>
      <c r="U26" s="15">
        <f t="shared" si="4"/>
        <v>0.01960917592</v>
      </c>
      <c r="V26" s="16">
        <f>IF(AND(L26="Among all respondents",NOT(OR(K26="Online poll in Telegram channel",K26="Website online poll",K26="CAWI (Computer Assisted Web Interviewing)"))),1/(1-MIN(MAX(Formula!$C$33+(YEAR(D26)-Formula!$C$34)/(Formula!$C$35-Formula!$C$34)*(Formula!$C$32-Formula!$C$33),Formula!$C$33),Formula!$C$32)),1)</f>
        <v>1</v>
      </c>
      <c r="W26" s="17">
        <f t="shared" si="5"/>
        <v>0.4</v>
      </c>
    </row>
    <row r="27" ht="15.75" customHeight="1">
      <c r="A27" s="8" t="s">
        <v>368</v>
      </c>
      <c r="B27" s="7" t="s">
        <v>369</v>
      </c>
      <c r="C27" s="13" t="s">
        <v>370</v>
      </c>
      <c r="D27" s="7" t="s">
        <v>26</v>
      </c>
      <c r="E27" s="8" t="s">
        <v>27</v>
      </c>
      <c r="F27" s="8" t="s">
        <v>318</v>
      </c>
      <c r="G27" s="7" t="s">
        <v>371</v>
      </c>
      <c r="H27" s="7" t="s">
        <v>372</v>
      </c>
      <c r="I27" s="8">
        <v>1000.0</v>
      </c>
      <c r="J27" s="8">
        <v>3.1</v>
      </c>
      <c r="K27" s="8" t="s">
        <v>321</v>
      </c>
      <c r="L27" s="8" t="s">
        <v>373</v>
      </c>
      <c r="M27" s="8" t="s">
        <v>323</v>
      </c>
      <c r="N27" s="8">
        <v>23.9</v>
      </c>
      <c r="O27" s="14">
        <f t="shared" si="1"/>
        <v>46023</v>
      </c>
      <c r="P27" s="15">
        <f>IFERROR(VLOOKUP(K27,Formula!$A$11:$B$20,2,FALSE),Formula!$C$26)</f>
        <v>0.9</v>
      </c>
      <c r="Q27" s="15">
        <f>IF(AND(ISNUMBER(J27),J27&gt;0),1/J27,IF(AND(ISNUMBER(I27),I27&gt;0),SQRT(MIN(I27,Formula!$C$27))/Formula!$C$24,1/Formula!$C$25))</f>
        <v>0.3225806452</v>
      </c>
      <c r="R27" s="15">
        <f t="shared" si="2"/>
        <v>0.2903225806</v>
      </c>
      <c r="S27" s="15">
        <f>IF(H27&lt;&gt;"",EXP(-Formula!$C$28*(EOMONTH(H27,0)-H27)),EXP(-Formula!$C$28*(EOMONTH(D27,0)-D27)))</f>
        <v>0.7788007831</v>
      </c>
      <c r="T27" s="15">
        <f t="shared" si="3"/>
        <v>0.2581988897</v>
      </c>
      <c r="U27" s="15">
        <f t="shared" si="4"/>
        <v>0.05837966057</v>
      </c>
      <c r="V27" s="16">
        <f>IF(AND(L27="Among all respondents",NOT(OR(K27="Online poll in Telegram channel",K27="Website online poll",K27="CAWI (Computer Assisted Web Interviewing)"))),1/(1-MIN(MAX(Formula!$C$33+(YEAR(D27)-Formula!$C$34)/(Formula!$C$35-Formula!$C$34)*(Formula!$C$32-Formula!$C$33),Formula!$C$33),Formula!$C$32)),1)</f>
        <v>1.282051282</v>
      </c>
      <c r="W27" s="17">
        <f t="shared" si="5"/>
        <v>30.64102564</v>
      </c>
    </row>
    <row r="28" ht="15.75" customHeight="1">
      <c r="A28" s="8" t="s">
        <v>374</v>
      </c>
      <c r="B28" s="7" t="s">
        <v>369</v>
      </c>
      <c r="C28" s="13" t="s">
        <v>370</v>
      </c>
      <c r="D28" s="7" t="s">
        <v>26</v>
      </c>
      <c r="E28" s="8" t="s">
        <v>27</v>
      </c>
      <c r="F28" s="8" t="s">
        <v>318</v>
      </c>
      <c r="G28" s="7" t="s">
        <v>371</v>
      </c>
      <c r="H28" s="7" t="s">
        <v>372</v>
      </c>
      <c r="I28" s="8">
        <v>1000.0</v>
      </c>
      <c r="J28" s="8">
        <v>3.1</v>
      </c>
      <c r="K28" s="8" t="s">
        <v>321</v>
      </c>
      <c r="L28" s="8" t="s">
        <v>373</v>
      </c>
      <c r="M28" s="8" t="s">
        <v>325</v>
      </c>
      <c r="N28" s="8">
        <v>17.1</v>
      </c>
      <c r="O28" s="14">
        <f t="shared" si="1"/>
        <v>46023</v>
      </c>
      <c r="P28" s="15">
        <f>IFERROR(VLOOKUP(K28,Formula!$A$11:$B$20,2,FALSE),Formula!$C$26)</f>
        <v>0.9</v>
      </c>
      <c r="Q28" s="15">
        <f>IF(AND(ISNUMBER(J28),J28&gt;0),1/J28,IF(AND(ISNUMBER(I28),I28&gt;0),SQRT(MIN(I28,Formula!$C$27))/Formula!$C$24,1/Formula!$C$25))</f>
        <v>0.3225806452</v>
      </c>
      <c r="R28" s="15">
        <f t="shared" si="2"/>
        <v>0.2903225806</v>
      </c>
      <c r="S28" s="15">
        <f>IF(H28&lt;&gt;"",EXP(-Formula!$C$28*(EOMONTH(H28,0)-H28)),EXP(-Formula!$C$28*(EOMONTH(D28,0)-D28)))</f>
        <v>0.7788007831</v>
      </c>
      <c r="T28" s="15">
        <f t="shared" si="3"/>
        <v>0.2581988897</v>
      </c>
      <c r="U28" s="15">
        <f t="shared" si="4"/>
        <v>0.05837966057</v>
      </c>
      <c r="V28" s="16">
        <f>IF(AND(L28="Among all respondents",NOT(OR(K28="Online poll in Telegram channel",K28="Website online poll",K28="CAWI (Computer Assisted Web Interviewing)"))),1/(1-MIN(MAX(Formula!$C$33+(YEAR(D28)-Formula!$C$34)/(Formula!$C$35-Formula!$C$34)*(Formula!$C$32-Formula!$C$33),Formula!$C$33),Formula!$C$32)),1)</f>
        <v>1.282051282</v>
      </c>
      <c r="W28" s="17">
        <f t="shared" si="5"/>
        <v>21.92307692</v>
      </c>
    </row>
    <row r="29" ht="15.75" customHeight="1">
      <c r="A29" s="8" t="s">
        <v>375</v>
      </c>
      <c r="B29" s="7" t="s">
        <v>369</v>
      </c>
      <c r="C29" s="13" t="s">
        <v>370</v>
      </c>
      <c r="D29" s="7" t="s">
        <v>26</v>
      </c>
      <c r="E29" s="8" t="s">
        <v>27</v>
      </c>
      <c r="F29" s="8" t="s">
        <v>318</v>
      </c>
      <c r="G29" s="7" t="s">
        <v>371</v>
      </c>
      <c r="H29" s="7" t="s">
        <v>372</v>
      </c>
      <c r="I29" s="8">
        <v>1000.0</v>
      </c>
      <c r="J29" s="8">
        <v>3.1</v>
      </c>
      <c r="K29" s="8" t="s">
        <v>321</v>
      </c>
      <c r="L29" s="8" t="s">
        <v>373</v>
      </c>
      <c r="M29" s="8" t="s">
        <v>329</v>
      </c>
      <c r="N29" s="8">
        <v>4.3</v>
      </c>
      <c r="O29" s="14">
        <f t="shared" si="1"/>
        <v>46023</v>
      </c>
      <c r="P29" s="15">
        <f>IFERROR(VLOOKUP(K29,Formula!$A$11:$B$20,2,FALSE),Formula!$C$26)</f>
        <v>0.9</v>
      </c>
      <c r="Q29" s="15">
        <f>IF(AND(ISNUMBER(J29),J29&gt;0),1/J29,IF(AND(ISNUMBER(I29),I29&gt;0),SQRT(MIN(I29,Formula!$C$27))/Formula!$C$24,1/Formula!$C$25))</f>
        <v>0.3225806452</v>
      </c>
      <c r="R29" s="15">
        <f t="shared" si="2"/>
        <v>0.2903225806</v>
      </c>
      <c r="S29" s="15">
        <f>IF(H29&lt;&gt;"",EXP(-Formula!$C$28*(EOMONTH(H29,0)-H29)),EXP(-Formula!$C$28*(EOMONTH(D29,0)-D29)))</f>
        <v>0.7788007831</v>
      </c>
      <c r="T29" s="15">
        <f t="shared" si="3"/>
        <v>0.2581988897</v>
      </c>
      <c r="U29" s="15">
        <f t="shared" si="4"/>
        <v>0.05837966057</v>
      </c>
      <c r="V29" s="16">
        <f>IF(AND(L29="Among all respondents",NOT(OR(K29="Online poll in Telegram channel",K29="Website online poll",K29="CAWI (Computer Assisted Web Interviewing)"))),1/(1-MIN(MAX(Formula!$C$33+(YEAR(D29)-Formula!$C$34)/(Formula!$C$35-Formula!$C$34)*(Formula!$C$32-Formula!$C$33),Formula!$C$33),Formula!$C$32)),1)</f>
        <v>1.282051282</v>
      </c>
      <c r="W29" s="17">
        <f t="shared" si="5"/>
        <v>5.512820513</v>
      </c>
    </row>
    <row r="30" ht="15.75" customHeight="1">
      <c r="A30" s="8" t="s">
        <v>376</v>
      </c>
      <c r="B30" s="7" t="s">
        <v>369</v>
      </c>
      <c r="C30" s="13" t="s">
        <v>370</v>
      </c>
      <c r="D30" s="7" t="s">
        <v>26</v>
      </c>
      <c r="E30" s="8" t="s">
        <v>27</v>
      </c>
      <c r="F30" s="8" t="s">
        <v>318</v>
      </c>
      <c r="G30" s="7" t="s">
        <v>371</v>
      </c>
      <c r="H30" s="7" t="s">
        <v>372</v>
      </c>
      <c r="I30" s="8">
        <v>1000.0</v>
      </c>
      <c r="J30" s="8">
        <v>3.1</v>
      </c>
      <c r="K30" s="8" t="s">
        <v>321</v>
      </c>
      <c r="L30" s="8" t="s">
        <v>373</v>
      </c>
      <c r="M30" s="8" t="s">
        <v>327</v>
      </c>
      <c r="N30" s="8">
        <v>4.2</v>
      </c>
      <c r="O30" s="14">
        <f t="shared" si="1"/>
        <v>46023</v>
      </c>
      <c r="P30" s="15">
        <f>IFERROR(VLOOKUP(K30,Formula!$A$11:$B$20,2,FALSE),Formula!$C$26)</f>
        <v>0.9</v>
      </c>
      <c r="Q30" s="15">
        <f>IF(AND(ISNUMBER(J30),J30&gt;0),1/J30,IF(AND(ISNUMBER(I30),I30&gt;0),SQRT(MIN(I30,Formula!$C$27))/Formula!$C$24,1/Formula!$C$25))</f>
        <v>0.3225806452</v>
      </c>
      <c r="R30" s="15">
        <f t="shared" si="2"/>
        <v>0.2903225806</v>
      </c>
      <c r="S30" s="15">
        <f>IF(H30&lt;&gt;"",EXP(-Formula!$C$28*(EOMONTH(H30,0)-H30)),EXP(-Formula!$C$28*(EOMONTH(D30,0)-D30)))</f>
        <v>0.7788007831</v>
      </c>
      <c r="T30" s="15">
        <f t="shared" si="3"/>
        <v>0.2581988897</v>
      </c>
      <c r="U30" s="15">
        <f t="shared" si="4"/>
        <v>0.05837966057</v>
      </c>
      <c r="V30" s="16">
        <f>IF(AND(L30="Among all respondents",NOT(OR(K30="Online poll in Telegram channel",K30="Website online poll",K30="CAWI (Computer Assisted Web Interviewing)"))),1/(1-MIN(MAX(Formula!$C$33+(YEAR(D30)-Formula!$C$34)/(Formula!$C$35-Formula!$C$34)*(Formula!$C$32-Formula!$C$33),Formula!$C$33),Formula!$C$32)),1)</f>
        <v>1.282051282</v>
      </c>
      <c r="W30" s="17">
        <f t="shared" si="5"/>
        <v>5.384615385</v>
      </c>
    </row>
    <row r="31" ht="15.75" customHeight="1">
      <c r="A31" s="8" t="s">
        <v>377</v>
      </c>
      <c r="B31" s="7" t="s">
        <v>369</v>
      </c>
      <c r="C31" s="13" t="s">
        <v>370</v>
      </c>
      <c r="D31" s="7" t="s">
        <v>26</v>
      </c>
      <c r="E31" s="8" t="s">
        <v>27</v>
      </c>
      <c r="F31" s="8" t="s">
        <v>318</v>
      </c>
      <c r="G31" s="7" t="s">
        <v>371</v>
      </c>
      <c r="H31" s="7" t="s">
        <v>372</v>
      </c>
      <c r="I31" s="8">
        <v>1000.0</v>
      </c>
      <c r="J31" s="8">
        <v>3.1</v>
      </c>
      <c r="K31" s="8" t="s">
        <v>321</v>
      </c>
      <c r="L31" s="8" t="s">
        <v>373</v>
      </c>
      <c r="M31" s="8" t="s">
        <v>333</v>
      </c>
      <c r="N31" s="8">
        <v>3.6</v>
      </c>
      <c r="O31" s="14">
        <f t="shared" si="1"/>
        <v>46023</v>
      </c>
      <c r="P31" s="15">
        <f>IFERROR(VLOOKUP(K31,Formula!$A$11:$B$20,2,FALSE),Formula!$C$26)</f>
        <v>0.9</v>
      </c>
      <c r="Q31" s="15">
        <f>IF(AND(ISNUMBER(J31),J31&gt;0),1/J31,IF(AND(ISNUMBER(I31),I31&gt;0),SQRT(MIN(I31,Formula!$C$27))/Formula!$C$24,1/Formula!$C$25))</f>
        <v>0.3225806452</v>
      </c>
      <c r="R31" s="15">
        <f t="shared" si="2"/>
        <v>0.2903225806</v>
      </c>
      <c r="S31" s="15">
        <f>IF(H31&lt;&gt;"",EXP(-Formula!$C$28*(EOMONTH(H31,0)-H31)),EXP(-Formula!$C$28*(EOMONTH(D31,0)-D31)))</f>
        <v>0.7788007831</v>
      </c>
      <c r="T31" s="15">
        <f t="shared" si="3"/>
        <v>0.2581988897</v>
      </c>
      <c r="U31" s="15">
        <f t="shared" si="4"/>
        <v>0.05837966057</v>
      </c>
      <c r="V31" s="16">
        <f>IF(AND(L31="Among all respondents",NOT(OR(K31="Online poll in Telegram channel",K31="Website online poll",K31="CAWI (Computer Assisted Web Interviewing)"))),1/(1-MIN(MAX(Formula!$C$33+(YEAR(D31)-Formula!$C$34)/(Formula!$C$35-Formula!$C$34)*(Formula!$C$32-Formula!$C$33),Formula!$C$33),Formula!$C$32)),1)</f>
        <v>1.282051282</v>
      </c>
      <c r="W31" s="17">
        <f t="shared" si="5"/>
        <v>4.615384615</v>
      </c>
    </row>
    <row r="32" ht="15.75" customHeight="1">
      <c r="A32" s="8" t="s">
        <v>378</v>
      </c>
      <c r="B32" s="7" t="s">
        <v>369</v>
      </c>
      <c r="C32" s="13" t="s">
        <v>370</v>
      </c>
      <c r="D32" s="7" t="s">
        <v>26</v>
      </c>
      <c r="E32" s="8" t="s">
        <v>27</v>
      </c>
      <c r="F32" s="8" t="s">
        <v>318</v>
      </c>
      <c r="G32" s="7" t="s">
        <v>371</v>
      </c>
      <c r="H32" s="7" t="s">
        <v>372</v>
      </c>
      <c r="I32" s="8">
        <v>1000.0</v>
      </c>
      <c r="J32" s="8">
        <v>3.1</v>
      </c>
      <c r="K32" s="8" t="s">
        <v>321</v>
      </c>
      <c r="L32" s="8" t="s">
        <v>373</v>
      </c>
      <c r="M32" s="8" t="s">
        <v>335</v>
      </c>
      <c r="N32" s="8">
        <v>3.3</v>
      </c>
      <c r="O32" s="14">
        <f t="shared" si="1"/>
        <v>46023</v>
      </c>
      <c r="P32" s="15">
        <f>IFERROR(VLOOKUP(K32,Formula!$A$11:$B$20,2,FALSE),Formula!$C$26)</f>
        <v>0.9</v>
      </c>
      <c r="Q32" s="15">
        <f>IF(AND(ISNUMBER(J32),J32&gt;0),1/J32,IF(AND(ISNUMBER(I32),I32&gt;0),SQRT(MIN(I32,Formula!$C$27))/Formula!$C$24,1/Formula!$C$25))</f>
        <v>0.3225806452</v>
      </c>
      <c r="R32" s="15">
        <f t="shared" si="2"/>
        <v>0.2903225806</v>
      </c>
      <c r="S32" s="15">
        <f>IF(H32&lt;&gt;"",EXP(-Formula!$C$28*(EOMONTH(H32,0)-H32)),EXP(-Formula!$C$28*(EOMONTH(D32,0)-D32)))</f>
        <v>0.7788007831</v>
      </c>
      <c r="T32" s="15">
        <f t="shared" si="3"/>
        <v>0.2581988897</v>
      </c>
      <c r="U32" s="15">
        <f t="shared" si="4"/>
        <v>0.05837966057</v>
      </c>
      <c r="V32" s="16">
        <f>IF(AND(L32="Among all respondents",NOT(OR(K32="Online poll in Telegram channel",K32="Website online poll",K32="CAWI (Computer Assisted Web Interviewing)"))),1/(1-MIN(MAX(Formula!$C$33+(YEAR(D32)-Formula!$C$34)/(Formula!$C$35-Formula!$C$34)*(Formula!$C$32-Formula!$C$33),Formula!$C$33),Formula!$C$32)),1)</f>
        <v>1.282051282</v>
      </c>
      <c r="W32" s="17">
        <f t="shared" si="5"/>
        <v>4.230769231</v>
      </c>
    </row>
    <row r="33" ht="15.75" customHeight="1">
      <c r="A33" s="8" t="s">
        <v>379</v>
      </c>
      <c r="B33" s="7" t="s">
        <v>369</v>
      </c>
      <c r="C33" s="13" t="s">
        <v>370</v>
      </c>
      <c r="D33" s="7" t="s">
        <v>26</v>
      </c>
      <c r="E33" s="8" t="s">
        <v>27</v>
      </c>
      <c r="F33" s="8" t="s">
        <v>318</v>
      </c>
      <c r="G33" s="7" t="s">
        <v>371</v>
      </c>
      <c r="H33" s="7" t="s">
        <v>372</v>
      </c>
      <c r="I33" s="8">
        <v>1000.0</v>
      </c>
      <c r="J33" s="8">
        <v>3.1</v>
      </c>
      <c r="K33" s="8" t="s">
        <v>321</v>
      </c>
      <c r="L33" s="8" t="s">
        <v>373</v>
      </c>
      <c r="M33" s="8" t="s">
        <v>337</v>
      </c>
      <c r="N33" s="8">
        <v>2.9</v>
      </c>
      <c r="O33" s="14">
        <f t="shared" si="1"/>
        <v>46023</v>
      </c>
      <c r="P33" s="15">
        <f>IFERROR(VLOOKUP(K33,Formula!$A$11:$B$20,2,FALSE),Formula!$C$26)</f>
        <v>0.9</v>
      </c>
      <c r="Q33" s="15">
        <f>IF(AND(ISNUMBER(J33),J33&gt;0),1/J33,IF(AND(ISNUMBER(I33),I33&gt;0),SQRT(MIN(I33,Formula!$C$27))/Formula!$C$24,1/Formula!$C$25))</f>
        <v>0.3225806452</v>
      </c>
      <c r="R33" s="15">
        <f t="shared" si="2"/>
        <v>0.2903225806</v>
      </c>
      <c r="S33" s="15">
        <f>IF(H33&lt;&gt;"",EXP(-Formula!$C$28*(EOMONTH(H33,0)-H33)),EXP(-Formula!$C$28*(EOMONTH(D33,0)-D33)))</f>
        <v>0.7788007831</v>
      </c>
      <c r="T33" s="15">
        <f t="shared" si="3"/>
        <v>0.2581988897</v>
      </c>
      <c r="U33" s="15">
        <f t="shared" si="4"/>
        <v>0.05837966057</v>
      </c>
      <c r="V33" s="16">
        <f>IF(AND(L33="Among all respondents",NOT(OR(K33="Online poll in Telegram channel",K33="Website online poll",K33="CAWI (Computer Assisted Web Interviewing)"))),1/(1-MIN(MAX(Formula!$C$33+(YEAR(D33)-Formula!$C$34)/(Formula!$C$35-Formula!$C$34)*(Formula!$C$32-Formula!$C$33),Formula!$C$33),Formula!$C$32)),1)</f>
        <v>1.282051282</v>
      </c>
      <c r="W33" s="17">
        <f t="shared" si="5"/>
        <v>3.717948718</v>
      </c>
    </row>
    <row r="34" ht="15.75" customHeight="1">
      <c r="A34" s="8" t="s">
        <v>380</v>
      </c>
      <c r="B34" s="7" t="s">
        <v>369</v>
      </c>
      <c r="C34" s="13" t="s">
        <v>370</v>
      </c>
      <c r="D34" s="7" t="s">
        <v>26</v>
      </c>
      <c r="E34" s="8" t="s">
        <v>27</v>
      </c>
      <c r="F34" s="8" t="s">
        <v>318</v>
      </c>
      <c r="G34" s="7" t="s">
        <v>371</v>
      </c>
      <c r="H34" s="7" t="s">
        <v>372</v>
      </c>
      <c r="I34" s="8">
        <v>1000.0</v>
      </c>
      <c r="J34" s="8">
        <v>3.1</v>
      </c>
      <c r="K34" s="8" t="s">
        <v>321</v>
      </c>
      <c r="L34" s="8" t="s">
        <v>373</v>
      </c>
      <c r="M34" s="8" t="s">
        <v>367</v>
      </c>
      <c r="N34" s="8">
        <v>1.8</v>
      </c>
      <c r="O34" s="14">
        <f t="shared" si="1"/>
        <v>46023</v>
      </c>
      <c r="P34" s="15">
        <f>IFERROR(VLOOKUP(K34,Formula!$A$11:$B$20,2,FALSE),Formula!$C$26)</f>
        <v>0.9</v>
      </c>
      <c r="Q34" s="15">
        <f>IF(AND(ISNUMBER(J34),J34&gt;0),1/J34,IF(AND(ISNUMBER(I34),I34&gt;0),SQRT(MIN(I34,Formula!$C$27))/Formula!$C$24,1/Formula!$C$25))</f>
        <v>0.3225806452</v>
      </c>
      <c r="R34" s="15">
        <f t="shared" si="2"/>
        <v>0.2903225806</v>
      </c>
      <c r="S34" s="15">
        <f>IF(H34&lt;&gt;"",EXP(-Formula!$C$28*(EOMONTH(H34,0)-H34)),EXP(-Formula!$C$28*(EOMONTH(D34,0)-D34)))</f>
        <v>0.7788007831</v>
      </c>
      <c r="T34" s="15">
        <f t="shared" si="3"/>
        <v>0.2581988897</v>
      </c>
      <c r="U34" s="15">
        <f t="shared" si="4"/>
        <v>0.05837966057</v>
      </c>
      <c r="V34" s="16">
        <f>IF(AND(L34="Among all respondents",NOT(OR(K34="Online poll in Telegram channel",K34="Website online poll",K34="CAWI (Computer Assisted Web Interviewing)"))),1/(1-MIN(MAX(Formula!$C$33+(YEAR(D34)-Formula!$C$34)/(Formula!$C$35-Formula!$C$34)*(Formula!$C$32-Formula!$C$33),Formula!$C$33),Formula!$C$32)),1)</f>
        <v>1.282051282</v>
      </c>
      <c r="W34" s="17">
        <f t="shared" si="5"/>
        <v>2.307692308</v>
      </c>
    </row>
    <row r="35" ht="15.75" customHeight="1">
      <c r="A35" s="8" t="s">
        <v>381</v>
      </c>
      <c r="B35" s="7" t="s">
        <v>369</v>
      </c>
      <c r="C35" s="13" t="s">
        <v>370</v>
      </c>
      <c r="D35" s="7" t="s">
        <v>26</v>
      </c>
      <c r="E35" s="8" t="s">
        <v>27</v>
      </c>
      <c r="F35" s="8" t="s">
        <v>318</v>
      </c>
      <c r="G35" s="7" t="s">
        <v>371</v>
      </c>
      <c r="H35" s="7" t="s">
        <v>372</v>
      </c>
      <c r="I35" s="8">
        <v>1000.0</v>
      </c>
      <c r="J35" s="8">
        <v>3.1</v>
      </c>
      <c r="K35" s="8" t="s">
        <v>321</v>
      </c>
      <c r="L35" s="8" t="s">
        <v>373</v>
      </c>
      <c r="M35" s="8" t="s">
        <v>382</v>
      </c>
      <c r="N35" s="8">
        <v>1.7</v>
      </c>
      <c r="O35" s="14">
        <f t="shared" si="1"/>
        <v>46023</v>
      </c>
      <c r="P35" s="15">
        <f>IFERROR(VLOOKUP(K35,Formula!$A$11:$B$20,2,FALSE),Formula!$C$26)</f>
        <v>0.9</v>
      </c>
      <c r="Q35" s="15">
        <f>IF(AND(ISNUMBER(J35),J35&gt;0),1/J35,IF(AND(ISNUMBER(I35),I35&gt;0),SQRT(MIN(I35,Formula!$C$27))/Formula!$C$24,1/Formula!$C$25))</f>
        <v>0.3225806452</v>
      </c>
      <c r="R35" s="15">
        <f t="shared" si="2"/>
        <v>0.2903225806</v>
      </c>
      <c r="S35" s="15">
        <f>IF(H35&lt;&gt;"",EXP(-Formula!$C$28*(EOMONTH(H35,0)-H35)),EXP(-Formula!$C$28*(EOMONTH(D35,0)-D35)))</f>
        <v>0.7788007831</v>
      </c>
      <c r="T35" s="15">
        <f t="shared" si="3"/>
        <v>0.2581988897</v>
      </c>
      <c r="U35" s="15">
        <f t="shared" si="4"/>
        <v>0.05837966057</v>
      </c>
      <c r="V35" s="16">
        <f>IF(AND(L35="Among all respondents",NOT(OR(K35="Online poll in Telegram channel",K35="Website online poll",K35="CAWI (Computer Assisted Web Interviewing)"))),1/(1-MIN(MAX(Formula!$C$33+(YEAR(D35)-Formula!$C$34)/(Formula!$C$35-Formula!$C$34)*(Formula!$C$32-Formula!$C$33),Formula!$C$33),Formula!$C$32)),1)</f>
        <v>1.282051282</v>
      </c>
      <c r="W35" s="17">
        <f t="shared" si="5"/>
        <v>2.179487179</v>
      </c>
    </row>
    <row r="36" ht="15.75" customHeight="1">
      <c r="A36" s="8" t="s">
        <v>383</v>
      </c>
      <c r="B36" s="7" t="s">
        <v>369</v>
      </c>
      <c r="C36" s="13" t="s">
        <v>370</v>
      </c>
      <c r="D36" s="7" t="s">
        <v>26</v>
      </c>
      <c r="E36" s="8" t="s">
        <v>27</v>
      </c>
      <c r="F36" s="8" t="s">
        <v>318</v>
      </c>
      <c r="G36" s="7" t="s">
        <v>371</v>
      </c>
      <c r="H36" s="7" t="s">
        <v>372</v>
      </c>
      <c r="I36" s="8">
        <v>1000.0</v>
      </c>
      <c r="J36" s="8">
        <v>3.1</v>
      </c>
      <c r="K36" s="8" t="s">
        <v>321</v>
      </c>
      <c r="L36" s="8" t="s">
        <v>373</v>
      </c>
      <c r="M36" s="8" t="s">
        <v>339</v>
      </c>
      <c r="N36" s="8">
        <v>1.4</v>
      </c>
      <c r="O36" s="14">
        <f t="shared" si="1"/>
        <v>46023</v>
      </c>
      <c r="P36" s="15">
        <f>IFERROR(VLOOKUP(K36,Formula!$A$11:$B$20,2,FALSE),Formula!$C$26)</f>
        <v>0.9</v>
      </c>
      <c r="Q36" s="15">
        <f>IF(AND(ISNUMBER(J36),J36&gt;0),1/J36,IF(AND(ISNUMBER(I36),I36&gt;0),SQRT(MIN(I36,Formula!$C$27))/Formula!$C$24,1/Formula!$C$25))</f>
        <v>0.3225806452</v>
      </c>
      <c r="R36" s="15">
        <f t="shared" si="2"/>
        <v>0.2903225806</v>
      </c>
      <c r="S36" s="15">
        <f>IF(H36&lt;&gt;"",EXP(-Formula!$C$28*(EOMONTH(H36,0)-H36)),EXP(-Formula!$C$28*(EOMONTH(D36,0)-D36)))</f>
        <v>0.7788007831</v>
      </c>
      <c r="T36" s="15">
        <f t="shared" si="3"/>
        <v>0.2581988897</v>
      </c>
      <c r="U36" s="15">
        <f t="shared" si="4"/>
        <v>0.05837966057</v>
      </c>
      <c r="V36" s="16">
        <f>IF(AND(L36="Among all respondents",NOT(OR(K36="Online poll in Telegram channel",K36="Website online poll",K36="CAWI (Computer Assisted Web Interviewing)"))),1/(1-MIN(MAX(Formula!$C$33+(YEAR(D36)-Formula!$C$34)/(Formula!$C$35-Formula!$C$34)*(Formula!$C$32-Formula!$C$33),Formula!$C$33),Formula!$C$32)),1)</f>
        <v>1.282051282</v>
      </c>
      <c r="W36" s="17">
        <f t="shared" si="5"/>
        <v>1.794871795</v>
      </c>
    </row>
    <row r="37" ht="15.75" customHeight="1">
      <c r="A37" s="8" t="s">
        <v>384</v>
      </c>
      <c r="B37" s="7" t="s">
        <v>369</v>
      </c>
      <c r="C37" s="13" t="s">
        <v>370</v>
      </c>
      <c r="D37" s="7" t="s">
        <v>26</v>
      </c>
      <c r="E37" s="8" t="s">
        <v>27</v>
      </c>
      <c r="F37" s="8" t="s">
        <v>318</v>
      </c>
      <c r="G37" s="7" t="s">
        <v>371</v>
      </c>
      <c r="H37" s="7" t="s">
        <v>372</v>
      </c>
      <c r="I37" s="8">
        <v>1000.0</v>
      </c>
      <c r="J37" s="8">
        <v>3.1</v>
      </c>
      <c r="K37" s="8" t="s">
        <v>321</v>
      </c>
      <c r="L37" s="8" t="s">
        <v>373</v>
      </c>
      <c r="M37" s="8" t="s">
        <v>365</v>
      </c>
      <c r="N37" s="8">
        <v>1.4</v>
      </c>
      <c r="O37" s="14">
        <f t="shared" si="1"/>
        <v>46023</v>
      </c>
      <c r="P37" s="15">
        <f>IFERROR(VLOOKUP(K37,Formula!$A$11:$B$20,2,FALSE),Formula!$C$26)</f>
        <v>0.9</v>
      </c>
      <c r="Q37" s="15">
        <f>IF(AND(ISNUMBER(J37),J37&gt;0),1/J37,IF(AND(ISNUMBER(I37),I37&gt;0),SQRT(MIN(I37,Formula!$C$27))/Formula!$C$24,1/Formula!$C$25))</f>
        <v>0.3225806452</v>
      </c>
      <c r="R37" s="15">
        <f t="shared" si="2"/>
        <v>0.2903225806</v>
      </c>
      <c r="S37" s="15">
        <f>IF(H37&lt;&gt;"",EXP(-Formula!$C$28*(EOMONTH(H37,0)-H37)),EXP(-Formula!$C$28*(EOMONTH(D37,0)-D37)))</f>
        <v>0.7788007831</v>
      </c>
      <c r="T37" s="15">
        <f t="shared" si="3"/>
        <v>0.2581988897</v>
      </c>
      <c r="U37" s="15">
        <f t="shared" si="4"/>
        <v>0.05837966057</v>
      </c>
      <c r="V37" s="16">
        <f>IF(AND(L37="Among all respondents",NOT(OR(K37="Online poll in Telegram channel",K37="Website online poll",K37="CAWI (Computer Assisted Web Interviewing)"))),1/(1-MIN(MAX(Formula!$C$33+(YEAR(D37)-Formula!$C$34)/(Formula!$C$35-Formula!$C$34)*(Formula!$C$32-Formula!$C$33),Formula!$C$33),Formula!$C$32)),1)</f>
        <v>1.282051282</v>
      </c>
      <c r="W37" s="17">
        <f t="shared" si="5"/>
        <v>1.794871795</v>
      </c>
    </row>
    <row r="38" ht="15.75" customHeight="1">
      <c r="A38" s="8" t="s">
        <v>385</v>
      </c>
      <c r="B38" s="7" t="s">
        <v>369</v>
      </c>
      <c r="C38" s="13" t="s">
        <v>370</v>
      </c>
      <c r="D38" s="7" t="s">
        <v>26</v>
      </c>
      <c r="E38" s="8" t="s">
        <v>27</v>
      </c>
      <c r="F38" s="8" t="s">
        <v>318</v>
      </c>
      <c r="G38" s="7" t="s">
        <v>371</v>
      </c>
      <c r="H38" s="7" t="s">
        <v>372</v>
      </c>
      <c r="I38" s="8">
        <v>1000.0</v>
      </c>
      <c r="J38" s="8">
        <v>3.1</v>
      </c>
      <c r="K38" s="8" t="s">
        <v>321</v>
      </c>
      <c r="L38" s="8" t="s">
        <v>373</v>
      </c>
      <c r="M38" s="8" t="s">
        <v>386</v>
      </c>
      <c r="N38" s="8">
        <v>0.9</v>
      </c>
      <c r="O38" s="14">
        <f t="shared" si="1"/>
        <v>46023</v>
      </c>
      <c r="P38" s="15">
        <f>IFERROR(VLOOKUP(K38,Formula!$A$11:$B$20,2,FALSE),Formula!$C$26)</f>
        <v>0.9</v>
      </c>
      <c r="Q38" s="15">
        <f>IF(AND(ISNUMBER(J38),J38&gt;0),1/J38,IF(AND(ISNUMBER(I38),I38&gt;0),SQRT(MIN(I38,Formula!$C$27))/Formula!$C$24,1/Formula!$C$25))</f>
        <v>0.3225806452</v>
      </c>
      <c r="R38" s="15">
        <f t="shared" si="2"/>
        <v>0.2903225806</v>
      </c>
      <c r="S38" s="15">
        <f>IF(H38&lt;&gt;"",EXP(-Formula!$C$28*(EOMONTH(H38,0)-H38)),EXP(-Formula!$C$28*(EOMONTH(D38,0)-D38)))</f>
        <v>0.7788007831</v>
      </c>
      <c r="T38" s="15">
        <f t="shared" si="3"/>
        <v>0.2581988897</v>
      </c>
      <c r="U38" s="15">
        <f t="shared" si="4"/>
        <v>0.05837966057</v>
      </c>
      <c r="V38" s="16">
        <f>IF(AND(L38="Among all respondents",NOT(OR(K38="Online poll in Telegram channel",K38="Website online poll",K38="CAWI (Computer Assisted Web Interviewing)"))),1/(1-MIN(MAX(Formula!$C$33+(YEAR(D38)-Formula!$C$34)/(Formula!$C$35-Formula!$C$34)*(Formula!$C$32-Formula!$C$33),Formula!$C$33),Formula!$C$32)),1)</f>
        <v>1.282051282</v>
      </c>
      <c r="W38" s="17">
        <f t="shared" si="5"/>
        <v>1.153846154</v>
      </c>
    </row>
    <row r="39" ht="15.75" customHeight="1">
      <c r="A39" s="8" t="s">
        <v>387</v>
      </c>
      <c r="B39" s="7" t="s">
        <v>369</v>
      </c>
      <c r="C39" s="13" t="s">
        <v>370</v>
      </c>
      <c r="D39" s="7" t="s">
        <v>26</v>
      </c>
      <c r="E39" s="8" t="s">
        <v>27</v>
      </c>
      <c r="F39" s="8" t="s">
        <v>318</v>
      </c>
      <c r="G39" s="7" t="s">
        <v>371</v>
      </c>
      <c r="H39" s="7" t="s">
        <v>372</v>
      </c>
      <c r="I39" s="8">
        <v>1000.0</v>
      </c>
      <c r="J39" s="8">
        <v>3.1</v>
      </c>
      <c r="K39" s="8" t="s">
        <v>321</v>
      </c>
      <c r="L39" s="8" t="s">
        <v>373</v>
      </c>
      <c r="M39" s="8" t="s">
        <v>388</v>
      </c>
      <c r="N39" s="8">
        <v>0.8</v>
      </c>
      <c r="O39" s="14">
        <f t="shared" si="1"/>
        <v>46023</v>
      </c>
      <c r="P39" s="15">
        <f>IFERROR(VLOOKUP(K39,Formula!$A$11:$B$20,2,FALSE),Formula!$C$26)</f>
        <v>0.9</v>
      </c>
      <c r="Q39" s="15">
        <f>IF(AND(ISNUMBER(J39),J39&gt;0),1/J39,IF(AND(ISNUMBER(I39),I39&gt;0),SQRT(MIN(I39,Formula!$C$27))/Formula!$C$24,1/Formula!$C$25))</f>
        <v>0.3225806452</v>
      </c>
      <c r="R39" s="15">
        <f t="shared" si="2"/>
        <v>0.2903225806</v>
      </c>
      <c r="S39" s="15">
        <f>IF(H39&lt;&gt;"",EXP(-Formula!$C$28*(EOMONTH(H39,0)-H39)),EXP(-Formula!$C$28*(EOMONTH(D39,0)-D39)))</f>
        <v>0.7788007831</v>
      </c>
      <c r="T39" s="15">
        <f t="shared" si="3"/>
        <v>0.2581988897</v>
      </c>
      <c r="U39" s="15">
        <f t="shared" si="4"/>
        <v>0.05837966057</v>
      </c>
      <c r="V39" s="16">
        <f>IF(AND(L39="Among all respondents",NOT(OR(K39="Online poll in Telegram channel",K39="Website online poll",K39="CAWI (Computer Assisted Web Interviewing)"))),1/(1-MIN(MAX(Formula!$C$33+(YEAR(D39)-Formula!$C$34)/(Formula!$C$35-Formula!$C$34)*(Formula!$C$32-Formula!$C$33),Formula!$C$33),Formula!$C$32)),1)</f>
        <v>1.282051282</v>
      </c>
      <c r="W39" s="17">
        <f t="shared" si="5"/>
        <v>1.025641026</v>
      </c>
    </row>
    <row r="40" ht="15.75" customHeight="1">
      <c r="A40" s="8" t="s">
        <v>389</v>
      </c>
      <c r="B40" s="7" t="s">
        <v>369</v>
      </c>
      <c r="C40" s="13" t="s">
        <v>370</v>
      </c>
      <c r="D40" s="7" t="s">
        <v>26</v>
      </c>
      <c r="E40" s="8" t="s">
        <v>27</v>
      </c>
      <c r="F40" s="8" t="s">
        <v>318</v>
      </c>
      <c r="G40" s="7" t="s">
        <v>371</v>
      </c>
      <c r="H40" s="7" t="s">
        <v>372</v>
      </c>
      <c r="I40" s="8">
        <v>1000.0</v>
      </c>
      <c r="J40" s="8">
        <v>3.1</v>
      </c>
      <c r="K40" s="8" t="s">
        <v>321</v>
      </c>
      <c r="L40" s="8" t="s">
        <v>373</v>
      </c>
      <c r="M40" s="8" t="s">
        <v>359</v>
      </c>
      <c r="N40" s="8">
        <v>0.8</v>
      </c>
      <c r="O40" s="14">
        <f t="shared" si="1"/>
        <v>46023</v>
      </c>
      <c r="P40" s="15">
        <f>IFERROR(VLOOKUP(K40,Formula!$A$11:$B$20,2,FALSE),Formula!$C$26)</f>
        <v>0.9</v>
      </c>
      <c r="Q40" s="15">
        <f>IF(AND(ISNUMBER(J40),J40&gt;0),1/J40,IF(AND(ISNUMBER(I40),I40&gt;0),SQRT(MIN(I40,Formula!$C$27))/Formula!$C$24,1/Formula!$C$25))</f>
        <v>0.3225806452</v>
      </c>
      <c r="R40" s="15">
        <f t="shared" si="2"/>
        <v>0.2903225806</v>
      </c>
      <c r="S40" s="15">
        <f>IF(H40&lt;&gt;"",EXP(-Formula!$C$28*(EOMONTH(H40,0)-H40)),EXP(-Formula!$C$28*(EOMONTH(D40,0)-D40)))</f>
        <v>0.7788007831</v>
      </c>
      <c r="T40" s="15">
        <f t="shared" si="3"/>
        <v>0.2581988897</v>
      </c>
      <c r="U40" s="15">
        <f t="shared" si="4"/>
        <v>0.05837966057</v>
      </c>
      <c r="V40" s="16">
        <f>IF(AND(L40="Among all respondents",NOT(OR(K40="Online poll in Telegram channel",K40="Website online poll",K40="CAWI (Computer Assisted Web Interviewing)"))),1/(1-MIN(MAX(Formula!$C$33+(YEAR(D40)-Formula!$C$34)/(Formula!$C$35-Formula!$C$34)*(Formula!$C$32-Formula!$C$33),Formula!$C$33),Formula!$C$32)),1)</f>
        <v>1.282051282</v>
      </c>
      <c r="W40" s="17">
        <f t="shared" si="5"/>
        <v>1.025641026</v>
      </c>
    </row>
    <row r="41" ht="15.75" customHeight="1">
      <c r="A41" s="8" t="s">
        <v>390</v>
      </c>
      <c r="B41" s="7" t="s">
        <v>369</v>
      </c>
      <c r="C41" s="13" t="s">
        <v>370</v>
      </c>
      <c r="D41" s="7" t="s">
        <v>26</v>
      </c>
      <c r="E41" s="8" t="s">
        <v>27</v>
      </c>
      <c r="F41" s="8" t="s">
        <v>318</v>
      </c>
      <c r="G41" s="7" t="s">
        <v>371</v>
      </c>
      <c r="H41" s="7" t="s">
        <v>372</v>
      </c>
      <c r="I41" s="8">
        <v>1000.0</v>
      </c>
      <c r="J41" s="8">
        <v>3.1</v>
      </c>
      <c r="K41" s="8" t="s">
        <v>321</v>
      </c>
      <c r="L41" s="8" t="s">
        <v>373</v>
      </c>
      <c r="M41" s="8" t="s">
        <v>343</v>
      </c>
      <c r="N41" s="8">
        <v>0.5</v>
      </c>
      <c r="O41" s="14">
        <f t="shared" si="1"/>
        <v>46023</v>
      </c>
      <c r="P41" s="15">
        <f>IFERROR(VLOOKUP(K41,Formula!$A$11:$B$20,2,FALSE),Formula!$C$26)</f>
        <v>0.9</v>
      </c>
      <c r="Q41" s="15">
        <f>IF(AND(ISNUMBER(J41),J41&gt;0),1/J41,IF(AND(ISNUMBER(I41),I41&gt;0),SQRT(MIN(I41,Formula!$C$27))/Formula!$C$24,1/Formula!$C$25))</f>
        <v>0.3225806452</v>
      </c>
      <c r="R41" s="15">
        <f t="shared" si="2"/>
        <v>0.2903225806</v>
      </c>
      <c r="S41" s="15">
        <f>IF(H41&lt;&gt;"",EXP(-Formula!$C$28*(EOMONTH(H41,0)-H41)),EXP(-Formula!$C$28*(EOMONTH(D41,0)-D41)))</f>
        <v>0.7788007831</v>
      </c>
      <c r="T41" s="15">
        <f t="shared" si="3"/>
        <v>0.2581988897</v>
      </c>
      <c r="U41" s="15">
        <f t="shared" si="4"/>
        <v>0.05837966057</v>
      </c>
      <c r="V41" s="16">
        <f>IF(AND(L41="Among all respondents",NOT(OR(K41="Online poll in Telegram channel",K41="Website online poll",K41="CAWI (Computer Assisted Web Interviewing)"))),1/(1-MIN(MAX(Formula!$C$33+(YEAR(D41)-Formula!$C$34)/(Formula!$C$35-Formula!$C$34)*(Formula!$C$32-Formula!$C$33),Formula!$C$33),Formula!$C$32)),1)</f>
        <v>1.282051282</v>
      </c>
      <c r="W41" s="17">
        <f t="shared" si="5"/>
        <v>0.641025641</v>
      </c>
    </row>
    <row r="42" ht="15.75" customHeight="1">
      <c r="A42" s="8" t="s">
        <v>391</v>
      </c>
      <c r="B42" s="7" t="s">
        <v>392</v>
      </c>
      <c r="C42" s="13" t="s">
        <v>393</v>
      </c>
      <c r="D42" s="7" t="s">
        <v>21</v>
      </c>
      <c r="E42" s="8" t="s">
        <v>20</v>
      </c>
      <c r="F42" s="8" t="s">
        <v>318</v>
      </c>
      <c r="G42" s="7" t="s">
        <v>394</v>
      </c>
      <c r="H42" s="7" t="s">
        <v>394</v>
      </c>
      <c r="I42" s="8">
        <v>800.0</v>
      </c>
      <c r="J42" s="8">
        <v>3.5</v>
      </c>
      <c r="K42" s="8" t="s">
        <v>351</v>
      </c>
      <c r="L42" s="8" t="s">
        <v>322</v>
      </c>
      <c r="M42" s="8" t="s">
        <v>323</v>
      </c>
      <c r="N42" s="8">
        <v>32.2</v>
      </c>
      <c r="O42" s="14">
        <f t="shared" si="1"/>
        <v>46023</v>
      </c>
      <c r="P42" s="15">
        <f>IFERROR(VLOOKUP(K42,Formula!$A$11:$B$20,2,FALSE),Formula!$C$26)</f>
        <v>0.6</v>
      </c>
      <c r="Q42" s="15">
        <f>IF(AND(ISNUMBER(J42),J42&gt;0),1/J42,IF(AND(ISNUMBER(I42),I42&gt;0),SQRT(MIN(I42,Formula!$C$27))/Formula!$C$24,1/Formula!$C$25))</f>
        <v>0.2857142857</v>
      </c>
      <c r="R42" s="15">
        <f t="shared" si="2"/>
        <v>0.1714285714</v>
      </c>
      <c r="S42" s="15">
        <f>IF(H42&lt;&gt;"",EXP(-Formula!$C$28*(EOMONTH(H42,0)-H42)),EXP(-Formula!$C$28*(EOMONTH(D42,0)-D42)))</f>
        <v>0.3499377491</v>
      </c>
      <c r="T42" s="15">
        <f t="shared" si="3"/>
        <v>0.2773500981</v>
      </c>
      <c r="U42" s="15">
        <f t="shared" si="4"/>
        <v>0.01663804612</v>
      </c>
      <c r="V42" s="16">
        <f>IF(AND(L42="Among all respondents",NOT(OR(K42="Online poll in Telegram channel",K42="Website online poll",K42="CAWI (Computer Assisted Web Interviewing)"))),1/(1-MIN(MAX(Formula!$C$33+(YEAR(D42)-Formula!$C$34)/(Formula!$C$35-Formula!$C$34)*(Formula!$C$32-Formula!$C$33),Formula!$C$33),Formula!$C$32)),1)</f>
        <v>1</v>
      </c>
      <c r="W42" s="17">
        <f t="shared" si="5"/>
        <v>32.2</v>
      </c>
    </row>
    <row r="43" ht="15.75" customHeight="1">
      <c r="A43" s="8" t="s">
        <v>395</v>
      </c>
      <c r="B43" s="7" t="s">
        <v>392</v>
      </c>
      <c r="C43" s="13" t="s">
        <v>393</v>
      </c>
      <c r="D43" s="7" t="s">
        <v>21</v>
      </c>
      <c r="E43" s="8" t="s">
        <v>20</v>
      </c>
      <c r="F43" s="8" t="s">
        <v>318</v>
      </c>
      <c r="G43" s="7" t="s">
        <v>394</v>
      </c>
      <c r="H43" s="7" t="s">
        <v>394</v>
      </c>
      <c r="I43" s="8">
        <v>800.0</v>
      </c>
      <c r="J43" s="8">
        <v>3.5</v>
      </c>
      <c r="K43" s="8" t="s">
        <v>351</v>
      </c>
      <c r="L43" s="8" t="s">
        <v>322</v>
      </c>
      <c r="M43" s="8" t="s">
        <v>325</v>
      </c>
      <c r="N43" s="8">
        <v>22.1</v>
      </c>
      <c r="O43" s="14">
        <f t="shared" si="1"/>
        <v>46023</v>
      </c>
      <c r="P43" s="15">
        <f>IFERROR(VLOOKUP(K43,Formula!$A$11:$B$20,2,FALSE),Formula!$C$26)</f>
        <v>0.6</v>
      </c>
      <c r="Q43" s="15">
        <f>IF(AND(ISNUMBER(J43),J43&gt;0),1/J43,IF(AND(ISNUMBER(I43),I43&gt;0),SQRT(MIN(I43,Formula!$C$27))/Formula!$C$24,1/Formula!$C$25))</f>
        <v>0.2857142857</v>
      </c>
      <c r="R43" s="15">
        <f t="shared" si="2"/>
        <v>0.1714285714</v>
      </c>
      <c r="S43" s="15">
        <f>IF(H43&lt;&gt;"",EXP(-Formula!$C$28*(EOMONTH(H43,0)-H43)),EXP(-Formula!$C$28*(EOMONTH(D43,0)-D43)))</f>
        <v>0.3499377491</v>
      </c>
      <c r="T43" s="15">
        <f t="shared" si="3"/>
        <v>0.2773500981</v>
      </c>
      <c r="U43" s="15">
        <f t="shared" si="4"/>
        <v>0.01663804612</v>
      </c>
      <c r="V43" s="16">
        <f>IF(AND(L43="Among all respondents",NOT(OR(K43="Online poll in Telegram channel",K43="Website online poll",K43="CAWI (Computer Assisted Web Interviewing)"))),1/(1-MIN(MAX(Formula!$C$33+(YEAR(D43)-Formula!$C$34)/(Formula!$C$35-Formula!$C$34)*(Formula!$C$32-Formula!$C$33),Formula!$C$33),Formula!$C$32)),1)</f>
        <v>1</v>
      </c>
      <c r="W43" s="17">
        <f t="shared" si="5"/>
        <v>22.1</v>
      </c>
    </row>
    <row r="44" ht="15.75" customHeight="1">
      <c r="A44" s="8" t="s">
        <v>396</v>
      </c>
      <c r="B44" s="7" t="s">
        <v>392</v>
      </c>
      <c r="C44" s="13" t="s">
        <v>393</v>
      </c>
      <c r="D44" s="7" t="s">
        <v>21</v>
      </c>
      <c r="E44" s="8" t="s">
        <v>20</v>
      </c>
      <c r="F44" s="8" t="s">
        <v>318</v>
      </c>
      <c r="G44" s="7" t="s">
        <v>394</v>
      </c>
      <c r="H44" s="7" t="s">
        <v>394</v>
      </c>
      <c r="I44" s="8">
        <v>800.0</v>
      </c>
      <c r="J44" s="8">
        <v>3.5</v>
      </c>
      <c r="K44" s="8" t="s">
        <v>351</v>
      </c>
      <c r="L44" s="8" t="s">
        <v>322</v>
      </c>
      <c r="M44" s="8" t="s">
        <v>329</v>
      </c>
      <c r="N44" s="8">
        <v>10.4</v>
      </c>
      <c r="O44" s="14">
        <f t="shared" si="1"/>
        <v>46023</v>
      </c>
      <c r="P44" s="15">
        <f>IFERROR(VLOOKUP(K44,Formula!$A$11:$B$20,2,FALSE),Formula!$C$26)</f>
        <v>0.6</v>
      </c>
      <c r="Q44" s="15">
        <f>IF(AND(ISNUMBER(J44),J44&gt;0),1/J44,IF(AND(ISNUMBER(I44),I44&gt;0),SQRT(MIN(I44,Formula!$C$27))/Formula!$C$24,1/Formula!$C$25))</f>
        <v>0.2857142857</v>
      </c>
      <c r="R44" s="15">
        <f t="shared" si="2"/>
        <v>0.1714285714</v>
      </c>
      <c r="S44" s="15">
        <f>IF(H44&lt;&gt;"",EXP(-Formula!$C$28*(EOMONTH(H44,0)-H44)),EXP(-Formula!$C$28*(EOMONTH(D44,0)-D44)))</f>
        <v>0.3499377491</v>
      </c>
      <c r="T44" s="15">
        <f t="shared" si="3"/>
        <v>0.2773500981</v>
      </c>
      <c r="U44" s="15">
        <f t="shared" si="4"/>
        <v>0.01663804612</v>
      </c>
      <c r="V44" s="16">
        <f>IF(AND(L44="Among all respondents",NOT(OR(K44="Online poll in Telegram channel",K44="Website online poll",K44="CAWI (Computer Assisted Web Interviewing)"))),1/(1-MIN(MAX(Formula!$C$33+(YEAR(D44)-Formula!$C$34)/(Formula!$C$35-Formula!$C$34)*(Formula!$C$32-Formula!$C$33),Formula!$C$33),Formula!$C$32)),1)</f>
        <v>1</v>
      </c>
      <c r="W44" s="17">
        <f t="shared" si="5"/>
        <v>10.4</v>
      </c>
    </row>
    <row r="45" ht="15.75" customHeight="1">
      <c r="A45" s="8" t="s">
        <v>397</v>
      </c>
      <c r="B45" s="7" t="s">
        <v>392</v>
      </c>
      <c r="C45" s="13" t="s">
        <v>393</v>
      </c>
      <c r="D45" s="7" t="s">
        <v>21</v>
      </c>
      <c r="E45" s="8" t="s">
        <v>20</v>
      </c>
      <c r="F45" s="8" t="s">
        <v>318</v>
      </c>
      <c r="G45" s="7" t="s">
        <v>394</v>
      </c>
      <c r="H45" s="7" t="s">
        <v>394</v>
      </c>
      <c r="I45" s="8">
        <v>800.0</v>
      </c>
      <c r="J45" s="8">
        <v>3.5</v>
      </c>
      <c r="K45" s="8" t="s">
        <v>351</v>
      </c>
      <c r="L45" s="8" t="s">
        <v>322</v>
      </c>
      <c r="M45" s="8" t="s">
        <v>327</v>
      </c>
      <c r="N45" s="8">
        <v>9.4</v>
      </c>
      <c r="O45" s="14">
        <f t="shared" si="1"/>
        <v>46023</v>
      </c>
      <c r="P45" s="15">
        <f>IFERROR(VLOOKUP(K45,Formula!$A$11:$B$20,2,FALSE),Formula!$C$26)</f>
        <v>0.6</v>
      </c>
      <c r="Q45" s="15">
        <f>IF(AND(ISNUMBER(J45),J45&gt;0),1/J45,IF(AND(ISNUMBER(I45),I45&gt;0),SQRT(MIN(I45,Formula!$C$27))/Formula!$C$24,1/Formula!$C$25))</f>
        <v>0.2857142857</v>
      </c>
      <c r="R45" s="15">
        <f t="shared" si="2"/>
        <v>0.1714285714</v>
      </c>
      <c r="S45" s="15">
        <f>IF(H45&lt;&gt;"",EXP(-Formula!$C$28*(EOMONTH(H45,0)-H45)),EXP(-Formula!$C$28*(EOMONTH(D45,0)-D45)))</f>
        <v>0.3499377491</v>
      </c>
      <c r="T45" s="15">
        <f t="shared" si="3"/>
        <v>0.2773500981</v>
      </c>
      <c r="U45" s="15">
        <f t="shared" si="4"/>
        <v>0.01663804612</v>
      </c>
      <c r="V45" s="16">
        <f>IF(AND(L45="Among all respondents",NOT(OR(K45="Online poll in Telegram channel",K45="Website online poll",K45="CAWI (Computer Assisted Web Interviewing)"))),1/(1-MIN(MAX(Formula!$C$33+(YEAR(D45)-Formula!$C$34)/(Formula!$C$35-Formula!$C$34)*(Formula!$C$32-Formula!$C$33),Formula!$C$33),Formula!$C$32)),1)</f>
        <v>1</v>
      </c>
      <c r="W45" s="17">
        <f t="shared" si="5"/>
        <v>9.4</v>
      </c>
    </row>
    <row r="46" ht="15.75" customHeight="1">
      <c r="A46" s="8" t="s">
        <v>398</v>
      </c>
      <c r="B46" s="7" t="s">
        <v>392</v>
      </c>
      <c r="C46" s="13" t="s">
        <v>393</v>
      </c>
      <c r="D46" s="7" t="s">
        <v>21</v>
      </c>
      <c r="E46" s="8" t="s">
        <v>20</v>
      </c>
      <c r="F46" s="8" t="s">
        <v>318</v>
      </c>
      <c r="G46" s="7" t="s">
        <v>394</v>
      </c>
      <c r="H46" s="7" t="s">
        <v>394</v>
      </c>
      <c r="I46" s="8">
        <v>800.0</v>
      </c>
      <c r="J46" s="8">
        <v>3.5</v>
      </c>
      <c r="K46" s="8" t="s">
        <v>351</v>
      </c>
      <c r="L46" s="8" t="s">
        <v>322</v>
      </c>
      <c r="M46" s="8" t="s">
        <v>333</v>
      </c>
      <c r="N46" s="8">
        <v>4.8</v>
      </c>
      <c r="O46" s="14">
        <f t="shared" si="1"/>
        <v>46023</v>
      </c>
      <c r="P46" s="15">
        <f>IFERROR(VLOOKUP(K46,Formula!$A$11:$B$20,2,FALSE),Formula!$C$26)</f>
        <v>0.6</v>
      </c>
      <c r="Q46" s="15">
        <f>IF(AND(ISNUMBER(J46),J46&gt;0),1/J46,IF(AND(ISNUMBER(I46),I46&gt;0),SQRT(MIN(I46,Formula!$C$27))/Formula!$C$24,1/Formula!$C$25))</f>
        <v>0.2857142857</v>
      </c>
      <c r="R46" s="15">
        <f t="shared" si="2"/>
        <v>0.1714285714</v>
      </c>
      <c r="S46" s="15">
        <f>IF(H46&lt;&gt;"",EXP(-Formula!$C$28*(EOMONTH(H46,0)-H46)),EXP(-Formula!$C$28*(EOMONTH(D46,0)-D46)))</f>
        <v>0.3499377491</v>
      </c>
      <c r="T46" s="15">
        <f t="shared" si="3"/>
        <v>0.2773500981</v>
      </c>
      <c r="U46" s="15">
        <f t="shared" si="4"/>
        <v>0.01663804612</v>
      </c>
      <c r="V46" s="16">
        <f>IF(AND(L46="Among all respondents",NOT(OR(K46="Online poll in Telegram channel",K46="Website online poll",K46="CAWI (Computer Assisted Web Interviewing)"))),1/(1-MIN(MAX(Formula!$C$33+(YEAR(D46)-Formula!$C$34)/(Formula!$C$35-Formula!$C$34)*(Formula!$C$32-Formula!$C$33),Formula!$C$33),Formula!$C$32)),1)</f>
        <v>1</v>
      </c>
      <c r="W46" s="17">
        <f t="shared" si="5"/>
        <v>4.8</v>
      </c>
    </row>
    <row r="47" ht="15.75" customHeight="1">
      <c r="A47" s="8" t="s">
        <v>399</v>
      </c>
      <c r="B47" s="7" t="s">
        <v>392</v>
      </c>
      <c r="C47" s="13" t="s">
        <v>393</v>
      </c>
      <c r="D47" s="7" t="s">
        <v>21</v>
      </c>
      <c r="E47" s="8" t="s">
        <v>20</v>
      </c>
      <c r="F47" s="8" t="s">
        <v>318</v>
      </c>
      <c r="G47" s="7" t="s">
        <v>394</v>
      </c>
      <c r="H47" s="7" t="s">
        <v>394</v>
      </c>
      <c r="I47" s="8">
        <v>800.0</v>
      </c>
      <c r="J47" s="8">
        <v>3.5</v>
      </c>
      <c r="K47" s="8" t="s">
        <v>351</v>
      </c>
      <c r="L47" s="8" t="s">
        <v>322</v>
      </c>
      <c r="M47" s="8" t="s">
        <v>337</v>
      </c>
      <c r="N47" s="8">
        <v>4.7</v>
      </c>
      <c r="O47" s="14">
        <f t="shared" si="1"/>
        <v>46023</v>
      </c>
      <c r="P47" s="15">
        <f>IFERROR(VLOOKUP(K47,Formula!$A$11:$B$20,2,FALSE),Formula!$C$26)</f>
        <v>0.6</v>
      </c>
      <c r="Q47" s="15">
        <f>IF(AND(ISNUMBER(J47),J47&gt;0),1/J47,IF(AND(ISNUMBER(I47),I47&gt;0),SQRT(MIN(I47,Formula!$C$27))/Formula!$C$24,1/Formula!$C$25))</f>
        <v>0.2857142857</v>
      </c>
      <c r="R47" s="15">
        <f t="shared" si="2"/>
        <v>0.1714285714</v>
      </c>
      <c r="S47" s="15">
        <f>IF(H47&lt;&gt;"",EXP(-Formula!$C$28*(EOMONTH(H47,0)-H47)),EXP(-Formula!$C$28*(EOMONTH(D47,0)-D47)))</f>
        <v>0.3499377491</v>
      </c>
      <c r="T47" s="15">
        <f t="shared" si="3"/>
        <v>0.2773500981</v>
      </c>
      <c r="U47" s="15">
        <f t="shared" si="4"/>
        <v>0.01663804612</v>
      </c>
      <c r="V47" s="16">
        <f>IF(AND(L47="Among all respondents",NOT(OR(K47="Online poll in Telegram channel",K47="Website online poll",K47="CAWI (Computer Assisted Web Interviewing)"))),1/(1-MIN(MAX(Formula!$C$33+(YEAR(D47)-Formula!$C$34)/(Formula!$C$35-Formula!$C$34)*(Formula!$C$32-Formula!$C$33),Formula!$C$33),Formula!$C$32)),1)</f>
        <v>1</v>
      </c>
      <c r="W47" s="17">
        <f t="shared" si="5"/>
        <v>4.7</v>
      </c>
    </row>
    <row r="48" ht="15.75" customHeight="1">
      <c r="A48" s="8" t="s">
        <v>400</v>
      </c>
      <c r="B48" s="7" t="s">
        <v>392</v>
      </c>
      <c r="C48" s="13" t="s">
        <v>393</v>
      </c>
      <c r="D48" s="7" t="s">
        <v>21</v>
      </c>
      <c r="E48" s="8" t="s">
        <v>20</v>
      </c>
      <c r="F48" s="8" t="s">
        <v>318</v>
      </c>
      <c r="G48" s="7" t="s">
        <v>394</v>
      </c>
      <c r="H48" s="7" t="s">
        <v>394</v>
      </c>
      <c r="I48" s="8">
        <v>800.0</v>
      </c>
      <c r="J48" s="8">
        <v>3.5</v>
      </c>
      <c r="K48" s="8" t="s">
        <v>351</v>
      </c>
      <c r="L48" s="8" t="s">
        <v>322</v>
      </c>
      <c r="M48" s="8" t="s">
        <v>335</v>
      </c>
      <c r="N48" s="8">
        <v>4.6</v>
      </c>
      <c r="O48" s="14">
        <f t="shared" si="1"/>
        <v>46023</v>
      </c>
      <c r="P48" s="15">
        <f>IFERROR(VLOOKUP(K48,Formula!$A$11:$B$20,2,FALSE),Formula!$C$26)</f>
        <v>0.6</v>
      </c>
      <c r="Q48" s="15">
        <f>IF(AND(ISNUMBER(J48),J48&gt;0),1/J48,IF(AND(ISNUMBER(I48),I48&gt;0),SQRT(MIN(I48,Formula!$C$27))/Formula!$C$24,1/Formula!$C$25))</f>
        <v>0.2857142857</v>
      </c>
      <c r="R48" s="15">
        <f t="shared" si="2"/>
        <v>0.1714285714</v>
      </c>
      <c r="S48" s="15">
        <f>IF(H48&lt;&gt;"",EXP(-Formula!$C$28*(EOMONTH(H48,0)-H48)),EXP(-Formula!$C$28*(EOMONTH(D48,0)-D48)))</f>
        <v>0.3499377491</v>
      </c>
      <c r="T48" s="15">
        <f t="shared" si="3"/>
        <v>0.2773500981</v>
      </c>
      <c r="U48" s="15">
        <f t="shared" si="4"/>
        <v>0.01663804612</v>
      </c>
      <c r="V48" s="16">
        <f>IF(AND(L48="Among all respondents",NOT(OR(K48="Online poll in Telegram channel",K48="Website online poll",K48="CAWI (Computer Assisted Web Interviewing)"))),1/(1-MIN(MAX(Formula!$C$33+(YEAR(D48)-Formula!$C$34)/(Formula!$C$35-Formula!$C$34)*(Formula!$C$32-Formula!$C$33),Formula!$C$33),Formula!$C$32)),1)</f>
        <v>1</v>
      </c>
      <c r="W48" s="17">
        <f t="shared" si="5"/>
        <v>4.6</v>
      </c>
    </row>
    <row r="49" ht="15.75" customHeight="1">
      <c r="A49" s="8" t="s">
        <v>401</v>
      </c>
      <c r="B49" s="7" t="s">
        <v>392</v>
      </c>
      <c r="C49" s="13" t="s">
        <v>393</v>
      </c>
      <c r="D49" s="7" t="s">
        <v>21</v>
      </c>
      <c r="E49" s="8" t="s">
        <v>20</v>
      </c>
      <c r="F49" s="8" t="s">
        <v>318</v>
      </c>
      <c r="G49" s="7" t="s">
        <v>394</v>
      </c>
      <c r="H49" s="7" t="s">
        <v>394</v>
      </c>
      <c r="I49" s="8">
        <v>800.0</v>
      </c>
      <c r="J49" s="8">
        <v>3.5</v>
      </c>
      <c r="K49" s="8" t="s">
        <v>351</v>
      </c>
      <c r="L49" s="8" t="s">
        <v>322</v>
      </c>
      <c r="M49" s="8" t="s">
        <v>359</v>
      </c>
      <c r="N49" s="8">
        <v>3.5</v>
      </c>
      <c r="O49" s="14">
        <f t="shared" si="1"/>
        <v>46023</v>
      </c>
      <c r="P49" s="15">
        <f>IFERROR(VLOOKUP(K49,Formula!$A$11:$B$20,2,FALSE),Formula!$C$26)</f>
        <v>0.6</v>
      </c>
      <c r="Q49" s="15">
        <f>IF(AND(ISNUMBER(J49),J49&gt;0),1/J49,IF(AND(ISNUMBER(I49),I49&gt;0),SQRT(MIN(I49,Formula!$C$27))/Formula!$C$24,1/Formula!$C$25))</f>
        <v>0.2857142857</v>
      </c>
      <c r="R49" s="15">
        <f t="shared" si="2"/>
        <v>0.1714285714</v>
      </c>
      <c r="S49" s="15">
        <f>IF(H49&lt;&gt;"",EXP(-Formula!$C$28*(EOMONTH(H49,0)-H49)),EXP(-Formula!$C$28*(EOMONTH(D49,0)-D49)))</f>
        <v>0.3499377491</v>
      </c>
      <c r="T49" s="15">
        <f t="shared" si="3"/>
        <v>0.2773500981</v>
      </c>
      <c r="U49" s="15">
        <f t="shared" si="4"/>
        <v>0.01663804612</v>
      </c>
      <c r="V49" s="16">
        <f>IF(AND(L49="Among all respondents",NOT(OR(K49="Online poll in Telegram channel",K49="Website online poll",K49="CAWI (Computer Assisted Web Interviewing)"))),1/(1-MIN(MAX(Formula!$C$33+(YEAR(D49)-Formula!$C$34)/(Formula!$C$35-Formula!$C$34)*(Formula!$C$32-Formula!$C$33),Formula!$C$33),Formula!$C$32)),1)</f>
        <v>1</v>
      </c>
      <c r="W49" s="17">
        <f t="shared" si="5"/>
        <v>3.5</v>
      </c>
    </row>
    <row r="50" ht="15.75" customHeight="1">
      <c r="A50" s="8" t="s">
        <v>402</v>
      </c>
      <c r="B50" s="7" t="s">
        <v>392</v>
      </c>
      <c r="C50" s="13" t="s">
        <v>393</v>
      </c>
      <c r="D50" s="7" t="s">
        <v>21</v>
      </c>
      <c r="E50" s="8" t="s">
        <v>20</v>
      </c>
      <c r="F50" s="8" t="s">
        <v>318</v>
      </c>
      <c r="G50" s="7" t="s">
        <v>394</v>
      </c>
      <c r="H50" s="7" t="s">
        <v>394</v>
      </c>
      <c r="I50" s="8">
        <v>800.0</v>
      </c>
      <c r="J50" s="8">
        <v>3.5</v>
      </c>
      <c r="K50" s="8" t="s">
        <v>351</v>
      </c>
      <c r="L50" s="8" t="s">
        <v>322</v>
      </c>
      <c r="M50" s="8" t="s">
        <v>339</v>
      </c>
      <c r="N50" s="8">
        <v>2.5</v>
      </c>
      <c r="O50" s="14">
        <f t="shared" si="1"/>
        <v>46023</v>
      </c>
      <c r="P50" s="15">
        <f>IFERROR(VLOOKUP(K50,Formula!$A$11:$B$20,2,FALSE),Formula!$C$26)</f>
        <v>0.6</v>
      </c>
      <c r="Q50" s="15">
        <f>IF(AND(ISNUMBER(J50),J50&gt;0),1/J50,IF(AND(ISNUMBER(I50),I50&gt;0),SQRT(MIN(I50,Formula!$C$27))/Formula!$C$24,1/Formula!$C$25))</f>
        <v>0.2857142857</v>
      </c>
      <c r="R50" s="15">
        <f t="shared" si="2"/>
        <v>0.1714285714</v>
      </c>
      <c r="S50" s="15">
        <f>IF(H50&lt;&gt;"",EXP(-Formula!$C$28*(EOMONTH(H50,0)-H50)),EXP(-Formula!$C$28*(EOMONTH(D50,0)-D50)))</f>
        <v>0.3499377491</v>
      </c>
      <c r="T50" s="15">
        <f t="shared" si="3"/>
        <v>0.2773500981</v>
      </c>
      <c r="U50" s="15">
        <f t="shared" si="4"/>
        <v>0.01663804612</v>
      </c>
      <c r="V50" s="16">
        <f>IF(AND(L50="Among all respondents",NOT(OR(K50="Online poll in Telegram channel",K50="Website online poll",K50="CAWI (Computer Assisted Web Interviewing)"))),1/(1-MIN(MAX(Formula!$C$33+(YEAR(D50)-Formula!$C$34)/(Formula!$C$35-Formula!$C$34)*(Formula!$C$32-Formula!$C$33),Formula!$C$33),Formula!$C$32)),1)</f>
        <v>1</v>
      </c>
      <c r="W50" s="17">
        <f t="shared" si="5"/>
        <v>2.5</v>
      </c>
    </row>
    <row r="51" ht="15.75" customHeight="1">
      <c r="A51" s="8" t="s">
        <v>403</v>
      </c>
      <c r="B51" s="7" t="s">
        <v>392</v>
      </c>
      <c r="C51" s="13" t="s">
        <v>393</v>
      </c>
      <c r="D51" s="7" t="s">
        <v>21</v>
      </c>
      <c r="E51" s="8" t="s">
        <v>20</v>
      </c>
      <c r="F51" s="8" t="s">
        <v>318</v>
      </c>
      <c r="G51" s="7" t="s">
        <v>394</v>
      </c>
      <c r="H51" s="7" t="s">
        <v>394</v>
      </c>
      <c r="I51" s="8">
        <v>800.0</v>
      </c>
      <c r="J51" s="8">
        <v>3.5</v>
      </c>
      <c r="K51" s="8" t="s">
        <v>351</v>
      </c>
      <c r="L51" s="8" t="s">
        <v>322</v>
      </c>
      <c r="M51" s="8" t="s">
        <v>365</v>
      </c>
      <c r="N51" s="8">
        <v>1.7</v>
      </c>
      <c r="O51" s="14">
        <f t="shared" si="1"/>
        <v>46023</v>
      </c>
      <c r="P51" s="15">
        <f>IFERROR(VLOOKUP(K51,Formula!$A$11:$B$20,2,FALSE),Formula!$C$26)</f>
        <v>0.6</v>
      </c>
      <c r="Q51" s="15">
        <f>IF(AND(ISNUMBER(J51),J51&gt;0),1/J51,IF(AND(ISNUMBER(I51),I51&gt;0),SQRT(MIN(I51,Formula!$C$27))/Formula!$C$24,1/Formula!$C$25))</f>
        <v>0.2857142857</v>
      </c>
      <c r="R51" s="15">
        <f t="shared" si="2"/>
        <v>0.1714285714</v>
      </c>
      <c r="S51" s="15">
        <f>IF(H51&lt;&gt;"",EXP(-Formula!$C$28*(EOMONTH(H51,0)-H51)),EXP(-Formula!$C$28*(EOMONTH(D51,0)-D51)))</f>
        <v>0.3499377491</v>
      </c>
      <c r="T51" s="15">
        <f t="shared" si="3"/>
        <v>0.2773500981</v>
      </c>
      <c r="U51" s="15">
        <f t="shared" si="4"/>
        <v>0.01663804612</v>
      </c>
      <c r="V51" s="16">
        <f>IF(AND(L51="Among all respondents",NOT(OR(K51="Online poll in Telegram channel",K51="Website online poll",K51="CAWI (Computer Assisted Web Interviewing)"))),1/(1-MIN(MAX(Formula!$C$33+(YEAR(D51)-Formula!$C$34)/(Formula!$C$35-Formula!$C$34)*(Formula!$C$32-Formula!$C$33),Formula!$C$33),Formula!$C$32)),1)</f>
        <v>1</v>
      </c>
      <c r="W51" s="17">
        <f t="shared" si="5"/>
        <v>1.7</v>
      </c>
    </row>
    <row r="52" ht="15.75" customHeight="1">
      <c r="A52" s="8" t="s">
        <v>404</v>
      </c>
      <c r="B52" s="7" t="s">
        <v>392</v>
      </c>
      <c r="C52" s="13" t="s">
        <v>393</v>
      </c>
      <c r="D52" s="7" t="s">
        <v>21</v>
      </c>
      <c r="E52" s="8" t="s">
        <v>20</v>
      </c>
      <c r="F52" s="8" t="s">
        <v>318</v>
      </c>
      <c r="G52" s="7" t="s">
        <v>394</v>
      </c>
      <c r="H52" s="7" t="s">
        <v>394</v>
      </c>
      <c r="I52" s="8">
        <v>800.0</v>
      </c>
      <c r="J52" s="8">
        <v>3.5</v>
      </c>
      <c r="K52" s="8" t="s">
        <v>351</v>
      </c>
      <c r="L52" s="8" t="s">
        <v>322</v>
      </c>
      <c r="M52" s="8" t="s">
        <v>362</v>
      </c>
      <c r="N52" s="8">
        <v>1.6</v>
      </c>
      <c r="O52" s="14">
        <f t="shared" si="1"/>
        <v>46023</v>
      </c>
      <c r="P52" s="15">
        <f>IFERROR(VLOOKUP(K52,Formula!$A$11:$B$20,2,FALSE),Formula!$C$26)</f>
        <v>0.6</v>
      </c>
      <c r="Q52" s="15">
        <f>IF(AND(ISNUMBER(J52),J52&gt;0),1/J52,IF(AND(ISNUMBER(I52),I52&gt;0),SQRT(MIN(I52,Formula!$C$27))/Formula!$C$24,1/Formula!$C$25))</f>
        <v>0.2857142857</v>
      </c>
      <c r="R52" s="15">
        <f t="shared" si="2"/>
        <v>0.1714285714</v>
      </c>
      <c r="S52" s="15">
        <f>IF(H52&lt;&gt;"",EXP(-Formula!$C$28*(EOMONTH(H52,0)-H52)),EXP(-Formula!$C$28*(EOMONTH(D52,0)-D52)))</f>
        <v>0.3499377491</v>
      </c>
      <c r="T52" s="15">
        <f t="shared" si="3"/>
        <v>0.2773500981</v>
      </c>
      <c r="U52" s="15">
        <f t="shared" si="4"/>
        <v>0.01663804612</v>
      </c>
      <c r="V52" s="16">
        <f>IF(AND(L52="Among all respondents",NOT(OR(K52="Online poll in Telegram channel",K52="Website online poll",K52="CAWI (Computer Assisted Web Interviewing)"))),1/(1-MIN(MAX(Formula!$C$33+(YEAR(D52)-Formula!$C$34)/(Formula!$C$35-Formula!$C$34)*(Formula!$C$32-Formula!$C$33),Formula!$C$33),Formula!$C$32)),1)</f>
        <v>1</v>
      </c>
      <c r="W52" s="17">
        <f t="shared" si="5"/>
        <v>1.6</v>
      </c>
    </row>
    <row r="53" ht="15.75" customHeight="1">
      <c r="A53" s="8" t="s">
        <v>405</v>
      </c>
      <c r="B53" s="7" t="s">
        <v>392</v>
      </c>
      <c r="C53" s="13" t="s">
        <v>393</v>
      </c>
      <c r="D53" s="7" t="s">
        <v>21</v>
      </c>
      <c r="E53" s="8" t="s">
        <v>20</v>
      </c>
      <c r="F53" s="8" t="s">
        <v>318</v>
      </c>
      <c r="G53" s="7" t="s">
        <v>394</v>
      </c>
      <c r="H53" s="7" t="s">
        <v>394</v>
      </c>
      <c r="I53" s="8">
        <v>800.0</v>
      </c>
      <c r="J53" s="8">
        <v>3.5</v>
      </c>
      <c r="K53" s="8" t="s">
        <v>351</v>
      </c>
      <c r="L53" s="8" t="s">
        <v>322</v>
      </c>
      <c r="M53" s="8" t="s">
        <v>343</v>
      </c>
      <c r="N53" s="8">
        <v>1.5</v>
      </c>
      <c r="O53" s="14">
        <f t="shared" si="1"/>
        <v>46023</v>
      </c>
      <c r="P53" s="15">
        <f>IFERROR(VLOOKUP(K53,Formula!$A$11:$B$20,2,FALSE),Formula!$C$26)</f>
        <v>0.6</v>
      </c>
      <c r="Q53" s="15">
        <f>IF(AND(ISNUMBER(J53),J53&gt;0),1/J53,IF(AND(ISNUMBER(I53),I53&gt;0),SQRT(MIN(I53,Formula!$C$27))/Formula!$C$24,1/Formula!$C$25))</f>
        <v>0.2857142857</v>
      </c>
      <c r="R53" s="15">
        <f t="shared" si="2"/>
        <v>0.1714285714</v>
      </c>
      <c r="S53" s="15">
        <f>IF(H53&lt;&gt;"",EXP(-Formula!$C$28*(EOMONTH(H53,0)-H53)),EXP(-Formula!$C$28*(EOMONTH(D53,0)-D53)))</f>
        <v>0.3499377491</v>
      </c>
      <c r="T53" s="15">
        <f t="shared" si="3"/>
        <v>0.2773500981</v>
      </c>
      <c r="U53" s="15">
        <f t="shared" si="4"/>
        <v>0.01663804612</v>
      </c>
      <c r="V53" s="16">
        <f>IF(AND(L53="Among all respondents",NOT(OR(K53="Online poll in Telegram channel",K53="Website online poll",K53="CAWI (Computer Assisted Web Interviewing)"))),1/(1-MIN(MAX(Formula!$C$33+(YEAR(D53)-Formula!$C$34)/(Formula!$C$35-Formula!$C$34)*(Formula!$C$32-Formula!$C$33),Formula!$C$33),Formula!$C$32)),1)</f>
        <v>1</v>
      </c>
      <c r="W53" s="17">
        <f t="shared" si="5"/>
        <v>1.5</v>
      </c>
    </row>
    <row r="54" ht="15.75" customHeight="1">
      <c r="A54" s="8" t="s">
        <v>406</v>
      </c>
      <c r="B54" s="7" t="s">
        <v>392</v>
      </c>
      <c r="C54" s="13" t="s">
        <v>393</v>
      </c>
      <c r="D54" s="7" t="s">
        <v>21</v>
      </c>
      <c r="E54" s="8" t="s">
        <v>20</v>
      </c>
      <c r="F54" s="8" t="s">
        <v>318</v>
      </c>
      <c r="G54" s="7" t="s">
        <v>394</v>
      </c>
      <c r="H54" s="7" t="s">
        <v>394</v>
      </c>
      <c r="I54" s="8">
        <v>800.0</v>
      </c>
      <c r="J54" s="8">
        <v>3.5</v>
      </c>
      <c r="K54" s="8" t="s">
        <v>351</v>
      </c>
      <c r="L54" s="8" t="s">
        <v>322</v>
      </c>
      <c r="M54" s="8" t="s">
        <v>367</v>
      </c>
      <c r="N54" s="8">
        <v>1.0</v>
      </c>
      <c r="O54" s="14">
        <f t="shared" si="1"/>
        <v>46023</v>
      </c>
      <c r="P54" s="15">
        <f>IFERROR(VLOOKUP(K54,Formula!$A$11:$B$20,2,FALSE),Formula!$C$26)</f>
        <v>0.6</v>
      </c>
      <c r="Q54" s="15">
        <f>IF(AND(ISNUMBER(J54),J54&gt;0),1/J54,IF(AND(ISNUMBER(I54),I54&gt;0),SQRT(MIN(I54,Formula!$C$27))/Formula!$C$24,1/Formula!$C$25))</f>
        <v>0.2857142857</v>
      </c>
      <c r="R54" s="15">
        <f t="shared" si="2"/>
        <v>0.1714285714</v>
      </c>
      <c r="S54" s="15">
        <f>IF(H54&lt;&gt;"",EXP(-Formula!$C$28*(EOMONTH(H54,0)-H54)),EXP(-Formula!$C$28*(EOMONTH(D54,0)-D54)))</f>
        <v>0.3499377491</v>
      </c>
      <c r="T54" s="15">
        <f t="shared" si="3"/>
        <v>0.2773500981</v>
      </c>
      <c r="U54" s="15">
        <f t="shared" si="4"/>
        <v>0.01663804612</v>
      </c>
      <c r="V54" s="16">
        <f>IF(AND(L54="Among all respondents",NOT(OR(K54="Online poll in Telegram channel",K54="Website online poll",K54="CAWI (Computer Assisted Web Interviewing)"))),1/(1-MIN(MAX(Formula!$C$33+(YEAR(D54)-Formula!$C$34)/(Formula!$C$35-Formula!$C$34)*(Formula!$C$32-Formula!$C$33),Formula!$C$33),Formula!$C$32)),1)</f>
        <v>1</v>
      </c>
      <c r="W54" s="17">
        <f t="shared" si="5"/>
        <v>1</v>
      </c>
    </row>
    <row r="55" ht="15.75" customHeight="1">
      <c r="A55" s="8" t="s">
        <v>407</v>
      </c>
      <c r="B55" s="7" t="s">
        <v>408</v>
      </c>
      <c r="C55" s="13" t="s">
        <v>409</v>
      </c>
      <c r="D55" s="7" t="s">
        <v>22</v>
      </c>
      <c r="E55" s="8" t="s">
        <v>24</v>
      </c>
      <c r="F55" s="8" t="s">
        <v>318</v>
      </c>
      <c r="G55" s="7" t="s">
        <v>410</v>
      </c>
      <c r="H55" s="7" t="s">
        <v>410</v>
      </c>
      <c r="I55" s="8">
        <v>2000.0</v>
      </c>
      <c r="K55" s="8" t="s">
        <v>321</v>
      </c>
      <c r="L55" s="8" t="s">
        <v>373</v>
      </c>
      <c r="M55" s="8" t="s">
        <v>325</v>
      </c>
      <c r="N55" s="8">
        <v>23.0</v>
      </c>
      <c r="O55" s="14">
        <f t="shared" si="1"/>
        <v>46023</v>
      </c>
      <c r="P55" s="15">
        <f>IFERROR(VLOOKUP(K55,Formula!$A$11:$B$20,2,FALSE),Formula!$C$26)</f>
        <v>0.9</v>
      </c>
      <c r="Q55" s="15">
        <f>IF(AND(ISNUMBER(J55),J55&gt;0),1/J55,IF(AND(ISNUMBER(I55),I55&gt;0),SQRT(MIN(I55,Formula!$C$27))/Formula!$C$24,1/Formula!$C$25))</f>
        <v>0.4563404036</v>
      </c>
      <c r="R55" s="15">
        <f t="shared" si="2"/>
        <v>0.4107063632</v>
      </c>
      <c r="S55" s="15">
        <f>IF(H55&lt;&gt;"",EXP(-Formula!$C$28*(EOMONTH(H55,0)-H55)),EXP(-Formula!$C$28*(EOMONTH(D55,0)-D55)))</f>
        <v>1</v>
      </c>
      <c r="T55" s="15">
        <f t="shared" si="3"/>
        <v>0.5</v>
      </c>
      <c r="U55" s="15">
        <f t="shared" si="4"/>
        <v>0.2053531816</v>
      </c>
      <c r="V55" s="16">
        <f>IF(AND(L55="Among all respondents",NOT(OR(K55="Online poll in Telegram channel",K55="Website online poll",K55="CAWI (Computer Assisted Web Interviewing)"))),1/(1-MIN(MAX(Formula!$C$33+(YEAR(D55)-Formula!$C$34)/(Formula!$C$35-Formula!$C$34)*(Formula!$C$32-Formula!$C$33),Formula!$C$33),Formula!$C$32)),1)</f>
        <v>1.282051282</v>
      </c>
      <c r="W55" s="17">
        <f t="shared" si="5"/>
        <v>29.48717949</v>
      </c>
    </row>
    <row r="56" ht="15.75" customHeight="1">
      <c r="A56" s="8" t="s">
        <v>411</v>
      </c>
      <c r="B56" s="7" t="s">
        <v>408</v>
      </c>
      <c r="C56" s="13" t="s">
        <v>409</v>
      </c>
      <c r="D56" s="7" t="s">
        <v>22</v>
      </c>
      <c r="E56" s="8" t="s">
        <v>24</v>
      </c>
      <c r="F56" s="8" t="s">
        <v>318</v>
      </c>
      <c r="G56" s="7" t="s">
        <v>410</v>
      </c>
      <c r="H56" s="7" t="s">
        <v>410</v>
      </c>
      <c r="I56" s="8">
        <v>2000.0</v>
      </c>
      <c r="K56" s="8" t="s">
        <v>321</v>
      </c>
      <c r="L56" s="8" t="s">
        <v>373</v>
      </c>
      <c r="M56" s="8" t="s">
        <v>323</v>
      </c>
      <c r="N56" s="8">
        <v>20.0</v>
      </c>
      <c r="O56" s="14">
        <f t="shared" si="1"/>
        <v>46023</v>
      </c>
      <c r="P56" s="15">
        <f>IFERROR(VLOOKUP(K56,Formula!$A$11:$B$20,2,FALSE),Formula!$C$26)</f>
        <v>0.9</v>
      </c>
      <c r="Q56" s="15">
        <f>IF(AND(ISNUMBER(J56),J56&gt;0),1/J56,IF(AND(ISNUMBER(I56),I56&gt;0),SQRT(MIN(I56,Formula!$C$27))/Formula!$C$24,1/Formula!$C$25))</f>
        <v>0.4563404036</v>
      </c>
      <c r="R56" s="15">
        <f t="shared" si="2"/>
        <v>0.4107063632</v>
      </c>
      <c r="S56" s="15">
        <f>IF(H56&lt;&gt;"",EXP(-Formula!$C$28*(EOMONTH(H56,0)-H56)),EXP(-Formula!$C$28*(EOMONTH(D56,0)-D56)))</f>
        <v>1</v>
      </c>
      <c r="T56" s="15">
        <f t="shared" si="3"/>
        <v>0.5</v>
      </c>
      <c r="U56" s="15">
        <f t="shared" si="4"/>
        <v>0.2053531816</v>
      </c>
      <c r="V56" s="16">
        <f>IF(AND(L56="Among all respondents",NOT(OR(K56="Online poll in Telegram channel",K56="Website online poll",K56="CAWI (Computer Assisted Web Interviewing)"))),1/(1-MIN(MAX(Formula!$C$33+(YEAR(D56)-Formula!$C$34)/(Formula!$C$35-Formula!$C$34)*(Formula!$C$32-Formula!$C$33),Formula!$C$33),Formula!$C$32)),1)</f>
        <v>1.282051282</v>
      </c>
      <c r="W56" s="17">
        <f t="shared" si="5"/>
        <v>25.64102564</v>
      </c>
    </row>
    <row r="57" ht="15.75" customHeight="1">
      <c r="A57" s="8" t="s">
        <v>412</v>
      </c>
      <c r="B57" s="7" t="s">
        <v>408</v>
      </c>
      <c r="C57" s="13" t="s">
        <v>409</v>
      </c>
      <c r="D57" s="7" t="s">
        <v>22</v>
      </c>
      <c r="E57" s="8" t="s">
        <v>24</v>
      </c>
      <c r="F57" s="8" t="s">
        <v>318</v>
      </c>
      <c r="G57" s="7" t="s">
        <v>410</v>
      </c>
      <c r="H57" s="7" t="s">
        <v>410</v>
      </c>
      <c r="I57" s="8">
        <v>2000.0</v>
      </c>
      <c r="K57" s="8" t="s">
        <v>321</v>
      </c>
      <c r="L57" s="8" t="s">
        <v>373</v>
      </c>
      <c r="M57" s="8" t="s">
        <v>329</v>
      </c>
      <c r="N57" s="8">
        <v>9.0</v>
      </c>
      <c r="O57" s="14">
        <f t="shared" si="1"/>
        <v>46023</v>
      </c>
      <c r="P57" s="15">
        <f>IFERROR(VLOOKUP(K57,Formula!$A$11:$B$20,2,FALSE),Formula!$C$26)</f>
        <v>0.9</v>
      </c>
      <c r="Q57" s="15">
        <f>IF(AND(ISNUMBER(J57),J57&gt;0),1/J57,IF(AND(ISNUMBER(I57),I57&gt;0),SQRT(MIN(I57,Formula!$C$27))/Formula!$C$24,1/Formula!$C$25))</f>
        <v>0.4563404036</v>
      </c>
      <c r="R57" s="15">
        <f t="shared" si="2"/>
        <v>0.4107063632</v>
      </c>
      <c r="S57" s="15">
        <f>IF(H57&lt;&gt;"",EXP(-Formula!$C$28*(EOMONTH(H57,0)-H57)),EXP(-Formula!$C$28*(EOMONTH(D57,0)-D57)))</f>
        <v>1</v>
      </c>
      <c r="T57" s="15">
        <f t="shared" si="3"/>
        <v>0.5</v>
      </c>
      <c r="U57" s="15">
        <f t="shared" si="4"/>
        <v>0.2053531816</v>
      </c>
      <c r="V57" s="16">
        <f>IF(AND(L57="Among all respondents",NOT(OR(K57="Online poll in Telegram channel",K57="Website online poll",K57="CAWI (Computer Assisted Web Interviewing)"))),1/(1-MIN(MAX(Formula!$C$33+(YEAR(D57)-Formula!$C$34)/(Formula!$C$35-Formula!$C$34)*(Formula!$C$32-Formula!$C$33),Formula!$C$33),Formula!$C$32)),1)</f>
        <v>1.282051282</v>
      </c>
      <c r="W57" s="17">
        <f t="shared" si="5"/>
        <v>11.53846154</v>
      </c>
    </row>
    <row r="58" ht="15.75" customHeight="1">
      <c r="A58" s="8" t="s">
        <v>413</v>
      </c>
      <c r="B58" s="7" t="s">
        <v>408</v>
      </c>
      <c r="C58" s="13" t="s">
        <v>409</v>
      </c>
      <c r="D58" s="7" t="s">
        <v>22</v>
      </c>
      <c r="E58" s="8" t="s">
        <v>24</v>
      </c>
      <c r="F58" s="8" t="s">
        <v>318</v>
      </c>
      <c r="G58" s="7" t="s">
        <v>410</v>
      </c>
      <c r="H58" s="7" t="s">
        <v>410</v>
      </c>
      <c r="I58" s="8">
        <v>2000.0</v>
      </c>
      <c r="K58" s="8" t="s">
        <v>321</v>
      </c>
      <c r="L58" s="8" t="s">
        <v>373</v>
      </c>
      <c r="M58" s="8" t="s">
        <v>327</v>
      </c>
      <c r="N58" s="8">
        <v>7.0</v>
      </c>
      <c r="O58" s="14">
        <f t="shared" si="1"/>
        <v>46023</v>
      </c>
      <c r="P58" s="15">
        <f>IFERROR(VLOOKUP(K58,Formula!$A$11:$B$20,2,FALSE),Formula!$C$26)</f>
        <v>0.9</v>
      </c>
      <c r="Q58" s="15">
        <f>IF(AND(ISNUMBER(J58),J58&gt;0),1/J58,IF(AND(ISNUMBER(I58),I58&gt;0),SQRT(MIN(I58,Formula!$C$27))/Formula!$C$24,1/Formula!$C$25))</f>
        <v>0.4563404036</v>
      </c>
      <c r="R58" s="15">
        <f t="shared" si="2"/>
        <v>0.4107063632</v>
      </c>
      <c r="S58" s="15">
        <f>IF(H58&lt;&gt;"",EXP(-Formula!$C$28*(EOMONTH(H58,0)-H58)),EXP(-Formula!$C$28*(EOMONTH(D58,0)-D58)))</f>
        <v>1</v>
      </c>
      <c r="T58" s="15">
        <f t="shared" si="3"/>
        <v>0.5</v>
      </c>
      <c r="U58" s="15">
        <f t="shared" si="4"/>
        <v>0.2053531816</v>
      </c>
      <c r="V58" s="16">
        <f>IF(AND(L58="Among all respondents",NOT(OR(K58="Online poll in Telegram channel",K58="Website online poll",K58="CAWI (Computer Assisted Web Interviewing)"))),1/(1-MIN(MAX(Formula!$C$33+(YEAR(D58)-Formula!$C$34)/(Formula!$C$35-Formula!$C$34)*(Formula!$C$32-Formula!$C$33),Formula!$C$33),Formula!$C$32)),1)</f>
        <v>1.282051282</v>
      </c>
      <c r="W58" s="17">
        <f t="shared" si="5"/>
        <v>8.974358974</v>
      </c>
    </row>
    <row r="59" ht="15.75" customHeight="1">
      <c r="A59" s="8" t="s">
        <v>414</v>
      </c>
      <c r="B59" s="7" t="s">
        <v>415</v>
      </c>
      <c r="C59" s="13" t="s">
        <v>416</v>
      </c>
      <c r="D59" s="7" t="s">
        <v>25</v>
      </c>
      <c r="E59" s="8" t="s">
        <v>20</v>
      </c>
      <c r="F59" s="8" t="s">
        <v>318</v>
      </c>
      <c r="G59" s="7" t="s">
        <v>417</v>
      </c>
      <c r="H59" s="7" t="s">
        <v>418</v>
      </c>
      <c r="I59" s="8">
        <v>2000.0</v>
      </c>
      <c r="J59" s="8">
        <v>2.2</v>
      </c>
      <c r="K59" s="8" t="s">
        <v>351</v>
      </c>
      <c r="L59" s="8" t="s">
        <v>322</v>
      </c>
      <c r="M59" s="8" t="s">
        <v>323</v>
      </c>
      <c r="N59" s="8">
        <v>26.8</v>
      </c>
      <c r="O59" s="14">
        <f t="shared" si="1"/>
        <v>45992</v>
      </c>
      <c r="P59" s="15">
        <f>IFERROR(VLOOKUP(K59,Formula!$A$11:$B$20,2,FALSE),Formula!$C$26)</f>
        <v>0.6</v>
      </c>
      <c r="Q59" s="15">
        <f>IF(AND(ISNUMBER(J59),J59&gt;0),1/J59,IF(AND(ISNUMBER(I59),I59&gt;0),SQRT(MIN(I59,Formula!$C$27))/Formula!$C$24,1/Formula!$C$25))</f>
        <v>0.4545454545</v>
      </c>
      <c r="R59" s="15">
        <f t="shared" si="2"/>
        <v>0.2727272727</v>
      </c>
      <c r="S59" s="15">
        <f>IF(H59&lt;&gt;"",EXP(-Formula!$C$28*(EOMONTH(H59,0)-H59)),EXP(-Formula!$C$28*(EOMONTH(D59,0)-D59)))</f>
        <v>0.670320046</v>
      </c>
      <c r="T59" s="15">
        <f t="shared" si="3"/>
        <v>0.2773500981</v>
      </c>
      <c r="U59" s="15">
        <f t="shared" si="4"/>
        <v>0.0507036356</v>
      </c>
      <c r="V59" s="16">
        <f>IF(AND(L59="Among all respondents",NOT(OR(K59="Online poll in Telegram channel",K59="Website online poll",K59="CAWI (Computer Assisted Web Interviewing)"))),1/(1-MIN(MAX(Formula!$C$33+(YEAR(D59)-Formula!$C$34)/(Formula!$C$35-Formula!$C$34)*(Formula!$C$32-Formula!$C$33),Formula!$C$33),Formula!$C$32)),1)</f>
        <v>1</v>
      </c>
      <c r="W59" s="17">
        <f t="shared" si="5"/>
        <v>26.8</v>
      </c>
    </row>
    <row r="60" ht="15.75" customHeight="1">
      <c r="A60" s="8" t="s">
        <v>419</v>
      </c>
      <c r="B60" s="7" t="s">
        <v>415</v>
      </c>
      <c r="C60" s="13" t="s">
        <v>416</v>
      </c>
      <c r="D60" s="7" t="s">
        <v>25</v>
      </c>
      <c r="E60" s="8" t="s">
        <v>20</v>
      </c>
      <c r="F60" s="8" t="s">
        <v>318</v>
      </c>
      <c r="G60" s="7" t="s">
        <v>417</v>
      </c>
      <c r="H60" s="7" t="s">
        <v>418</v>
      </c>
      <c r="I60" s="8">
        <v>2000.0</v>
      </c>
      <c r="J60" s="8">
        <v>2.2</v>
      </c>
      <c r="K60" s="8" t="s">
        <v>351</v>
      </c>
      <c r="L60" s="8" t="s">
        <v>322</v>
      </c>
      <c r="M60" s="8" t="s">
        <v>325</v>
      </c>
      <c r="N60" s="8">
        <v>25.1</v>
      </c>
      <c r="O60" s="14">
        <f t="shared" si="1"/>
        <v>45992</v>
      </c>
      <c r="P60" s="15">
        <f>IFERROR(VLOOKUP(K60,Formula!$A$11:$B$20,2,FALSE),Formula!$C$26)</f>
        <v>0.6</v>
      </c>
      <c r="Q60" s="15">
        <f>IF(AND(ISNUMBER(J60),J60&gt;0),1/J60,IF(AND(ISNUMBER(I60),I60&gt;0),SQRT(MIN(I60,Formula!$C$27))/Formula!$C$24,1/Formula!$C$25))</f>
        <v>0.4545454545</v>
      </c>
      <c r="R60" s="15">
        <f t="shared" si="2"/>
        <v>0.2727272727</v>
      </c>
      <c r="S60" s="15">
        <f>IF(H60&lt;&gt;"",EXP(-Formula!$C$28*(EOMONTH(H60,0)-H60)),EXP(-Formula!$C$28*(EOMONTH(D60,0)-D60)))</f>
        <v>0.670320046</v>
      </c>
      <c r="T60" s="15">
        <f t="shared" si="3"/>
        <v>0.2773500981</v>
      </c>
      <c r="U60" s="15">
        <f t="shared" si="4"/>
        <v>0.0507036356</v>
      </c>
      <c r="V60" s="16">
        <f>IF(AND(L60="Among all respondents",NOT(OR(K60="Online poll in Telegram channel",K60="Website online poll",K60="CAWI (Computer Assisted Web Interviewing)"))),1/(1-MIN(MAX(Formula!$C$33+(YEAR(D60)-Formula!$C$34)/(Formula!$C$35-Formula!$C$34)*(Formula!$C$32-Formula!$C$33),Formula!$C$33),Formula!$C$32)),1)</f>
        <v>1</v>
      </c>
      <c r="W60" s="17">
        <f t="shared" si="5"/>
        <v>25.1</v>
      </c>
    </row>
    <row r="61" ht="15.75" customHeight="1">
      <c r="A61" s="8" t="s">
        <v>420</v>
      </c>
      <c r="B61" s="7" t="s">
        <v>415</v>
      </c>
      <c r="C61" s="13" t="s">
        <v>416</v>
      </c>
      <c r="D61" s="7" t="s">
        <v>25</v>
      </c>
      <c r="E61" s="8" t="s">
        <v>20</v>
      </c>
      <c r="F61" s="8" t="s">
        <v>318</v>
      </c>
      <c r="G61" s="7" t="s">
        <v>417</v>
      </c>
      <c r="H61" s="7" t="s">
        <v>418</v>
      </c>
      <c r="I61" s="8">
        <v>2000.0</v>
      </c>
      <c r="J61" s="8">
        <v>2.2</v>
      </c>
      <c r="K61" s="8" t="s">
        <v>351</v>
      </c>
      <c r="L61" s="8" t="s">
        <v>322</v>
      </c>
      <c r="M61" s="8" t="s">
        <v>327</v>
      </c>
      <c r="N61" s="8">
        <v>10.9</v>
      </c>
      <c r="O61" s="14">
        <f t="shared" si="1"/>
        <v>45992</v>
      </c>
      <c r="P61" s="15">
        <f>IFERROR(VLOOKUP(K61,Formula!$A$11:$B$20,2,FALSE),Formula!$C$26)</f>
        <v>0.6</v>
      </c>
      <c r="Q61" s="15">
        <f>IF(AND(ISNUMBER(J61),J61&gt;0),1/J61,IF(AND(ISNUMBER(I61),I61&gt;0),SQRT(MIN(I61,Formula!$C$27))/Formula!$C$24,1/Formula!$C$25))</f>
        <v>0.4545454545</v>
      </c>
      <c r="R61" s="15">
        <f t="shared" si="2"/>
        <v>0.2727272727</v>
      </c>
      <c r="S61" s="15">
        <f>IF(H61&lt;&gt;"",EXP(-Formula!$C$28*(EOMONTH(H61,0)-H61)),EXP(-Formula!$C$28*(EOMONTH(D61,0)-D61)))</f>
        <v>0.670320046</v>
      </c>
      <c r="T61" s="15">
        <f t="shared" si="3"/>
        <v>0.2773500981</v>
      </c>
      <c r="U61" s="15">
        <f t="shared" si="4"/>
        <v>0.0507036356</v>
      </c>
      <c r="V61" s="16">
        <f>IF(AND(L61="Among all respondents",NOT(OR(K61="Online poll in Telegram channel",K61="Website online poll",K61="CAWI (Computer Assisted Web Interviewing)"))),1/(1-MIN(MAX(Formula!$C$33+(YEAR(D61)-Formula!$C$34)/(Formula!$C$35-Formula!$C$34)*(Formula!$C$32-Formula!$C$33),Formula!$C$33),Formula!$C$32)),1)</f>
        <v>1</v>
      </c>
      <c r="W61" s="17">
        <f t="shared" si="5"/>
        <v>10.9</v>
      </c>
    </row>
    <row r="62" ht="15.75" customHeight="1">
      <c r="A62" s="8" t="s">
        <v>421</v>
      </c>
      <c r="B62" s="7" t="s">
        <v>415</v>
      </c>
      <c r="C62" s="13" t="s">
        <v>416</v>
      </c>
      <c r="D62" s="7" t="s">
        <v>25</v>
      </c>
      <c r="E62" s="8" t="s">
        <v>20</v>
      </c>
      <c r="F62" s="8" t="s">
        <v>318</v>
      </c>
      <c r="G62" s="7" t="s">
        <v>417</v>
      </c>
      <c r="H62" s="7" t="s">
        <v>418</v>
      </c>
      <c r="I62" s="8">
        <v>2000.0</v>
      </c>
      <c r="J62" s="8">
        <v>2.2</v>
      </c>
      <c r="K62" s="8" t="s">
        <v>351</v>
      </c>
      <c r="L62" s="8" t="s">
        <v>322</v>
      </c>
      <c r="M62" s="8" t="s">
        <v>329</v>
      </c>
      <c r="N62" s="8">
        <v>9.8</v>
      </c>
      <c r="O62" s="14">
        <f t="shared" si="1"/>
        <v>45992</v>
      </c>
      <c r="P62" s="15">
        <f>IFERROR(VLOOKUP(K62,Formula!$A$11:$B$20,2,FALSE),Formula!$C$26)</f>
        <v>0.6</v>
      </c>
      <c r="Q62" s="15">
        <f>IF(AND(ISNUMBER(J62),J62&gt;0),1/J62,IF(AND(ISNUMBER(I62),I62&gt;0),SQRT(MIN(I62,Formula!$C$27))/Formula!$C$24,1/Formula!$C$25))</f>
        <v>0.4545454545</v>
      </c>
      <c r="R62" s="15">
        <f t="shared" si="2"/>
        <v>0.2727272727</v>
      </c>
      <c r="S62" s="15">
        <f>IF(H62&lt;&gt;"",EXP(-Formula!$C$28*(EOMONTH(H62,0)-H62)),EXP(-Formula!$C$28*(EOMONTH(D62,0)-D62)))</f>
        <v>0.670320046</v>
      </c>
      <c r="T62" s="15">
        <f t="shared" si="3"/>
        <v>0.2773500981</v>
      </c>
      <c r="U62" s="15">
        <f t="shared" si="4"/>
        <v>0.0507036356</v>
      </c>
      <c r="V62" s="16">
        <f>IF(AND(L62="Among all respondents",NOT(OR(K62="Online poll in Telegram channel",K62="Website online poll",K62="CAWI (Computer Assisted Web Interviewing)"))),1/(1-MIN(MAX(Formula!$C$33+(YEAR(D62)-Formula!$C$34)/(Formula!$C$35-Formula!$C$34)*(Formula!$C$32-Formula!$C$33),Formula!$C$33),Formula!$C$32)),1)</f>
        <v>1</v>
      </c>
      <c r="W62" s="17">
        <f t="shared" si="5"/>
        <v>9.8</v>
      </c>
    </row>
    <row r="63" ht="15.75" customHeight="1">
      <c r="A63" s="8" t="s">
        <v>422</v>
      </c>
      <c r="B63" s="7" t="s">
        <v>415</v>
      </c>
      <c r="C63" s="13" t="s">
        <v>416</v>
      </c>
      <c r="D63" s="7" t="s">
        <v>25</v>
      </c>
      <c r="E63" s="8" t="s">
        <v>20</v>
      </c>
      <c r="F63" s="8" t="s">
        <v>318</v>
      </c>
      <c r="G63" s="7" t="s">
        <v>417</v>
      </c>
      <c r="H63" s="7" t="s">
        <v>418</v>
      </c>
      <c r="I63" s="8">
        <v>2000.0</v>
      </c>
      <c r="J63" s="8">
        <v>2.2</v>
      </c>
      <c r="K63" s="8" t="s">
        <v>351</v>
      </c>
      <c r="L63" s="8" t="s">
        <v>322</v>
      </c>
      <c r="M63" s="8" t="s">
        <v>333</v>
      </c>
      <c r="N63" s="8">
        <v>8.1</v>
      </c>
      <c r="O63" s="14">
        <f t="shared" si="1"/>
        <v>45992</v>
      </c>
      <c r="P63" s="15">
        <f>IFERROR(VLOOKUP(K63,Formula!$A$11:$B$20,2,FALSE),Formula!$C$26)</f>
        <v>0.6</v>
      </c>
      <c r="Q63" s="15">
        <f>IF(AND(ISNUMBER(J63),J63&gt;0),1/J63,IF(AND(ISNUMBER(I63),I63&gt;0),SQRT(MIN(I63,Formula!$C$27))/Formula!$C$24,1/Formula!$C$25))</f>
        <v>0.4545454545</v>
      </c>
      <c r="R63" s="15">
        <f t="shared" si="2"/>
        <v>0.2727272727</v>
      </c>
      <c r="S63" s="15">
        <f>IF(H63&lt;&gt;"",EXP(-Formula!$C$28*(EOMONTH(H63,0)-H63)),EXP(-Formula!$C$28*(EOMONTH(D63,0)-D63)))</f>
        <v>0.670320046</v>
      </c>
      <c r="T63" s="15">
        <f t="shared" si="3"/>
        <v>0.2773500981</v>
      </c>
      <c r="U63" s="15">
        <f t="shared" si="4"/>
        <v>0.0507036356</v>
      </c>
      <c r="V63" s="16">
        <f>IF(AND(L63="Among all respondents",NOT(OR(K63="Online poll in Telegram channel",K63="Website online poll",K63="CAWI (Computer Assisted Web Interviewing)"))),1/(1-MIN(MAX(Formula!$C$33+(YEAR(D63)-Formula!$C$34)/(Formula!$C$35-Formula!$C$34)*(Formula!$C$32-Formula!$C$33),Formula!$C$33),Formula!$C$32)),1)</f>
        <v>1</v>
      </c>
      <c r="W63" s="17">
        <f t="shared" si="5"/>
        <v>8.1</v>
      </c>
    </row>
    <row r="64" ht="15.75" customHeight="1">
      <c r="A64" s="8" t="s">
        <v>423</v>
      </c>
      <c r="B64" s="7" t="s">
        <v>415</v>
      </c>
      <c r="C64" s="13" t="s">
        <v>416</v>
      </c>
      <c r="D64" s="7" t="s">
        <v>25</v>
      </c>
      <c r="E64" s="8" t="s">
        <v>20</v>
      </c>
      <c r="F64" s="8" t="s">
        <v>318</v>
      </c>
      <c r="G64" s="7" t="s">
        <v>417</v>
      </c>
      <c r="H64" s="7" t="s">
        <v>418</v>
      </c>
      <c r="I64" s="8">
        <v>2000.0</v>
      </c>
      <c r="J64" s="8">
        <v>2.2</v>
      </c>
      <c r="K64" s="8" t="s">
        <v>351</v>
      </c>
      <c r="L64" s="8" t="s">
        <v>322</v>
      </c>
      <c r="M64" s="8" t="s">
        <v>335</v>
      </c>
      <c r="N64" s="8">
        <v>4.6</v>
      </c>
      <c r="O64" s="14">
        <f t="shared" si="1"/>
        <v>45992</v>
      </c>
      <c r="P64" s="15">
        <f>IFERROR(VLOOKUP(K64,Formula!$A$11:$B$20,2,FALSE),Formula!$C$26)</f>
        <v>0.6</v>
      </c>
      <c r="Q64" s="15">
        <f>IF(AND(ISNUMBER(J64),J64&gt;0),1/J64,IF(AND(ISNUMBER(I64),I64&gt;0),SQRT(MIN(I64,Formula!$C$27))/Formula!$C$24,1/Formula!$C$25))</f>
        <v>0.4545454545</v>
      </c>
      <c r="R64" s="15">
        <f t="shared" si="2"/>
        <v>0.2727272727</v>
      </c>
      <c r="S64" s="15">
        <f>IF(H64&lt;&gt;"",EXP(-Formula!$C$28*(EOMONTH(H64,0)-H64)),EXP(-Formula!$C$28*(EOMONTH(D64,0)-D64)))</f>
        <v>0.670320046</v>
      </c>
      <c r="T64" s="15">
        <f t="shared" si="3"/>
        <v>0.2773500981</v>
      </c>
      <c r="U64" s="15">
        <f t="shared" si="4"/>
        <v>0.0507036356</v>
      </c>
      <c r="V64" s="16">
        <f>IF(AND(L64="Among all respondents",NOT(OR(K64="Online poll in Telegram channel",K64="Website online poll",K64="CAWI (Computer Assisted Web Interviewing)"))),1/(1-MIN(MAX(Formula!$C$33+(YEAR(D64)-Formula!$C$34)/(Formula!$C$35-Formula!$C$34)*(Formula!$C$32-Formula!$C$33),Formula!$C$33),Formula!$C$32)),1)</f>
        <v>1</v>
      </c>
      <c r="W64" s="17">
        <f t="shared" si="5"/>
        <v>4.6</v>
      </c>
    </row>
    <row r="65" ht="15.75" customHeight="1">
      <c r="A65" s="8" t="s">
        <v>424</v>
      </c>
      <c r="B65" s="7" t="s">
        <v>415</v>
      </c>
      <c r="C65" s="13" t="s">
        <v>416</v>
      </c>
      <c r="D65" s="7" t="s">
        <v>25</v>
      </c>
      <c r="E65" s="8" t="s">
        <v>20</v>
      </c>
      <c r="F65" s="8" t="s">
        <v>318</v>
      </c>
      <c r="G65" s="7" t="s">
        <v>417</v>
      </c>
      <c r="H65" s="7" t="s">
        <v>418</v>
      </c>
      <c r="I65" s="8">
        <v>2000.0</v>
      </c>
      <c r="J65" s="8">
        <v>2.2</v>
      </c>
      <c r="K65" s="8" t="s">
        <v>351</v>
      </c>
      <c r="L65" s="8" t="s">
        <v>322</v>
      </c>
      <c r="M65" s="8" t="s">
        <v>337</v>
      </c>
      <c r="N65" s="8">
        <v>3.4</v>
      </c>
      <c r="O65" s="14">
        <f t="shared" si="1"/>
        <v>45992</v>
      </c>
      <c r="P65" s="15">
        <f>IFERROR(VLOOKUP(K65,Formula!$A$11:$B$20,2,FALSE),Formula!$C$26)</f>
        <v>0.6</v>
      </c>
      <c r="Q65" s="15">
        <f>IF(AND(ISNUMBER(J65),J65&gt;0),1/J65,IF(AND(ISNUMBER(I65),I65&gt;0),SQRT(MIN(I65,Formula!$C$27))/Formula!$C$24,1/Formula!$C$25))</f>
        <v>0.4545454545</v>
      </c>
      <c r="R65" s="15">
        <f t="shared" si="2"/>
        <v>0.2727272727</v>
      </c>
      <c r="S65" s="15">
        <f>IF(H65&lt;&gt;"",EXP(-Formula!$C$28*(EOMONTH(H65,0)-H65)),EXP(-Formula!$C$28*(EOMONTH(D65,0)-D65)))</f>
        <v>0.670320046</v>
      </c>
      <c r="T65" s="15">
        <f t="shared" si="3"/>
        <v>0.2773500981</v>
      </c>
      <c r="U65" s="15">
        <f t="shared" si="4"/>
        <v>0.0507036356</v>
      </c>
      <c r="V65" s="16">
        <f>IF(AND(L65="Among all respondents",NOT(OR(K65="Online poll in Telegram channel",K65="Website online poll",K65="CAWI (Computer Assisted Web Interviewing)"))),1/(1-MIN(MAX(Formula!$C$33+(YEAR(D65)-Formula!$C$34)/(Formula!$C$35-Formula!$C$34)*(Formula!$C$32-Formula!$C$33),Formula!$C$33),Formula!$C$32)),1)</f>
        <v>1</v>
      </c>
      <c r="W65" s="17">
        <f t="shared" si="5"/>
        <v>3.4</v>
      </c>
    </row>
    <row r="66" ht="15.75" customHeight="1">
      <c r="A66" s="8" t="s">
        <v>425</v>
      </c>
      <c r="B66" s="7" t="s">
        <v>415</v>
      </c>
      <c r="C66" s="13" t="s">
        <v>416</v>
      </c>
      <c r="D66" s="7" t="s">
        <v>25</v>
      </c>
      <c r="E66" s="8" t="s">
        <v>20</v>
      </c>
      <c r="F66" s="8" t="s">
        <v>318</v>
      </c>
      <c r="G66" s="7" t="s">
        <v>417</v>
      </c>
      <c r="H66" s="7" t="s">
        <v>418</v>
      </c>
      <c r="I66" s="8">
        <v>2000.0</v>
      </c>
      <c r="J66" s="8">
        <v>2.2</v>
      </c>
      <c r="K66" s="8" t="s">
        <v>351</v>
      </c>
      <c r="L66" s="8" t="s">
        <v>322</v>
      </c>
      <c r="M66" s="8" t="s">
        <v>365</v>
      </c>
      <c r="N66" s="8">
        <v>2.6</v>
      </c>
      <c r="O66" s="14">
        <f t="shared" si="1"/>
        <v>45992</v>
      </c>
      <c r="P66" s="15">
        <f>IFERROR(VLOOKUP(K66,Formula!$A$11:$B$20,2,FALSE),Formula!$C$26)</f>
        <v>0.6</v>
      </c>
      <c r="Q66" s="15">
        <f>IF(AND(ISNUMBER(J66),J66&gt;0),1/J66,IF(AND(ISNUMBER(I66),I66&gt;0),SQRT(MIN(I66,Formula!$C$27))/Formula!$C$24,1/Formula!$C$25))</f>
        <v>0.4545454545</v>
      </c>
      <c r="R66" s="15">
        <f t="shared" si="2"/>
        <v>0.2727272727</v>
      </c>
      <c r="S66" s="15">
        <f>IF(H66&lt;&gt;"",EXP(-Formula!$C$28*(EOMONTH(H66,0)-H66)),EXP(-Formula!$C$28*(EOMONTH(D66,0)-D66)))</f>
        <v>0.670320046</v>
      </c>
      <c r="T66" s="15">
        <f t="shared" si="3"/>
        <v>0.2773500981</v>
      </c>
      <c r="U66" s="15">
        <f t="shared" si="4"/>
        <v>0.0507036356</v>
      </c>
      <c r="V66" s="16">
        <f>IF(AND(L66="Among all respondents",NOT(OR(K66="Online poll in Telegram channel",K66="Website online poll",K66="CAWI (Computer Assisted Web Interviewing)"))),1/(1-MIN(MAX(Formula!$C$33+(YEAR(D66)-Formula!$C$34)/(Formula!$C$35-Formula!$C$34)*(Formula!$C$32-Formula!$C$33),Formula!$C$33),Formula!$C$32)),1)</f>
        <v>1</v>
      </c>
      <c r="W66" s="17">
        <f t="shared" si="5"/>
        <v>2.6</v>
      </c>
    </row>
    <row r="67" ht="15.75" customHeight="1">
      <c r="A67" s="8" t="s">
        <v>426</v>
      </c>
      <c r="B67" s="7" t="s">
        <v>415</v>
      </c>
      <c r="C67" s="13" t="s">
        <v>416</v>
      </c>
      <c r="D67" s="7" t="s">
        <v>25</v>
      </c>
      <c r="E67" s="8" t="s">
        <v>20</v>
      </c>
      <c r="F67" s="8" t="s">
        <v>318</v>
      </c>
      <c r="G67" s="7" t="s">
        <v>417</v>
      </c>
      <c r="H67" s="7" t="s">
        <v>418</v>
      </c>
      <c r="I67" s="8">
        <v>2000.0</v>
      </c>
      <c r="J67" s="8">
        <v>2.2</v>
      </c>
      <c r="K67" s="8" t="s">
        <v>351</v>
      </c>
      <c r="L67" s="8" t="s">
        <v>322</v>
      </c>
      <c r="M67" s="8" t="s">
        <v>359</v>
      </c>
      <c r="N67" s="8">
        <v>2.5</v>
      </c>
      <c r="O67" s="14">
        <f t="shared" si="1"/>
        <v>45992</v>
      </c>
      <c r="P67" s="15">
        <f>IFERROR(VLOOKUP(K67,Formula!$A$11:$B$20,2,FALSE),Formula!$C$26)</f>
        <v>0.6</v>
      </c>
      <c r="Q67" s="15">
        <f>IF(AND(ISNUMBER(J67),J67&gt;0),1/J67,IF(AND(ISNUMBER(I67),I67&gt;0),SQRT(MIN(I67,Formula!$C$27))/Formula!$C$24,1/Formula!$C$25))</f>
        <v>0.4545454545</v>
      </c>
      <c r="R67" s="15">
        <f t="shared" si="2"/>
        <v>0.2727272727</v>
      </c>
      <c r="S67" s="15">
        <f>IF(H67&lt;&gt;"",EXP(-Formula!$C$28*(EOMONTH(H67,0)-H67)),EXP(-Formula!$C$28*(EOMONTH(D67,0)-D67)))</f>
        <v>0.670320046</v>
      </c>
      <c r="T67" s="15">
        <f t="shared" si="3"/>
        <v>0.2773500981</v>
      </c>
      <c r="U67" s="15">
        <f t="shared" si="4"/>
        <v>0.0507036356</v>
      </c>
      <c r="V67" s="16">
        <f>IF(AND(L67="Among all respondents",NOT(OR(K67="Online poll in Telegram channel",K67="Website online poll",K67="CAWI (Computer Assisted Web Interviewing)"))),1/(1-MIN(MAX(Formula!$C$33+(YEAR(D67)-Formula!$C$34)/(Formula!$C$35-Formula!$C$34)*(Formula!$C$32-Formula!$C$33),Formula!$C$33),Formula!$C$32)),1)</f>
        <v>1</v>
      </c>
      <c r="W67" s="17">
        <f t="shared" si="5"/>
        <v>2.5</v>
      </c>
    </row>
    <row r="68" ht="15.75" customHeight="1">
      <c r="A68" s="8" t="s">
        <v>427</v>
      </c>
      <c r="B68" s="7" t="s">
        <v>415</v>
      </c>
      <c r="C68" s="13" t="s">
        <v>416</v>
      </c>
      <c r="D68" s="7" t="s">
        <v>25</v>
      </c>
      <c r="E68" s="8" t="s">
        <v>20</v>
      </c>
      <c r="F68" s="8" t="s">
        <v>318</v>
      </c>
      <c r="G68" s="7" t="s">
        <v>417</v>
      </c>
      <c r="H68" s="7" t="s">
        <v>418</v>
      </c>
      <c r="I68" s="8">
        <v>2000.0</v>
      </c>
      <c r="J68" s="8">
        <v>2.2</v>
      </c>
      <c r="K68" s="8" t="s">
        <v>351</v>
      </c>
      <c r="L68" s="8" t="s">
        <v>322</v>
      </c>
      <c r="M68" s="8" t="s">
        <v>339</v>
      </c>
      <c r="N68" s="8">
        <v>2.1</v>
      </c>
      <c r="O68" s="14">
        <f t="shared" si="1"/>
        <v>45992</v>
      </c>
      <c r="P68" s="15">
        <f>IFERROR(VLOOKUP(K68,Formula!$A$11:$B$20,2,FALSE),Formula!$C$26)</f>
        <v>0.6</v>
      </c>
      <c r="Q68" s="15">
        <f>IF(AND(ISNUMBER(J68),J68&gt;0),1/J68,IF(AND(ISNUMBER(I68),I68&gt;0),SQRT(MIN(I68,Formula!$C$27))/Formula!$C$24,1/Formula!$C$25))</f>
        <v>0.4545454545</v>
      </c>
      <c r="R68" s="15">
        <f t="shared" si="2"/>
        <v>0.2727272727</v>
      </c>
      <c r="S68" s="15">
        <f>IF(H68&lt;&gt;"",EXP(-Formula!$C$28*(EOMONTH(H68,0)-H68)),EXP(-Formula!$C$28*(EOMONTH(D68,0)-D68)))</f>
        <v>0.670320046</v>
      </c>
      <c r="T68" s="15">
        <f t="shared" si="3"/>
        <v>0.2773500981</v>
      </c>
      <c r="U68" s="15">
        <f t="shared" si="4"/>
        <v>0.0507036356</v>
      </c>
      <c r="V68" s="16">
        <f>IF(AND(L68="Among all respondents",NOT(OR(K68="Online poll in Telegram channel",K68="Website online poll",K68="CAWI (Computer Assisted Web Interviewing)"))),1/(1-MIN(MAX(Formula!$C$33+(YEAR(D68)-Formula!$C$34)/(Formula!$C$35-Formula!$C$34)*(Formula!$C$32-Formula!$C$33),Formula!$C$33),Formula!$C$32)),1)</f>
        <v>1</v>
      </c>
      <c r="W68" s="17">
        <f t="shared" si="5"/>
        <v>2.1</v>
      </c>
    </row>
    <row r="69" ht="15.75" customHeight="1">
      <c r="A69" s="8" t="s">
        <v>428</v>
      </c>
      <c r="B69" s="7" t="s">
        <v>415</v>
      </c>
      <c r="C69" s="13" t="s">
        <v>416</v>
      </c>
      <c r="D69" s="7" t="s">
        <v>25</v>
      </c>
      <c r="E69" s="8" t="s">
        <v>20</v>
      </c>
      <c r="F69" s="8" t="s">
        <v>318</v>
      </c>
      <c r="G69" s="7" t="s">
        <v>417</v>
      </c>
      <c r="H69" s="7" t="s">
        <v>418</v>
      </c>
      <c r="I69" s="8">
        <v>2000.0</v>
      </c>
      <c r="J69" s="8">
        <v>2.2</v>
      </c>
      <c r="K69" s="8" t="s">
        <v>351</v>
      </c>
      <c r="L69" s="8" t="s">
        <v>322</v>
      </c>
      <c r="M69" s="8" t="s">
        <v>362</v>
      </c>
      <c r="N69" s="8">
        <v>1.9</v>
      </c>
      <c r="O69" s="14">
        <f t="shared" si="1"/>
        <v>45992</v>
      </c>
      <c r="P69" s="15">
        <f>IFERROR(VLOOKUP(K69,Formula!$A$11:$B$20,2,FALSE),Formula!$C$26)</f>
        <v>0.6</v>
      </c>
      <c r="Q69" s="15">
        <f>IF(AND(ISNUMBER(J69),J69&gt;0),1/J69,IF(AND(ISNUMBER(I69),I69&gt;0),SQRT(MIN(I69,Formula!$C$27))/Formula!$C$24,1/Formula!$C$25))</f>
        <v>0.4545454545</v>
      </c>
      <c r="R69" s="15">
        <f t="shared" si="2"/>
        <v>0.2727272727</v>
      </c>
      <c r="S69" s="15">
        <f>IF(H69&lt;&gt;"",EXP(-Formula!$C$28*(EOMONTH(H69,0)-H69)),EXP(-Formula!$C$28*(EOMONTH(D69,0)-D69)))</f>
        <v>0.670320046</v>
      </c>
      <c r="T69" s="15">
        <f t="shared" si="3"/>
        <v>0.2773500981</v>
      </c>
      <c r="U69" s="15">
        <f t="shared" si="4"/>
        <v>0.0507036356</v>
      </c>
      <c r="V69" s="16">
        <f>IF(AND(L69="Among all respondents",NOT(OR(K69="Online poll in Telegram channel",K69="Website online poll",K69="CAWI (Computer Assisted Web Interviewing)"))),1/(1-MIN(MAX(Formula!$C$33+(YEAR(D69)-Formula!$C$34)/(Formula!$C$35-Formula!$C$34)*(Formula!$C$32-Formula!$C$33),Formula!$C$33),Formula!$C$32)),1)</f>
        <v>1</v>
      </c>
      <c r="W69" s="17">
        <f t="shared" si="5"/>
        <v>1.9</v>
      </c>
    </row>
    <row r="70" ht="15.75" customHeight="1">
      <c r="A70" s="8" t="s">
        <v>429</v>
      </c>
      <c r="B70" s="7" t="s">
        <v>415</v>
      </c>
      <c r="C70" s="13" t="s">
        <v>416</v>
      </c>
      <c r="D70" s="7" t="s">
        <v>25</v>
      </c>
      <c r="E70" s="8" t="s">
        <v>20</v>
      </c>
      <c r="F70" s="8" t="s">
        <v>318</v>
      </c>
      <c r="G70" s="7" t="s">
        <v>417</v>
      </c>
      <c r="H70" s="7" t="s">
        <v>418</v>
      </c>
      <c r="I70" s="8">
        <v>2000.0</v>
      </c>
      <c r="J70" s="8">
        <v>2.2</v>
      </c>
      <c r="K70" s="8" t="s">
        <v>351</v>
      </c>
      <c r="L70" s="8" t="s">
        <v>322</v>
      </c>
      <c r="M70" s="8" t="s">
        <v>367</v>
      </c>
      <c r="N70" s="8">
        <v>1.2</v>
      </c>
      <c r="O70" s="14">
        <f t="shared" si="1"/>
        <v>45992</v>
      </c>
      <c r="P70" s="15">
        <f>IFERROR(VLOOKUP(K70,Formula!$A$11:$B$20,2,FALSE),Formula!$C$26)</f>
        <v>0.6</v>
      </c>
      <c r="Q70" s="15">
        <f>IF(AND(ISNUMBER(J70),J70&gt;0),1/J70,IF(AND(ISNUMBER(I70),I70&gt;0),SQRT(MIN(I70,Formula!$C$27))/Formula!$C$24,1/Formula!$C$25))</f>
        <v>0.4545454545</v>
      </c>
      <c r="R70" s="15">
        <f t="shared" si="2"/>
        <v>0.2727272727</v>
      </c>
      <c r="S70" s="15">
        <f>IF(H70&lt;&gt;"",EXP(-Formula!$C$28*(EOMONTH(H70,0)-H70)),EXP(-Formula!$C$28*(EOMONTH(D70,0)-D70)))</f>
        <v>0.670320046</v>
      </c>
      <c r="T70" s="15">
        <f t="shared" si="3"/>
        <v>0.2773500981</v>
      </c>
      <c r="U70" s="15">
        <f t="shared" si="4"/>
        <v>0.0507036356</v>
      </c>
      <c r="V70" s="16">
        <f>IF(AND(L70="Among all respondents",NOT(OR(K70="Online poll in Telegram channel",K70="Website online poll",K70="CAWI (Computer Assisted Web Interviewing)"))),1/(1-MIN(MAX(Formula!$C$33+(YEAR(D70)-Formula!$C$34)/(Formula!$C$35-Formula!$C$34)*(Formula!$C$32-Formula!$C$33),Formula!$C$33),Formula!$C$32)),1)</f>
        <v>1</v>
      </c>
      <c r="W70" s="17">
        <f t="shared" si="5"/>
        <v>1.2</v>
      </c>
    </row>
    <row r="71" ht="15.75" customHeight="1">
      <c r="A71" s="8" t="s">
        <v>430</v>
      </c>
      <c r="B71" s="7" t="s">
        <v>415</v>
      </c>
      <c r="C71" s="13" t="s">
        <v>416</v>
      </c>
      <c r="D71" s="7" t="s">
        <v>25</v>
      </c>
      <c r="E71" s="8" t="s">
        <v>20</v>
      </c>
      <c r="F71" s="8" t="s">
        <v>318</v>
      </c>
      <c r="G71" s="7" t="s">
        <v>417</v>
      </c>
      <c r="H71" s="7" t="s">
        <v>418</v>
      </c>
      <c r="I71" s="8">
        <v>2000.0</v>
      </c>
      <c r="J71" s="8">
        <v>2.2</v>
      </c>
      <c r="K71" s="8" t="s">
        <v>351</v>
      </c>
      <c r="L71" s="8" t="s">
        <v>322</v>
      </c>
      <c r="M71" s="8" t="s">
        <v>343</v>
      </c>
      <c r="N71" s="8">
        <v>1.0</v>
      </c>
      <c r="O71" s="14">
        <f t="shared" si="1"/>
        <v>45992</v>
      </c>
      <c r="P71" s="15">
        <f>IFERROR(VLOOKUP(K71,Formula!$A$11:$B$20,2,FALSE),Formula!$C$26)</f>
        <v>0.6</v>
      </c>
      <c r="Q71" s="15">
        <f>IF(AND(ISNUMBER(J71),J71&gt;0),1/J71,IF(AND(ISNUMBER(I71),I71&gt;0),SQRT(MIN(I71,Formula!$C$27))/Formula!$C$24,1/Formula!$C$25))</f>
        <v>0.4545454545</v>
      </c>
      <c r="R71" s="15">
        <f t="shared" si="2"/>
        <v>0.2727272727</v>
      </c>
      <c r="S71" s="15">
        <f>IF(H71&lt;&gt;"",EXP(-Formula!$C$28*(EOMONTH(H71,0)-H71)),EXP(-Formula!$C$28*(EOMONTH(D71,0)-D71)))</f>
        <v>0.670320046</v>
      </c>
      <c r="T71" s="15">
        <f t="shared" si="3"/>
        <v>0.2773500981</v>
      </c>
      <c r="U71" s="15">
        <f t="shared" si="4"/>
        <v>0.0507036356</v>
      </c>
      <c r="V71" s="16">
        <f>IF(AND(L71="Among all respondents",NOT(OR(K71="Online poll in Telegram channel",K71="Website online poll",K71="CAWI (Computer Assisted Web Interviewing)"))),1/(1-MIN(MAX(Formula!$C$33+(YEAR(D71)-Formula!$C$34)/(Formula!$C$35-Formula!$C$34)*(Formula!$C$32-Formula!$C$33),Formula!$C$33),Formula!$C$32)),1)</f>
        <v>1</v>
      </c>
      <c r="W71" s="17">
        <f t="shared" si="5"/>
        <v>1</v>
      </c>
    </row>
    <row r="72" ht="15.75" customHeight="1">
      <c r="A72" s="8" t="s">
        <v>431</v>
      </c>
      <c r="B72" s="7" t="s">
        <v>432</v>
      </c>
      <c r="C72" s="13" t="s">
        <v>433</v>
      </c>
      <c r="D72" s="7" t="s">
        <v>28</v>
      </c>
      <c r="E72" s="8" t="s">
        <v>17</v>
      </c>
      <c r="F72" s="8" t="s">
        <v>318</v>
      </c>
      <c r="G72" s="7" t="s">
        <v>434</v>
      </c>
      <c r="H72" s="7" t="s">
        <v>435</v>
      </c>
      <c r="I72" s="8">
        <v>2000.0</v>
      </c>
      <c r="J72" s="8">
        <v>2.6</v>
      </c>
      <c r="K72" s="8" t="s">
        <v>436</v>
      </c>
      <c r="L72" s="8" t="s">
        <v>322</v>
      </c>
      <c r="M72" s="8" t="s">
        <v>323</v>
      </c>
      <c r="N72" s="8">
        <v>30.6</v>
      </c>
      <c r="O72" s="14">
        <f t="shared" si="1"/>
        <v>45992</v>
      </c>
      <c r="P72" s="15">
        <f>IFERROR(VLOOKUP(K72,Formula!$A$11:$B$20,2,FALSE),Formula!$C$26)</f>
        <v>0.95</v>
      </c>
      <c r="Q72" s="15">
        <f>IF(AND(ISNUMBER(J72),J72&gt;0),1/J72,IF(AND(ISNUMBER(I72),I72&gt;0),SQRT(MIN(I72,Formula!$C$27))/Formula!$C$24,1/Formula!$C$25))</f>
        <v>0.3846153846</v>
      </c>
      <c r="R72" s="15">
        <f t="shared" si="2"/>
        <v>0.3653846154</v>
      </c>
      <c r="S72" s="15">
        <f>IF(H72&lt;&gt;"",EXP(-Formula!$C$28*(EOMONTH(H72,0)-H72)),EXP(-Formula!$C$28*(EOMONTH(D72,0)-D72)))</f>
        <v>0.5220457768</v>
      </c>
      <c r="T72" s="15">
        <f t="shared" si="3"/>
        <v>0.3015113446</v>
      </c>
      <c r="U72" s="15">
        <f t="shared" si="4"/>
        <v>0.0575125338</v>
      </c>
      <c r="V72" s="16">
        <f>IF(AND(L72="Among all respondents",NOT(OR(K72="Online poll in Telegram channel",K72="Website online poll",K72="CAWI (Computer Assisted Web Interviewing)"))),1/(1-MIN(MAX(Formula!$C$33+(YEAR(D72)-Formula!$C$34)/(Formula!$C$35-Formula!$C$34)*(Formula!$C$32-Formula!$C$33),Formula!$C$33),Formula!$C$32)),1)</f>
        <v>1</v>
      </c>
      <c r="W72" s="17">
        <f t="shared" si="5"/>
        <v>30.6</v>
      </c>
    </row>
    <row r="73" ht="15.75" customHeight="1">
      <c r="A73" s="8" t="s">
        <v>437</v>
      </c>
      <c r="B73" s="7" t="s">
        <v>432</v>
      </c>
      <c r="C73" s="13" t="s">
        <v>433</v>
      </c>
      <c r="D73" s="7" t="s">
        <v>28</v>
      </c>
      <c r="E73" s="8" t="s">
        <v>17</v>
      </c>
      <c r="F73" s="8" t="s">
        <v>318</v>
      </c>
      <c r="G73" s="7" t="s">
        <v>434</v>
      </c>
      <c r="H73" s="7" t="s">
        <v>435</v>
      </c>
      <c r="I73" s="8">
        <v>2000.0</v>
      </c>
      <c r="J73" s="8">
        <v>2.6</v>
      </c>
      <c r="K73" s="8" t="s">
        <v>436</v>
      </c>
      <c r="L73" s="8" t="s">
        <v>322</v>
      </c>
      <c r="M73" s="8" t="s">
        <v>325</v>
      </c>
      <c r="N73" s="8">
        <v>29.6</v>
      </c>
      <c r="O73" s="14">
        <f t="shared" si="1"/>
        <v>45992</v>
      </c>
      <c r="P73" s="15">
        <f>IFERROR(VLOOKUP(K73,Formula!$A$11:$B$20,2,FALSE),Formula!$C$26)</f>
        <v>0.95</v>
      </c>
      <c r="Q73" s="15">
        <f>IF(AND(ISNUMBER(J73),J73&gt;0),1/J73,IF(AND(ISNUMBER(I73),I73&gt;0),SQRT(MIN(I73,Formula!$C$27))/Formula!$C$24,1/Formula!$C$25))</f>
        <v>0.3846153846</v>
      </c>
      <c r="R73" s="15">
        <f t="shared" si="2"/>
        <v>0.3653846154</v>
      </c>
      <c r="S73" s="15">
        <f>IF(H73&lt;&gt;"",EXP(-Formula!$C$28*(EOMONTH(H73,0)-H73)),EXP(-Formula!$C$28*(EOMONTH(D73,0)-D73)))</f>
        <v>0.5220457768</v>
      </c>
      <c r="T73" s="15">
        <f t="shared" si="3"/>
        <v>0.3015113446</v>
      </c>
      <c r="U73" s="15">
        <f t="shared" si="4"/>
        <v>0.0575125338</v>
      </c>
      <c r="V73" s="16">
        <f>IF(AND(L73="Among all respondents",NOT(OR(K73="Online poll in Telegram channel",K73="Website online poll",K73="CAWI (Computer Assisted Web Interviewing)"))),1/(1-MIN(MAX(Formula!$C$33+(YEAR(D73)-Formula!$C$34)/(Formula!$C$35-Formula!$C$34)*(Formula!$C$32-Formula!$C$33),Formula!$C$33),Formula!$C$32)),1)</f>
        <v>1</v>
      </c>
      <c r="W73" s="17">
        <f t="shared" si="5"/>
        <v>29.6</v>
      </c>
    </row>
    <row r="74" ht="15.75" customHeight="1">
      <c r="A74" s="8" t="s">
        <v>438</v>
      </c>
      <c r="B74" s="7" t="s">
        <v>432</v>
      </c>
      <c r="C74" s="13" t="s">
        <v>433</v>
      </c>
      <c r="D74" s="7" t="s">
        <v>28</v>
      </c>
      <c r="E74" s="8" t="s">
        <v>17</v>
      </c>
      <c r="F74" s="8" t="s">
        <v>318</v>
      </c>
      <c r="G74" s="7" t="s">
        <v>434</v>
      </c>
      <c r="H74" s="7" t="s">
        <v>435</v>
      </c>
      <c r="I74" s="8">
        <v>2000.0</v>
      </c>
      <c r="J74" s="8">
        <v>2.6</v>
      </c>
      <c r="K74" s="8" t="s">
        <v>436</v>
      </c>
      <c r="L74" s="8" t="s">
        <v>322</v>
      </c>
      <c r="M74" s="8" t="s">
        <v>327</v>
      </c>
      <c r="N74" s="8">
        <v>8.1</v>
      </c>
      <c r="O74" s="14">
        <f t="shared" si="1"/>
        <v>45992</v>
      </c>
      <c r="P74" s="15">
        <f>IFERROR(VLOOKUP(K74,Formula!$A$11:$B$20,2,FALSE),Formula!$C$26)</f>
        <v>0.95</v>
      </c>
      <c r="Q74" s="15">
        <f>IF(AND(ISNUMBER(J74),J74&gt;0),1/J74,IF(AND(ISNUMBER(I74),I74&gt;0),SQRT(MIN(I74,Formula!$C$27))/Formula!$C$24,1/Formula!$C$25))</f>
        <v>0.3846153846</v>
      </c>
      <c r="R74" s="15">
        <f t="shared" si="2"/>
        <v>0.3653846154</v>
      </c>
      <c r="S74" s="15">
        <f>IF(H74&lt;&gt;"",EXP(-Formula!$C$28*(EOMONTH(H74,0)-H74)),EXP(-Formula!$C$28*(EOMONTH(D74,0)-D74)))</f>
        <v>0.5220457768</v>
      </c>
      <c r="T74" s="15">
        <f t="shared" si="3"/>
        <v>0.3015113446</v>
      </c>
      <c r="U74" s="15">
        <f t="shared" si="4"/>
        <v>0.0575125338</v>
      </c>
      <c r="V74" s="16">
        <f>IF(AND(L74="Among all respondents",NOT(OR(K74="Online poll in Telegram channel",K74="Website online poll",K74="CAWI (Computer Assisted Web Interviewing)"))),1/(1-MIN(MAX(Formula!$C$33+(YEAR(D74)-Formula!$C$34)/(Formula!$C$35-Formula!$C$34)*(Formula!$C$32-Formula!$C$33),Formula!$C$33),Formula!$C$32)),1)</f>
        <v>1</v>
      </c>
      <c r="W74" s="17">
        <f t="shared" si="5"/>
        <v>8.1</v>
      </c>
    </row>
    <row r="75" ht="15.75" customHeight="1">
      <c r="A75" s="8" t="s">
        <v>439</v>
      </c>
      <c r="B75" s="7" t="s">
        <v>432</v>
      </c>
      <c r="C75" s="13" t="s">
        <v>433</v>
      </c>
      <c r="D75" s="7" t="s">
        <v>28</v>
      </c>
      <c r="E75" s="8" t="s">
        <v>17</v>
      </c>
      <c r="F75" s="8" t="s">
        <v>318</v>
      </c>
      <c r="G75" s="7" t="s">
        <v>434</v>
      </c>
      <c r="H75" s="7" t="s">
        <v>435</v>
      </c>
      <c r="I75" s="8">
        <v>2000.0</v>
      </c>
      <c r="J75" s="8">
        <v>2.6</v>
      </c>
      <c r="K75" s="8" t="s">
        <v>436</v>
      </c>
      <c r="L75" s="8" t="s">
        <v>322</v>
      </c>
      <c r="M75" s="8" t="s">
        <v>329</v>
      </c>
      <c r="N75" s="8">
        <v>7.2</v>
      </c>
      <c r="O75" s="14">
        <f t="shared" si="1"/>
        <v>45992</v>
      </c>
      <c r="P75" s="15">
        <f>IFERROR(VLOOKUP(K75,Formula!$A$11:$B$20,2,FALSE),Formula!$C$26)</f>
        <v>0.95</v>
      </c>
      <c r="Q75" s="15">
        <f>IF(AND(ISNUMBER(J75),J75&gt;0),1/J75,IF(AND(ISNUMBER(I75),I75&gt;0),SQRT(MIN(I75,Formula!$C$27))/Formula!$C$24,1/Formula!$C$25))</f>
        <v>0.3846153846</v>
      </c>
      <c r="R75" s="15">
        <f t="shared" si="2"/>
        <v>0.3653846154</v>
      </c>
      <c r="S75" s="15">
        <f>IF(H75&lt;&gt;"",EXP(-Formula!$C$28*(EOMONTH(H75,0)-H75)),EXP(-Formula!$C$28*(EOMONTH(D75,0)-D75)))</f>
        <v>0.5220457768</v>
      </c>
      <c r="T75" s="15">
        <f t="shared" si="3"/>
        <v>0.3015113446</v>
      </c>
      <c r="U75" s="15">
        <f t="shared" si="4"/>
        <v>0.0575125338</v>
      </c>
      <c r="V75" s="16">
        <f>IF(AND(L75="Among all respondents",NOT(OR(K75="Online poll in Telegram channel",K75="Website online poll",K75="CAWI (Computer Assisted Web Interviewing)"))),1/(1-MIN(MAX(Formula!$C$33+(YEAR(D75)-Formula!$C$34)/(Formula!$C$35-Formula!$C$34)*(Formula!$C$32-Formula!$C$33),Formula!$C$33),Formula!$C$32)),1)</f>
        <v>1</v>
      </c>
      <c r="W75" s="17">
        <f t="shared" si="5"/>
        <v>7.2</v>
      </c>
    </row>
    <row r="76" ht="15.75" customHeight="1">
      <c r="A76" s="8" t="s">
        <v>440</v>
      </c>
      <c r="B76" s="7" t="s">
        <v>432</v>
      </c>
      <c r="C76" s="13" t="s">
        <v>433</v>
      </c>
      <c r="D76" s="7" t="s">
        <v>28</v>
      </c>
      <c r="E76" s="8" t="s">
        <v>17</v>
      </c>
      <c r="F76" s="8" t="s">
        <v>318</v>
      </c>
      <c r="G76" s="7" t="s">
        <v>434</v>
      </c>
      <c r="H76" s="7" t="s">
        <v>435</v>
      </c>
      <c r="I76" s="8">
        <v>2000.0</v>
      </c>
      <c r="J76" s="8">
        <v>2.6</v>
      </c>
      <c r="K76" s="8" t="s">
        <v>436</v>
      </c>
      <c r="L76" s="8" t="s">
        <v>322</v>
      </c>
      <c r="M76" s="8" t="s">
        <v>337</v>
      </c>
      <c r="N76" s="8">
        <v>6.1</v>
      </c>
      <c r="O76" s="14">
        <f t="shared" si="1"/>
        <v>45992</v>
      </c>
      <c r="P76" s="15">
        <f>IFERROR(VLOOKUP(K76,Formula!$A$11:$B$20,2,FALSE),Formula!$C$26)</f>
        <v>0.95</v>
      </c>
      <c r="Q76" s="15">
        <f>IF(AND(ISNUMBER(J76),J76&gt;0),1/J76,IF(AND(ISNUMBER(I76),I76&gt;0),SQRT(MIN(I76,Formula!$C$27))/Formula!$C$24,1/Formula!$C$25))</f>
        <v>0.3846153846</v>
      </c>
      <c r="R76" s="15">
        <f t="shared" si="2"/>
        <v>0.3653846154</v>
      </c>
      <c r="S76" s="15">
        <f>IF(H76&lt;&gt;"",EXP(-Formula!$C$28*(EOMONTH(H76,0)-H76)),EXP(-Formula!$C$28*(EOMONTH(D76,0)-D76)))</f>
        <v>0.5220457768</v>
      </c>
      <c r="T76" s="15">
        <f t="shared" si="3"/>
        <v>0.3015113446</v>
      </c>
      <c r="U76" s="15">
        <f t="shared" si="4"/>
        <v>0.0575125338</v>
      </c>
      <c r="V76" s="16">
        <f>IF(AND(L76="Among all respondents",NOT(OR(K76="Online poll in Telegram channel",K76="Website online poll",K76="CAWI (Computer Assisted Web Interviewing)"))),1/(1-MIN(MAX(Formula!$C$33+(YEAR(D76)-Formula!$C$34)/(Formula!$C$35-Formula!$C$34)*(Formula!$C$32-Formula!$C$33),Formula!$C$33),Formula!$C$32)),1)</f>
        <v>1</v>
      </c>
      <c r="W76" s="17">
        <f t="shared" si="5"/>
        <v>6.1</v>
      </c>
    </row>
    <row r="77" ht="15.75" customHeight="1">
      <c r="A77" s="8" t="s">
        <v>441</v>
      </c>
      <c r="B77" s="7" t="s">
        <v>432</v>
      </c>
      <c r="C77" s="13" t="s">
        <v>433</v>
      </c>
      <c r="D77" s="7" t="s">
        <v>28</v>
      </c>
      <c r="E77" s="8" t="s">
        <v>17</v>
      </c>
      <c r="F77" s="8" t="s">
        <v>318</v>
      </c>
      <c r="G77" s="7" t="s">
        <v>434</v>
      </c>
      <c r="H77" s="7" t="s">
        <v>435</v>
      </c>
      <c r="I77" s="8">
        <v>2000.0</v>
      </c>
      <c r="J77" s="8">
        <v>2.6</v>
      </c>
      <c r="K77" s="8" t="s">
        <v>436</v>
      </c>
      <c r="L77" s="8" t="s">
        <v>322</v>
      </c>
      <c r="M77" s="8" t="s">
        <v>333</v>
      </c>
      <c r="N77" s="8">
        <v>5.0</v>
      </c>
      <c r="O77" s="14">
        <f t="shared" si="1"/>
        <v>45992</v>
      </c>
      <c r="P77" s="15">
        <f>IFERROR(VLOOKUP(K77,Formula!$A$11:$B$20,2,FALSE),Formula!$C$26)</f>
        <v>0.95</v>
      </c>
      <c r="Q77" s="15">
        <f>IF(AND(ISNUMBER(J77),J77&gt;0),1/J77,IF(AND(ISNUMBER(I77),I77&gt;0),SQRT(MIN(I77,Formula!$C$27))/Formula!$C$24,1/Formula!$C$25))</f>
        <v>0.3846153846</v>
      </c>
      <c r="R77" s="15">
        <f t="shared" si="2"/>
        <v>0.3653846154</v>
      </c>
      <c r="S77" s="15">
        <f>IF(H77&lt;&gt;"",EXP(-Formula!$C$28*(EOMONTH(H77,0)-H77)),EXP(-Formula!$C$28*(EOMONTH(D77,0)-D77)))</f>
        <v>0.5220457768</v>
      </c>
      <c r="T77" s="15">
        <f t="shared" si="3"/>
        <v>0.3015113446</v>
      </c>
      <c r="U77" s="15">
        <f t="shared" si="4"/>
        <v>0.0575125338</v>
      </c>
      <c r="V77" s="16">
        <f>IF(AND(L77="Among all respondents",NOT(OR(K77="Online poll in Telegram channel",K77="Website online poll",K77="CAWI (Computer Assisted Web Interviewing)"))),1/(1-MIN(MAX(Formula!$C$33+(YEAR(D77)-Formula!$C$34)/(Formula!$C$35-Formula!$C$34)*(Formula!$C$32-Formula!$C$33),Formula!$C$33),Formula!$C$32)),1)</f>
        <v>1</v>
      </c>
      <c r="W77" s="17">
        <f t="shared" si="5"/>
        <v>5</v>
      </c>
    </row>
    <row r="78" ht="15.75" customHeight="1">
      <c r="A78" s="8" t="s">
        <v>442</v>
      </c>
      <c r="B78" s="7" t="s">
        <v>432</v>
      </c>
      <c r="C78" s="13" t="s">
        <v>433</v>
      </c>
      <c r="D78" s="7" t="s">
        <v>28</v>
      </c>
      <c r="E78" s="8" t="s">
        <v>17</v>
      </c>
      <c r="F78" s="8" t="s">
        <v>318</v>
      </c>
      <c r="G78" s="7" t="s">
        <v>434</v>
      </c>
      <c r="H78" s="7" t="s">
        <v>435</v>
      </c>
      <c r="I78" s="8">
        <v>2000.0</v>
      </c>
      <c r="J78" s="8">
        <v>2.6</v>
      </c>
      <c r="K78" s="8" t="s">
        <v>436</v>
      </c>
      <c r="L78" s="8" t="s">
        <v>322</v>
      </c>
      <c r="M78" s="8" t="s">
        <v>335</v>
      </c>
      <c r="N78" s="8">
        <v>3.2</v>
      </c>
      <c r="O78" s="14">
        <f t="shared" si="1"/>
        <v>45992</v>
      </c>
      <c r="P78" s="15">
        <f>IFERROR(VLOOKUP(K78,Formula!$A$11:$B$20,2,FALSE),Formula!$C$26)</f>
        <v>0.95</v>
      </c>
      <c r="Q78" s="15">
        <f>IF(AND(ISNUMBER(J78),J78&gt;0),1/J78,IF(AND(ISNUMBER(I78),I78&gt;0),SQRT(MIN(I78,Formula!$C$27))/Formula!$C$24,1/Formula!$C$25))</f>
        <v>0.3846153846</v>
      </c>
      <c r="R78" s="15">
        <f t="shared" si="2"/>
        <v>0.3653846154</v>
      </c>
      <c r="S78" s="15">
        <f>IF(H78&lt;&gt;"",EXP(-Formula!$C$28*(EOMONTH(H78,0)-H78)),EXP(-Formula!$C$28*(EOMONTH(D78,0)-D78)))</f>
        <v>0.5220457768</v>
      </c>
      <c r="T78" s="15">
        <f t="shared" si="3"/>
        <v>0.3015113446</v>
      </c>
      <c r="U78" s="15">
        <f t="shared" si="4"/>
        <v>0.0575125338</v>
      </c>
      <c r="V78" s="16">
        <f>IF(AND(L78="Among all respondents",NOT(OR(K78="Online poll in Telegram channel",K78="Website online poll",K78="CAWI (Computer Assisted Web Interviewing)"))),1/(1-MIN(MAX(Formula!$C$33+(YEAR(D78)-Formula!$C$34)/(Formula!$C$35-Formula!$C$34)*(Formula!$C$32-Formula!$C$33),Formula!$C$33),Formula!$C$32)),1)</f>
        <v>1</v>
      </c>
      <c r="W78" s="17">
        <f t="shared" si="5"/>
        <v>3.2</v>
      </c>
    </row>
    <row r="79" ht="15.75" customHeight="1">
      <c r="A79" s="8" t="s">
        <v>443</v>
      </c>
      <c r="B79" s="7" t="s">
        <v>432</v>
      </c>
      <c r="C79" s="13" t="s">
        <v>433</v>
      </c>
      <c r="D79" s="7" t="s">
        <v>28</v>
      </c>
      <c r="E79" s="8" t="s">
        <v>17</v>
      </c>
      <c r="F79" s="8" t="s">
        <v>318</v>
      </c>
      <c r="G79" s="7" t="s">
        <v>434</v>
      </c>
      <c r="H79" s="7" t="s">
        <v>435</v>
      </c>
      <c r="I79" s="8">
        <v>2000.0</v>
      </c>
      <c r="J79" s="8">
        <v>2.6</v>
      </c>
      <c r="K79" s="8" t="s">
        <v>436</v>
      </c>
      <c r="L79" s="8" t="s">
        <v>322</v>
      </c>
      <c r="M79" s="8" t="s">
        <v>365</v>
      </c>
      <c r="N79" s="8">
        <v>2.4</v>
      </c>
      <c r="O79" s="14">
        <f t="shared" si="1"/>
        <v>45992</v>
      </c>
      <c r="P79" s="15">
        <f>IFERROR(VLOOKUP(K79,Formula!$A$11:$B$20,2,FALSE),Formula!$C$26)</f>
        <v>0.95</v>
      </c>
      <c r="Q79" s="15">
        <f>IF(AND(ISNUMBER(J79),J79&gt;0),1/J79,IF(AND(ISNUMBER(I79),I79&gt;0),SQRT(MIN(I79,Formula!$C$27))/Formula!$C$24,1/Formula!$C$25))</f>
        <v>0.3846153846</v>
      </c>
      <c r="R79" s="15">
        <f t="shared" si="2"/>
        <v>0.3653846154</v>
      </c>
      <c r="S79" s="15">
        <f>IF(H79&lt;&gt;"",EXP(-Formula!$C$28*(EOMONTH(H79,0)-H79)),EXP(-Formula!$C$28*(EOMONTH(D79,0)-D79)))</f>
        <v>0.5220457768</v>
      </c>
      <c r="T79" s="15">
        <f t="shared" si="3"/>
        <v>0.3015113446</v>
      </c>
      <c r="U79" s="15">
        <f t="shared" si="4"/>
        <v>0.0575125338</v>
      </c>
      <c r="V79" s="16">
        <f>IF(AND(L79="Among all respondents",NOT(OR(K79="Online poll in Telegram channel",K79="Website online poll",K79="CAWI (Computer Assisted Web Interviewing)"))),1/(1-MIN(MAX(Formula!$C$33+(YEAR(D79)-Formula!$C$34)/(Formula!$C$35-Formula!$C$34)*(Formula!$C$32-Formula!$C$33),Formula!$C$33),Formula!$C$32)),1)</f>
        <v>1</v>
      </c>
      <c r="W79" s="17">
        <f t="shared" si="5"/>
        <v>2.4</v>
      </c>
    </row>
    <row r="80" ht="15.75" customHeight="1">
      <c r="A80" s="8" t="s">
        <v>444</v>
      </c>
      <c r="B80" s="7" t="s">
        <v>432</v>
      </c>
      <c r="C80" s="13" t="s">
        <v>433</v>
      </c>
      <c r="D80" s="7" t="s">
        <v>28</v>
      </c>
      <c r="E80" s="8" t="s">
        <v>17</v>
      </c>
      <c r="F80" s="8" t="s">
        <v>318</v>
      </c>
      <c r="G80" s="7" t="s">
        <v>434</v>
      </c>
      <c r="H80" s="7" t="s">
        <v>435</v>
      </c>
      <c r="I80" s="8">
        <v>2000.0</v>
      </c>
      <c r="J80" s="8">
        <v>2.6</v>
      </c>
      <c r="K80" s="8" t="s">
        <v>436</v>
      </c>
      <c r="L80" s="8" t="s">
        <v>322</v>
      </c>
      <c r="M80" s="8" t="s">
        <v>339</v>
      </c>
      <c r="N80" s="8">
        <v>2.1</v>
      </c>
      <c r="O80" s="14">
        <f t="shared" si="1"/>
        <v>45992</v>
      </c>
      <c r="P80" s="15">
        <f>IFERROR(VLOOKUP(K80,Formula!$A$11:$B$20,2,FALSE),Formula!$C$26)</f>
        <v>0.95</v>
      </c>
      <c r="Q80" s="15">
        <f>IF(AND(ISNUMBER(J80),J80&gt;0),1/J80,IF(AND(ISNUMBER(I80),I80&gt;0),SQRT(MIN(I80,Formula!$C$27))/Formula!$C$24,1/Formula!$C$25))</f>
        <v>0.3846153846</v>
      </c>
      <c r="R80" s="15">
        <f t="shared" si="2"/>
        <v>0.3653846154</v>
      </c>
      <c r="S80" s="15">
        <f>IF(H80&lt;&gt;"",EXP(-Formula!$C$28*(EOMONTH(H80,0)-H80)),EXP(-Formula!$C$28*(EOMONTH(D80,0)-D80)))</f>
        <v>0.5220457768</v>
      </c>
      <c r="T80" s="15">
        <f t="shared" si="3"/>
        <v>0.3015113446</v>
      </c>
      <c r="U80" s="15">
        <f t="shared" si="4"/>
        <v>0.0575125338</v>
      </c>
      <c r="V80" s="16">
        <f>IF(AND(L80="Among all respondents",NOT(OR(K80="Online poll in Telegram channel",K80="Website online poll",K80="CAWI (Computer Assisted Web Interviewing)"))),1/(1-MIN(MAX(Formula!$C$33+(YEAR(D80)-Formula!$C$34)/(Formula!$C$35-Formula!$C$34)*(Formula!$C$32-Formula!$C$33),Formula!$C$33),Formula!$C$32)),1)</f>
        <v>1</v>
      </c>
      <c r="W80" s="17">
        <f t="shared" si="5"/>
        <v>2.1</v>
      </c>
    </row>
    <row r="81" ht="15.75" customHeight="1">
      <c r="A81" s="8" t="s">
        <v>445</v>
      </c>
      <c r="B81" s="7" t="s">
        <v>432</v>
      </c>
      <c r="C81" s="13" t="s">
        <v>433</v>
      </c>
      <c r="D81" s="7" t="s">
        <v>28</v>
      </c>
      <c r="E81" s="8" t="s">
        <v>17</v>
      </c>
      <c r="F81" s="8" t="s">
        <v>318</v>
      </c>
      <c r="G81" s="7" t="s">
        <v>434</v>
      </c>
      <c r="H81" s="7" t="s">
        <v>435</v>
      </c>
      <c r="I81" s="8">
        <v>2000.0</v>
      </c>
      <c r="J81" s="8">
        <v>2.6</v>
      </c>
      <c r="K81" s="8" t="s">
        <v>436</v>
      </c>
      <c r="L81" s="8" t="s">
        <v>322</v>
      </c>
      <c r="M81" s="8" t="s">
        <v>367</v>
      </c>
      <c r="N81" s="8">
        <v>1.9</v>
      </c>
      <c r="O81" s="14">
        <f t="shared" si="1"/>
        <v>45992</v>
      </c>
      <c r="P81" s="15">
        <f>IFERROR(VLOOKUP(K81,Formula!$A$11:$B$20,2,FALSE),Formula!$C$26)</f>
        <v>0.95</v>
      </c>
      <c r="Q81" s="15">
        <f>IF(AND(ISNUMBER(J81),J81&gt;0),1/J81,IF(AND(ISNUMBER(I81),I81&gt;0),SQRT(MIN(I81,Formula!$C$27))/Formula!$C$24,1/Formula!$C$25))</f>
        <v>0.3846153846</v>
      </c>
      <c r="R81" s="15">
        <f t="shared" si="2"/>
        <v>0.3653846154</v>
      </c>
      <c r="S81" s="15">
        <f>IF(H81&lt;&gt;"",EXP(-Formula!$C$28*(EOMONTH(H81,0)-H81)),EXP(-Formula!$C$28*(EOMONTH(D81,0)-D81)))</f>
        <v>0.5220457768</v>
      </c>
      <c r="T81" s="15">
        <f t="shared" si="3"/>
        <v>0.3015113446</v>
      </c>
      <c r="U81" s="15">
        <f t="shared" si="4"/>
        <v>0.0575125338</v>
      </c>
      <c r="V81" s="16">
        <f>IF(AND(L81="Among all respondents",NOT(OR(K81="Online poll in Telegram channel",K81="Website online poll",K81="CAWI (Computer Assisted Web Interviewing)"))),1/(1-MIN(MAX(Formula!$C$33+(YEAR(D81)-Formula!$C$34)/(Formula!$C$35-Formula!$C$34)*(Formula!$C$32-Formula!$C$33),Formula!$C$33),Formula!$C$32)),1)</f>
        <v>1</v>
      </c>
      <c r="W81" s="17">
        <f t="shared" si="5"/>
        <v>1.9</v>
      </c>
    </row>
    <row r="82" ht="15.75" customHeight="1">
      <c r="A82" s="8" t="s">
        <v>446</v>
      </c>
      <c r="B82" s="7" t="s">
        <v>432</v>
      </c>
      <c r="C82" s="13" t="s">
        <v>433</v>
      </c>
      <c r="D82" s="7" t="s">
        <v>28</v>
      </c>
      <c r="E82" s="8" t="s">
        <v>17</v>
      </c>
      <c r="F82" s="8" t="s">
        <v>318</v>
      </c>
      <c r="G82" s="7" t="s">
        <v>434</v>
      </c>
      <c r="H82" s="7" t="s">
        <v>435</v>
      </c>
      <c r="I82" s="8">
        <v>2000.0</v>
      </c>
      <c r="J82" s="8">
        <v>2.6</v>
      </c>
      <c r="K82" s="8" t="s">
        <v>436</v>
      </c>
      <c r="L82" s="8" t="s">
        <v>322</v>
      </c>
      <c r="M82" s="8" t="s">
        <v>359</v>
      </c>
      <c r="N82" s="8">
        <v>1.6</v>
      </c>
      <c r="O82" s="14">
        <f t="shared" si="1"/>
        <v>45992</v>
      </c>
      <c r="P82" s="15">
        <f>IFERROR(VLOOKUP(K82,Formula!$A$11:$B$20,2,FALSE),Formula!$C$26)</f>
        <v>0.95</v>
      </c>
      <c r="Q82" s="15">
        <f>IF(AND(ISNUMBER(J82),J82&gt;0),1/J82,IF(AND(ISNUMBER(I82),I82&gt;0),SQRT(MIN(I82,Formula!$C$27))/Formula!$C$24,1/Formula!$C$25))</f>
        <v>0.3846153846</v>
      </c>
      <c r="R82" s="15">
        <f t="shared" si="2"/>
        <v>0.3653846154</v>
      </c>
      <c r="S82" s="15">
        <f>IF(H82&lt;&gt;"",EXP(-Formula!$C$28*(EOMONTH(H82,0)-H82)),EXP(-Formula!$C$28*(EOMONTH(D82,0)-D82)))</f>
        <v>0.5220457768</v>
      </c>
      <c r="T82" s="15">
        <f t="shared" si="3"/>
        <v>0.3015113446</v>
      </c>
      <c r="U82" s="15">
        <f t="shared" si="4"/>
        <v>0.0575125338</v>
      </c>
      <c r="V82" s="16">
        <f>IF(AND(L82="Among all respondents",NOT(OR(K82="Online poll in Telegram channel",K82="Website online poll",K82="CAWI (Computer Assisted Web Interviewing)"))),1/(1-MIN(MAX(Formula!$C$33+(YEAR(D82)-Formula!$C$34)/(Formula!$C$35-Formula!$C$34)*(Formula!$C$32-Formula!$C$33),Formula!$C$33),Formula!$C$32)),1)</f>
        <v>1</v>
      </c>
      <c r="W82" s="17">
        <f t="shared" si="5"/>
        <v>1.6</v>
      </c>
    </row>
    <row r="83" ht="15.75" customHeight="1">
      <c r="A83" s="8" t="s">
        <v>447</v>
      </c>
      <c r="B83" s="7" t="s">
        <v>448</v>
      </c>
      <c r="C83" s="13" t="s">
        <v>449</v>
      </c>
      <c r="D83" s="7" t="s">
        <v>29</v>
      </c>
      <c r="E83" s="8" t="s">
        <v>30</v>
      </c>
      <c r="F83" s="8" t="s">
        <v>318</v>
      </c>
      <c r="G83" s="7" t="s">
        <v>450</v>
      </c>
      <c r="H83" s="7" t="s">
        <v>451</v>
      </c>
      <c r="I83" s="8">
        <v>1200.0</v>
      </c>
      <c r="J83" s="8">
        <v>2.9</v>
      </c>
      <c r="K83" s="8" t="s">
        <v>351</v>
      </c>
      <c r="L83" s="8" t="s">
        <v>322</v>
      </c>
      <c r="M83" s="8" t="s">
        <v>323</v>
      </c>
      <c r="N83" s="8">
        <v>33.4</v>
      </c>
      <c r="O83" s="14">
        <f t="shared" si="1"/>
        <v>45992</v>
      </c>
      <c r="P83" s="15">
        <f>IFERROR(VLOOKUP(K83,Formula!$A$11:$B$20,2,FALSE),Formula!$C$26)</f>
        <v>0.6</v>
      </c>
      <c r="Q83" s="15">
        <f>IF(AND(ISNUMBER(J83),J83&gt;0),1/J83,IF(AND(ISNUMBER(I83),I83&gt;0),SQRT(MIN(I83,Formula!$C$27))/Formula!$C$24,1/Formula!$C$25))</f>
        <v>0.3448275862</v>
      </c>
      <c r="R83" s="15">
        <f t="shared" si="2"/>
        <v>0.2068965517</v>
      </c>
      <c r="S83" s="15">
        <f>IF(H83&lt;&gt;"",EXP(-Formula!$C$28*(EOMONTH(H83,0)-H83)),EXP(-Formula!$C$28*(EOMONTH(D83,0)-D83)))</f>
        <v>0.3011942119</v>
      </c>
      <c r="T83" s="15">
        <f t="shared" si="3"/>
        <v>0.3015113446</v>
      </c>
      <c r="U83" s="15">
        <f t="shared" si="4"/>
        <v>0.01878899417</v>
      </c>
      <c r="V83" s="16">
        <f>IF(AND(L83="Among all respondents",NOT(OR(K83="Online poll in Telegram channel",K83="Website online poll",K83="CAWI (Computer Assisted Web Interviewing)"))),1/(1-MIN(MAX(Formula!$C$33+(YEAR(D83)-Formula!$C$34)/(Formula!$C$35-Formula!$C$34)*(Formula!$C$32-Formula!$C$33),Formula!$C$33),Formula!$C$32)),1)</f>
        <v>1</v>
      </c>
      <c r="W83" s="17">
        <f t="shared" si="5"/>
        <v>33.4</v>
      </c>
    </row>
    <row r="84" ht="15.75" customHeight="1">
      <c r="A84" s="8" t="s">
        <v>452</v>
      </c>
      <c r="B84" s="7" t="s">
        <v>448</v>
      </c>
      <c r="C84" s="13" t="s">
        <v>449</v>
      </c>
      <c r="D84" s="7" t="s">
        <v>29</v>
      </c>
      <c r="E84" s="8" t="s">
        <v>30</v>
      </c>
      <c r="F84" s="8" t="s">
        <v>318</v>
      </c>
      <c r="G84" s="7" t="s">
        <v>450</v>
      </c>
      <c r="H84" s="7" t="s">
        <v>451</v>
      </c>
      <c r="I84" s="8">
        <v>1200.0</v>
      </c>
      <c r="J84" s="8">
        <v>2.9</v>
      </c>
      <c r="K84" s="8" t="s">
        <v>351</v>
      </c>
      <c r="L84" s="8" t="s">
        <v>322</v>
      </c>
      <c r="M84" s="8" t="s">
        <v>325</v>
      </c>
      <c r="N84" s="8">
        <v>26.0</v>
      </c>
      <c r="O84" s="14">
        <f t="shared" si="1"/>
        <v>45992</v>
      </c>
      <c r="P84" s="15">
        <f>IFERROR(VLOOKUP(K84,Formula!$A$11:$B$20,2,FALSE),Formula!$C$26)</f>
        <v>0.6</v>
      </c>
      <c r="Q84" s="15">
        <f>IF(AND(ISNUMBER(J84),J84&gt;0),1/J84,IF(AND(ISNUMBER(I84),I84&gt;0),SQRT(MIN(I84,Formula!$C$27))/Formula!$C$24,1/Formula!$C$25))</f>
        <v>0.3448275862</v>
      </c>
      <c r="R84" s="15">
        <f t="shared" si="2"/>
        <v>0.2068965517</v>
      </c>
      <c r="S84" s="15">
        <f>IF(H84&lt;&gt;"",EXP(-Formula!$C$28*(EOMONTH(H84,0)-H84)),EXP(-Formula!$C$28*(EOMONTH(D84,0)-D84)))</f>
        <v>0.3011942119</v>
      </c>
      <c r="T84" s="15">
        <f t="shared" si="3"/>
        <v>0.3015113446</v>
      </c>
      <c r="U84" s="15">
        <f t="shared" si="4"/>
        <v>0.01878899417</v>
      </c>
      <c r="V84" s="16">
        <f>IF(AND(L84="Among all respondents",NOT(OR(K84="Online poll in Telegram channel",K84="Website online poll",K84="CAWI (Computer Assisted Web Interviewing)"))),1/(1-MIN(MAX(Formula!$C$33+(YEAR(D84)-Formula!$C$34)/(Formula!$C$35-Formula!$C$34)*(Formula!$C$32-Formula!$C$33),Formula!$C$33),Formula!$C$32)),1)</f>
        <v>1</v>
      </c>
      <c r="W84" s="17">
        <f t="shared" si="5"/>
        <v>26</v>
      </c>
    </row>
    <row r="85" ht="15.75" customHeight="1">
      <c r="A85" s="8" t="s">
        <v>453</v>
      </c>
      <c r="B85" s="7" t="s">
        <v>448</v>
      </c>
      <c r="C85" s="13" t="s">
        <v>449</v>
      </c>
      <c r="D85" s="7" t="s">
        <v>29</v>
      </c>
      <c r="E85" s="8" t="s">
        <v>30</v>
      </c>
      <c r="F85" s="8" t="s">
        <v>318</v>
      </c>
      <c r="G85" s="7" t="s">
        <v>450</v>
      </c>
      <c r="H85" s="7" t="s">
        <v>451</v>
      </c>
      <c r="I85" s="8">
        <v>1200.0</v>
      </c>
      <c r="J85" s="8">
        <v>2.9</v>
      </c>
      <c r="K85" s="8" t="s">
        <v>351</v>
      </c>
      <c r="L85" s="8" t="s">
        <v>322</v>
      </c>
      <c r="M85" s="8" t="s">
        <v>329</v>
      </c>
      <c r="N85" s="8">
        <v>9.2</v>
      </c>
      <c r="O85" s="14">
        <f t="shared" si="1"/>
        <v>45992</v>
      </c>
      <c r="P85" s="15">
        <f>IFERROR(VLOOKUP(K85,Formula!$A$11:$B$20,2,FALSE),Formula!$C$26)</f>
        <v>0.6</v>
      </c>
      <c r="Q85" s="15">
        <f>IF(AND(ISNUMBER(J85),J85&gt;0),1/J85,IF(AND(ISNUMBER(I85),I85&gt;0),SQRT(MIN(I85,Formula!$C$27))/Formula!$C$24,1/Formula!$C$25))</f>
        <v>0.3448275862</v>
      </c>
      <c r="R85" s="15">
        <f t="shared" si="2"/>
        <v>0.2068965517</v>
      </c>
      <c r="S85" s="15">
        <f>IF(H85&lt;&gt;"",EXP(-Formula!$C$28*(EOMONTH(H85,0)-H85)),EXP(-Formula!$C$28*(EOMONTH(D85,0)-D85)))</f>
        <v>0.3011942119</v>
      </c>
      <c r="T85" s="15">
        <f t="shared" si="3"/>
        <v>0.3015113446</v>
      </c>
      <c r="U85" s="15">
        <f t="shared" si="4"/>
        <v>0.01878899417</v>
      </c>
      <c r="V85" s="16">
        <f>IF(AND(L85="Among all respondents",NOT(OR(K85="Online poll in Telegram channel",K85="Website online poll",K85="CAWI (Computer Assisted Web Interviewing)"))),1/(1-MIN(MAX(Formula!$C$33+(YEAR(D85)-Formula!$C$34)/(Formula!$C$35-Formula!$C$34)*(Formula!$C$32-Formula!$C$33),Formula!$C$33),Formula!$C$32)),1)</f>
        <v>1</v>
      </c>
      <c r="W85" s="17">
        <f t="shared" si="5"/>
        <v>9.2</v>
      </c>
    </row>
    <row r="86" ht="15.75" customHeight="1">
      <c r="A86" s="8" t="s">
        <v>454</v>
      </c>
      <c r="B86" s="7" t="s">
        <v>448</v>
      </c>
      <c r="C86" s="13" t="s">
        <v>449</v>
      </c>
      <c r="D86" s="7" t="s">
        <v>29</v>
      </c>
      <c r="E86" s="8" t="s">
        <v>30</v>
      </c>
      <c r="F86" s="8" t="s">
        <v>318</v>
      </c>
      <c r="G86" s="7" t="s">
        <v>450</v>
      </c>
      <c r="H86" s="7" t="s">
        <v>451</v>
      </c>
      <c r="I86" s="8">
        <v>1200.0</v>
      </c>
      <c r="J86" s="8">
        <v>2.9</v>
      </c>
      <c r="K86" s="8" t="s">
        <v>351</v>
      </c>
      <c r="L86" s="8" t="s">
        <v>322</v>
      </c>
      <c r="M86" s="8" t="s">
        <v>333</v>
      </c>
      <c r="N86" s="8">
        <v>5.7</v>
      </c>
      <c r="O86" s="14">
        <f t="shared" si="1"/>
        <v>45992</v>
      </c>
      <c r="P86" s="15">
        <f>IFERROR(VLOOKUP(K86,Formula!$A$11:$B$20,2,FALSE),Formula!$C$26)</f>
        <v>0.6</v>
      </c>
      <c r="Q86" s="15">
        <f>IF(AND(ISNUMBER(J86),J86&gt;0),1/J86,IF(AND(ISNUMBER(I86),I86&gt;0),SQRT(MIN(I86,Formula!$C$27))/Formula!$C$24,1/Formula!$C$25))</f>
        <v>0.3448275862</v>
      </c>
      <c r="R86" s="15">
        <f t="shared" si="2"/>
        <v>0.2068965517</v>
      </c>
      <c r="S86" s="15">
        <f>IF(H86&lt;&gt;"",EXP(-Formula!$C$28*(EOMONTH(H86,0)-H86)),EXP(-Formula!$C$28*(EOMONTH(D86,0)-D86)))</f>
        <v>0.3011942119</v>
      </c>
      <c r="T86" s="15">
        <f t="shared" si="3"/>
        <v>0.3015113446</v>
      </c>
      <c r="U86" s="15">
        <f t="shared" si="4"/>
        <v>0.01878899417</v>
      </c>
      <c r="V86" s="16">
        <f>IF(AND(L86="Among all respondents",NOT(OR(K86="Online poll in Telegram channel",K86="Website online poll",K86="CAWI (Computer Assisted Web Interviewing)"))),1/(1-MIN(MAX(Formula!$C$33+(YEAR(D86)-Formula!$C$34)/(Formula!$C$35-Formula!$C$34)*(Formula!$C$32-Formula!$C$33),Formula!$C$33),Formula!$C$32)),1)</f>
        <v>1</v>
      </c>
      <c r="W86" s="17">
        <f t="shared" si="5"/>
        <v>5.7</v>
      </c>
    </row>
    <row r="87" ht="15.75" customHeight="1">
      <c r="A87" s="8" t="s">
        <v>455</v>
      </c>
      <c r="B87" s="7" t="s">
        <v>448</v>
      </c>
      <c r="C87" s="13" t="s">
        <v>449</v>
      </c>
      <c r="D87" s="7" t="s">
        <v>29</v>
      </c>
      <c r="E87" s="8" t="s">
        <v>30</v>
      </c>
      <c r="F87" s="8" t="s">
        <v>318</v>
      </c>
      <c r="G87" s="7" t="s">
        <v>450</v>
      </c>
      <c r="H87" s="7" t="s">
        <v>451</v>
      </c>
      <c r="I87" s="8">
        <v>1200.0</v>
      </c>
      <c r="J87" s="8">
        <v>2.9</v>
      </c>
      <c r="K87" s="8" t="s">
        <v>351</v>
      </c>
      <c r="L87" s="8" t="s">
        <v>322</v>
      </c>
      <c r="M87" s="8" t="s">
        <v>337</v>
      </c>
      <c r="N87" s="8">
        <v>5.6</v>
      </c>
      <c r="O87" s="14">
        <f t="shared" si="1"/>
        <v>45992</v>
      </c>
      <c r="P87" s="15">
        <f>IFERROR(VLOOKUP(K87,Formula!$A$11:$B$20,2,FALSE),Formula!$C$26)</f>
        <v>0.6</v>
      </c>
      <c r="Q87" s="15">
        <f>IF(AND(ISNUMBER(J87),J87&gt;0),1/J87,IF(AND(ISNUMBER(I87),I87&gt;0),SQRT(MIN(I87,Formula!$C$27))/Formula!$C$24,1/Formula!$C$25))</f>
        <v>0.3448275862</v>
      </c>
      <c r="R87" s="15">
        <f t="shared" si="2"/>
        <v>0.2068965517</v>
      </c>
      <c r="S87" s="15">
        <f>IF(H87&lt;&gt;"",EXP(-Formula!$C$28*(EOMONTH(H87,0)-H87)),EXP(-Formula!$C$28*(EOMONTH(D87,0)-D87)))</f>
        <v>0.3011942119</v>
      </c>
      <c r="T87" s="15">
        <f t="shared" si="3"/>
        <v>0.3015113446</v>
      </c>
      <c r="U87" s="15">
        <f t="shared" si="4"/>
        <v>0.01878899417</v>
      </c>
      <c r="V87" s="16">
        <f>IF(AND(L87="Among all respondents",NOT(OR(K87="Online poll in Telegram channel",K87="Website online poll",K87="CAWI (Computer Assisted Web Interviewing)"))),1/(1-MIN(MAX(Formula!$C$33+(YEAR(D87)-Formula!$C$34)/(Formula!$C$35-Formula!$C$34)*(Formula!$C$32-Formula!$C$33),Formula!$C$33),Formula!$C$32)),1)</f>
        <v>1</v>
      </c>
      <c r="W87" s="17">
        <f t="shared" si="5"/>
        <v>5.6</v>
      </c>
    </row>
    <row r="88" ht="15.75" customHeight="1">
      <c r="A88" s="8" t="s">
        <v>456</v>
      </c>
      <c r="B88" s="7" t="s">
        <v>448</v>
      </c>
      <c r="C88" s="13" t="s">
        <v>449</v>
      </c>
      <c r="D88" s="7" t="s">
        <v>29</v>
      </c>
      <c r="E88" s="8" t="s">
        <v>30</v>
      </c>
      <c r="F88" s="8" t="s">
        <v>318</v>
      </c>
      <c r="G88" s="7" t="s">
        <v>450</v>
      </c>
      <c r="H88" s="7" t="s">
        <v>451</v>
      </c>
      <c r="I88" s="8">
        <v>1200.0</v>
      </c>
      <c r="J88" s="8">
        <v>2.9</v>
      </c>
      <c r="K88" s="8" t="s">
        <v>351</v>
      </c>
      <c r="L88" s="8" t="s">
        <v>322</v>
      </c>
      <c r="M88" s="8" t="s">
        <v>327</v>
      </c>
      <c r="N88" s="8">
        <v>4.8</v>
      </c>
      <c r="O88" s="14">
        <f t="shared" si="1"/>
        <v>45992</v>
      </c>
      <c r="P88" s="15">
        <f>IFERROR(VLOOKUP(K88,Formula!$A$11:$B$20,2,FALSE),Formula!$C$26)</f>
        <v>0.6</v>
      </c>
      <c r="Q88" s="15">
        <f>IF(AND(ISNUMBER(J88),J88&gt;0),1/J88,IF(AND(ISNUMBER(I88),I88&gt;0),SQRT(MIN(I88,Formula!$C$27))/Formula!$C$24,1/Formula!$C$25))</f>
        <v>0.3448275862</v>
      </c>
      <c r="R88" s="15">
        <f t="shared" si="2"/>
        <v>0.2068965517</v>
      </c>
      <c r="S88" s="15">
        <f>IF(H88&lt;&gt;"",EXP(-Formula!$C$28*(EOMONTH(H88,0)-H88)),EXP(-Formula!$C$28*(EOMONTH(D88,0)-D88)))</f>
        <v>0.3011942119</v>
      </c>
      <c r="T88" s="15">
        <f t="shared" si="3"/>
        <v>0.3015113446</v>
      </c>
      <c r="U88" s="15">
        <f t="shared" si="4"/>
        <v>0.01878899417</v>
      </c>
      <c r="V88" s="16">
        <f>IF(AND(L88="Among all respondents",NOT(OR(K88="Online poll in Telegram channel",K88="Website online poll",K88="CAWI (Computer Assisted Web Interviewing)"))),1/(1-MIN(MAX(Formula!$C$33+(YEAR(D88)-Formula!$C$34)/(Formula!$C$35-Formula!$C$34)*(Formula!$C$32-Formula!$C$33),Formula!$C$33),Formula!$C$32)),1)</f>
        <v>1</v>
      </c>
      <c r="W88" s="17">
        <f t="shared" si="5"/>
        <v>4.8</v>
      </c>
    </row>
    <row r="89" ht="15.75" customHeight="1">
      <c r="A89" s="8" t="s">
        <v>457</v>
      </c>
      <c r="B89" s="7" t="s">
        <v>448</v>
      </c>
      <c r="C89" s="13" t="s">
        <v>449</v>
      </c>
      <c r="D89" s="7" t="s">
        <v>29</v>
      </c>
      <c r="E89" s="8" t="s">
        <v>30</v>
      </c>
      <c r="F89" s="8" t="s">
        <v>318</v>
      </c>
      <c r="G89" s="7" t="s">
        <v>450</v>
      </c>
      <c r="H89" s="7" t="s">
        <v>451</v>
      </c>
      <c r="I89" s="8">
        <v>1200.0</v>
      </c>
      <c r="J89" s="8">
        <v>2.9</v>
      </c>
      <c r="K89" s="8" t="s">
        <v>351</v>
      </c>
      <c r="L89" s="8" t="s">
        <v>322</v>
      </c>
      <c r="M89" s="8" t="s">
        <v>382</v>
      </c>
      <c r="N89" s="8">
        <v>3.0</v>
      </c>
      <c r="O89" s="14">
        <f t="shared" si="1"/>
        <v>45992</v>
      </c>
      <c r="P89" s="15">
        <f>IFERROR(VLOOKUP(K89,Formula!$A$11:$B$20,2,FALSE),Formula!$C$26)</f>
        <v>0.6</v>
      </c>
      <c r="Q89" s="15">
        <f>IF(AND(ISNUMBER(J89),J89&gt;0),1/J89,IF(AND(ISNUMBER(I89),I89&gt;0),SQRT(MIN(I89,Formula!$C$27))/Formula!$C$24,1/Formula!$C$25))</f>
        <v>0.3448275862</v>
      </c>
      <c r="R89" s="15">
        <f t="shared" si="2"/>
        <v>0.2068965517</v>
      </c>
      <c r="S89" s="15">
        <f>IF(H89&lt;&gt;"",EXP(-Formula!$C$28*(EOMONTH(H89,0)-H89)),EXP(-Formula!$C$28*(EOMONTH(D89,0)-D89)))</f>
        <v>0.3011942119</v>
      </c>
      <c r="T89" s="15">
        <f t="shared" si="3"/>
        <v>0.3015113446</v>
      </c>
      <c r="U89" s="15">
        <f t="shared" si="4"/>
        <v>0.01878899417</v>
      </c>
      <c r="V89" s="16">
        <f>IF(AND(L89="Among all respondents",NOT(OR(K89="Online poll in Telegram channel",K89="Website online poll",K89="CAWI (Computer Assisted Web Interviewing)"))),1/(1-MIN(MAX(Formula!$C$33+(YEAR(D89)-Formula!$C$34)/(Formula!$C$35-Formula!$C$34)*(Formula!$C$32-Formula!$C$33),Formula!$C$33),Formula!$C$32)),1)</f>
        <v>1</v>
      </c>
      <c r="W89" s="17">
        <f t="shared" si="5"/>
        <v>3</v>
      </c>
    </row>
    <row r="90" ht="15.75" customHeight="1">
      <c r="A90" s="8" t="s">
        <v>458</v>
      </c>
      <c r="B90" s="7" t="s">
        <v>448</v>
      </c>
      <c r="C90" s="13" t="s">
        <v>449</v>
      </c>
      <c r="D90" s="7" t="s">
        <v>29</v>
      </c>
      <c r="E90" s="8" t="s">
        <v>30</v>
      </c>
      <c r="F90" s="8" t="s">
        <v>318</v>
      </c>
      <c r="G90" s="7" t="s">
        <v>450</v>
      </c>
      <c r="H90" s="7" t="s">
        <v>451</v>
      </c>
      <c r="I90" s="8">
        <v>1200.0</v>
      </c>
      <c r="J90" s="8">
        <v>2.9</v>
      </c>
      <c r="K90" s="8" t="s">
        <v>351</v>
      </c>
      <c r="L90" s="8" t="s">
        <v>322</v>
      </c>
      <c r="M90" s="8" t="s">
        <v>339</v>
      </c>
      <c r="N90" s="8">
        <v>2.7</v>
      </c>
      <c r="O90" s="14">
        <f t="shared" si="1"/>
        <v>45992</v>
      </c>
      <c r="P90" s="15">
        <f>IFERROR(VLOOKUP(K90,Formula!$A$11:$B$20,2,FALSE),Formula!$C$26)</f>
        <v>0.6</v>
      </c>
      <c r="Q90" s="15">
        <f>IF(AND(ISNUMBER(J90),J90&gt;0),1/J90,IF(AND(ISNUMBER(I90),I90&gt;0),SQRT(MIN(I90,Formula!$C$27))/Formula!$C$24,1/Formula!$C$25))</f>
        <v>0.3448275862</v>
      </c>
      <c r="R90" s="15">
        <f t="shared" si="2"/>
        <v>0.2068965517</v>
      </c>
      <c r="S90" s="15">
        <f>IF(H90&lt;&gt;"",EXP(-Formula!$C$28*(EOMONTH(H90,0)-H90)),EXP(-Formula!$C$28*(EOMONTH(D90,0)-D90)))</f>
        <v>0.3011942119</v>
      </c>
      <c r="T90" s="15">
        <f t="shared" si="3"/>
        <v>0.3015113446</v>
      </c>
      <c r="U90" s="15">
        <f t="shared" si="4"/>
        <v>0.01878899417</v>
      </c>
      <c r="V90" s="16">
        <f>IF(AND(L90="Among all respondents",NOT(OR(K90="Online poll in Telegram channel",K90="Website online poll",K90="CAWI (Computer Assisted Web Interviewing)"))),1/(1-MIN(MAX(Formula!$C$33+(YEAR(D90)-Formula!$C$34)/(Formula!$C$35-Formula!$C$34)*(Formula!$C$32-Formula!$C$33),Formula!$C$33),Formula!$C$32)),1)</f>
        <v>1</v>
      </c>
      <c r="W90" s="17">
        <f t="shared" si="5"/>
        <v>2.7</v>
      </c>
    </row>
    <row r="91" ht="15.75" customHeight="1">
      <c r="A91" s="8" t="s">
        <v>459</v>
      </c>
      <c r="B91" s="7" t="s">
        <v>448</v>
      </c>
      <c r="C91" s="13" t="s">
        <v>449</v>
      </c>
      <c r="D91" s="7" t="s">
        <v>29</v>
      </c>
      <c r="E91" s="8" t="s">
        <v>30</v>
      </c>
      <c r="F91" s="8" t="s">
        <v>318</v>
      </c>
      <c r="G91" s="7" t="s">
        <v>450</v>
      </c>
      <c r="H91" s="7" t="s">
        <v>451</v>
      </c>
      <c r="I91" s="8">
        <v>1200.0</v>
      </c>
      <c r="J91" s="8">
        <v>2.9</v>
      </c>
      <c r="K91" s="8" t="s">
        <v>351</v>
      </c>
      <c r="L91" s="8" t="s">
        <v>322</v>
      </c>
      <c r="M91" s="8" t="s">
        <v>359</v>
      </c>
      <c r="N91" s="8">
        <v>2.1</v>
      </c>
      <c r="O91" s="14">
        <f t="shared" si="1"/>
        <v>45992</v>
      </c>
      <c r="P91" s="15">
        <f>IFERROR(VLOOKUP(K91,Formula!$A$11:$B$20,2,FALSE),Formula!$C$26)</f>
        <v>0.6</v>
      </c>
      <c r="Q91" s="15">
        <f>IF(AND(ISNUMBER(J91),J91&gt;0),1/J91,IF(AND(ISNUMBER(I91),I91&gt;0),SQRT(MIN(I91,Formula!$C$27))/Formula!$C$24,1/Formula!$C$25))</f>
        <v>0.3448275862</v>
      </c>
      <c r="R91" s="15">
        <f t="shared" si="2"/>
        <v>0.2068965517</v>
      </c>
      <c r="S91" s="15">
        <f>IF(H91&lt;&gt;"",EXP(-Formula!$C$28*(EOMONTH(H91,0)-H91)),EXP(-Formula!$C$28*(EOMONTH(D91,0)-D91)))</f>
        <v>0.3011942119</v>
      </c>
      <c r="T91" s="15">
        <f t="shared" si="3"/>
        <v>0.3015113446</v>
      </c>
      <c r="U91" s="15">
        <f t="shared" si="4"/>
        <v>0.01878899417</v>
      </c>
      <c r="V91" s="16">
        <f>IF(AND(L91="Among all respondents",NOT(OR(K91="Online poll in Telegram channel",K91="Website online poll",K91="CAWI (Computer Assisted Web Interviewing)"))),1/(1-MIN(MAX(Formula!$C$33+(YEAR(D91)-Formula!$C$34)/(Formula!$C$35-Formula!$C$34)*(Formula!$C$32-Formula!$C$33),Formula!$C$33),Formula!$C$32)),1)</f>
        <v>1</v>
      </c>
      <c r="W91" s="17">
        <f t="shared" si="5"/>
        <v>2.1</v>
      </c>
    </row>
    <row r="92" ht="15.75" customHeight="1">
      <c r="A92" s="8" t="s">
        <v>460</v>
      </c>
      <c r="B92" s="7" t="s">
        <v>448</v>
      </c>
      <c r="C92" s="13" t="s">
        <v>449</v>
      </c>
      <c r="D92" s="7" t="s">
        <v>29</v>
      </c>
      <c r="E92" s="8" t="s">
        <v>30</v>
      </c>
      <c r="F92" s="8" t="s">
        <v>318</v>
      </c>
      <c r="G92" s="7" t="s">
        <v>450</v>
      </c>
      <c r="H92" s="7" t="s">
        <v>451</v>
      </c>
      <c r="I92" s="8">
        <v>1200.0</v>
      </c>
      <c r="J92" s="8">
        <v>2.9</v>
      </c>
      <c r="K92" s="8" t="s">
        <v>351</v>
      </c>
      <c r="L92" s="8" t="s">
        <v>322</v>
      </c>
      <c r="M92" s="8" t="s">
        <v>362</v>
      </c>
      <c r="N92" s="8">
        <v>1.4</v>
      </c>
      <c r="O92" s="14">
        <f t="shared" si="1"/>
        <v>45992</v>
      </c>
      <c r="P92" s="15">
        <f>IFERROR(VLOOKUP(K92,Formula!$A$11:$B$20,2,FALSE),Formula!$C$26)</f>
        <v>0.6</v>
      </c>
      <c r="Q92" s="15">
        <f>IF(AND(ISNUMBER(J92),J92&gt;0),1/J92,IF(AND(ISNUMBER(I92),I92&gt;0),SQRT(MIN(I92,Formula!$C$27))/Formula!$C$24,1/Formula!$C$25))</f>
        <v>0.3448275862</v>
      </c>
      <c r="R92" s="15">
        <f t="shared" si="2"/>
        <v>0.2068965517</v>
      </c>
      <c r="S92" s="15">
        <f>IF(H92&lt;&gt;"",EXP(-Formula!$C$28*(EOMONTH(H92,0)-H92)),EXP(-Formula!$C$28*(EOMONTH(D92,0)-D92)))</f>
        <v>0.3011942119</v>
      </c>
      <c r="T92" s="15">
        <f t="shared" si="3"/>
        <v>0.3015113446</v>
      </c>
      <c r="U92" s="15">
        <f t="shared" si="4"/>
        <v>0.01878899417</v>
      </c>
      <c r="V92" s="16">
        <f>IF(AND(L92="Among all respondents",NOT(OR(K92="Online poll in Telegram channel",K92="Website online poll",K92="CAWI (Computer Assisted Web Interviewing)"))),1/(1-MIN(MAX(Formula!$C$33+(YEAR(D92)-Formula!$C$34)/(Formula!$C$35-Formula!$C$34)*(Formula!$C$32-Formula!$C$33),Formula!$C$33),Formula!$C$32)),1)</f>
        <v>1</v>
      </c>
      <c r="W92" s="17">
        <f t="shared" si="5"/>
        <v>1.4</v>
      </c>
    </row>
    <row r="93" ht="15.75" customHeight="1">
      <c r="A93" s="8" t="s">
        <v>461</v>
      </c>
      <c r="B93" s="7" t="s">
        <v>448</v>
      </c>
      <c r="C93" s="13" t="s">
        <v>449</v>
      </c>
      <c r="D93" s="7" t="s">
        <v>29</v>
      </c>
      <c r="E93" s="8" t="s">
        <v>30</v>
      </c>
      <c r="F93" s="8" t="s">
        <v>318</v>
      </c>
      <c r="G93" s="7" t="s">
        <v>450</v>
      </c>
      <c r="H93" s="7" t="s">
        <v>451</v>
      </c>
      <c r="I93" s="8">
        <v>1200.0</v>
      </c>
      <c r="J93" s="8">
        <v>2.9</v>
      </c>
      <c r="K93" s="8" t="s">
        <v>351</v>
      </c>
      <c r="L93" s="8" t="s">
        <v>322</v>
      </c>
      <c r="M93" s="8" t="s">
        <v>365</v>
      </c>
      <c r="N93" s="8">
        <v>0.9</v>
      </c>
      <c r="O93" s="14">
        <f t="shared" si="1"/>
        <v>45992</v>
      </c>
      <c r="P93" s="15">
        <f>IFERROR(VLOOKUP(K93,Formula!$A$11:$B$20,2,FALSE),Formula!$C$26)</f>
        <v>0.6</v>
      </c>
      <c r="Q93" s="15">
        <f>IF(AND(ISNUMBER(J93),J93&gt;0),1/J93,IF(AND(ISNUMBER(I93),I93&gt;0),SQRT(MIN(I93,Formula!$C$27))/Formula!$C$24,1/Formula!$C$25))</f>
        <v>0.3448275862</v>
      </c>
      <c r="R93" s="15">
        <f t="shared" si="2"/>
        <v>0.2068965517</v>
      </c>
      <c r="S93" s="15">
        <f>IF(H93&lt;&gt;"",EXP(-Formula!$C$28*(EOMONTH(H93,0)-H93)),EXP(-Formula!$C$28*(EOMONTH(D93,0)-D93)))</f>
        <v>0.3011942119</v>
      </c>
      <c r="T93" s="15">
        <f t="shared" si="3"/>
        <v>0.3015113446</v>
      </c>
      <c r="U93" s="15">
        <f t="shared" si="4"/>
        <v>0.01878899417</v>
      </c>
      <c r="V93" s="16">
        <f>IF(AND(L93="Among all respondents",NOT(OR(K93="Online poll in Telegram channel",K93="Website online poll",K93="CAWI (Computer Assisted Web Interviewing)"))),1/(1-MIN(MAX(Formula!$C$33+(YEAR(D93)-Formula!$C$34)/(Formula!$C$35-Formula!$C$34)*(Formula!$C$32-Formula!$C$33),Formula!$C$33),Formula!$C$32)),1)</f>
        <v>1</v>
      </c>
      <c r="W93" s="17">
        <f t="shared" si="5"/>
        <v>0.9</v>
      </c>
    </row>
    <row r="94" ht="15.75" customHeight="1">
      <c r="A94" s="8" t="s">
        <v>462</v>
      </c>
      <c r="B94" s="7" t="s">
        <v>463</v>
      </c>
      <c r="C94" s="13" t="s">
        <v>464</v>
      </c>
      <c r="D94" s="7" t="s">
        <v>31</v>
      </c>
      <c r="E94" s="8" t="s">
        <v>27</v>
      </c>
      <c r="F94" s="8" t="s">
        <v>318</v>
      </c>
      <c r="G94" s="7" t="s">
        <v>465</v>
      </c>
      <c r="H94" s="7" t="s">
        <v>466</v>
      </c>
      <c r="I94" s="8">
        <v>1000.0</v>
      </c>
      <c r="J94" s="8">
        <v>3.1</v>
      </c>
      <c r="K94" s="8" t="s">
        <v>467</v>
      </c>
      <c r="L94" s="8" t="s">
        <v>373</v>
      </c>
      <c r="M94" s="8" t="s">
        <v>323</v>
      </c>
      <c r="N94" s="8">
        <v>20.3</v>
      </c>
      <c r="O94" s="14">
        <f t="shared" si="1"/>
        <v>45992</v>
      </c>
      <c r="P94" s="15">
        <f>IFERROR(VLOOKUP(K94,Formula!$A$11:$B$20,2,FALSE),Formula!$C$26)</f>
        <v>1</v>
      </c>
      <c r="Q94" s="15">
        <f>IF(AND(ISNUMBER(J94),J94&gt;0),1/J94,IF(AND(ISNUMBER(I94),I94&gt;0),SQRT(MIN(I94,Formula!$C$27))/Formula!$C$24,1/Formula!$C$25))</f>
        <v>0.3225806452</v>
      </c>
      <c r="R94" s="15">
        <f t="shared" si="2"/>
        <v>0.3225806452</v>
      </c>
      <c r="S94" s="15">
        <f>IF(H94&lt;&gt;"",EXP(-Formula!$C$28*(EOMONTH(H94,0)-H94)),EXP(-Formula!$C$28*(EOMONTH(D94,0)-D94)))</f>
        <v>0.904837418</v>
      </c>
      <c r="T94" s="15">
        <f t="shared" si="3"/>
        <v>0.25</v>
      </c>
      <c r="U94" s="15">
        <f t="shared" si="4"/>
        <v>0.07297075952</v>
      </c>
      <c r="V94" s="16">
        <f>IF(AND(L94="Among all respondents",NOT(OR(K94="Online poll in Telegram channel",K94="Website online poll",K94="CAWI (Computer Assisted Web Interviewing)"))),1/(1-MIN(MAX(Formula!$C$33+(YEAR(D94)-Formula!$C$34)/(Formula!$C$35-Formula!$C$34)*(Formula!$C$32-Formula!$C$33),Formula!$C$33),Formula!$C$32)),1)</f>
        <v>1.282051282</v>
      </c>
      <c r="W94" s="17">
        <f t="shared" si="5"/>
        <v>26.02564103</v>
      </c>
    </row>
    <row r="95" ht="15.75" customHeight="1">
      <c r="A95" s="8" t="s">
        <v>468</v>
      </c>
      <c r="B95" s="7" t="s">
        <v>463</v>
      </c>
      <c r="C95" s="13" t="s">
        <v>464</v>
      </c>
      <c r="D95" s="7" t="s">
        <v>31</v>
      </c>
      <c r="E95" s="8" t="s">
        <v>27</v>
      </c>
      <c r="F95" s="8" t="s">
        <v>318</v>
      </c>
      <c r="G95" s="7" t="s">
        <v>465</v>
      </c>
      <c r="H95" s="7" t="s">
        <v>466</v>
      </c>
      <c r="I95" s="8">
        <v>1000.0</v>
      </c>
      <c r="J95" s="8">
        <v>3.1</v>
      </c>
      <c r="K95" s="8" t="s">
        <v>467</v>
      </c>
      <c r="L95" s="8" t="s">
        <v>373</v>
      </c>
      <c r="M95" s="8" t="s">
        <v>325</v>
      </c>
      <c r="N95" s="8">
        <v>19.1</v>
      </c>
      <c r="O95" s="14">
        <f t="shared" si="1"/>
        <v>45992</v>
      </c>
      <c r="P95" s="15">
        <f>IFERROR(VLOOKUP(K95,Formula!$A$11:$B$20,2,FALSE),Formula!$C$26)</f>
        <v>1</v>
      </c>
      <c r="Q95" s="15">
        <f>IF(AND(ISNUMBER(J95),J95&gt;0),1/J95,IF(AND(ISNUMBER(I95),I95&gt;0),SQRT(MIN(I95,Formula!$C$27))/Formula!$C$24,1/Formula!$C$25))</f>
        <v>0.3225806452</v>
      </c>
      <c r="R95" s="15">
        <f t="shared" si="2"/>
        <v>0.3225806452</v>
      </c>
      <c r="S95" s="15">
        <f>IF(H95&lt;&gt;"",EXP(-Formula!$C$28*(EOMONTH(H95,0)-H95)),EXP(-Formula!$C$28*(EOMONTH(D95,0)-D95)))</f>
        <v>0.904837418</v>
      </c>
      <c r="T95" s="15">
        <f t="shared" si="3"/>
        <v>0.25</v>
      </c>
      <c r="U95" s="15">
        <f t="shared" si="4"/>
        <v>0.07297075952</v>
      </c>
      <c r="V95" s="16">
        <f>IF(AND(L95="Among all respondents",NOT(OR(K95="Online poll in Telegram channel",K95="Website online poll",K95="CAWI (Computer Assisted Web Interviewing)"))),1/(1-MIN(MAX(Formula!$C$33+(YEAR(D95)-Formula!$C$34)/(Formula!$C$35-Formula!$C$34)*(Formula!$C$32-Formula!$C$33),Formula!$C$33),Formula!$C$32)),1)</f>
        <v>1.282051282</v>
      </c>
      <c r="W95" s="17">
        <f t="shared" si="5"/>
        <v>24.48717949</v>
      </c>
    </row>
    <row r="96" ht="15.75" customHeight="1">
      <c r="A96" s="8" t="s">
        <v>469</v>
      </c>
      <c r="B96" s="7" t="s">
        <v>463</v>
      </c>
      <c r="C96" s="13" t="s">
        <v>464</v>
      </c>
      <c r="D96" s="7" t="s">
        <v>31</v>
      </c>
      <c r="E96" s="8" t="s">
        <v>27</v>
      </c>
      <c r="F96" s="8" t="s">
        <v>318</v>
      </c>
      <c r="G96" s="7" t="s">
        <v>465</v>
      </c>
      <c r="H96" s="7" t="s">
        <v>466</v>
      </c>
      <c r="I96" s="8">
        <v>1000.0</v>
      </c>
      <c r="J96" s="8">
        <v>3.1</v>
      </c>
      <c r="K96" s="8" t="s">
        <v>467</v>
      </c>
      <c r="L96" s="8" t="s">
        <v>373</v>
      </c>
      <c r="M96" s="8" t="s">
        <v>327</v>
      </c>
      <c r="N96" s="8">
        <v>5.1</v>
      </c>
      <c r="O96" s="14">
        <f t="shared" si="1"/>
        <v>45992</v>
      </c>
      <c r="P96" s="15">
        <f>IFERROR(VLOOKUP(K96,Formula!$A$11:$B$20,2,FALSE),Formula!$C$26)</f>
        <v>1</v>
      </c>
      <c r="Q96" s="15">
        <f>IF(AND(ISNUMBER(J96),J96&gt;0),1/J96,IF(AND(ISNUMBER(I96),I96&gt;0),SQRT(MIN(I96,Formula!$C$27))/Formula!$C$24,1/Formula!$C$25))</f>
        <v>0.3225806452</v>
      </c>
      <c r="R96" s="15">
        <f t="shared" si="2"/>
        <v>0.3225806452</v>
      </c>
      <c r="S96" s="15">
        <f>IF(H96&lt;&gt;"",EXP(-Formula!$C$28*(EOMONTH(H96,0)-H96)),EXP(-Formula!$C$28*(EOMONTH(D96,0)-D96)))</f>
        <v>0.904837418</v>
      </c>
      <c r="T96" s="15">
        <f t="shared" si="3"/>
        <v>0.25</v>
      </c>
      <c r="U96" s="15">
        <f t="shared" si="4"/>
        <v>0.07297075952</v>
      </c>
      <c r="V96" s="16">
        <f>IF(AND(L96="Among all respondents",NOT(OR(K96="Online poll in Telegram channel",K96="Website online poll",K96="CAWI (Computer Assisted Web Interviewing)"))),1/(1-MIN(MAX(Formula!$C$33+(YEAR(D96)-Formula!$C$34)/(Formula!$C$35-Formula!$C$34)*(Formula!$C$32-Formula!$C$33),Formula!$C$33),Formula!$C$32)),1)</f>
        <v>1.282051282</v>
      </c>
      <c r="W96" s="17">
        <f t="shared" si="5"/>
        <v>6.538461538</v>
      </c>
    </row>
    <row r="97" ht="15.75" customHeight="1">
      <c r="A97" s="8" t="s">
        <v>470</v>
      </c>
      <c r="B97" s="7" t="s">
        <v>463</v>
      </c>
      <c r="C97" s="13" t="s">
        <v>464</v>
      </c>
      <c r="D97" s="7" t="s">
        <v>31</v>
      </c>
      <c r="E97" s="8" t="s">
        <v>27</v>
      </c>
      <c r="F97" s="8" t="s">
        <v>318</v>
      </c>
      <c r="G97" s="7" t="s">
        <v>465</v>
      </c>
      <c r="H97" s="7" t="s">
        <v>466</v>
      </c>
      <c r="I97" s="8">
        <v>1000.0</v>
      </c>
      <c r="J97" s="8">
        <v>3.1</v>
      </c>
      <c r="K97" s="8" t="s">
        <v>467</v>
      </c>
      <c r="L97" s="8" t="s">
        <v>373</v>
      </c>
      <c r="M97" s="8" t="s">
        <v>329</v>
      </c>
      <c r="N97" s="8">
        <v>4.6</v>
      </c>
      <c r="O97" s="14">
        <f t="shared" si="1"/>
        <v>45992</v>
      </c>
      <c r="P97" s="15">
        <f>IFERROR(VLOOKUP(K97,Formula!$A$11:$B$20,2,FALSE),Formula!$C$26)</f>
        <v>1</v>
      </c>
      <c r="Q97" s="15">
        <f>IF(AND(ISNUMBER(J97),J97&gt;0),1/J97,IF(AND(ISNUMBER(I97),I97&gt;0),SQRT(MIN(I97,Formula!$C$27))/Formula!$C$24,1/Formula!$C$25))</f>
        <v>0.3225806452</v>
      </c>
      <c r="R97" s="15">
        <f t="shared" si="2"/>
        <v>0.3225806452</v>
      </c>
      <c r="S97" s="15">
        <f>IF(H97&lt;&gt;"",EXP(-Formula!$C$28*(EOMONTH(H97,0)-H97)),EXP(-Formula!$C$28*(EOMONTH(D97,0)-D97)))</f>
        <v>0.904837418</v>
      </c>
      <c r="T97" s="15">
        <f t="shared" si="3"/>
        <v>0.25</v>
      </c>
      <c r="U97" s="15">
        <f t="shared" si="4"/>
        <v>0.07297075952</v>
      </c>
      <c r="V97" s="16">
        <f>IF(AND(L97="Among all respondents",NOT(OR(K97="Online poll in Telegram channel",K97="Website online poll",K97="CAWI (Computer Assisted Web Interviewing)"))),1/(1-MIN(MAX(Formula!$C$33+(YEAR(D97)-Formula!$C$34)/(Formula!$C$35-Formula!$C$34)*(Formula!$C$32-Formula!$C$33),Formula!$C$33),Formula!$C$32)),1)</f>
        <v>1.282051282</v>
      </c>
      <c r="W97" s="17">
        <f t="shared" si="5"/>
        <v>5.897435897</v>
      </c>
    </row>
    <row r="98" ht="15.75" customHeight="1">
      <c r="A98" s="8" t="s">
        <v>471</v>
      </c>
      <c r="B98" s="7" t="s">
        <v>463</v>
      </c>
      <c r="C98" s="13" t="s">
        <v>464</v>
      </c>
      <c r="D98" s="7" t="s">
        <v>31</v>
      </c>
      <c r="E98" s="8" t="s">
        <v>27</v>
      </c>
      <c r="F98" s="8" t="s">
        <v>318</v>
      </c>
      <c r="G98" s="7" t="s">
        <v>465</v>
      </c>
      <c r="H98" s="7" t="s">
        <v>466</v>
      </c>
      <c r="I98" s="8">
        <v>1000.0</v>
      </c>
      <c r="J98" s="8">
        <v>3.1</v>
      </c>
      <c r="K98" s="8" t="s">
        <v>467</v>
      </c>
      <c r="L98" s="8" t="s">
        <v>373</v>
      </c>
      <c r="M98" s="8" t="s">
        <v>382</v>
      </c>
      <c r="N98" s="8">
        <v>3.6</v>
      </c>
      <c r="O98" s="14">
        <f t="shared" si="1"/>
        <v>45992</v>
      </c>
      <c r="P98" s="15">
        <f>IFERROR(VLOOKUP(K98,Formula!$A$11:$B$20,2,FALSE),Formula!$C$26)</f>
        <v>1</v>
      </c>
      <c r="Q98" s="15">
        <f>IF(AND(ISNUMBER(J98),J98&gt;0),1/J98,IF(AND(ISNUMBER(I98),I98&gt;0),SQRT(MIN(I98,Formula!$C$27))/Formula!$C$24,1/Formula!$C$25))</f>
        <v>0.3225806452</v>
      </c>
      <c r="R98" s="15">
        <f t="shared" si="2"/>
        <v>0.3225806452</v>
      </c>
      <c r="S98" s="15">
        <f>IF(H98&lt;&gt;"",EXP(-Formula!$C$28*(EOMONTH(H98,0)-H98)),EXP(-Formula!$C$28*(EOMONTH(D98,0)-D98)))</f>
        <v>0.904837418</v>
      </c>
      <c r="T98" s="15">
        <f t="shared" si="3"/>
        <v>0.25</v>
      </c>
      <c r="U98" s="15">
        <f t="shared" si="4"/>
        <v>0.07297075952</v>
      </c>
      <c r="V98" s="16">
        <f>IF(AND(L98="Among all respondents",NOT(OR(K98="Online poll in Telegram channel",K98="Website online poll",K98="CAWI (Computer Assisted Web Interviewing)"))),1/(1-MIN(MAX(Formula!$C$33+(YEAR(D98)-Formula!$C$34)/(Formula!$C$35-Formula!$C$34)*(Formula!$C$32-Formula!$C$33),Formula!$C$33),Formula!$C$32)),1)</f>
        <v>1.282051282</v>
      </c>
      <c r="W98" s="17">
        <f t="shared" si="5"/>
        <v>4.615384615</v>
      </c>
    </row>
    <row r="99" ht="15.75" customHeight="1">
      <c r="A99" s="8" t="s">
        <v>472</v>
      </c>
      <c r="B99" s="7" t="s">
        <v>463</v>
      </c>
      <c r="C99" s="13" t="s">
        <v>464</v>
      </c>
      <c r="D99" s="7" t="s">
        <v>31</v>
      </c>
      <c r="E99" s="8" t="s">
        <v>27</v>
      </c>
      <c r="F99" s="8" t="s">
        <v>318</v>
      </c>
      <c r="G99" s="7" t="s">
        <v>465</v>
      </c>
      <c r="H99" s="7" t="s">
        <v>466</v>
      </c>
      <c r="I99" s="8">
        <v>1000.0</v>
      </c>
      <c r="J99" s="8">
        <v>3.1</v>
      </c>
      <c r="K99" s="8" t="s">
        <v>467</v>
      </c>
      <c r="L99" s="8" t="s">
        <v>373</v>
      </c>
      <c r="M99" s="8" t="s">
        <v>335</v>
      </c>
      <c r="N99" s="8">
        <v>3.4</v>
      </c>
      <c r="O99" s="14">
        <f t="shared" si="1"/>
        <v>45992</v>
      </c>
      <c r="P99" s="15">
        <f>IFERROR(VLOOKUP(K99,Formula!$A$11:$B$20,2,FALSE),Formula!$C$26)</f>
        <v>1</v>
      </c>
      <c r="Q99" s="15">
        <f>IF(AND(ISNUMBER(J99),J99&gt;0),1/J99,IF(AND(ISNUMBER(I99),I99&gt;0),SQRT(MIN(I99,Formula!$C$27))/Formula!$C$24,1/Formula!$C$25))</f>
        <v>0.3225806452</v>
      </c>
      <c r="R99" s="15">
        <f t="shared" si="2"/>
        <v>0.3225806452</v>
      </c>
      <c r="S99" s="15">
        <f>IF(H99&lt;&gt;"",EXP(-Formula!$C$28*(EOMONTH(H99,0)-H99)),EXP(-Formula!$C$28*(EOMONTH(D99,0)-D99)))</f>
        <v>0.904837418</v>
      </c>
      <c r="T99" s="15">
        <f t="shared" si="3"/>
        <v>0.25</v>
      </c>
      <c r="U99" s="15">
        <f t="shared" si="4"/>
        <v>0.07297075952</v>
      </c>
      <c r="V99" s="16">
        <f>IF(AND(L99="Among all respondents",NOT(OR(K99="Online poll in Telegram channel",K99="Website online poll",K99="CAWI (Computer Assisted Web Interviewing)"))),1/(1-MIN(MAX(Formula!$C$33+(YEAR(D99)-Formula!$C$34)/(Formula!$C$35-Formula!$C$34)*(Formula!$C$32-Formula!$C$33),Formula!$C$33),Formula!$C$32)),1)</f>
        <v>1.282051282</v>
      </c>
      <c r="W99" s="17">
        <f t="shared" si="5"/>
        <v>4.358974359</v>
      </c>
    </row>
    <row r="100" ht="15.75" customHeight="1">
      <c r="A100" s="8" t="s">
        <v>473</v>
      </c>
      <c r="B100" s="7" t="s">
        <v>463</v>
      </c>
      <c r="C100" s="13" t="s">
        <v>464</v>
      </c>
      <c r="D100" s="7" t="s">
        <v>31</v>
      </c>
      <c r="E100" s="8" t="s">
        <v>27</v>
      </c>
      <c r="F100" s="8" t="s">
        <v>318</v>
      </c>
      <c r="G100" s="7" t="s">
        <v>465</v>
      </c>
      <c r="H100" s="7" t="s">
        <v>466</v>
      </c>
      <c r="I100" s="8">
        <v>1000.0</v>
      </c>
      <c r="J100" s="8">
        <v>3.1</v>
      </c>
      <c r="K100" s="8" t="s">
        <v>467</v>
      </c>
      <c r="L100" s="8" t="s">
        <v>373</v>
      </c>
      <c r="M100" s="8" t="s">
        <v>333</v>
      </c>
      <c r="N100" s="8">
        <v>2.6</v>
      </c>
      <c r="O100" s="14">
        <f t="shared" si="1"/>
        <v>45992</v>
      </c>
      <c r="P100" s="15">
        <f>IFERROR(VLOOKUP(K100,Formula!$A$11:$B$20,2,FALSE),Formula!$C$26)</f>
        <v>1</v>
      </c>
      <c r="Q100" s="15">
        <f>IF(AND(ISNUMBER(J100),J100&gt;0),1/J100,IF(AND(ISNUMBER(I100),I100&gt;0),SQRT(MIN(I100,Formula!$C$27))/Formula!$C$24,1/Formula!$C$25))</f>
        <v>0.3225806452</v>
      </c>
      <c r="R100" s="15">
        <f t="shared" si="2"/>
        <v>0.3225806452</v>
      </c>
      <c r="S100" s="15">
        <f>IF(H100&lt;&gt;"",EXP(-Formula!$C$28*(EOMONTH(H100,0)-H100)),EXP(-Formula!$C$28*(EOMONTH(D100,0)-D100)))</f>
        <v>0.904837418</v>
      </c>
      <c r="T100" s="15">
        <f t="shared" si="3"/>
        <v>0.25</v>
      </c>
      <c r="U100" s="15">
        <f t="shared" si="4"/>
        <v>0.07297075952</v>
      </c>
      <c r="V100" s="16">
        <f>IF(AND(L100="Among all respondents",NOT(OR(K100="Online poll in Telegram channel",K100="Website online poll",K100="CAWI (Computer Assisted Web Interviewing)"))),1/(1-MIN(MAX(Formula!$C$33+(YEAR(D100)-Formula!$C$34)/(Formula!$C$35-Formula!$C$34)*(Formula!$C$32-Formula!$C$33),Formula!$C$33),Formula!$C$32)),1)</f>
        <v>1.282051282</v>
      </c>
      <c r="W100" s="17">
        <f t="shared" si="5"/>
        <v>3.333333333</v>
      </c>
    </row>
    <row r="101" ht="15.75" customHeight="1">
      <c r="A101" s="8" t="s">
        <v>474</v>
      </c>
      <c r="B101" s="7" t="s">
        <v>463</v>
      </c>
      <c r="C101" s="13" t="s">
        <v>464</v>
      </c>
      <c r="D101" s="7" t="s">
        <v>31</v>
      </c>
      <c r="E101" s="8" t="s">
        <v>27</v>
      </c>
      <c r="F101" s="8" t="s">
        <v>318</v>
      </c>
      <c r="G101" s="7" t="s">
        <v>465</v>
      </c>
      <c r="H101" s="7" t="s">
        <v>466</v>
      </c>
      <c r="I101" s="8">
        <v>1000.0</v>
      </c>
      <c r="J101" s="8">
        <v>3.1</v>
      </c>
      <c r="K101" s="8" t="s">
        <v>467</v>
      </c>
      <c r="L101" s="8" t="s">
        <v>373</v>
      </c>
      <c r="M101" s="8" t="s">
        <v>337</v>
      </c>
      <c r="N101" s="8">
        <v>1.5</v>
      </c>
      <c r="O101" s="14">
        <f t="shared" si="1"/>
        <v>45992</v>
      </c>
      <c r="P101" s="15">
        <f>IFERROR(VLOOKUP(K101,Formula!$A$11:$B$20,2,FALSE),Formula!$C$26)</f>
        <v>1</v>
      </c>
      <c r="Q101" s="15">
        <f>IF(AND(ISNUMBER(J101),J101&gt;0),1/J101,IF(AND(ISNUMBER(I101),I101&gt;0),SQRT(MIN(I101,Formula!$C$27))/Formula!$C$24,1/Formula!$C$25))</f>
        <v>0.3225806452</v>
      </c>
      <c r="R101" s="15">
        <f t="shared" si="2"/>
        <v>0.3225806452</v>
      </c>
      <c r="S101" s="15">
        <f>IF(H101&lt;&gt;"",EXP(-Formula!$C$28*(EOMONTH(H101,0)-H101)),EXP(-Formula!$C$28*(EOMONTH(D101,0)-D101)))</f>
        <v>0.904837418</v>
      </c>
      <c r="T101" s="15">
        <f t="shared" si="3"/>
        <v>0.25</v>
      </c>
      <c r="U101" s="15">
        <f t="shared" si="4"/>
        <v>0.07297075952</v>
      </c>
      <c r="V101" s="16">
        <f>IF(AND(L101="Among all respondents",NOT(OR(K101="Online poll in Telegram channel",K101="Website online poll",K101="CAWI (Computer Assisted Web Interviewing)"))),1/(1-MIN(MAX(Formula!$C$33+(YEAR(D101)-Formula!$C$34)/(Formula!$C$35-Formula!$C$34)*(Formula!$C$32-Formula!$C$33),Formula!$C$33),Formula!$C$32)),1)</f>
        <v>1.282051282</v>
      </c>
      <c r="W101" s="17">
        <f t="shared" si="5"/>
        <v>1.923076923</v>
      </c>
    </row>
    <row r="102" ht="15.75" customHeight="1">
      <c r="A102" s="8" t="s">
        <v>475</v>
      </c>
      <c r="B102" s="7" t="s">
        <v>463</v>
      </c>
      <c r="C102" s="13" t="s">
        <v>464</v>
      </c>
      <c r="D102" s="7" t="s">
        <v>31</v>
      </c>
      <c r="E102" s="8" t="s">
        <v>27</v>
      </c>
      <c r="F102" s="8" t="s">
        <v>318</v>
      </c>
      <c r="G102" s="7" t="s">
        <v>465</v>
      </c>
      <c r="H102" s="7" t="s">
        <v>466</v>
      </c>
      <c r="I102" s="8">
        <v>1000.0</v>
      </c>
      <c r="J102" s="8">
        <v>3.1</v>
      </c>
      <c r="K102" s="8" t="s">
        <v>467</v>
      </c>
      <c r="L102" s="8" t="s">
        <v>373</v>
      </c>
      <c r="M102" s="8" t="s">
        <v>476</v>
      </c>
      <c r="N102" s="8">
        <v>1.5</v>
      </c>
      <c r="O102" s="14">
        <f t="shared" si="1"/>
        <v>45992</v>
      </c>
      <c r="P102" s="15">
        <f>IFERROR(VLOOKUP(K102,Formula!$A$11:$B$20,2,FALSE),Formula!$C$26)</f>
        <v>1</v>
      </c>
      <c r="Q102" s="15">
        <f>IF(AND(ISNUMBER(J102),J102&gt;0),1/J102,IF(AND(ISNUMBER(I102),I102&gt;0),SQRT(MIN(I102,Formula!$C$27))/Formula!$C$24,1/Formula!$C$25))</f>
        <v>0.3225806452</v>
      </c>
      <c r="R102" s="15">
        <f t="shared" si="2"/>
        <v>0.3225806452</v>
      </c>
      <c r="S102" s="15">
        <f>IF(H102&lt;&gt;"",EXP(-Formula!$C$28*(EOMONTH(H102,0)-H102)),EXP(-Formula!$C$28*(EOMONTH(D102,0)-D102)))</f>
        <v>0.904837418</v>
      </c>
      <c r="T102" s="15">
        <f t="shared" si="3"/>
        <v>0.25</v>
      </c>
      <c r="U102" s="15">
        <f t="shared" si="4"/>
        <v>0.07297075952</v>
      </c>
      <c r="V102" s="16">
        <f>IF(AND(L102="Among all respondents",NOT(OR(K102="Online poll in Telegram channel",K102="Website online poll",K102="CAWI (Computer Assisted Web Interviewing)"))),1/(1-MIN(MAX(Formula!$C$33+(YEAR(D102)-Formula!$C$34)/(Formula!$C$35-Formula!$C$34)*(Formula!$C$32-Formula!$C$33),Formula!$C$33),Formula!$C$32)),1)</f>
        <v>1.282051282</v>
      </c>
      <c r="W102" s="17">
        <f t="shared" si="5"/>
        <v>1.923076923</v>
      </c>
    </row>
    <row r="103" ht="15.75" customHeight="1">
      <c r="A103" s="8" t="s">
        <v>477</v>
      </c>
      <c r="B103" s="7" t="s">
        <v>463</v>
      </c>
      <c r="C103" s="13" t="s">
        <v>464</v>
      </c>
      <c r="D103" s="7" t="s">
        <v>31</v>
      </c>
      <c r="E103" s="8" t="s">
        <v>27</v>
      </c>
      <c r="F103" s="8" t="s">
        <v>318</v>
      </c>
      <c r="G103" s="7" t="s">
        <v>465</v>
      </c>
      <c r="H103" s="7" t="s">
        <v>466</v>
      </c>
      <c r="I103" s="8">
        <v>1000.0</v>
      </c>
      <c r="J103" s="8">
        <v>3.1</v>
      </c>
      <c r="K103" s="8" t="s">
        <v>467</v>
      </c>
      <c r="L103" s="8" t="s">
        <v>373</v>
      </c>
      <c r="M103" s="8" t="s">
        <v>359</v>
      </c>
      <c r="N103" s="8">
        <v>1.3</v>
      </c>
      <c r="O103" s="14">
        <f t="shared" si="1"/>
        <v>45992</v>
      </c>
      <c r="P103" s="15">
        <f>IFERROR(VLOOKUP(K103,Formula!$A$11:$B$20,2,FALSE),Formula!$C$26)</f>
        <v>1</v>
      </c>
      <c r="Q103" s="15">
        <f>IF(AND(ISNUMBER(J103),J103&gt;0),1/J103,IF(AND(ISNUMBER(I103),I103&gt;0),SQRT(MIN(I103,Formula!$C$27))/Formula!$C$24,1/Formula!$C$25))</f>
        <v>0.3225806452</v>
      </c>
      <c r="R103" s="15">
        <f t="shared" si="2"/>
        <v>0.3225806452</v>
      </c>
      <c r="S103" s="15">
        <f>IF(H103&lt;&gt;"",EXP(-Formula!$C$28*(EOMONTH(H103,0)-H103)),EXP(-Formula!$C$28*(EOMONTH(D103,0)-D103)))</f>
        <v>0.904837418</v>
      </c>
      <c r="T103" s="15">
        <f t="shared" si="3"/>
        <v>0.25</v>
      </c>
      <c r="U103" s="15">
        <f t="shared" si="4"/>
        <v>0.07297075952</v>
      </c>
      <c r="V103" s="16">
        <f>IF(AND(L103="Among all respondents",NOT(OR(K103="Online poll in Telegram channel",K103="Website online poll",K103="CAWI (Computer Assisted Web Interviewing)"))),1/(1-MIN(MAX(Formula!$C$33+(YEAR(D103)-Formula!$C$34)/(Formula!$C$35-Formula!$C$34)*(Formula!$C$32-Formula!$C$33),Formula!$C$33),Formula!$C$32)),1)</f>
        <v>1.282051282</v>
      </c>
      <c r="W103" s="17">
        <f t="shared" si="5"/>
        <v>1.666666667</v>
      </c>
    </row>
    <row r="104" ht="15.75" customHeight="1">
      <c r="A104" s="8" t="s">
        <v>478</v>
      </c>
      <c r="B104" s="7" t="s">
        <v>463</v>
      </c>
      <c r="C104" s="13" t="s">
        <v>464</v>
      </c>
      <c r="D104" s="7" t="s">
        <v>31</v>
      </c>
      <c r="E104" s="8" t="s">
        <v>27</v>
      </c>
      <c r="F104" s="8" t="s">
        <v>318</v>
      </c>
      <c r="G104" s="7" t="s">
        <v>465</v>
      </c>
      <c r="H104" s="7" t="s">
        <v>466</v>
      </c>
      <c r="I104" s="8">
        <v>1000.0</v>
      </c>
      <c r="J104" s="8">
        <v>3.1</v>
      </c>
      <c r="K104" s="8" t="s">
        <v>467</v>
      </c>
      <c r="L104" s="8" t="s">
        <v>373</v>
      </c>
      <c r="M104" s="8" t="s">
        <v>339</v>
      </c>
      <c r="N104" s="8">
        <v>1.3</v>
      </c>
      <c r="O104" s="14">
        <f t="shared" si="1"/>
        <v>45992</v>
      </c>
      <c r="P104" s="15">
        <f>IFERROR(VLOOKUP(K104,Formula!$A$11:$B$20,2,FALSE),Formula!$C$26)</f>
        <v>1</v>
      </c>
      <c r="Q104" s="15">
        <f>IF(AND(ISNUMBER(J104),J104&gt;0),1/J104,IF(AND(ISNUMBER(I104),I104&gt;0),SQRT(MIN(I104,Formula!$C$27))/Formula!$C$24,1/Formula!$C$25))</f>
        <v>0.3225806452</v>
      </c>
      <c r="R104" s="15">
        <f t="shared" si="2"/>
        <v>0.3225806452</v>
      </c>
      <c r="S104" s="15">
        <f>IF(H104&lt;&gt;"",EXP(-Formula!$C$28*(EOMONTH(H104,0)-H104)),EXP(-Formula!$C$28*(EOMONTH(D104,0)-D104)))</f>
        <v>0.904837418</v>
      </c>
      <c r="T104" s="15">
        <f t="shared" si="3"/>
        <v>0.25</v>
      </c>
      <c r="U104" s="15">
        <f t="shared" si="4"/>
        <v>0.07297075952</v>
      </c>
      <c r="V104" s="16">
        <f>IF(AND(L104="Among all respondents",NOT(OR(K104="Online poll in Telegram channel",K104="Website online poll",K104="CAWI (Computer Assisted Web Interviewing)"))),1/(1-MIN(MAX(Formula!$C$33+(YEAR(D104)-Formula!$C$34)/(Formula!$C$35-Formula!$C$34)*(Formula!$C$32-Formula!$C$33),Formula!$C$33),Formula!$C$32)),1)</f>
        <v>1.282051282</v>
      </c>
      <c r="W104" s="17">
        <f t="shared" si="5"/>
        <v>1.666666667</v>
      </c>
    </row>
    <row r="105" ht="15.75" customHeight="1">
      <c r="A105" s="8" t="s">
        <v>479</v>
      </c>
      <c r="B105" s="7" t="s">
        <v>463</v>
      </c>
      <c r="C105" s="13" t="s">
        <v>464</v>
      </c>
      <c r="D105" s="7" t="s">
        <v>31</v>
      </c>
      <c r="E105" s="8" t="s">
        <v>27</v>
      </c>
      <c r="F105" s="8" t="s">
        <v>318</v>
      </c>
      <c r="G105" s="7" t="s">
        <v>465</v>
      </c>
      <c r="H105" s="7" t="s">
        <v>466</v>
      </c>
      <c r="I105" s="8">
        <v>1000.0</v>
      </c>
      <c r="J105" s="8">
        <v>3.1</v>
      </c>
      <c r="K105" s="8" t="s">
        <v>467</v>
      </c>
      <c r="L105" s="8" t="s">
        <v>373</v>
      </c>
      <c r="M105" s="8" t="s">
        <v>367</v>
      </c>
      <c r="N105" s="8">
        <v>1.2</v>
      </c>
      <c r="O105" s="14">
        <f t="shared" si="1"/>
        <v>45992</v>
      </c>
      <c r="P105" s="15">
        <f>IFERROR(VLOOKUP(K105,Formula!$A$11:$B$20,2,FALSE),Formula!$C$26)</f>
        <v>1</v>
      </c>
      <c r="Q105" s="15">
        <f>IF(AND(ISNUMBER(J105),J105&gt;0),1/J105,IF(AND(ISNUMBER(I105),I105&gt;0),SQRT(MIN(I105,Formula!$C$27))/Formula!$C$24,1/Formula!$C$25))</f>
        <v>0.3225806452</v>
      </c>
      <c r="R105" s="15">
        <f t="shared" si="2"/>
        <v>0.3225806452</v>
      </c>
      <c r="S105" s="15">
        <f>IF(H105&lt;&gt;"",EXP(-Formula!$C$28*(EOMONTH(H105,0)-H105)),EXP(-Formula!$C$28*(EOMONTH(D105,0)-D105)))</f>
        <v>0.904837418</v>
      </c>
      <c r="T105" s="15">
        <f t="shared" si="3"/>
        <v>0.25</v>
      </c>
      <c r="U105" s="15">
        <f t="shared" si="4"/>
        <v>0.07297075952</v>
      </c>
      <c r="V105" s="16">
        <f>IF(AND(L105="Among all respondents",NOT(OR(K105="Online poll in Telegram channel",K105="Website online poll",K105="CAWI (Computer Assisted Web Interviewing)"))),1/(1-MIN(MAX(Formula!$C$33+(YEAR(D105)-Formula!$C$34)/(Formula!$C$35-Formula!$C$34)*(Formula!$C$32-Formula!$C$33),Formula!$C$33),Formula!$C$32)),1)</f>
        <v>1.282051282</v>
      </c>
      <c r="W105" s="17">
        <f t="shared" si="5"/>
        <v>1.538461538</v>
      </c>
    </row>
    <row r="106" ht="15.75" customHeight="1">
      <c r="A106" s="8" t="s">
        <v>480</v>
      </c>
      <c r="B106" s="7" t="s">
        <v>463</v>
      </c>
      <c r="C106" s="13" t="s">
        <v>464</v>
      </c>
      <c r="D106" s="7" t="s">
        <v>31</v>
      </c>
      <c r="E106" s="8" t="s">
        <v>27</v>
      </c>
      <c r="F106" s="8" t="s">
        <v>318</v>
      </c>
      <c r="G106" s="7" t="s">
        <v>465</v>
      </c>
      <c r="H106" s="7" t="s">
        <v>466</v>
      </c>
      <c r="I106" s="8">
        <v>1000.0</v>
      </c>
      <c r="J106" s="8">
        <v>3.1</v>
      </c>
      <c r="K106" s="8" t="s">
        <v>467</v>
      </c>
      <c r="L106" s="8" t="s">
        <v>373</v>
      </c>
      <c r="M106" s="8" t="s">
        <v>386</v>
      </c>
      <c r="N106" s="8">
        <v>1.2</v>
      </c>
      <c r="O106" s="14">
        <f t="shared" si="1"/>
        <v>45992</v>
      </c>
      <c r="P106" s="15">
        <f>IFERROR(VLOOKUP(K106,Formula!$A$11:$B$20,2,FALSE),Formula!$C$26)</f>
        <v>1</v>
      </c>
      <c r="Q106" s="15">
        <f>IF(AND(ISNUMBER(J106),J106&gt;0),1/J106,IF(AND(ISNUMBER(I106),I106&gt;0),SQRT(MIN(I106,Formula!$C$27))/Formula!$C$24,1/Formula!$C$25))</f>
        <v>0.3225806452</v>
      </c>
      <c r="R106" s="15">
        <f t="shared" si="2"/>
        <v>0.3225806452</v>
      </c>
      <c r="S106" s="15">
        <f>IF(H106&lt;&gt;"",EXP(-Formula!$C$28*(EOMONTH(H106,0)-H106)),EXP(-Formula!$C$28*(EOMONTH(D106,0)-D106)))</f>
        <v>0.904837418</v>
      </c>
      <c r="T106" s="15">
        <f t="shared" si="3"/>
        <v>0.25</v>
      </c>
      <c r="U106" s="15">
        <f t="shared" si="4"/>
        <v>0.07297075952</v>
      </c>
      <c r="V106" s="16">
        <f>IF(AND(L106="Among all respondents",NOT(OR(K106="Online poll in Telegram channel",K106="Website online poll",K106="CAWI (Computer Assisted Web Interviewing)"))),1/(1-MIN(MAX(Formula!$C$33+(YEAR(D106)-Formula!$C$34)/(Formula!$C$35-Formula!$C$34)*(Formula!$C$32-Formula!$C$33),Formula!$C$33),Formula!$C$32)),1)</f>
        <v>1.282051282</v>
      </c>
      <c r="W106" s="17">
        <f t="shared" si="5"/>
        <v>1.538461538</v>
      </c>
    </row>
    <row r="107" ht="15.75" customHeight="1">
      <c r="A107" s="8" t="s">
        <v>481</v>
      </c>
      <c r="B107" s="7" t="s">
        <v>463</v>
      </c>
      <c r="C107" s="13" t="s">
        <v>464</v>
      </c>
      <c r="D107" s="7" t="s">
        <v>31</v>
      </c>
      <c r="E107" s="8" t="s">
        <v>27</v>
      </c>
      <c r="F107" s="8" t="s">
        <v>318</v>
      </c>
      <c r="G107" s="7" t="s">
        <v>465</v>
      </c>
      <c r="H107" s="7" t="s">
        <v>466</v>
      </c>
      <c r="I107" s="8">
        <v>1000.0</v>
      </c>
      <c r="J107" s="8">
        <v>3.1</v>
      </c>
      <c r="K107" s="8" t="s">
        <v>467</v>
      </c>
      <c r="L107" s="8" t="s">
        <v>373</v>
      </c>
      <c r="M107" s="8" t="s">
        <v>388</v>
      </c>
      <c r="N107" s="8">
        <v>1.0</v>
      </c>
      <c r="O107" s="14">
        <f t="shared" si="1"/>
        <v>45992</v>
      </c>
      <c r="P107" s="15">
        <f>IFERROR(VLOOKUP(K107,Formula!$A$11:$B$20,2,FALSE),Formula!$C$26)</f>
        <v>1</v>
      </c>
      <c r="Q107" s="15">
        <f>IF(AND(ISNUMBER(J107),J107&gt;0),1/J107,IF(AND(ISNUMBER(I107),I107&gt;0),SQRT(MIN(I107,Formula!$C$27))/Formula!$C$24,1/Formula!$C$25))</f>
        <v>0.3225806452</v>
      </c>
      <c r="R107" s="15">
        <f t="shared" si="2"/>
        <v>0.3225806452</v>
      </c>
      <c r="S107" s="15">
        <f>IF(H107&lt;&gt;"",EXP(-Formula!$C$28*(EOMONTH(H107,0)-H107)),EXP(-Formula!$C$28*(EOMONTH(D107,0)-D107)))</f>
        <v>0.904837418</v>
      </c>
      <c r="T107" s="15">
        <f t="shared" si="3"/>
        <v>0.25</v>
      </c>
      <c r="U107" s="15">
        <f t="shared" si="4"/>
        <v>0.07297075952</v>
      </c>
      <c r="V107" s="16">
        <f>IF(AND(L107="Among all respondents",NOT(OR(K107="Online poll in Telegram channel",K107="Website online poll",K107="CAWI (Computer Assisted Web Interviewing)"))),1/(1-MIN(MAX(Formula!$C$33+(YEAR(D107)-Formula!$C$34)/(Formula!$C$35-Formula!$C$34)*(Formula!$C$32-Formula!$C$33),Formula!$C$33),Formula!$C$32)),1)</f>
        <v>1.282051282</v>
      </c>
      <c r="W107" s="17">
        <f t="shared" si="5"/>
        <v>1.282051282</v>
      </c>
    </row>
    <row r="108" ht="15.75" customHeight="1">
      <c r="A108" s="8" t="s">
        <v>482</v>
      </c>
      <c r="B108" s="7" t="s">
        <v>463</v>
      </c>
      <c r="C108" s="13" t="s">
        <v>464</v>
      </c>
      <c r="D108" s="7" t="s">
        <v>31</v>
      </c>
      <c r="E108" s="8" t="s">
        <v>27</v>
      </c>
      <c r="F108" s="8" t="s">
        <v>318</v>
      </c>
      <c r="G108" s="7" t="s">
        <v>465</v>
      </c>
      <c r="H108" s="7" t="s">
        <v>466</v>
      </c>
      <c r="I108" s="8">
        <v>1000.0</v>
      </c>
      <c r="J108" s="8">
        <v>3.1</v>
      </c>
      <c r="K108" s="8" t="s">
        <v>467</v>
      </c>
      <c r="L108" s="8" t="s">
        <v>373</v>
      </c>
      <c r="M108" s="8" t="s">
        <v>365</v>
      </c>
      <c r="N108" s="8">
        <v>0.8</v>
      </c>
      <c r="O108" s="14">
        <f t="shared" si="1"/>
        <v>45992</v>
      </c>
      <c r="P108" s="15">
        <f>IFERROR(VLOOKUP(K108,Formula!$A$11:$B$20,2,FALSE),Formula!$C$26)</f>
        <v>1</v>
      </c>
      <c r="Q108" s="15">
        <f>IF(AND(ISNUMBER(J108),J108&gt;0),1/J108,IF(AND(ISNUMBER(I108),I108&gt;0),SQRT(MIN(I108,Formula!$C$27))/Formula!$C$24,1/Formula!$C$25))</f>
        <v>0.3225806452</v>
      </c>
      <c r="R108" s="15">
        <f t="shared" si="2"/>
        <v>0.3225806452</v>
      </c>
      <c r="S108" s="15">
        <f>IF(H108&lt;&gt;"",EXP(-Formula!$C$28*(EOMONTH(H108,0)-H108)),EXP(-Formula!$C$28*(EOMONTH(D108,0)-D108)))</f>
        <v>0.904837418</v>
      </c>
      <c r="T108" s="15">
        <f t="shared" si="3"/>
        <v>0.25</v>
      </c>
      <c r="U108" s="15">
        <f t="shared" si="4"/>
        <v>0.07297075952</v>
      </c>
      <c r="V108" s="16">
        <f>IF(AND(L108="Among all respondents",NOT(OR(K108="Online poll in Telegram channel",K108="Website online poll",K108="CAWI (Computer Assisted Web Interviewing)"))),1/(1-MIN(MAX(Formula!$C$33+(YEAR(D108)-Formula!$C$34)/(Formula!$C$35-Formula!$C$34)*(Formula!$C$32-Formula!$C$33),Formula!$C$33),Formula!$C$32)),1)</f>
        <v>1.282051282</v>
      </c>
      <c r="W108" s="17">
        <f t="shared" si="5"/>
        <v>1.025641026</v>
      </c>
    </row>
    <row r="109" ht="15.75" customHeight="1">
      <c r="A109" s="8" t="s">
        <v>483</v>
      </c>
      <c r="B109" s="7" t="s">
        <v>463</v>
      </c>
      <c r="C109" s="13" t="s">
        <v>464</v>
      </c>
      <c r="D109" s="7" t="s">
        <v>31</v>
      </c>
      <c r="E109" s="8" t="s">
        <v>27</v>
      </c>
      <c r="F109" s="8" t="s">
        <v>318</v>
      </c>
      <c r="G109" s="7" t="s">
        <v>465</v>
      </c>
      <c r="H109" s="7" t="s">
        <v>466</v>
      </c>
      <c r="I109" s="8">
        <v>1000.0</v>
      </c>
      <c r="J109" s="8">
        <v>3.1</v>
      </c>
      <c r="K109" s="8" t="s">
        <v>467</v>
      </c>
      <c r="L109" s="8" t="s">
        <v>373</v>
      </c>
      <c r="M109" s="8" t="s">
        <v>343</v>
      </c>
      <c r="N109" s="8">
        <v>0.6</v>
      </c>
      <c r="O109" s="14">
        <f t="shared" si="1"/>
        <v>45992</v>
      </c>
      <c r="P109" s="15">
        <f>IFERROR(VLOOKUP(K109,Formula!$A$11:$B$20,2,FALSE),Formula!$C$26)</f>
        <v>1</v>
      </c>
      <c r="Q109" s="15">
        <f>IF(AND(ISNUMBER(J109),J109&gt;0),1/J109,IF(AND(ISNUMBER(I109),I109&gt;0),SQRT(MIN(I109,Formula!$C$27))/Formula!$C$24,1/Formula!$C$25))</f>
        <v>0.3225806452</v>
      </c>
      <c r="R109" s="15">
        <f t="shared" si="2"/>
        <v>0.3225806452</v>
      </c>
      <c r="S109" s="15">
        <f>IF(H109&lt;&gt;"",EXP(-Formula!$C$28*(EOMONTH(H109,0)-H109)),EXP(-Formula!$C$28*(EOMONTH(D109,0)-D109)))</f>
        <v>0.904837418</v>
      </c>
      <c r="T109" s="15">
        <f t="shared" si="3"/>
        <v>0.25</v>
      </c>
      <c r="U109" s="15">
        <f t="shared" si="4"/>
        <v>0.07297075952</v>
      </c>
      <c r="V109" s="16">
        <f>IF(AND(L109="Among all respondents",NOT(OR(K109="Online poll in Telegram channel",K109="Website online poll",K109="CAWI (Computer Assisted Web Interviewing)"))),1/(1-MIN(MAX(Formula!$C$33+(YEAR(D109)-Formula!$C$34)/(Formula!$C$35-Formula!$C$34)*(Formula!$C$32-Formula!$C$33),Formula!$C$33),Formula!$C$32)),1)</f>
        <v>1.282051282</v>
      </c>
      <c r="W109" s="17">
        <f t="shared" si="5"/>
        <v>0.7692307692</v>
      </c>
    </row>
    <row r="110" ht="15.75" customHeight="1">
      <c r="A110" s="8" t="s">
        <v>484</v>
      </c>
      <c r="B110" s="7" t="s">
        <v>485</v>
      </c>
      <c r="C110" s="13" t="s">
        <v>486</v>
      </c>
      <c r="D110" s="7" t="s">
        <v>34</v>
      </c>
      <c r="E110" s="8" t="s">
        <v>17</v>
      </c>
      <c r="F110" s="8" t="s">
        <v>318</v>
      </c>
      <c r="G110" s="7" t="s">
        <v>487</v>
      </c>
      <c r="H110" s="7" t="s">
        <v>488</v>
      </c>
      <c r="I110" s="8">
        <v>2000.0</v>
      </c>
      <c r="J110" s="8">
        <v>2.0</v>
      </c>
      <c r="K110" s="8" t="s">
        <v>436</v>
      </c>
      <c r="L110" s="8" t="s">
        <v>322</v>
      </c>
      <c r="M110" s="8" t="s">
        <v>323</v>
      </c>
      <c r="N110" s="8">
        <v>30.1</v>
      </c>
      <c r="O110" s="14">
        <f t="shared" si="1"/>
        <v>45962</v>
      </c>
      <c r="P110" s="15">
        <f>IFERROR(VLOOKUP(K110,Formula!$A$11:$B$20,2,FALSE),Formula!$C$26)</f>
        <v>0.95</v>
      </c>
      <c r="Q110" s="15">
        <f>IF(AND(ISNUMBER(J110),J110&gt;0),1/J110,IF(AND(ISNUMBER(I110),I110&gt;0),SQRT(MIN(I110,Formula!$C$27))/Formula!$C$24,1/Formula!$C$25))</f>
        <v>0.5</v>
      </c>
      <c r="R110" s="15">
        <f t="shared" si="2"/>
        <v>0.475</v>
      </c>
      <c r="S110" s="15">
        <f>IF(H110&lt;&gt;"",EXP(-Formula!$C$28*(EOMONTH(H110,0)-H110)),EXP(-Formula!$C$28*(EOMONTH(D110,0)-D110)))</f>
        <v>0.4723665527</v>
      </c>
      <c r="T110" s="15">
        <f t="shared" si="3"/>
        <v>0.2773500981</v>
      </c>
      <c r="U110" s="15">
        <f t="shared" si="4"/>
        <v>0.06223018213</v>
      </c>
      <c r="V110" s="16">
        <f>IF(AND(L110="Among all respondents",NOT(OR(K110="Online poll in Telegram channel",K110="Website online poll",K110="CAWI (Computer Assisted Web Interviewing)"))),1/(1-MIN(MAX(Formula!$C$33+(YEAR(D110)-Formula!$C$34)/(Formula!$C$35-Formula!$C$34)*(Formula!$C$32-Formula!$C$33),Formula!$C$33),Formula!$C$32)),1)</f>
        <v>1</v>
      </c>
      <c r="W110" s="17">
        <f t="shared" si="5"/>
        <v>30.1</v>
      </c>
    </row>
    <row r="111" ht="15.75" customHeight="1">
      <c r="A111" s="8" t="s">
        <v>489</v>
      </c>
      <c r="B111" s="7" t="s">
        <v>485</v>
      </c>
      <c r="C111" s="13" t="s">
        <v>486</v>
      </c>
      <c r="D111" s="7" t="s">
        <v>34</v>
      </c>
      <c r="E111" s="8" t="s">
        <v>17</v>
      </c>
      <c r="F111" s="8" t="s">
        <v>318</v>
      </c>
      <c r="G111" s="7" t="s">
        <v>487</v>
      </c>
      <c r="H111" s="7" t="s">
        <v>488</v>
      </c>
      <c r="I111" s="8">
        <v>2000.0</v>
      </c>
      <c r="J111" s="8">
        <v>2.0</v>
      </c>
      <c r="K111" s="8" t="s">
        <v>436</v>
      </c>
      <c r="L111" s="8" t="s">
        <v>322</v>
      </c>
      <c r="M111" s="8" t="s">
        <v>325</v>
      </c>
      <c r="N111" s="8">
        <v>28.9</v>
      </c>
      <c r="O111" s="14">
        <f t="shared" si="1"/>
        <v>45962</v>
      </c>
      <c r="P111" s="15">
        <f>IFERROR(VLOOKUP(K111,Formula!$A$11:$B$20,2,FALSE),Formula!$C$26)</f>
        <v>0.95</v>
      </c>
      <c r="Q111" s="15">
        <f>IF(AND(ISNUMBER(J111),J111&gt;0),1/J111,IF(AND(ISNUMBER(I111),I111&gt;0),SQRT(MIN(I111,Formula!$C$27))/Formula!$C$24,1/Formula!$C$25))</f>
        <v>0.5</v>
      </c>
      <c r="R111" s="15">
        <f t="shared" si="2"/>
        <v>0.475</v>
      </c>
      <c r="S111" s="15">
        <f>IF(H111&lt;&gt;"",EXP(-Formula!$C$28*(EOMONTH(H111,0)-H111)),EXP(-Formula!$C$28*(EOMONTH(D111,0)-D111)))</f>
        <v>0.4723665527</v>
      </c>
      <c r="T111" s="15">
        <f t="shared" si="3"/>
        <v>0.2773500981</v>
      </c>
      <c r="U111" s="15">
        <f t="shared" si="4"/>
        <v>0.06223018213</v>
      </c>
      <c r="V111" s="16">
        <f>IF(AND(L111="Among all respondents",NOT(OR(K111="Online poll in Telegram channel",K111="Website online poll",K111="CAWI (Computer Assisted Web Interviewing)"))),1/(1-MIN(MAX(Formula!$C$33+(YEAR(D111)-Formula!$C$34)/(Formula!$C$35-Formula!$C$34)*(Formula!$C$32-Formula!$C$33),Formula!$C$33),Formula!$C$32)),1)</f>
        <v>1</v>
      </c>
      <c r="W111" s="17">
        <f t="shared" si="5"/>
        <v>28.9</v>
      </c>
    </row>
    <row r="112" ht="15.75" customHeight="1">
      <c r="A112" s="8" t="s">
        <v>490</v>
      </c>
      <c r="B112" s="7" t="s">
        <v>485</v>
      </c>
      <c r="C112" s="13" t="s">
        <v>486</v>
      </c>
      <c r="D112" s="7" t="s">
        <v>34</v>
      </c>
      <c r="E112" s="8" t="s">
        <v>17</v>
      </c>
      <c r="F112" s="8" t="s">
        <v>318</v>
      </c>
      <c r="G112" s="7" t="s">
        <v>487</v>
      </c>
      <c r="H112" s="7" t="s">
        <v>488</v>
      </c>
      <c r="I112" s="8">
        <v>2000.0</v>
      </c>
      <c r="J112" s="8">
        <v>2.0</v>
      </c>
      <c r="K112" s="8" t="s">
        <v>436</v>
      </c>
      <c r="L112" s="8" t="s">
        <v>322</v>
      </c>
      <c r="M112" s="8" t="s">
        <v>329</v>
      </c>
      <c r="N112" s="8">
        <v>7.2</v>
      </c>
      <c r="O112" s="14">
        <f t="shared" si="1"/>
        <v>45962</v>
      </c>
      <c r="P112" s="15">
        <f>IFERROR(VLOOKUP(K112,Formula!$A$11:$B$20,2,FALSE),Formula!$C$26)</f>
        <v>0.95</v>
      </c>
      <c r="Q112" s="15">
        <f>IF(AND(ISNUMBER(J112),J112&gt;0),1/J112,IF(AND(ISNUMBER(I112),I112&gt;0),SQRT(MIN(I112,Formula!$C$27))/Formula!$C$24,1/Formula!$C$25))</f>
        <v>0.5</v>
      </c>
      <c r="R112" s="15">
        <f t="shared" si="2"/>
        <v>0.475</v>
      </c>
      <c r="S112" s="15">
        <f>IF(H112&lt;&gt;"",EXP(-Formula!$C$28*(EOMONTH(H112,0)-H112)),EXP(-Formula!$C$28*(EOMONTH(D112,0)-D112)))</f>
        <v>0.4723665527</v>
      </c>
      <c r="T112" s="15">
        <f t="shared" si="3"/>
        <v>0.2773500981</v>
      </c>
      <c r="U112" s="15">
        <f t="shared" si="4"/>
        <v>0.06223018213</v>
      </c>
      <c r="V112" s="16">
        <f>IF(AND(L112="Among all respondents",NOT(OR(K112="Online poll in Telegram channel",K112="Website online poll",K112="CAWI (Computer Assisted Web Interviewing)"))),1/(1-MIN(MAX(Formula!$C$33+(YEAR(D112)-Formula!$C$34)/(Formula!$C$35-Formula!$C$34)*(Formula!$C$32-Formula!$C$33),Formula!$C$33),Formula!$C$32)),1)</f>
        <v>1</v>
      </c>
      <c r="W112" s="17">
        <f t="shared" si="5"/>
        <v>7.2</v>
      </c>
    </row>
    <row r="113" ht="15.75" customHeight="1">
      <c r="A113" s="8" t="s">
        <v>491</v>
      </c>
      <c r="B113" s="7" t="s">
        <v>485</v>
      </c>
      <c r="C113" s="13" t="s">
        <v>486</v>
      </c>
      <c r="D113" s="7" t="s">
        <v>34</v>
      </c>
      <c r="E113" s="8" t="s">
        <v>17</v>
      </c>
      <c r="F113" s="8" t="s">
        <v>318</v>
      </c>
      <c r="G113" s="7" t="s">
        <v>487</v>
      </c>
      <c r="H113" s="7" t="s">
        <v>488</v>
      </c>
      <c r="I113" s="8">
        <v>2000.0</v>
      </c>
      <c r="J113" s="8">
        <v>2.0</v>
      </c>
      <c r="K113" s="8" t="s">
        <v>436</v>
      </c>
      <c r="L113" s="8" t="s">
        <v>322</v>
      </c>
      <c r="M113" s="8" t="s">
        <v>327</v>
      </c>
      <c r="N113" s="8">
        <v>5.0</v>
      </c>
      <c r="O113" s="14">
        <f t="shared" si="1"/>
        <v>45962</v>
      </c>
      <c r="P113" s="15">
        <f>IFERROR(VLOOKUP(K113,Formula!$A$11:$B$20,2,FALSE),Formula!$C$26)</f>
        <v>0.95</v>
      </c>
      <c r="Q113" s="15">
        <f>IF(AND(ISNUMBER(J113),J113&gt;0),1/J113,IF(AND(ISNUMBER(I113),I113&gt;0),SQRT(MIN(I113,Formula!$C$27))/Formula!$C$24,1/Formula!$C$25))</f>
        <v>0.5</v>
      </c>
      <c r="R113" s="15">
        <f t="shared" si="2"/>
        <v>0.475</v>
      </c>
      <c r="S113" s="15">
        <f>IF(H113&lt;&gt;"",EXP(-Formula!$C$28*(EOMONTH(H113,0)-H113)),EXP(-Formula!$C$28*(EOMONTH(D113,0)-D113)))</f>
        <v>0.4723665527</v>
      </c>
      <c r="T113" s="15">
        <f t="shared" si="3"/>
        <v>0.2773500981</v>
      </c>
      <c r="U113" s="15">
        <f t="shared" si="4"/>
        <v>0.06223018213</v>
      </c>
      <c r="V113" s="16">
        <f>IF(AND(L113="Among all respondents",NOT(OR(K113="Online poll in Telegram channel",K113="Website online poll",K113="CAWI (Computer Assisted Web Interviewing)"))),1/(1-MIN(MAX(Formula!$C$33+(YEAR(D113)-Formula!$C$34)/(Formula!$C$35-Formula!$C$34)*(Formula!$C$32-Formula!$C$33),Formula!$C$33),Formula!$C$32)),1)</f>
        <v>1</v>
      </c>
      <c r="W113" s="17">
        <f t="shared" si="5"/>
        <v>5</v>
      </c>
    </row>
    <row r="114" ht="15.75" customHeight="1">
      <c r="A114" s="8" t="s">
        <v>492</v>
      </c>
      <c r="B114" s="7" t="s">
        <v>485</v>
      </c>
      <c r="C114" s="13" t="s">
        <v>486</v>
      </c>
      <c r="D114" s="7" t="s">
        <v>34</v>
      </c>
      <c r="E114" s="8" t="s">
        <v>17</v>
      </c>
      <c r="F114" s="8" t="s">
        <v>318</v>
      </c>
      <c r="G114" s="7" t="s">
        <v>487</v>
      </c>
      <c r="H114" s="7" t="s">
        <v>488</v>
      </c>
      <c r="I114" s="8">
        <v>2000.0</v>
      </c>
      <c r="J114" s="8">
        <v>2.0</v>
      </c>
      <c r="K114" s="8" t="s">
        <v>436</v>
      </c>
      <c r="L114" s="8" t="s">
        <v>322</v>
      </c>
      <c r="M114" s="8" t="s">
        <v>333</v>
      </c>
      <c r="N114" s="8">
        <v>4.4</v>
      </c>
      <c r="O114" s="14">
        <f t="shared" si="1"/>
        <v>45962</v>
      </c>
      <c r="P114" s="15">
        <f>IFERROR(VLOOKUP(K114,Formula!$A$11:$B$20,2,FALSE),Formula!$C$26)</f>
        <v>0.95</v>
      </c>
      <c r="Q114" s="15">
        <f>IF(AND(ISNUMBER(J114),J114&gt;0),1/J114,IF(AND(ISNUMBER(I114),I114&gt;0),SQRT(MIN(I114,Formula!$C$27))/Formula!$C$24,1/Formula!$C$25))</f>
        <v>0.5</v>
      </c>
      <c r="R114" s="15">
        <f t="shared" si="2"/>
        <v>0.475</v>
      </c>
      <c r="S114" s="15">
        <f>IF(H114&lt;&gt;"",EXP(-Formula!$C$28*(EOMONTH(H114,0)-H114)),EXP(-Formula!$C$28*(EOMONTH(D114,0)-D114)))</f>
        <v>0.4723665527</v>
      </c>
      <c r="T114" s="15">
        <f t="shared" si="3"/>
        <v>0.2773500981</v>
      </c>
      <c r="U114" s="15">
        <f t="shared" si="4"/>
        <v>0.06223018213</v>
      </c>
      <c r="V114" s="16">
        <f>IF(AND(L114="Among all respondents",NOT(OR(K114="Online poll in Telegram channel",K114="Website online poll",K114="CAWI (Computer Assisted Web Interviewing)"))),1/(1-MIN(MAX(Formula!$C$33+(YEAR(D114)-Formula!$C$34)/(Formula!$C$35-Formula!$C$34)*(Formula!$C$32-Formula!$C$33),Formula!$C$33),Formula!$C$32)),1)</f>
        <v>1</v>
      </c>
      <c r="W114" s="17">
        <f t="shared" si="5"/>
        <v>4.4</v>
      </c>
    </row>
    <row r="115" ht="15.75" customHeight="1">
      <c r="A115" s="8" t="s">
        <v>493</v>
      </c>
      <c r="B115" s="7" t="s">
        <v>485</v>
      </c>
      <c r="C115" s="13" t="s">
        <v>486</v>
      </c>
      <c r="D115" s="7" t="s">
        <v>34</v>
      </c>
      <c r="E115" s="8" t="s">
        <v>17</v>
      </c>
      <c r="F115" s="8" t="s">
        <v>318</v>
      </c>
      <c r="G115" s="7" t="s">
        <v>487</v>
      </c>
      <c r="H115" s="7" t="s">
        <v>488</v>
      </c>
      <c r="I115" s="8">
        <v>2000.0</v>
      </c>
      <c r="J115" s="8">
        <v>2.0</v>
      </c>
      <c r="K115" s="8" t="s">
        <v>436</v>
      </c>
      <c r="L115" s="8" t="s">
        <v>322</v>
      </c>
      <c r="M115" s="8" t="s">
        <v>337</v>
      </c>
      <c r="N115" s="8">
        <v>3.9</v>
      </c>
      <c r="O115" s="14">
        <f t="shared" si="1"/>
        <v>45962</v>
      </c>
      <c r="P115" s="15">
        <f>IFERROR(VLOOKUP(K115,Formula!$A$11:$B$20,2,FALSE),Formula!$C$26)</f>
        <v>0.95</v>
      </c>
      <c r="Q115" s="15">
        <f>IF(AND(ISNUMBER(J115),J115&gt;0),1/J115,IF(AND(ISNUMBER(I115),I115&gt;0),SQRT(MIN(I115,Formula!$C$27))/Formula!$C$24,1/Formula!$C$25))</f>
        <v>0.5</v>
      </c>
      <c r="R115" s="15">
        <f t="shared" si="2"/>
        <v>0.475</v>
      </c>
      <c r="S115" s="15">
        <f>IF(H115&lt;&gt;"",EXP(-Formula!$C$28*(EOMONTH(H115,0)-H115)),EXP(-Formula!$C$28*(EOMONTH(D115,0)-D115)))</f>
        <v>0.4723665527</v>
      </c>
      <c r="T115" s="15">
        <f t="shared" si="3"/>
        <v>0.2773500981</v>
      </c>
      <c r="U115" s="15">
        <f t="shared" si="4"/>
        <v>0.06223018213</v>
      </c>
      <c r="V115" s="16">
        <f>IF(AND(L115="Among all respondents",NOT(OR(K115="Online poll in Telegram channel",K115="Website online poll",K115="CAWI (Computer Assisted Web Interviewing)"))),1/(1-MIN(MAX(Formula!$C$33+(YEAR(D115)-Formula!$C$34)/(Formula!$C$35-Formula!$C$34)*(Formula!$C$32-Formula!$C$33),Formula!$C$33),Formula!$C$32)),1)</f>
        <v>1</v>
      </c>
      <c r="W115" s="17">
        <f t="shared" si="5"/>
        <v>3.9</v>
      </c>
    </row>
    <row r="116" ht="15.75" customHeight="1">
      <c r="A116" s="8" t="s">
        <v>494</v>
      </c>
      <c r="B116" s="7" t="s">
        <v>485</v>
      </c>
      <c r="C116" s="13" t="s">
        <v>486</v>
      </c>
      <c r="D116" s="7" t="s">
        <v>34</v>
      </c>
      <c r="E116" s="8" t="s">
        <v>17</v>
      </c>
      <c r="F116" s="8" t="s">
        <v>318</v>
      </c>
      <c r="G116" s="7" t="s">
        <v>487</v>
      </c>
      <c r="H116" s="7" t="s">
        <v>488</v>
      </c>
      <c r="I116" s="8">
        <v>2000.0</v>
      </c>
      <c r="J116" s="8">
        <v>2.0</v>
      </c>
      <c r="K116" s="8" t="s">
        <v>436</v>
      </c>
      <c r="L116" s="8" t="s">
        <v>322</v>
      </c>
      <c r="M116" s="8" t="s">
        <v>335</v>
      </c>
      <c r="N116" s="8">
        <v>3.7</v>
      </c>
      <c r="O116" s="14">
        <f t="shared" si="1"/>
        <v>45962</v>
      </c>
      <c r="P116" s="15">
        <f>IFERROR(VLOOKUP(K116,Formula!$A$11:$B$20,2,FALSE),Formula!$C$26)</f>
        <v>0.95</v>
      </c>
      <c r="Q116" s="15">
        <f>IF(AND(ISNUMBER(J116),J116&gt;0),1/J116,IF(AND(ISNUMBER(I116),I116&gt;0),SQRT(MIN(I116,Formula!$C$27))/Formula!$C$24,1/Formula!$C$25))</f>
        <v>0.5</v>
      </c>
      <c r="R116" s="15">
        <f t="shared" si="2"/>
        <v>0.475</v>
      </c>
      <c r="S116" s="15">
        <f>IF(H116&lt;&gt;"",EXP(-Formula!$C$28*(EOMONTH(H116,0)-H116)),EXP(-Formula!$C$28*(EOMONTH(D116,0)-D116)))</f>
        <v>0.4723665527</v>
      </c>
      <c r="T116" s="15">
        <f t="shared" si="3"/>
        <v>0.2773500981</v>
      </c>
      <c r="U116" s="15">
        <f t="shared" si="4"/>
        <v>0.06223018213</v>
      </c>
      <c r="V116" s="16">
        <f>IF(AND(L116="Among all respondents",NOT(OR(K116="Online poll in Telegram channel",K116="Website online poll",K116="CAWI (Computer Assisted Web Interviewing)"))),1/(1-MIN(MAX(Formula!$C$33+(YEAR(D116)-Formula!$C$34)/(Formula!$C$35-Formula!$C$34)*(Formula!$C$32-Formula!$C$33),Formula!$C$33),Formula!$C$32)),1)</f>
        <v>1</v>
      </c>
      <c r="W116" s="17">
        <f t="shared" si="5"/>
        <v>3.7</v>
      </c>
    </row>
    <row r="117" ht="15.75" customHeight="1">
      <c r="A117" s="8" t="s">
        <v>495</v>
      </c>
      <c r="B117" s="7" t="s">
        <v>485</v>
      </c>
      <c r="C117" s="13" t="s">
        <v>486</v>
      </c>
      <c r="D117" s="7" t="s">
        <v>34</v>
      </c>
      <c r="E117" s="8" t="s">
        <v>17</v>
      </c>
      <c r="F117" s="8" t="s">
        <v>318</v>
      </c>
      <c r="G117" s="7" t="s">
        <v>487</v>
      </c>
      <c r="H117" s="7" t="s">
        <v>488</v>
      </c>
      <c r="I117" s="8">
        <v>2000.0</v>
      </c>
      <c r="J117" s="8">
        <v>2.0</v>
      </c>
      <c r="K117" s="8" t="s">
        <v>436</v>
      </c>
      <c r="L117" s="8" t="s">
        <v>322</v>
      </c>
      <c r="M117" s="8" t="s">
        <v>339</v>
      </c>
      <c r="N117" s="8">
        <v>2.4</v>
      </c>
      <c r="O117" s="14">
        <f t="shared" si="1"/>
        <v>45962</v>
      </c>
      <c r="P117" s="15">
        <f>IFERROR(VLOOKUP(K117,Formula!$A$11:$B$20,2,FALSE),Formula!$C$26)</f>
        <v>0.95</v>
      </c>
      <c r="Q117" s="15">
        <f>IF(AND(ISNUMBER(J117),J117&gt;0),1/J117,IF(AND(ISNUMBER(I117),I117&gt;0),SQRT(MIN(I117,Formula!$C$27))/Formula!$C$24,1/Formula!$C$25))</f>
        <v>0.5</v>
      </c>
      <c r="R117" s="15">
        <f t="shared" si="2"/>
        <v>0.475</v>
      </c>
      <c r="S117" s="15">
        <f>IF(H117&lt;&gt;"",EXP(-Formula!$C$28*(EOMONTH(H117,0)-H117)),EXP(-Formula!$C$28*(EOMONTH(D117,0)-D117)))</f>
        <v>0.4723665527</v>
      </c>
      <c r="T117" s="15">
        <f t="shared" si="3"/>
        <v>0.2773500981</v>
      </c>
      <c r="U117" s="15">
        <f t="shared" si="4"/>
        <v>0.06223018213</v>
      </c>
      <c r="V117" s="16">
        <f>IF(AND(L117="Among all respondents",NOT(OR(K117="Online poll in Telegram channel",K117="Website online poll",K117="CAWI (Computer Assisted Web Interviewing)"))),1/(1-MIN(MAX(Formula!$C$33+(YEAR(D117)-Formula!$C$34)/(Formula!$C$35-Formula!$C$34)*(Formula!$C$32-Formula!$C$33),Formula!$C$33),Formula!$C$32)),1)</f>
        <v>1</v>
      </c>
      <c r="W117" s="17">
        <f t="shared" si="5"/>
        <v>2.4</v>
      </c>
    </row>
    <row r="118" ht="15.75" customHeight="1">
      <c r="A118" s="8" t="s">
        <v>496</v>
      </c>
      <c r="B118" s="7" t="s">
        <v>485</v>
      </c>
      <c r="C118" s="13" t="s">
        <v>486</v>
      </c>
      <c r="D118" s="7" t="s">
        <v>34</v>
      </c>
      <c r="E118" s="8" t="s">
        <v>17</v>
      </c>
      <c r="F118" s="8" t="s">
        <v>318</v>
      </c>
      <c r="G118" s="7" t="s">
        <v>487</v>
      </c>
      <c r="H118" s="7" t="s">
        <v>488</v>
      </c>
      <c r="I118" s="8">
        <v>2000.0</v>
      </c>
      <c r="J118" s="8">
        <v>2.0</v>
      </c>
      <c r="K118" s="8" t="s">
        <v>436</v>
      </c>
      <c r="L118" s="8" t="s">
        <v>322</v>
      </c>
      <c r="M118" s="8" t="s">
        <v>365</v>
      </c>
      <c r="N118" s="8">
        <v>2.1</v>
      </c>
      <c r="O118" s="14">
        <f t="shared" si="1"/>
        <v>45962</v>
      </c>
      <c r="P118" s="15">
        <f>IFERROR(VLOOKUP(K118,Formula!$A$11:$B$20,2,FALSE),Formula!$C$26)</f>
        <v>0.95</v>
      </c>
      <c r="Q118" s="15">
        <f>IF(AND(ISNUMBER(J118),J118&gt;0),1/J118,IF(AND(ISNUMBER(I118),I118&gt;0),SQRT(MIN(I118,Formula!$C$27))/Formula!$C$24,1/Formula!$C$25))</f>
        <v>0.5</v>
      </c>
      <c r="R118" s="15">
        <f t="shared" si="2"/>
        <v>0.475</v>
      </c>
      <c r="S118" s="15">
        <f>IF(H118&lt;&gt;"",EXP(-Formula!$C$28*(EOMONTH(H118,0)-H118)),EXP(-Formula!$C$28*(EOMONTH(D118,0)-D118)))</f>
        <v>0.4723665527</v>
      </c>
      <c r="T118" s="15">
        <f t="shared" si="3"/>
        <v>0.2773500981</v>
      </c>
      <c r="U118" s="15">
        <f t="shared" si="4"/>
        <v>0.06223018213</v>
      </c>
      <c r="V118" s="16">
        <f>IF(AND(L118="Among all respondents",NOT(OR(K118="Online poll in Telegram channel",K118="Website online poll",K118="CAWI (Computer Assisted Web Interviewing)"))),1/(1-MIN(MAX(Formula!$C$33+(YEAR(D118)-Formula!$C$34)/(Formula!$C$35-Formula!$C$34)*(Formula!$C$32-Formula!$C$33),Formula!$C$33),Formula!$C$32)),1)</f>
        <v>1</v>
      </c>
      <c r="W118" s="17">
        <f t="shared" si="5"/>
        <v>2.1</v>
      </c>
    </row>
    <row r="119" ht="15.75" customHeight="1">
      <c r="A119" s="8" t="s">
        <v>497</v>
      </c>
      <c r="B119" s="7" t="s">
        <v>485</v>
      </c>
      <c r="C119" s="13" t="s">
        <v>486</v>
      </c>
      <c r="D119" s="7" t="s">
        <v>34</v>
      </c>
      <c r="E119" s="8" t="s">
        <v>17</v>
      </c>
      <c r="F119" s="8" t="s">
        <v>318</v>
      </c>
      <c r="G119" s="7" t="s">
        <v>487</v>
      </c>
      <c r="H119" s="7" t="s">
        <v>488</v>
      </c>
      <c r="I119" s="8">
        <v>2000.0</v>
      </c>
      <c r="J119" s="8">
        <v>2.0</v>
      </c>
      <c r="K119" s="8" t="s">
        <v>436</v>
      </c>
      <c r="L119" s="8" t="s">
        <v>322</v>
      </c>
      <c r="M119" s="8" t="s">
        <v>498</v>
      </c>
      <c r="N119" s="8">
        <v>1.6</v>
      </c>
      <c r="O119" s="14">
        <f t="shared" si="1"/>
        <v>45962</v>
      </c>
      <c r="P119" s="15">
        <f>IFERROR(VLOOKUP(K119,Formula!$A$11:$B$20,2,FALSE),Formula!$C$26)</f>
        <v>0.95</v>
      </c>
      <c r="Q119" s="15">
        <f>IF(AND(ISNUMBER(J119),J119&gt;0),1/J119,IF(AND(ISNUMBER(I119),I119&gt;0),SQRT(MIN(I119,Formula!$C$27))/Formula!$C$24,1/Formula!$C$25))</f>
        <v>0.5</v>
      </c>
      <c r="R119" s="15">
        <f t="shared" si="2"/>
        <v>0.475</v>
      </c>
      <c r="S119" s="15">
        <f>IF(H119&lt;&gt;"",EXP(-Formula!$C$28*(EOMONTH(H119,0)-H119)),EXP(-Formula!$C$28*(EOMONTH(D119,0)-D119)))</f>
        <v>0.4723665527</v>
      </c>
      <c r="T119" s="15">
        <f t="shared" si="3"/>
        <v>0.2773500981</v>
      </c>
      <c r="U119" s="15">
        <f t="shared" si="4"/>
        <v>0.06223018213</v>
      </c>
      <c r="V119" s="16">
        <f>IF(AND(L119="Among all respondents",NOT(OR(K119="Online poll in Telegram channel",K119="Website online poll",K119="CAWI (Computer Assisted Web Interviewing)"))),1/(1-MIN(MAX(Formula!$C$33+(YEAR(D119)-Formula!$C$34)/(Formula!$C$35-Formula!$C$34)*(Formula!$C$32-Formula!$C$33),Formula!$C$33),Formula!$C$32)),1)</f>
        <v>1</v>
      </c>
      <c r="W119" s="17">
        <f t="shared" si="5"/>
        <v>1.6</v>
      </c>
    </row>
    <row r="120" ht="15.75" customHeight="1">
      <c r="A120" s="8" t="s">
        <v>499</v>
      </c>
      <c r="B120" s="7" t="s">
        <v>485</v>
      </c>
      <c r="C120" s="13" t="s">
        <v>486</v>
      </c>
      <c r="D120" s="7" t="s">
        <v>34</v>
      </c>
      <c r="E120" s="8" t="s">
        <v>17</v>
      </c>
      <c r="F120" s="8" t="s">
        <v>318</v>
      </c>
      <c r="G120" s="7" t="s">
        <v>487</v>
      </c>
      <c r="H120" s="7" t="s">
        <v>488</v>
      </c>
      <c r="I120" s="8">
        <v>2000.0</v>
      </c>
      <c r="J120" s="8">
        <v>2.0</v>
      </c>
      <c r="K120" s="8" t="s">
        <v>436</v>
      </c>
      <c r="L120" s="8" t="s">
        <v>322</v>
      </c>
      <c r="M120" s="8" t="s">
        <v>359</v>
      </c>
      <c r="N120" s="8">
        <v>1.4</v>
      </c>
      <c r="O120" s="14">
        <f t="shared" si="1"/>
        <v>45962</v>
      </c>
      <c r="P120" s="15">
        <f>IFERROR(VLOOKUP(K120,Formula!$A$11:$B$20,2,FALSE),Formula!$C$26)</f>
        <v>0.95</v>
      </c>
      <c r="Q120" s="15">
        <f>IF(AND(ISNUMBER(J120),J120&gt;0),1/J120,IF(AND(ISNUMBER(I120),I120&gt;0),SQRT(MIN(I120,Formula!$C$27))/Formula!$C$24,1/Formula!$C$25))</f>
        <v>0.5</v>
      </c>
      <c r="R120" s="15">
        <f t="shared" si="2"/>
        <v>0.475</v>
      </c>
      <c r="S120" s="15">
        <f>IF(H120&lt;&gt;"",EXP(-Formula!$C$28*(EOMONTH(H120,0)-H120)),EXP(-Formula!$C$28*(EOMONTH(D120,0)-D120)))</f>
        <v>0.4723665527</v>
      </c>
      <c r="T120" s="15">
        <f t="shared" si="3"/>
        <v>0.2773500981</v>
      </c>
      <c r="U120" s="15">
        <f t="shared" si="4"/>
        <v>0.06223018213</v>
      </c>
      <c r="V120" s="16">
        <f>IF(AND(L120="Among all respondents",NOT(OR(K120="Online poll in Telegram channel",K120="Website online poll",K120="CAWI (Computer Assisted Web Interviewing)"))),1/(1-MIN(MAX(Formula!$C$33+(YEAR(D120)-Formula!$C$34)/(Formula!$C$35-Formula!$C$34)*(Formula!$C$32-Formula!$C$33),Formula!$C$33),Formula!$C$32)),1)</f>
        <v>1</v>
      </c>
      <c r="W120" s="17">
        <f t="shared" si="5"/>
        <v>1.4</v>
      </c>
    </row>
    <row r="121" ht="15.75" customHeight="1">
      <c r="A121" s="8" t="s">
        <v>500</v>
      </c>
      <c r="B121" s="7" t="s">
        <v>485</v>
      </c>
      <c r="C121" s="13" t="s">
        <v>486</v>
      </c>
      <c r="D121" s="7" t="s">
        <v>34</v>
      </c>
      <c r="E121" s="8" t="s">
        <v>17</v>
      </c>
      <c r="F121" s="8" t="s">
        <v>318</v>
      </c>
      <c r="G121" s="7" t="s">
        <v>487</v>
      </c>
      <c r="H121" s="7" t="s">
        <v>488</v>
      </c>
      <c r="I121" s="8">
        <v>2000.0</v>
      </c>
      <c r="J121" s="8">
        <v>2.0</v>
      </c>
      <c r="K121" s="8" t="s">
        <v>436</v>
      </c>
      <c r="L121" s="8" t="s">
        <v>322</v>
      </c>
      <c r="M121" s="8" t="s">
        <v>367</v>
      </c>
      <c r="N121" s="8">
        <v>1.1</v>
      </c>
      <c r="O121" s="14">
        <f t="shared" si="1"/>
        <v>45962</v>
      </c>
      <c r="P121" s="15">
        <f>IFERROR(VLOOKUP(K121,Formula!$A$11:$B$20,2,FALSE),Formula!$C$26)</f>
        <v>0.95</v>
      </c>
      <c r="Q121" s="15">
        <f>IF(AND(ISNUMBER(J121),J121&gt;0),1/J121,IF(AND(ISNUMBER(I121),I121&gt;0),SQRT(MIN(I121,Formula!$C$27))/Formula!$C$24,1/Formula!$C$25))</f>
        <v>0.5</v>
      </c>
      <c r="R121" s="15">
        <f t="shared" si="2"/>
        <v>0.475</v>
      </c>
      <c r="S121" s="15">
        <f>IF(H121&lt;&gt;"",EXP(-Formula!$C$28*(EOMONTH(H121,0)-H121)),EXP(-Formula!$C$28*(EOMONTH(D121,0)-D121)))</f>
        <v>0.4723665527</v>
      </c>
      <c r="T121" s="15">
        <f t="shared" si="3"/>
        <v>0.2773500981</v>
      </c>
      <c r="U121" s="15">
        <f t="shared" si="4"/>
        <v>0.06223018213</v>
      </c>
      <c r="V121" s="16">
        <f>IF(AND(L121="Among all respondents",NOT(OR(K121="Online poll in Telegram channel",K121="Website online poll",K121="CAWI (Computer Assisted Web Interviewing)"))),1/(1-MIN(MAX(Formula!$C$33+(YEAR(D121)-Formula!$C$34)/(Formula!$C$35-Formula!$C$34)*(Formula!$C$32-Formula!$C$33),Formula!$C$33),Formula!$C$32)),1)</f>
        <v>1</v>
      </c>
      <c r="W121" s="17">
        <f t="shared" si="5"/>
        <v>1.1</v>
      </c>
    </row>
    <row r="122" ht="15.75" customHeight="1">
      <c r="A122" s="8" t="s">
        <v>501</v>
      </c>
      <c r="B122" s="7" t="s">
        <v>485</v>
      </c>
      <c r="C122" s="13" t="s">
        <v>486</v>
      </c>
      <c r="D122" s="7" t="s">
        <v>34</v>
      </c>
      <c r="E122" s="8" t="s">
        <v>17</v>
      </c>
      <c r="F122" s="8" t="s">
        <v>318</v>
      </c>
      <c r="G122" s="7" t="s">
        <v>487</v>
      </c>
      <c r="H122" s="7" t="s">
        <v>488</v>
      </c>
      <c r="I122" s="8">
        <v>2000.0</v>
      </c>
      <c r="J122" s="8">
        <v>2.0</v>
      </c>
      <c r="K122" s="8" t="s">
        <v>436</v>
      </c>
      <c r="L122" s="8" t="s">
        <v>322</v>
      </c>
      <c r="M122" s="8" t="s">
        <v>343</v>
      </c>
      <c r="N122" s="8">
        <v>1.1</v>
      </c>
      <c r="O122" s="14">
        <f t="shared" si="1"/>
        <v>45962</v>
      </c>
      <c r="P122" s="15">
        <f>IFERROR(VLOOKUP(K122,Formula!$A$11:$B$20,2,FALSE),Formula!$C$26)</f>
        <v>0.95</v>
      </c>
      <c r="Q122" s="15">
        <f>IF(AND(ISNUMBER(J122),J122&gt;0),1/J122,IF(AND(ISNUMBER(I122),I122&gt;0),SQRT(MIN(I122,Formula!$C$27))/Formula!$C$24,1/Formula!$C$25))</f>
        <v>0.5</v>
      </c>
      <c r="R122" s="15">
        <f t="shared" si="2"/>
        <v>0.475</v>
      </c>
      <c r="S122" s="15">
        <f>IF(H122&lt;&gt;"",EXP(-Formula!$C$28*(EOMONTH(H122,0)-H122)),EXP(-Formula!$C$28*(EOMONTH(D122,0)-D122)))</f>
        <v>0.4723665527</v>
      </c>
      <c r="T122" s="15">
        <f t="shared" si="3"/>
        <v>0.2773500981</v>
      </c>
      <c r="U122" s="15">
        <f t="shared" si="4"/>
        <v>0.06223018213</v>
      </c>
      <c r="V122" s="16">
        <f>IF(AND(L122="Among all respondents",NOT(OR(K122="Online poll in Telegram channel",K122="Website online poll",K122="CAWI (Computer Assisted Web Interviewing)"))),1/(1-MIN(MAX(Formula!$C$33+(YEAR(D122)-Formula!$C$34)/(Formula!$C$35-Formula!$C$34)*(Formula!$C$32-Formula!$C$33),Formula!$C$33),Formula!$C$32)),1)</f>
        <v>1</v>
      </c>
      <c r="W122" s="17">
        <f t="shared" si="5"/>
        <v>1.1</v>
      </c>
    </row>
    <row r="123" ht="15.75" customHeight="1">
      <c r="A123" s="8" t="s">
        <v>502</v>
      </c>
      <c r="B123" s="7" t="s">
        <v>503</v>
      </c>
      <c r="C123" s="13" t="s">
        <v>504</v>
      </c>
      <c r="D123" s="7" t="s">
        <v>32</v>
      </c>
      <c r="E123" s="8" t="s">
        <v>27</v>
      </c>
      <c r="F123" s="8" t="s">
        <v>318</v>
      </c>
      <c r="G123" s="7" t="s">
        <v>505</v>
      </c>
      <c r="H123" s="7" t="s">
        <v>506</v>
      </c>
      <c r="I123" s="8">
        <v>1000.0</v>
      </c>
      <c r="J123" s="8">
        <v>3.1</v>
      </c>
      <c r="K123" s="8" t="s">
        <v>321</v>
      </c>
      <c r="L123" s="8" t="s">
        <v>373</v>
      </c>
      <c r="M123" s="8" t="s">
        <v>323</v>
      </c>
      <c r="N123" s="8">
        <v>24.3</v>
      </c>
      <c r="O123" s="14">
        <f t="shared" si="1"/>
        <v>45962</v>
      </c>
      <c r="P123" s="15">
        <f>IFERROR(VLOOKUP(K123,Formula!$A$11:$B$20,2,FALSE),Formula!$C$26)</f>
        <v>0.9</v>
      </c>
      <c r="Q123" s="15">
        <f>IF(AND(ISNUMBER(J123),J123&gt;0),1/J123,IF(AND(ISNUMBER(I123),I123&gt;0),SQRT(MIN(I123,Formula!$C$27))/Formula!$C$24,1/Formula!$C$25))</f>
        <v>0.3225806452</v>
      </c>
      <c r="R123" s="15">
        <f t="shared" si="2"/>
        <v>0.2903225806</v>
      </c>
      <c r="S123" s="15">
        <f>IF(H123&lt;&gt;"",EXP(-Formula!$C$28*(EOMONTH(H123,0)-H123)),EXP(-Formula!$C$28*(EOMONTH(D123,0)-D123)))</f>
        <v>0.670320046</v>
      </c>
      <c r="T123" s="15">
        <f t="shared" si="3"/>
        <v>0.25</v>
      </c>
      <c r="U123" s="15">
        <f t="shared" si="4"/>
        <v>0.04865226141</v>
      </c>
      <c r="V123" s="16">
        <f>IF(AND(L123="Among all respondents",NOT(OR(K123="Online poll in Telegram channel",K123="Website online poll",K123="CAWI (Computer Assisted Web Interviewing)"))),1/(1-MIN(MAX(Formula!$C$33+(YEAR(D123)-Formula!$C$34)/(Formula!$C$35-Formula!$C$34)*(Formula!$C$32-Formula!$C$33),Formula!$C$33),Formula!$C$32)),1)</f>
        <v>1.282051282</v>
      </c>
      <c r="W123" s="17">
        <f t="shared" si="5"/>
        <v>31.15384615</v>
      </c>
    </row>
    <row r="124" ht="15.75" customHeight="1">
      <c r="A124" s="8" t="s">
        <v>507</v>
      </c>
      <c r="B124" s="7" t="s">
        <v>503</v>
      </c>
      <c r="C124" s="13" t="s">
        <v>504</v>
      </c>
      <c r="D124" s="7" t="s">
        <v>32</v>
      </c>
      <c r="E124" s="8" t="s">
        <v>27</v>
      </c>
      <c r="F124" s="8" t="s">
        <v>318</v>
      </c>
      <c r="G124" s="7" t="s">
        <v>505</v>
      </c>
      <c r="H124" s="7" t="s">
        <v>506</v>
      </c>
      <c r="I124" s="8">
        <v>1000.0</v>
      </c>
      <c r="J124" s="8">
        <v>3.1</v>
      </c>
      <c r="K124" s="8" t="s">
        <v>321</v>
      </c>
      <c r="L124" s="8" t="s">
        <v>373</v>
      </c>
      <c r="M124" s="8" t="s">
        <v>325</v>
      </c>
      <c r="N124" s="8">
        <v>16.4</v>
      </c>
      <c r="O124" s="14">
        <f t="shared" si="1"/>
        <v>45962</v>
      </c>
      <c r="P124" s="15">
        <f>IFERROR(VLOOKUP(K124,Formula!$A$11:$B$20,2,FALSE),Formula!$C$26)</f>
        <v>0.9</v>
      </c>
      <c r="Q124" s="15">
        <f>IF(AND(ISNUMBER(J124),J124&gt;0),1/J124,IF(AND(ISNUMBER(I124),I124&gt;0),SQRT(MIN(I124,Formula!$C$27))/Formula!$C$24,1/Formula!$C$25))</f>
        <v>0.3225806452</v>
      </c>
      <c r="R124" s="15">
        <f t="shared" si="2"/>
        <v>0.2903225806</v>
      </c>
      <c r="S124" s="15">
        <f>IF(H124&lt;&gt;"",EXP(-Formula!$C$28*(EOMONTH(H124,0)-H124)),EXP(-Formula!$C$28*(EOMONTH(D124,0)-D124)))</f>
        <v>0.670320046</v>
      </c>
      <c r="T124" s="15">
        <f t="shared" si="3"/>
        <v>0.25</v>
      </c>
      <c r="U124" s="15">
        <f t="shared" si="4"/>
        <v>0.04865226141</v>
      </c>
      <c r="V124" s="16">
        <f>IF(AND(L124="Among all respondents",NOT(OR(K124="Online poll in Telegram channel",K124="Website online poll",K124="CAWI (Computer Assisted Web Interviewing)"))),1/(1-MIN(MAX(Formula!$C$33+(YEAR(D124)-Formula!$C$34)/(Formula!$C$35-Formula!$C$34)*(Formula!$C$32-Formula!$C$33),Formula!$C$33),Formula!$C$32)),1)</f>
        <v>1.282051282</v>
      </c>
      <c r="W124" s="17">
        <f t="shared" si="5"/>
        <v>21.02564103</v>
      </c>
    </row>
    <row r="125" ht="15.75" customHeight="1">
      <c r="A125" s="8" t="s">
        <v>508</v>
      </c>
      <c r="B125" s="7" t="s">
        <v>503</v>
      </c>
      <c r="C125" s="13" t="s">
        <v>504</v>
      </c>
      <c r="D125" s="7" t="s">
        <v>32</v>
      </c>
      <c r="E125" s="8" t="s">
        <v>27</v>
      </c>
      <c r="F125" s="8" t="s">
        <v>318</v>
      </c>
      <c r="G125" s="7" t="s">
        <v>505</v>
      </c>
      <c r="H125" s="7" t="s">
        <v>506</v>
      </c>
      <c r="I125" s="8">
        <v>1000.0</v>
      </c>
      <c r="J125" s="8">
        <v>3.1</v>
      </c>
      <c r="K125" s="8" t="s">
        <v>321</v>
      </c>
      <c r="L125" s="8" t="s">
        <v>373</v>
      </c>
      <c r="M125" s="8" t="s">
        <v>327</v>
      </c>
      <c r="N125" s="8">
        <v>4.7</v>
      </c>
      <c r="O125" s="14">
        <f t="shared" si="1"/>
        <v>45962</v>
      </c>
      <c r="P125" s="15">
        <f>IFERROR(VLOOKUP(K125,Formula!$A$11:$B$20,2,FALSE),Formula!$C$26)</f>
        <v>0.9</v>
      </c>
      <c r="Q125" s="15">
        <f>IF(AND(ISNUMBER(J125),J125&gt;0),1/J125,IF(AND(ISNUMBER(I125),I125&gt;0),SQRT(MIN(I125,Formula!$C$27))/Formula!$C$24,1/Formula!$C$25))</f>
        <v>0.3225806452</v>
      </c>
      <c r="R125" s="15">
        <f t="shared" si="2"/>
        <v>0.2903225806</v>
      </c>
      <c r="S125" s="15">
        <f>IF(H125&lt;&gt;"",EXP(-Formula!$C$28*(EOMONTH(H125,0)-H125)),EXP(-Formula!$C$28*(EOMONTH(D125,0)-D125)))</f>
        <v>0.670320046</v>
      </c>
      <c r="T125" s="15">
        <f t="shared" si="3"/>
        <v>0.25</v>
      </c>
      <c r="U125" s="15">
        <f t="shared" si="4"/>
        <v>0.04865226141</v>
      </c>
      <c r="V125" s="16">
        <f>IF(AND(L125="Among all respondents",NOT(OR(K125="Online poll in Telegram channel",K125="Website online poll",K125="CAWI (Computer Assisted Web Interviewing)"))),1/(1-MIN(MAX(Formula!$C$33+(YEAR(D125)-Formula!$C$34)/(Formula!$C$35-Formula!$C$34)*(Formula!$C$32-Formula!$C$33),Formula!$C$33),Formula!$C$32)),1)</f>
        <v>1.282051282</v>
      </c>
      <c r="W125" s="17">
        <f t="shared" si="5"/>
        <v>6.025641026</v>
      </c>
    </row>
    <row r="126" ht="15.75" customHeight="1">
      <c r="A126" s="8" t="s">
        <v>509</v>
      </c>
      <c r="B126" s="7" t="s">
        <v>503</v>
      </c>
      <c r="C126" s="13" t="s">
        <v>504</v>
      </c>
      <c r="D126" s="7" t="s">
        <v>32</v>
      </c>
      <c r="E126" s="8" t="s">
        <v>27</v>
      </c>
      <c r="F126" s="8" t="s">
        <v>318</v>
      </c>
      <c r="G126" s="7" t="s">
        <v>505</v>
      </c>
      <c r="H126" s="7" t="s">
        <v>506</v>
      </c>
      <c r="I126" s="8">
        <v>1000.0</v>
      </c>
      <c r="J126" s="8">
        <v>3.1</v>
      </c>
      <c r="K126" s="8" t="s">
        <v>321</v>
      </c>
      <c r="L126" s="8" t="s">
        <v>373</v>
      </c>
      <c r="M126" s="8" t="s">
        <v>329</v>
      </c>
      <c r="N126" s="8">
        <v>4.6</v>
      </c>
      <c r="O126" s="14">
        <f t="shared" si="1"/>
        <v>45962</v>
      </c>
      <c r="P126" s="15">
        <f>IFERROR(VLOOKUP(K126,Formula!$A$11:$B$20,2,FALSE),Formula!$C$26)</f>
        <v>0.9</v>
      </c>
      <c r="Q126" s="15">
        <f>IF(AND(ISNUMBER(J126),J126&gt;0),1/J126,IF(AND(ISNUMBER(I126),I126&gt;0),SQRT(MIN(I126,Formula!$C$27))/Formula!$C$24,1/Formula!$C$25))</f>
        <v>0.3225806452</v>
      </c>
      <c r="R126" s="15">
        <f t="shared" si="2"/>
        <v>0.2903225806</v>
      </c>
      <c r="S126" s="15">
        <f>IF(H126&lt;&gt;"",EXP(-Formula!$C$28*(EOMONTH(H126,0)-H126)),EXP(-Formula!$C$28*(EOMONTH(D126,0)-D126)))</f>
        <v>0.670320046</v>
      </c>
      <c r="T126" s="15">
        <f t="shared" si="3"/>
        <v>0.25</v>
      </c>
      <c r="U126" s="15">
        <f t="shared" si="4"/>
        <v>0.04865226141</v>
      </c>
      <c r="V126" s="16">
        <f>IF(AND(L126="Among all respondents",NOT(OR(K126="Online poll in Telegram channel",K126="Website online poll",K126="CAWI (Computer Assisted Web Interviewing)"))),1/(1-MIN(MAX(Formula!$C$33+(YEAR(D126)-Formula!$C$34)/(Formula!$C$35-Formula!$C$34)*(Formula!$C$32-Formula!$C$33),Formula!$C$33),Formula!$C$32)),1)</f>
        <v>1.282051282</v>
      </c>
      <c r="W126" s="17">
        <f t="shared" si="5"/>
        <v>5.897435897</v>
      </c>
    </row>
    <row r="127" ht="15.75" customHeight="1">
      <c r="A127" s="8" t="s">
        <v>510</v>
      </c>
      <c r="B127" s="7" t="s">
        <v>503</v>
      </c>
      <c r="C127" s="13" t="s">
        <v>504</v>
      </c>
      <c r="D127" s="7" t="s">
        <v>32</v>
      </c>
      <c r="E127" s="8" t="s">
        <v>27</v>
      </c>
      <c r="F127" s="8" t="s">
        <v>318</v>
      </c>
      <c r="G127" s="7" t="s">
        <v>505</v>
      </c>
      <c r="H127" s="7" t="s">
        <v>506</v>
      </c>
      <c r="I127" s="8">
        <v>1000.0</v>
      </c>
      <c r="J127" s="8">
        <v>3.1</v>
      </c>
      <c r="K127" s="8" t="s">
        <v>321</v>
      </c>
      <c r="L127" s="8" t="s">
        <v>373</v>
      </c>
      <c r="M127" s="8" t="s">
        <v>333</v>
      </c>
      <c r="N127" s="8">
        <v>3.0</v>
      </c>
      <c r="O127" s="14">
        <f t="shared" si="1"/>
        <v>45962</v>
      </c>
      <c r="P127" s="15">
        <f>IFERROR(VLOOKUP(K127,Formula!$A$11:$B$20,2,FALSE),Formula!$C$26)</f>
        <v>0.9</v>
      </c>
      <c r="Q127" s="15">
        <f>IF(AND(ISNUMBER(J127),J127&gt;0),1/J127,IF(AND(ISNUMBER(I127),I127&gt;0),SQRT(MIN(I127,Formula!$C$27))/Formula!$C$24,1/Formula!$C$25))</f>
        <v>0.3225806452</v>
      </c>
      <c r="R127" s="15">
        <f t="shared" si="2"/>
        <v>0.2903225806</v>
      </c>
      <c r="S127" s="15">
        <f>IF(H127&lt;&gt;"",EXP(-Formula!$C$28*(EOMONTH(H127,0)-H127)),EXP(-Formula!$C$28*(EOMONTH(D127,0)-D127)))</f>
        <v>0.670320046</v>
      </c>
      <c r="T127" s="15">
        <f t="shared" si="3"/>
        <v>0.25</v>
      </c>
      <c r="U127" s="15">
        <f t="shared" si="4"/>
        <v>0.04865226141</v>
      </c>
      <c r="V127" s="16">
        <f>IF(AND(L127="Among all respondents",NOT(OR(K127="Online poll in Telegram channel",K127="Website online poll",K127="CAWI (Computer Assisted Web Interviewing)"))),1/(1-MIN(MAX(Formula!$C$33+(YEAR(D127)-Formula!$C$34)/(Formula!$C$35-Formula!$C$34)*(Formula!$C$32-Formula!$C$33),Formula!$C$33),Formula!$C$32)),1)</f>
        <v>1.282051282</v>
      </c>
      <c r="W127" s="17">
        <f t="shared" si="5"/>
        <v>3.846153846</v>
      </c>
    </row>
    <row r="128" ht="15.75" customHeight="1">
      <c r="A128" s="8" t="s">
        <v>511</v>
      </c>
      <c r="B128" s="7" t="s">
        <v>503</v>
      </c>
      <c r="C128" s="13" t="s">
        <v>504</v>
      </c>
      <c r="D128" s="7" t="s">
        <v>32</v>
      </c>
      <c r="E128" s="8" t="s">
        <v>27</v>
      </c>
      <c r="F128" s="8" t="s">
        <v>318</v>
      </c>
      <c r="G128" s="7" t="s">
        <v>505</v>
      </c>
      <c r="H128" s="7" t="s">
        <v>506</v>
      </c>
      <c r="I128" s="8">
        <v>1000.0</v>
      </c>
      <c r="J128" s="8">
        <v>3.1</v>
      </c>
      <c r="K128" s="8" t="s">
        <v>321</v>
      </c>
      <c r="L128" s="8" t="s">
        <v>373</v>
      </c>
      <c r="M128" s="8" t="s">
        <v>337</v>
      </c>
      <c r="N128" s="8">
        <v>2.4</v>
      </c>
      <c r="O128" s="14">
        <f t="shared" si="1"/>
        <v>45962</v>
      </c>
      <c r="P128" s="15">
        <f>IFERROR(VLOOKUP(K128,Formula!$A$11:$B$20,2,FALSE),Formula!$C$26)</f>
        <v>0.9</v>
      </c>
      <c r="Q128" s="15">
        <f>IF(AND(ISNUMBER(J128),J128&gt;0),1/J128,IF(AND(ISNUMBER(I128),I128&gt;0),SQRT(MIN(I128,Formula!$C$27))/Formula!$C$24,1/Formula!$C$25))</f>
        <v>0.3225806452</v>
      </c>
      <c r="R128" s="15">
        <f t="shared" si="2"/>
        <v>0.2903225806</v>
      </c>
      <c r="S128" s="15">
        <f>IF(H128&lt;&gt;"",EXP(-Formula!$C$28*(EOMONTH(H128,0)-H128)),EXP(-Formula!$C$28*(EOMONTH(D128,0)-D128)))</f>
        <v>0.670320046</v>
      </c>
      <c r="T128" s="15">
        <f t="shared" si="3"/>
        <v>0.25</v>
      </c>
      <c r="U128" s="15">
        <f t="shared" si="4"/>
        <v>0.04865226141</v>
      </c>
      <c r="V128" s="16">
        <f>IF(AND(L128="Among all respondents",NOT(OR(K128="Online poll in Telegram channel",K128="Website online poll",K128="CAWI (Computer Assisted Web Interviewing)"))),1/(1-MIN(MAX(Formula!$C$33+(YEAR(D128)-Formula!$C$34)/(Formula!$C$35-Formula!$C$34)*(Formula!$C$32-Formula!$C$33),Formula!$C$33),Formula!$C$32)),1)</f>
        <v>1.282051282</v>
      </c>
      <c r="W128" s="17">
        <f t="shared" si="5"/>
        <v>3.076923077</v>
      </c>
    </row>
    <row r="129" ht="15.75" customHeight="1">
      <c r="A129" s="8" t="s">
        <v>512</v>
      </c>
      <c r="B129" s="7" t="s">
        <v>503</v>
      </c>
      <c r="C129" s="13" t="s">
        <v>504</v>
      </c>
      <c r="D129" s="7" t="s">
        <v>32</v>
      </c>
      <c r="E129" s="8" t="s">
        <v>27</v>
      </c>
      <c r="F129" s="8" t="s">
        <v>318</v>
      </c>
      <c r="G129" s="7" t="s">
        <v>505</v>
      </c>
      <c r="H129" s="7" t="s">
        <v>506</v>
      </c>
      <c r="I129" s="8">
        <v>1000.0</v>
      </c>
      <c r="J129" s="8">
        <v>3.1</v>
      </c>
      <c r="K129" s="8" t="s">
        <v>321</v>
      </c>
      <c r="L129" s="8" t="s">
        <v>373</v>
      </c>
      <c r="M129" s="8" t="s">
        <v>339</v>
      </c>
      <c r="N129" s="8">
        <v>2.4</v>
      </c>
      <c r="O129" s="14">
        <f t="shared" si="1"/>
        <v>45962</v>
      </c>
      <c r="P129" s="15">
        <f>IFERROR(VLOOKUP(K129,Formula!$A$11:$B$20,2,FALSE),Formula!$C$26)</f>
        <v>0.9</v>
      </c>
      <c r="Q129" s="15">
        <f>IF(AND(ISNUMBER(J129),J129&gt;0),1/J129,IF(AND(ISNUMBER(I129),I129&gt;0),SQRT(MIN(I129,Formula!$C$27))/Formula!$C$24,1/Formula!$C$25))</f>
        <v>0.3225806452</v>
      </c>
      <c r="R129" s="15">
        <f t="shared" si="2"/>
        <v>0.2903225806</v>
      </c>
      <c r="S129" s="15">
        <f>IF(H129&lt;&gt;"",EXP(-Formula!$C$28*(EOMONTH(H129,0)-H129)),EXP(-Formula!$C$28*(EOMONTH(D129,0)-D129)))</f>
        <v>0.670320046</v>
      </c>
      <c r="T129" s="15">
        <f t="shared" si="3"/>
        <v>0.25</v>
      </c>
      <c r="U129" s="15">
        <f t="shared" si="4"/>
        <v>0.04865226141</v>
      </c>
      <c r="V129" s="16">
        <f>IF(AND(L129="Among all respondents",NOT(OR(K129="Online poll in Telegram channel",K129="Website online poll",K129="CAWI (Computer Assisted Web Interviewing)"))),1/(1-MIN(MAX(Formula!$C$33+(YEAR(D129)-Formula!$C$34)/(Formula!$C$35-Formula!$C$34)*(Formula!$C$32-Formula!$C$33),Formula!$C$33),Formula!$C$32)),1)</f>
        <v>1.282051282</v>
      </c>
      <c r="W129" s="17">
        <f t="shared" si="5"/>
        <v>3.076923077</v>
      </c>
    </row>
    <row r="130" ht="15.75" customHeight="1">
      <c r="A130" s="8" t="s">
        <v>513</v>
      </c>
      <c r="B130" s="7" t="s">
        <v>503</v>
      </c>
      <c r="C130" s="13" t="s">
        <v>504</v>
      </c>
      <c r="D130" s="7" t="s">
        <v>32</v>
      </c>
      <c r="E130" s="8" t="s">
        <v>27</v>
      </c>
      <c r="F130" s="8" t="s">
        <v>318</v>
      </c>
      <c r="G130" s="7" t="s">
        <v>505</v>
      </c>
      <c r="H130" s="7" t="s">
        <v>506</v>
      </c>
      <c r="I130" s="8">
        <v>1000.0</v>
      </c>
      <c r="J130" s="8">
        <v>3.1</v>
      </c>
      <c r="K130" s="8" t="s">
        <v>321</v>
      </c>
      <c r="L130" s="8" t="s">
        <v>373</v>
      </c>
      <c r="M130" s="8" t="s">
        <v>476</v>
      </c>
      <c r="N130" s="8">
        <v>2.3</v>
      </c>
      <c r="O130" s="14">
        <f t="shared" si="1"/>
        <v>45962</v>
      </c>
      <c r="P130" s="15">
        <f>IFERROR(VLOOKUP(K130,Formula!$A$11:$B$20,2,FALSE),Formula!$C$26)</f>
        <v>0.9</v>
      </c>
      <c r="Q130" s="15">
        <f>IF(AND(ISNUMBER(J130),J130&gt;0),1/J130,IF(AND(ISNUMBER(I130),I130&gt;0),SQRT(MIN(I130,Formula!$C$27))/Formula!$C$24,1/Formula!$C$25))</f>
        <v>0.3225806452</v>
      </c>
      <c r="R130" s="15">
        <f t="shared" si="2"/>
        <v>0.2903225806</v>
      </c>
      <c r="S130" s="15">
        <f>IF(H130&lt;&gt;"",EXP(-Formula!$C$28*(EOMONTH(H130,0)-H130)),EXP(-Formula!$C$28*(EOMONTH(D130,0)-D130)))</f>
        <v>0.670320046</v>
      </c>
      <c r="T130" s="15">
        <f t="shared" si="3"/>
        <v>0.25</v>
      </c>
      <c r="U130" s="15">
        <f t="shared" si="4"/>
        <v>0.04865226141</v>
      </c>
      <c r="V130" s="16">
        <f>IF(AND(L130="Among all respondents",NOT(OR(K130="Online poll in Telegram channel",K130="Website online poll",K130="CAWI (Computer Assisted Web Interviewing)"))),1/(1-MIN(MAX(Formula!$C$33+(YEAR(D130)-Formula!$C$34)/(Formula!$C$35-Formula!$C$34)*(Formula!$C$32-Formula!$C$33),Formula!$C$33),Formula!$C$32)),1)</f>
        <v>1.282051282</v>
      </c>
      <c r="W130" s="17">
        <f t="shared" si="5"/>
        <v>2.948717949</v>
      </c>
    </row>
    <row r="131" ht="15.75" customHeight="1">
      <c r="A131" s="8" t="s">
        <v>514</v>
      </c>
      <c r="B131" s="7" t="s">
        <v>503</v>
      </c>
      <c r="C131" s="13" t="s">
        <v>504</v>
      </c>
      <c r="D131" s="7" t="s">
        <v>32</v>
      </c>
      <c r="E131" s="8" t="s">
        <v>27</v>
      </c>
      <c r="F131" s="8" t="s">
        <v>318</v>
      </c>
      <c r="G131" s="7" t="s">
        <v>505</v>
      </c>
      <c r="H131" s="7" t="s">
        <v>506</v>
      </c>
      <c r="I131" s="8">
        <v>1000.0</v>
      </c>
      <c r="J131" s="8">
        <v>3.1</v>
      </c>
      <c r="K131" s="8" t="s">
        <v>321</v>
      </c>
      <c r="L131" s="8" t="s">
        <v>373</v>
      </c>
      <c r="M131" s="8" t="s">
        <v>367</v>
      </c>
      <c r="N131" s="8">
        <v>2.2</v>
      </c>
      <c r="O131" s="14">
        <f t="shared" si="1"/>
        <v>45962</v>
      </c>
      <c r="P131" s="15">
        <f>IFERROR(VLOOKUP(K131,Formula!$A$11:$B$20,2,FALSE),Formula!$C$26)</f>
        <v>0.9</v>
      </c>
      <c r="Q131" s="15">
        <f>IF(AND(ISNUMBER(J131),J131&gt;0),1/J131,IF(AND(ISNUMBER(I131),I131&gt;0),SQRT(MIN(I131,Formula!$C$27))/Formula!$C$24,1/Formula!$C$25))</f>
        <v>0.3225806452</v>
      </c>
      <c r="R131" s="15">
        <f t="shared" si="2"/>
        <v>0.2903225806</v>
      </c>
      <c r="S131" s="15">
        <f>IF(H131&lt;&gt;"",EXP(-Formula!$C$28*(EOMONTH(H131,0)-H131)),EXP(-Formula!$C$28*(EOMONTH(D131,0)-D131)))</f>
        <v>0.670320046</v>
      </c>
      <c r="T131" s="15">
        <f t="shared" si="3"/>
        <v>0.25</v>
      </c>
      <c r="U131" s="15">
        <f t="shared" si="4"/>
        <v>0.04865226141</v>
      </c>
      <c r="V131" s="16">
        <f>IF(AND(L131="Among all respondents",NOT(OR(K131="Online poll in Telegram channel",K131="Website online poll",K131="CAWI (Computer Assisted Web Interviewing)"))),1/(1-MIN(MAX(Formula!$C$33+(YEAR(D131)-Formula!$C$34)/(Formula!$C$35-Formula!$C$34)*(Formula!$C$32-Formula!$C$33),Formula!$C$33),Formula!$C$32)),1)</f>
        <v>1.282051282</v>
      </c>
      <c r="W131" s="17">
        <f t="shared" si="5"/>
        <v>2.820512821</v>
      </c>
    </row>
    <row r="132" ht="15.75" customHeight="1">
      <c r="A132" s="8" t="s">
        <v>515</v>
      </c>
      <c r="B132" s="7" t="s">
        <v>503</v>
      </c>
      <c r="C132" s="13" t="s">
        <v>504</v>
      </c>
      <c r="D132" s="7" t="s">
        <v>32</v>
      </c>
      <c r="E132" s="8" t="s">
        <v>27</v>
      </c>
      <c r="F132" s="8" t="s">
        <v>318</v>
      </c>
      <c r="G132" s="7" t="s">
        <v>505</v>
      </c>
      <c r="H132" s="7" t="s">
        <v>506</v>
      </c>
      <c r="I132" s="8">
        <v>1000.0</v>
      </c>
      <c r="J132" s="8">
        <v>3.1</v>
      </c>
      <c r="K132" s="8" t="s">
        <v>321</v>
      </c>
      <c r="L132" s="8" t="s">
        <v>373</v>
      </c>
      <c r="M132" s="8" t="s">
        <v>335</v>
      </c>
      <c r="N132" s="8">
        <v>2.0</v>
      </c>
      <c r="O132" s="14">
        <f t="shared" si="1"/>
        <v>45962</v>
      </c>
      <c r="P132" s="15">
        <f>IFERROR(VLOOKUP(K132,Formula!$A$11:$B$20,2,FALSE),Formula!$C$26)</f>
        <v>0.9</v>
      </c>
      <c r="Q132" s="15">
        <f>IF(AND(ISNUMBER(J132),J132&gt;0),1/J132,IF(AND(ISNUMBER(I132),I132&gt;0),SQRT(MIN(I132,Formula!$C$27))/Formula!$C$24,1/Formula!$C$25))</f>
        <v>0.3225806452</v>
      </c>
      <c r="R132" s="15">
        <f t="shared" si="2"/>
        <v>0.2903225806</v>
      </c>
      <c r="S132" s="15">
        <f>IF(H132&lt;&gt;"",EXP(-Formula!$C$28*(EOMONTH(H132,0)-H132)),EXP(-Formula!$C$28*(EOMONTH(D132,0)-D132)))</f>
        <v>0.670320046</v>
      </c>
      <c r="T132" s="15">
        <f t="shared" si="3"/>
        <v>0.25</v>
      </c>
      <c r="U132" s="15">
        <f t="shared" si="4"/>
        <v>0.04865226141</v>
      </c>
      <c r="V132" s="16">
        <f>IF(AND(L132="Among all respondents",NOT(OR(K132="Online poll in Telegram channel",K132="Website online poll",K132="CAWI (Computer Assisted Web Interviewing)"))),1/(1-MIN(MAX(Formula!$C$33+(YEAR(D132)-Formula!$C$34)/(Formula!$C$35-Formula!$C$34)*(Formula!$C$32-Formula!$C$33),Formula!$C$33),Formula!$C$32)),1)</f>
        <v>1.282051282</v>
      </c>
      <c r="W132" s="17">
        <f t="shared" si="5"/>
        <v>2.564102564</v>
      </c>
    </row>
    <row r="133" ht="15.75" customHeight="1">
      <c r="A133" s="8" t="s">
        <v>516</v>
      </c>
      <c r="B133" s="7" t="s">
        <v>503</v>
      </c>
      <c r="C133" s="13" t="s">
        <v>504</v>
      </c>
      <c r="D133" s="7" t="s">
        <v>32</v>
      </c>
      <c r="E133" s="8" t="s">
        <v>27</v>
      </c>
      <c r="F133" s="8" t="s">
        <v>318</v>
      </c>
      <c r="G133" s="7" t="s">
        <v>505</v>
      </c>
      <c r="H133" s="7" t="s">
        <v>506</v>
      </c>
      <c r="I133" s="8">
        <v>1000.0</v>
      </c>
      <c r="J133" s="8">
        <v>3.1</v>
      </c>
      <c r="K133" s="8" t="s">
        <v>321</v>
      </c>
      <c r="L133" s="8" t="s">
        <v>373</v>
      </c>
      <c r="M133" s="8" t="s">
        <v>359</v>
      </c>
      <c r="N133" s="8">
        <v>1.4</v>
      </c>
      <c r="O133" s="14">
        <f t="shared" si="1"/>
        <v>45962</v>
      </c>
      <c r="P133" s="15">
        <f>IFERROR(VLOOKUP(K133,Formula!$A$11:$B$20,2,FALSE),Formula!$C$26)</f>
        <v>0.9</v>
      </c>
      <c r="Q133" s="15">
        <f>IF(AND(ISNUMBER(J133),J133&gt;0),1/J133,IF(AND(ISNUMBER(I133),I133&gt;0),SQRT(MIN(I133,Formula!$C$27))/Formula!$C$24,1/Formula!$C$25))</f>
        <v>0.3225806452</v>
      </c>
      <c r="R133" s="15">
        <f t="shared" si="2"/>
        <v>0.2903225806</v>
      </c>
      <c r="S133" s="15">
        <f>IF(H133&lt;&gt;"",EXP(-Formula!$C$28*(EOMONTH(H133,0)-H133)),EXP(-Formula!$C$28*(EOMONTH(D133,0)-D133)))</f>
        <v>0.670320046</v>
      </c>
      <c r="T133" s="15">
        <f t="shared" si="3"/>
        <v>0.25</v>
      </c>
      <c r="U133" s="15">
        <f t="shared" si="4"/>
        <v>0.04865226141</v>
      </c>
      <c r="V133" s="16">
        <f>IF(AND(L133="Among all respondents",NOT(OR(K133="Online poll in Telegram channel",K133="Website online poll",K133="CAWI (Computer Assisted Web Interviewing)"))),1/(1-MIN(MAX(Formula!$C$33+(YEAR(D133)-Formula!$C$34)/(Formula!$C$35-Formula!$C$34)*(Formula!$C$32-Formula!$C$33),Formula!$C$33),Formula!$C$32)),1)</f>
        <v>1.282051282</v>
      </c>
      <c r="W133" s="17">
        <f t="shared" si="5"/>
        <v>1.794871795</v>
      </c>
    </row>
    <row r="134" ht="15.75" customHeight="1">
      <c r="A134" s="8" t="s">
        <v>517</v>
      </c>
      <c r="B134" s="7" t="s">
        <v>503</v>
      </c>
      <c r="C134" s="13" t="s">
        <v>504</v>
      </c>
      <c r="D134" s="7" t="s">
        <v>32</v>
      </c>
      <c r="E134" s="8" t="s">
        <v>27</v>
      </c>
      <c r="F134" s="8" t="s">
        <v>318</v>
      </c>
      <c r="G134" s="7" t="s">
        <v>505</v>
      </c>
      <c r="H134" s="7" t="s">
        <v>506</v>
      </c>
      <c r="I134" s="8">
        <v>1000.0</v>
      </c>
      <c r="J134" s="8">
        <v>3.1</v>
      </c>
      <c r="K134" s="8" t="s">
        <v>321</v>
      </c>
      <c r="L134" s="8" t="s">
        <v>373</v>
      </c>
      <c r="M134" s="8" t="s">
        <v>343</v>
      </c>
      <c r="N134" s="8">
        <v>1.2</v>
      </c>
      <c r="O134" s="14">
        <f t="shared" si="1"/>
        <v>45962</v>
      </c>
      <c r="P134" s="15">
        <f>IFERROR(VLOOKUP(K134,Formula!$A$11:$B$20,2,FALSE),Formula!$C$26)</f>
        <v>0.9</v>
      </c>
      <c r="Q134" s="15">
        <f>IF(AND(ISNUMBER(J134),J134&gt;0),1/J134,IF(AND(ISNUMBER(I134),I134&gt;0),SQRT(MIN(I134,Formula!$C$27))/Formula!$C$24,1/Formula!$C$25))</f>
        <v>0.3225806452</v>
      </c>
      <c r="R134" s="15">
        <f t="shared" si="2"/>
        <v>0.2903225806</v>
      </c>
      <c r="S134" s="15">
        <f>IF(H134&lt;&gt;"",EXP(-Formula!$C$28*(EOMONTH(H134,0)-H134)),EXP(-Formula!$C$28*(EOMONTH(D134,0)-D134)))</f>
        <v>0.670320046</v>
      </c>
      <c r="T134" s="15">
        <f t="shared" si="3"/>
        <v>0.25</v>
      </c>
      <c r="U134" s="15">
        <f t="shared" si="4"/>
        <v>0.04865226141</v>
      </c>
      <c r="V134" s="16">
        <f>IF(AND(L134="Among all respondents",NOT(OR(K134="Online poll in Telegram channel",K134="Website online poll",K134="CAWI (Computer Assisted Web Interviewing)"))),1/(1-MIN(MAX(Formula!$C$33+(YEAR(D134)-Formula!$C$34)/(Formula!$C$35-Formula!$C$34)*(Formula!$C$32-Formula!$C$33),Formula!$C$33),Formula!$C$32)),1)</f>
        <v>1.282051282</v>
      </c>
      <c r="W134" s="17">
        <f t="shared" si="5"/>
        <v>1.538461538</v>
      </c>
    </row>
    <row r="135" ht="15.75" customHeight="1">
      <c r="A135" s="8" t="s">
        <v>518</v>
      </c>
      <c r="B135" s="7" t="s">
        <v>503</v>
      </c>
      <c r="C135" s="13" t="s">
        <v>504</v>
      </c>
      <c r="D135" s="7" t="s">
        <v>32</v>
      </c>
      <c r="E135" s="8" t="s">
        <v>27</v>
      </c>
      <c r="F135" s="8" t="s">
        <v>318</v>
      </c>
      <c r="G135" s="7" t="s">
        <v>505</v>
      </c>
      <c r="H135" s="7" t="s">
        <v>506</v>
      </c>
      <c r="I135" s="8">
        <v>1000.0</v>
      </c>
      <c r="J135" s="8">
        <v>3.1</v>
      </c>
      <c r="K135" s="8" t="s">
        <v>321</v>
      </c>
      <c r="L135" s="8" t="s">
        <v>373</v>
      </c>
      <c r="M135" s="8" t="s">
        <v>365</v>
      </c>
      <c r="N135" s="8">
        <v>1.0</v>
      </c>
      <c r="O135" s="14">
        <f t="shared" si="1"/>
        <v>45962</v>
      </c>
      <c r="P135" s="15">
        <f>IFERROR(VLOOKUP(K135,Formula!$A$11:$B$20,2,FALSE),Formula!$C$26)</f>
        <v>0.9</v>
      </c>
      <c r="Q135" s="15">
        <f>IF(AND(ISNUMBER(J135),J135&gt;0),1/J135,IF(AND(ISNUMBER(I135),I135&gt;0),SQRT(MIN(I135,Formula!$C$27))/Formula!$C$24,1/Formula!$C$25))</f>
        <v>0.3225806452</v>
      </c>
      <c r="R135" s="15">
        <f t="shared" si="2"/>
        <v>0.2903225806</v>
      </c>
      <c r="S135" s="15">
        <f>IF(H135&lt;&gt;"",EXP(-Formula!$C$28*(EOMONTH(H135,0)-H135)),EXP(-Formula!$C$28*(EOMONTH(D135,0)-D135)))</f>
        <v>0.670320046</v>
      </c>
      <c r="T135" s="15">
        <f t="shared" si="3"/>
        <v>0.25</v>
      </c>
      <c r="U135" s="15">
        <f t="shared" si="4"/>
        <v>0.04865226141</v>
      </c>
      <c r="V135" s="16">
        <f>IF(AND(L135="Among all respondents",NOT(OR(K135="Online poll in Telegram channel",K135="Website online poll",K135="CAWI (Computer Assisted Web Interviewing)"))),1/(1-MIN(MAX(Formula!$C$33+(YEAR(D135)-Formula!$C$34)/(Formula!$C$35-Formula!$C$34)*(Formula!$C$32-Formula!$C$33),Formula!$C$33),Formula!$C$32)),1)</f>
        <v>1.282051282</v>
      </c>
      <c r="W135" s="17">
        <f t="shared" si="5"/>
        <v>1.282051282</v>
      </c>
    </row>
    <row r="136" ht="15.75" customHeight="1">
      <c r="A136" s="8" t="s">
        <v>519</v>
      </c>
      <c r="B136" s="7" t="s">
        <v>503</v>
      </c>
      <c r="C136" s="13" t="s">
        <v>504</v>
      </c>
      <c r="D136" s="7" t="s">
        <v>32</v>
      </c>
      <c r="E136" s="8" t="s">
        <v>27</v>
      </c>
      <c r="F136" s="8" t="s">
        <v>318</v>
      </c>
      <c r="G136" s="7" t="s">
        <v>505</v>
      </c>
      <c r="H136" s="7" t="s">
        <v>506</v>
      </c>
      <c r="I136" s="8">
        <v>1000.0</v>
      </c>
      <c r="J136" s="8">
        <v>3.1</v>
      </c>
      <c r="K136" s="8" t="s">
        <v>321</v>
      </c>
      <c r="L136" s="8" t="s">
        <v>373</v>
      </c>
      <c r="M136" s="8" t="s">
        <v>388</v>
      </c>
      <c r="N136" s="8">
        <v>0.9</v>
      </c>
      <c r="O136" s="14">
        <f t="shared" si="1"/>
        <v>45962</v>
      </c>
      <c r="P136" s="15">
        <f>IFERROR(VLOOKUP(K136,Formula!$A$11:$B$20,2,FALSE),Formula!$C$26)</f>
        <v>0.9</v>
      </c>
      <c r="Q136" s="15">
        <f>IF(AND(ISNUMBER(J136),J136&gt;0),1/J136,IF(AND(ISNUMBER(I136),I136&gt;0),SQRT(MIN(I136,Formula!$C$27))/Formula!$C$24,1/Formula!$C$25))</f>
        <v>0.3225806452</v>
      </c>
      <c r="R136" s="15">
        <f t="shared" si="2"/>
        <v>0.2903225806</v>
      </c>
      <c r="S136" s="15">
        <f>IF(H136&lt;&gt;"",EXP(-Formula!$C$28*(EOMONTH(H136,0)-H136)),EXP(-Formula!$C$28*(EOMONTH(D136,0)-D136)))</f>
        <v>0.670320046</v>
      </c>
      <c r="T136" s="15">
        <f t="shared" si="3"/>
        <v>0.25</v>
      </c>
      <c r="U136" s="15">
        <f t="shared" si="4"/>
        <v>0.04865226141</v>
      </c>
      <c r="V136" s="16">
        <f>IF(AND(L136="Among all respondents",NOT(OR(K136="Online poll in Telegram channel",K136="Website online poll",K136="CAWI (Computer Assisted Web Interviewing)"))),1/(1-MIN(MAX(Formula!$C$33+(YEAR(D136)-Formula!$C$34)/(Formula!$C$35-Formula!$C$34)*(Formula!$C$32-Formula!$C$33),Formula!$C$33),Formula!$C$32)),1)</f>
        <v>1.282051282</v>
      </c>
      <c r="W136" s="17">
        <f t="shared" si="5"/>
        <v>1.153846154</v>
      </c>
    </row>
    <row r="137" ht="15.75" customHeight="1">
      <c r="A137" s="8" t="s">
        <v>520</v>
      </c>
      <c r="B137" s="7" t="s">
        <v>503</v>
      </c>
      <c r="C137" s="13" t="s">
        <v>504</v>
      </c>
      <c r="D137" s="7" t="s">
        <v>32</v>
      </c>
      <c r="E137" s="8" t="s">
        <v>27</v>
      </c>
      <c r="F137" s="8" t="s">
        <v>318</v>
      </c>
      <c r="G137" s="7" t="s">
        <v>505</v>
      </c>
      <c r="H137" s="7" t="s">
        <v>506</v>
      </c>
      <c r="I137" s="8">
        <v>1000.0</v>
      </c>
      <c r="J137" s="8">
        <v>3.1</v>
      </c>
      <c r="K137" s="8" t="s">
        <v>321</v>
      </c>
      <c r="L137" s="8" t="s">
        <v>373</v>
      </c>
      <c r="M137" s="8" t="s">
        <v>386</v>
      </c>
      <c r="N137" s="8">
        <v>0.5</v>
      </c>
      <c r="O137" s="14">
        <f t="shared" si="1"/>
        <v>45962</v>
      </c>
      <c r="P137" s="15">
        <f>IFERROR(VLOOKUP(K137,Formula!$A$11:$B$20,2,FALSE),Formula!$C$26)</f>
        <v>0.9</v>
      </c>
      <c r="Q137" s="15">
        <f>IF(AND(ISNUMBER(J137),J137&gt;0),1/J137,IF(AND(ISNUMBER(I137),I137&gt;0),SQRT(MIN(I137,Formula!$C$27))/Formula!$C$24,1/Formula!$C$25))</f>
        <v>0.3225806452</v>
      </c>
      <c r="R137" s="15">
        <f t="shared" si="2"/>
        <v>0.2903225806</v>
      </c>
      <c r="S137" s="15">
        <f>IF(H137&lt;&gt;"",EXP(-Formula!$C$28*(EOMONTH(H137,0)-H137)),EXP(-Formula!$C$28*(EOMONTH(D137,0)-D137)))</f>
        <v>0.670320046</v>
      </c>
      <c r="T137" s="15">
        <f t="shared" si="3"/>
        <v>0.25</v>
      </c>
      <c r="U137" s="15">
        <f t="shared" si="4"/>
        <v>0.04865226141</v>
      </c>
      <c r="V137" s="16">
        <f>IF(AND(L137="Among all respondents",NOT(OR(K137="Online poll in Telegram channel",K137="Website online poll",K137="CAWI (Computer Assisted Web Interviewing)"))),1/(1-MIN(MAX(Formula!$C$33+(YEAR(D137)-Formula!$C$34)/(Formula!$C$35-Formula!$C$34)*(Formula!$C$32-Formula!$C$33),Formula!$C$33),Formula!$C$32)),1)</f>
        <v>1.282051282</v>
      </c>
      <c r="W137" s="17">
        <f t="shared" si="5"/>
        <v>0.641025641</v>
      </c>
    </row>
    <row r="138" ht="15.75" customHeight="1">
      <c r="A138" s="8" t="s">
        <v>521</v>
      </c>
      <c r="B138" s="7" t="s">
        <v>503</v>
      </c>
      <c r="C138" s="13" t="s">
        <v>504</v>
      </c>
      <c r="D138" s="7" t="s">
        <v>32</v>
      </c>
      <c r="E138" s="8" t="s">
        <v>27</v>
      </c>
      <c r="F138" s="8" t="s">
        <v>318</v>
      </c>
      <c r="G138" s="7" t="s">
        <v>505</v>
      </c>
      <c r="H138" s="7" t="s">
        <v>506</v>
      </c>
      <c r="I138" s="8">
        <v>1000.0</v>
      </c>
      <c r="J138" s="8">
        <v>3.1</v>
      </c>
      <c r="K138" s="8" t="s">
        <v>321</v>
      </c>
      <c r="L138" s="8" t="s">
        <v>373</v>
      </c>
      <c r="M138" s="8" t="s">
        <v>522</v>
      </c>
      <c r="N138" s="8">
        <v>0.2</v>
      </c>
      <c r="O138" s="14">
        <f t="shared" si="1"/>
        <v>45962</v>
      </c>
      <c r="P138" s="15">
        <f>IFERROR(VLOOKUP(K138,Formula!$A$11:$B$20,2,FALSE),Formula!$C$26)</f>
        <v>0.9</v>
      </c>
      <c r="Q138" s="15">
        <f>IF(AND(ISNUMBER(J138),J138&gt;0),1/J138,IF(AND(ISNUMBER(I138),I138&gt;0),SQRT(MIN(I138,Formula!$C$27))/Formula!$C$24,1/Formula!$C$25))</f>
        <v>0.3225806452</v>
      </c>
      <c r="R138" s="15">
        <f t="shared" si="2"/>
        <v>0.2903225806</v>
      </c>
      <c r="S138" s="15">
        <f>IF(H138&lt;&gt;"",EXP(-Formula!$C$28*(EOMONTH(H138,0)-H138)),EXP(-Formula!$C$28*(EOMONTH(D138,0)-D138)))</f>
        <v>0.670320046</v>
      </c>
      <c r="T138" s="15">
        <f t="shared" si="3"/>
        <v>0.25</v>
      </c>
      <c r="U138" s="15">
        <f t="shared" si="4"/>
        <v>0.04865226141</v>
      </c>
      <c r="V138" s="16">
        <f>IF(AND(L138="Among all respondents",NOT(OR(K138="Online poll in Telegram channel",K138="Website online poll",K138="CAWI (Computer Assisted Web Interviewing)"))),1/(1-MIN(MAX(Formula!$C$33+(YEAR(D138)-Formula!$C$34)/(Formula!$C$35-Formula!$C$34)*(Formula!$C$32-Formula!$C$33),Formula!$C$33),Formula!$C$32)),1)</f>
        <v>1.282051282</v>
      </c>
      <c r="W138" s="17">
        <f t="shared" si="5"/>
        <v>0.2564102564</v>
      </c>
    </row>
    <row r="139" ht="15.75" customHeight="1">
      <c r="A139" s="8" t="s">
        <v>523</v>
      </c>
      <c r="B139" s="7" t="s">
        <v>524</v>
      </c>
      <c r="C139" s="13" t="s">
        <v>525</v>
      </c>
      <c r="D139" s="7" t="s">
        <v>35</v>
      </c>
      <c r="E139" s="8" t="s">
        <v>36</v>
      </c>
      <c r="F139" s="8" t="s">
        <v>318</v>
      </c>
      <c r="G139" s="7" t="s">
        <v>33</v>
      </c>
      <c r="H139" s="7" t="s">
        <v>526</v>
      </c>
      <c r="I139" s="8">
        <v>1200.0</v>
      </c>
      <c r="K139" s="8" t="s">
        <v>321</v>
      </c>
      <c r="L139" s="8" t="s">
        <v>322</v>
      </c>
      <c r="M139" s="8" t="s">
        <v>323</v>
      </c>
      <c r="N139" s="8">
        <v>30.3</v>
      </c>
      <c r="O139" s="14">
        <f t="shared" si="1"/>
        <v>45931</v>
      </c>
      <c r="P139" s="15">
        <f>IFERROR(VLOOKUP(K139,Formula!$A$11:$B$20,2,FALSE),Formula!$C$26)</f>
        <v>0.9</v>
      </c>
      <c r="Q139" s="15">
        <f>IF(AND(ISNUMBER(J139),J139&gt;0),1/J139,IF(AND(ISNUMBER(I139),I139&gt;0),SQRT(MIN(I139,Formula!$C$27))/Formula!$C$24,1/Formula!$C$25))</f>
        <v>0.3534797566</v>
      </c>
      <c r="R139" s="15">
        <f t="shared" si="2"/>
        <v>0.318131781</v>
      </c>
      <c r="S139" s="15">
        <f>IF(H139&lt;&gt;"",EXP(-Formula!$C$28*(EOMONTH(H139,0)-H139)),EXP(-Formula!$C$28*(EOMONTH(D139,0)-D139)))</f>
        <v>0.2465969639</v>
      </c>
      <c r="T139" s="15">
        <f t="shared" si="3"/>
        <v>0.316227766</v>
      </c>
      <c r="U139" s="15">
        <f t="shared" si="4"/>
        <v>0.02480817302</v>
      </c>
      <c r="V139" s="16">
        <f>IF(AND(L139="Among all respondents",NOT(OR(K139="Online poll in Telegram channel",K139="Website online poll",K139="CAWI (Computer Assisted Web Interviewing)"))),1/(1-MIN(MAX(Formula!$C$33+(YEAR(D139)-Formula!$C$34)/(Formula!$C$35-Formula!$C$34)*(Formula!$C$32-Formula!$C$33),Formula!$C$33),Formula!$C$32)),1)</f>
        <v>1</v>
      </c>
      <c r="W139" s="17">
        <f t="shared" si="5"/>
        <v>30.3</v>
      </c>
    </row>
    <row r="140" ht="15.75" customHeight="1">
      <c r="A140" s="8" t="s">
        <v>527</v>
      </c>
      <c r="B140" s="7" t="s">
        <v>524</v>
      </c>
      <c r="C140" s="13" t="s">
        <v>525</v>
      </c>
      <c r="D140" s="7" t="s">
        <v>35</v>
      </c>
      <c r="E140" s="8" t="s">
        <v>36</v>
      </c>
      <c r="F140" s="8" t="s">
        <v>318</v>
      </c>
      <c r="G140" s="7" t="s">
        <v>33</v>
      </c>
      <c r="H140" s="7" t="s">
        <v>526</v>
      </c>
      <c r="I140" s="8">
        <v>1200.0</v>
      </c>
      <c r="K140" s="8" t="s">
        <v>321</v>
      </c>
      <c r="L140" s="8" t="s">
        <v>322</v>
      </c>
      <c r="M140" s="8" t="s">
        <v>325</v>
      </c>
      <c r="N140" s="8">
        <v>28.5</v>
      </c>
      <c r="O140" s="14">
        <f t="shared" si="1"/>
        <v>45931</v>
      </c>
      <c r="P140" s="15">
        <f>IFERROR(VLOOKUP(K140,Formula!$A$11:$B$20,2,FALSE),Formula!$C$26)</f>
        <v>0.9</v>
      </c>
      <c r="Q140" s="15">
        <f>IF(AND(ISNUMBER(J140),J140&gt;0),1/J140,IF(AND(ISNUMBER(I140),I140&gt;0),SQRT(MIN(I140,Formula!$C$27))/Formula!$C$24,1/Formula!$C$25))</f>
        <v>0.3534797566</v>
      </c>
      <c r="R140" s="15">
        <f t="shared" si="2"/>
        <v>0.318131781</v>
      </c>
      <c r="S140" s="15">
        <f>IF(H140&lt;&gt;"",EXP(-Formula!$C$28*(EOMONTH(H140,0)-H140)),EXP(-Formula!$C$28*(EOMONTH(D140,0)-D140)))</f>
        <v>0.2465969639</v>
      </c>
      <c r="T140" s="15">
        <f t="shared" si="3"/>
        <v>0.316227766</v>
      </c>
      <c r="U140" s="15">
        <f t="shared" si="4"/>
        <v>0.02480817302</v>
      </c>
      <c r="V140" s="16">
        <f>IF(AND(L140="Among all respondents",NOT(OR(K140="Online poll in Telegram channel",K140="Website online poll",K140="CAWI (Computer Assisted Web Interviewing)"))),1/(1-MIN(MAX(Formula!$C$33+(YEAR(D140)-Formula!$C$34)/(Formula!$C$35-Formula!$C$34)*(Formula!$C$32-Formula!$C$33),Formula!$C$33),Formula!$C$32)),1)</f>
        <v>1</v>
      </c>
      <c r="W140" s="17">
        <f t="shared" si="5"/>
        <v>28.5</v>
      </c>
    </row>
    <row r="141" ht="15.75" customHeight="1">
      <c r="A141" s="8" t="s">
        <v>528</v>
      </c>
      <c r="B141" s="7" t="s">
        <v>524</v>
      </c>
      <c r="C141" s="13" t="s">
        <v>525</v>
      </c>
      <c r="D141" s="7" t="s">
        <v>35</v>
      </c>
      <c r="E141" s="8" t="s">
        <v>36</v>
      </c>
      <c r="F141" s="8" t="s">
        <v>318</v>
      </c>
      <c r="G141" s="7" t="s">
        <v>33</v>
      </c>
      <c r="H141" s="7" t="s">
        <v>526</v>
      </c>
      <c r="I141" s="8">
        <v>1200.0</v>
      </c>
      <c r="K141" s="8" t="s">
        <v>321</v>
      </c>
      <c r="L141" s="8" t="s">
        <v>322</v>
      </c>
      <c r="M141" s="8" t="s">
        <v>327</v>
      </c>
      <c r="N141" s="8">
        <v>10.1</v>
      </c>
      <c r="O141" s="14">
        <f t="shared" si="1"/>
        <v>45931</v>
      </c>
      <c r="P141" s="15">
        <f>IFERROR(VLOOKUP(K141,Formula!$A$11:$B$20,2,FALSE),Formula!$C$26)</f>
        <v>0.9</v>
      </c>
      <c r="Q141" s="15">
        <f>IF(AND(ISNUMBER(J141),J141&gt;0),1/J141,IF(AND(ISNUMBER(I141),I141&gt;0),SQRT(MIN(I141,Formula!$C$27))/Formula!$C$24,1/Formula!$C$25))</f>
        <v>0.3534797566</v>
      </c>
      <c r="R141" s="15">
        <f t="shared" si="2"/>
        <v>0.318131781</v>
      </c>
      <c r="S141" s="15">
        <f>IF(H141&lt;&gt;"",EXP(-Formula!$C$28*(EOMONTH(H141,0)-H141)),EXP(-Formula!$C$28*(EOMONTH(D141,0)-D141)))</f>
        <v>0.2465969639</v>
      </c>
      <c r="T141" s="15">
        <f t="shared" si="3"/>
        <v>0.316227766</v>
      </c>
      <c r="U141" s="15">
        <f t="shared" si="4"/>
        <v>0.02480817302</v>
      </c>
      <c r="V141" s="16">
        <f>IF(AND(L141="Among all respondents",NOT(OR(K141="Online poll in Telegram channel",K141="Website online poll",K141="CAWI (Computer Assisted Web Interviewing)"))),1/(1-MIN(MAX(Formula!$C$33+(YEAR(D141)-Formula!$C$34)/(Formula!$C$35-Formula!$C$34)*(Formula!$C$32-Formula!$C$33),Formula!$C$33),Formula!$C$32)),1)</f>
        <v>1</v>
      </c>
      <c r="W141" s="17">
        <f t="shared" si="5"/>
        <v>10.1</v>
      </c>
    </row>
    <row r="142" ht="15.75" customHeight="1">
      <c r="A142" s="8" t="s">
        <v>529</v>
      </c>
      <c r="B142" s="7" t="s">
        <v>524</v>
      </c>
      <c r="C142" s="13" t="s">
        <v>525</v>
      </c>
      <c r="D142" s="7" t="s">
        <v>35</v>
      </c>
      <c r="E142" s="8" t="s">
        <v>36</v>
      </c>
      <c r="F142" s="8" t="s">
        <v>318</v>
      </c>
      <c r="G142" s="7" t="s">
        <v>33</v>
      </c>
      <c r="H142" s="7" t="s">
        <v>526</v>
      </c>
      <c r="I142" s="8">
        <v>1200.0</v>
      </c>
      <c r="K142" s="8" t="s">
        <v>321</v>
      </c>
      <c r="L142" s="8" t="s">
        <v>322</v>
      </c>
      <c r="M142" s="8" t="s">
        <v>329</v>
      </c>
      <c r="N142" s="8">
        <v>7.6</v>
      </c>
      <c r="O142" s="14">
        <f t="shared" si="1"/>
        <v>45931</v>
      </c>
      <c r="P142" s="15">
        <f>IFERROR(VLOOKUP(K142,Formula!$A$11:$B$20,2,FALSE),Formula!$C$26)</f>
        <v>0.9</v>
      </c>
      <c r="Q142" s="15">
        <f>IF(AND(ISNUMBER(J142),J142&gt;0),1/J142,IF(AND(ISNUMBER(I142),I142&gt;0),SQRT(MIN(I142,Formula!$C$27))/Formula!$C$24,1/Formula!$C$25))</f>
        <v>0.3534797566</v>
      </c>
      <c r="R142" s="15">
        <f t="shared" si="2"/>
        <v>0.318131781</v>
      </c>
      <c r="S142" s="15">
        <f>IF(H142&lt;&gt;"",EXP(-Formula!$C$28*(EOMONTH(H142,0)-H142)),EXP(-Formula!$C$28*(EOMONTH(D142,0)-D142)))</f>
        <v>0.2465969639</v>
      </c>
      <c r="T142" s="15">
        <f t="shared" si="3"/>
        <v>0.316227766</v>
      </c>
      <c r="U142" s="15">
        <f t="shared" si="4"/>
        <v>0.02480817302</v>
      </c>
      <c r="V142" s="16">
        <f>IF(AND(L142="Among all respondents",NOT(OR(K142="Online poll in Telegram channel",K142="Website online poll",K142="CAWI (Computer Assisted Web Interviewing)"))),1/(1-MIN(MAX(Formula!$C$33+(YEAR(D142)-Formula!$C$34)/(Formula!$C$35-Formula!$C$34)*(Formula!$C$32-Formula!$C$33),Formula!$C$33),Formula!$C$32)),1)</f>
        <v>1</v>
      </c>
      <c r="W142" s="17">
        <f t="shared" si="5"/>
        <v>7.6</v>
      </c>
    </row>
    <row r="143" ht="15.75" customHeight="1">
      <c r="A143" s="8" t="s">
        <v>530</v>
      </c>
      <c r="B143" s="7" t="s">
        <v>524</v>
      </c>
      <c r="C143" s="13" t="s">
        <v>525</v>
      </c>
      <c r="D143" s="7" t="s">
        <v>35</v>
      </c>
      <c r="E143" s="8" t="s">
        <v>36</v>
      </c>
      <c r="F143" s="8" t="s">
        <v>318</v>
      </c>
      <c r="G143" s="7" t="s">
        <v>33</v>
      </c>
      <c r="H143" s="7" t="s">
        <v>526</v>
      </c>
      <c r="I143" s="8">
        <v>1200.0</v>
      </c>
      <c r="K143" s="8" t="s">
        <v>321</v>
      </c>
      <c r="L143" s="8" t="s">
        <v>322</v>
      </c>
      <c r="M143" s="8" t="s">
        <v>337</v>
      </c>
      <c r="N143" s="8">
        <v>4.9</v>
      </c>
      <c r="O143" s="14">
        <f t="shared" si="1"/>
        <v>45931</v>
      </c>
      <c r="P143" s="15">
        <f>IFERROR(VLOOKUP(K143,Formula!$A$11:$B$20,2,FALSE),Formula!$C$26)</f>
        <v>0.9</v>
      </c>
      <c r="Q143" s="15">
        <f>IF(AND(ISNUMBER(J143),J143&gt;0),1/J143,IF(AND(ISNUMBER(I143),I143&gt;0),SQRT(MIN(I143,Formula!$C$27))/Formula!$C$24,1/Formula!$C$25))</f>
        <v>0.3534797566</v>
      </c>
      <c r="R143" s="15">
        <f t="shared" si="2"/>
        <v>0.318131781</v>
      </c>
      <c r="S143" s="15">
        <f>IF(H143&lt;&gt;"",EXP(-Formula!$C$28*(EOMONTH(H143,0)-H143)),EXP(-Formula!$C$28*(EOMONTH(D143,0)-D143)))</f>
        <v>0.2465969639</v>
      </c>
      <c r="T143" s="15">
        <f t="shared" si="3"/>
        <v>0.316227766</v>
      </c>
      <c r="U143" s="15">
        <f t="shared" si="4"/>
        <v>0.02480817302</v>
      </c>
      <c r="V143" s="16">
        <f>IF(AND(L143="Among all respondents",NOT(OR(K143="Online poll in Telegram channel",K143="Website online poll",K143="CAWI (Computer Assisted Web Interviewing)"))),1/(1-MIN(MAX(Formula!$C$33+(YEAR(D143)-Formula!$C$34)/(Formula!$C$35-Formula!$C$34)*(Formula!$C$32-Formula!$C$33),Formula!$C$33),Formula!$C$32)),1)</f>
        <v>1</v>
      </c>
      <c r="W143" s="17">
        <f t="shared" si="5"/>
        <v>4.9</v>
      </c>
    </row>
    <row r="144" ht="15.75" customHeight="1">
      <c r="A144" s="8" t="s">
        <v>531</v>
      </c>
      <c r="B144" s="7" t="s">
        <v>524</v>
      </c>
      <c r="C144" s="13" t="s">
        <v>525</v>
      </c>
      <c r="D144" s="7" t="s">
        <v>35</v>
      </c>
      <c r="E144" s="8" t="s">
        <v>36</v>
      </c>
      <c r="F144" s="8" t="s">
        <v>318</v>
      </c>
      <c r="G144" s="7" t="s">
        <v>33</v>
      </c>
      <c r="H144" s="7" t="s">
        <v>526</v>
      </c>
      <c r="I144" s="8">
        <v>1200.0</v>
      </c>
      <c r="K144" s="8" t="s">
        <v>321</v>
      </c>
      <c r="L144" s="8" t="s">
        <v>322</v>
      </c>
      <c r="M144" s="8" t="s">
        <v>333</v>
      </c>
      <c r="N144" s="8">
        <v>4.1</v>
      </c>
      <c r="O144" s="14">
        <f t="shared" si="1"/>
        <v>45931</v>
      </c>
      <c r="P144" s="15">
        <f>IFERROR(VLOOKUP(K144,Formula!$A$11:$B$20,2,FALSE),Formula!$C$26)</f>
        <v>0.9</v>
      </c>
      <c r="Q144" s="15">
        <f>IF(AND(ISNUMBER(J144),J144&gt;0),1/J144,IF(AND(ISNUMBER(I144),I144&gt;0),SQRT(MIN(I144,Formula!$C$27))/Formula!$C$24,1/Formula!$C$25))</f>
        <v>0.3534797566</v>
      </c>
      <c r="R144" s="15">
        <f t="shared" si="2"/>
        <v>0.318131781</v>
      </c>
      <c r="S144" s="15">
        <f>IF(H144&lt;&gt;"",EXP(-Formula!$C$28*(EOMONTH(H144,0)-H144)),EXP(-Formula!$C$28*(EOMONTH(D144,0)-D144)))</f>
        <v>0.2465969639</v>
      </c>
      <c r="T144" s="15">
        <f t="shared" si="3"/>
        <v>0.316227766</v>
      </c>
      <c r="U144" s="15">
        <f t="shared" si="4"/>
        <v>0.02480817302</v>
      </c>
      <c r="V144" s="16">
        <f>IF(AND(L144="Among all respondents",NOT(OR(K144="Online poll in Telegram channel",K144="Website online poll",K144="CAWI (Computer Assisted Web Interviewing)"))),1/(1-MIN(MAX(Formula!$C$33+(YEAR(D144)-Formula!$C$34)/(Formula!$C$35-Formula!$C$34)*(Formula!$C$32-Formula!$C$33),Formula!$C$33),Formula!$C$32)),1)</f>
        <v>1</v>
      </c>
      <c r="W144" s="17">
        <f t="shared" si="5"/>
        <v>4.1</v>
      </c>
    </row>
    <row r="145" ht="15.75" customHeight="1">
      <c r="A145" s="8" t="s">
        <v>532</v>
      </c>
      <c r="B145" s="7" t="s">
        <v>524</v>
      </c>
      <c r="C145" s="13" t="s">
        <v>525</v>
      </c>
      <c r="D145" s="7" t="s">
        <v>35</v>
      </c>
      <c r="E145" s="8" t="s">
        <v>36</v>
      </c>
      <c r="F145" s="8" t="s">
        <v>318</v>
      </c>
      <c r="G145" s="7" t="s">
        <v>33</v>
      </c>
      <c r="H145" s="7" t="s">
        <v>526</v>
      </c>
      <c r="I145" s="8">
        <v>1200.0</v>
      </c>
      <c r="K145" s="8" t="s">
        <v>321</v>
      </c>
      <c r="L145" s="8" t="s">
        <v>322</v>
      </c>
      <c r="M145" s="8" t="s">
        <v>335</v>
      </c>
      <c r="N145" s="8">
        <v>3.4</v>
      </c>
      <c r="O145" s="14">
        <f t="shared" si="1"/>
        <v>45931</v>
      </c>
      <c r="P145" s="15">
        <f>IFERROR(VLOOKUP(K145,Formula!$A$11:$B$20,2,FALSE),Formula!$C$26)</f>
        <v>0.9</v>
      </c>
      <c r="Q145" s="15">
        <f>IF(AND(ISNUMBER(J145),J145&gt;0),1/J145,IF(AND(ISNUMBER(I145),I145&gt;0),SQRT(MIN(I145,Formula!$C$27))/Formula!$C$24,1/Formula!$C$25))</f>
        <v>0.3534797566</v>
      </c>
      <c r="R145" s="15">
        <f t="shared" si="2"/>
        <v>0.318131781</v>
      </c>
      <c r="S145" s="15">
        <f>IF(H145&lt;&gt;"",EXP(-Formula!$C$28*(EOMONTH(H145,0)-H145)),EXP(-Formula!$C$28*(EOMONTH(D145,0)-D145)))</f>
        <v>0.2465969639</v>
      </c>
      <c r="T145" s="15">
        <f t="shared" si="3"/>
        <v>0.316227766</v>
      </c>
      <c r="U145" s="15">
        <f t="shared" si="4"/>
        <v>0.02480817302</v>
      </c>
      <c r="V145" s="16">
        <f>IF(AND(L145="Among all respondents",NOT(OR(K145="Online poll in Telegram channel",K145="Website online poll",K145="CAWI (Computer Assisted Web Interviewing)"))),1/(1-MIN(MAX(Formula!$C$33+(YEAR(D145)-Formula!$C$34)/(Formula!$C$35-Formula!$C$34)*(Formula!$C$32-Formula!$C$33),Formula!$C$33),Formula!$C$32)),1)</f>
        <v>1</v>
      </c>
      <c r="W145" s="17">
        <f t="shared" si="5"/>
        <v>3.4</v>
      </c>
    </row>
    <row r="146" ht="15.75" customHeight="1">
      <c r="A146" s="8" t="s">
        <v>533</v>
      </c>
      <c r="B146" s="7" t="s">
        <v>524</v>
      </c>
      <c r="C146" s="13" t="s">
        <v>525</v>
      </c>
      <c r="D146" s="7" t="s">
        <v>35</v>
      </c>
      <c r="E146" s="8" t="s">
        <v>36</v>
      </c>
      <c r="F146" s="8" t="s">
        <v>318</v>
      </c>
      <c r="G146" s="7" t="s">
        <v>33</v>
      </c>
      <c r="H146" s="7" t="s">
        <v>526</v>
      </c>
      <c r="I146" s="8">
        <v>1200.0</v>
      </c>
      <c r="K146" s="8" t="s">
        <v>321</v>
      </c>
      <c r="L146" s="8" t="s">
        <v>322</v>
      </c>
      <c r="M146" s="8" t="s">
        <v>343</v>
      </c>
      <c r="N146" s="8">
        <v>2.0</v>
      </c>
      <c r="O146" s="14">
        <f t="shared" si="1"/>
        <v>45931</v>
      </c>
      <c r="P146" s="15">
        <f>IFERROR(VLOOKUP(K146,Formula!$A$11:$B$20,2,FALSE),Formula!$C$26)</f>
        <v>0.9</v>
      </c>
      <c r="Q146" s="15">
        <f>IF(AND(ISNUMBER(J146),J146&gt;0),1/J146,IF(AND(ISNUMBER(I146),I146&gt;0),SQRT(MIN(I146,Formula!$C$27))/Formula!$C$24,1/Formula!$C$25))</f>
        <v>0.3534797566</v>
      </c>
      <c r="R146" s="15">
        <f t="shared" si="2"/>
        <v>0.318131781</v>
      </c>
      <c r="S146" s="15">
        <f>IF(H146&lt;&gt;"",EXP(-Formula!$C$28*(EOMONTH(H146,0)-H146)),EXP(-Formula!$C$28*(EOMONTH(D146,0)-D146)))</f>
        <v>0.2465969639</v>
      </c>
      <c r="T146" s="15">
        <f t="shared" si="3"/>
        <v>0.316227766</v>
      </c>
      <c r="U146" s="15">
        <f t="shared" si="4"/>
        <v>0.02480817302</v>
      </c>
      <c r="V146" s="16">
        <f>IF(AND(L146="Among all respondents",NOT(OR(K146="Online poll in Telegram channel",K146="Website online poll",K146="CAWI (Computer Assisted Web Interviewing)"))),1/(1-MIN(MAX(Formula!$C$33+(YEAR(D146)-Formula!$C$34)/(Formula!$C$35-Formula!$C$34)*(Formula!$C$32-Formula!$C$33),Formula!$C$33),Formula!$C$32)),1)</f>
        <v>1</v>
      </c>
      <c r="W146" s="17">
        <f t="shared" si="5"/>
        <v>2</v>
      </c>
    </row>
    <row r="147" ht="15.75" customHeight="1">
      <c r="A147" s="8" t="s">
        <v>534</v>
      </c>
      <c r="B147" s="7" t="s">
        <v>524</v>
      </c>
      <c r="C147" s="13" t="s">
        <v>525</v>
      </c>
      <c r="D147" s="7" t="s">
        <v>35</v>
      </c>
      <c r="E147" s="8" t="s">
        <v>36</v>
      </c>
      <c r="F147" s="8" t="s">
        <v>318</v>
      </c>
      <c r="G147" s="7" t="s">
        <v>33</v>
      </c>
      <c r="H147" s="7" t="s">
        <v>526</v>
      </c>
      <c r="I147" s="8">
        <v>1200.0</v>
      </c>
      <c r="K147" s="8" t="s">
        <v>321</v>
      </c>
      <c r="L147" s="8" t="s">
        <v>322</v>
      </c>
      <c r="M147" s="8" t="s">
        <v>339</v>
      </c>
      <c r="N147" s="8">
        <v>1.7</v>
      </c>
      <c r="O147" s="14">
        <f t="shared" si="1"/>
        <v>45931</v>
      </c>
      <c r="P147" s="15">
        <f>IFERROR(VLOOKUP(K147,Formula!$A$11:$B$20,2,FALSE),Formula!$C$26)</f>
        <v>0.9</v>
      </c>
      <c r="Q147" s="15">
        <f>IF(AND(ISNUMBER(J147),J147&gt;0),1/J147,IF(AND(ISNUMBER(I147),I147&gt;0),SQRT(MIN(I147,Formula!$C$27))/Formula!$C$24,1/Formula!$C$25))</f>
        <v>0.3534797566</v>
      </c>
      <c r="R147" s="15">
        <f t="shared" si="2"/>
        <v>0.318131781</v>
      </c>
      <c r="S147" s="15">
        <f>IF(H147&lt;&gt;"",EXP(-Formula!$C$28*(EOMONTH(H147,0)-H147)),EXP(-Formula!$C$28*(EOMONTH(D147,0)-D147)))</f>
        <v>0.2465969639</v>
      </c>
      <c r="T147" s="15">
        <f t="shared" si="3"/>
        <v>0.316227766</v>
      </c>
      <c r="U147" s="15">
        <f t="shared" si="4"/>
        <v>0.02480817302</v>
      </c>
      <c r="V147" s="16">
        <f>IF(AND(L147="Among all respondents",NOT(OR(K147="Online poll in Telegram channel",K147="Website online poll",K147="CAWI (Computer Assisted Web Interviewing)"))),1/(1-MIN(MAX(Formula!$C$33+(YEAR(D147)-Formula!$C$34)/(Formula!$C$35-Formula!$C$34)*(Formula!$C$32-Formula!$C$33),Formula!$C$33),Formula!$C$32)),1)</f>
        <v>1</v>
      </c>
      <c r="W147" s="17">
        <f t="shared" si="5"/>
        <v>1.7</v>
      </c>
    </row>
    <row r="148" ht="15.75" customHeight="1">
      <c r="A148" s="8" t="s">
        <v>535</v>
      </c>
      <c r="B148" s="7" t="s">
        <v>524</v>
      </c>
      <c r="C148" s="13" t="s">
        <v>525</v>
      </c>
      <c r="D148" s="7" t="s">
        <v>35</v>
      </c>
      <c r="E148" s="8" t="s">
        <v>36</v>
      </c>
      <c r="F148" s="8" t="s">
        <v>318</v>
      </c>
      <c r="G148" s="7" t="s">
        <v>33</v>
      </c>
      <c r="H148" s="7" t="s">
        <v>526</v>
      </c>
      <c r="I148" s="8">
        <v>1200.0</v>
      </c>
      <c r="K148" s="8" t="s">
        <v>321</v>
      </c>
      <c r="L148" s="8" t="s">
        <v>322</v>
      </c>
      <c r="M148" s="8" t="s">
        <v>365</v>
      </c>
      <c r="N148" s="8">
        <v>1.1</v>
      </c>
      <c r="O148" s="14">
        <f t="shared" si="1"/>
        <v>45931</v>
      </c>
      <c r="P148" s="15">
        <f>IFERROR(VLOOKUP(K148,Formula!$A$11:$B$20,2,FALSE),Formula!$C$26)</f>
        <v>0.9</v>
      </c>
      <c r="Q148" s="15">
        <f>IF(AND(ISNUMBER(J148),J148&gt;0),1/J148,IF(AND(ISNUMBER(I148),I148&gt;0),SQRT(MIN(I148,Formula!$C$27))/Formula!$C$24,1/Formula!$C$25))</f>
        <v>0.3534797566</v>
      </c>
      <c r="R148" s="15">
        <f t="shared" si="2"/>
        <v>0.318131781</v>
      </c>
      <c r="S148" s="15">
        <f>IF(H148&lt;&gt;"",EXP(-Formula!$C$28*(EOMONTH(H148,0)-H148)),EXP(-Formula!$C$28*(EOMONTH(D148,0)-D148)))</f>
        <v>0.2465969639</v>
      </c>
      <c r="T148" s="15">
        <f t="shared" si="3"/>
        <v>0.316227766</v>
      </c>
      <c r="U148" s="15">
        <f t="shared" si="4"/>
        <v>0.02480817302</v>
      </c>
      <c r="V148" s="16">
        <f>IF(AND(L148="Among all respondents",NOT(OR(K148="Online poll in Telegram channel",K148="Website online poll",K148="CAWI (Computer Assisted Web Interviewing)"))),1/(1-MIN(MAX(Formula!$C$33+(YEAR(D148)-Formula!$C$34)/(Formula!$C$35-Formula!$C$34)*(Formula!$C$32-Formula!$C$33),Formula!$C$33),Formula!$C$32)),1)</f>
        <v>1</v>
      </c>
      <c r="W148" s="17">
        <f t="shared" si="5"/>
        <v>1.1</v>
      </c>
    </row>
    <row r="149" ht="15.75" customHeight="1">
      <c r="A149" s="8" t="s">
        <v>536</v>
      </c>
      <c r="B149" s="7" t="s">
        <v>537</v>
      </c>
      <c r="C149" s="13" t="s">
        <v>538</v>
      </c>
      <c r="D149" s="7" t="s">
        <v>33</v>
      </c>
      <c r="E149" s="8" t="s">
        <v>17</v>
      </c>
      <c r="F149" s="8" t="s">
        <v>318</v>
      </c>
      <c r="G149" s="7" t="s">
        <v>37</v>
      </c>
      <c r="H149" s="7" t="s">
        <v>539</v>
      </c>
      <c r="I149" s="8">
        <v>2000.0</v>
      </c>
      <c r="J149" s="8">
        <v>2.6</v>
      </c>
      <c r="K149" s="8" t="s">
        <v>436</v>
      </c>
      <c r="L149" s="8" t="s">
        <v>373</v>
      </c>
      <c r="M149" s="8" t="s">
        <v>323</v>
      </c>
      <c r="N149" s="8">
        <v>21.2</v>
      </c>
      <c r="O149" s="14">
        <f t="shared" si="1"/>
        <v>45931</v>
      </c>
      <c r="P149" s="15">
        <f>IFERROR(VLOOKUP(K149,Formula!$A$11:$B$20,2,FALSE),Formula!$C$26)</f>
        <v>0.95</v>
      </c>
      <c r="Q149" s="15">
        <f>IF(AND(ISNUMBER(J149),J149&gt;0),1/J149,IF(AND(ISNUMBER(I149),I149&gt;0),SQRT(MIN(I149,Formula!$C$27))/Formula!$C$24,1/Formula!$C$25))</f>
        <v>0.3846153846</v>
      </c>
      <c r="R149" s="15">
        <f t="shared" si="2"/>
        <v>0.3653846154</v>
      </c>
      <c r="S149" s="15">
        <f>IF(H149&lt;&gt;"",EXP(-Formula!$C$28*(EOMONTH(H149,0)-H149)),EXP(-Formula!$C$28*(EOMONTH(D149,0)-D149)))</f>
        <v>1</v>
      </c>
      <c r="T149" s="15">
        <f t="shared" si="3"/>
        <v>0.316227766</v>
      </c>
      <c r="U149" s="15">
        <f t="shared" si="4"/>
        <v>0.1155447607</v>
      </c>
      <c r="V149" s="16">
        <f>IF(AND(L149="Among all respondents",NOT(OR(K149="Online poll in Telegram channel",K149="Website online poll",K149="CAWI (Computer Assisted Web Interviewing)"))),1/(1-MIN(MAX(Formula!$C$33+(YEAR(D149)-Formula!$C$34)/(Formula!$C$35-Formula!$C$34)*(Formula!$C$32-Formula!$C$33),Formula!$C$33),Formula!$C$32)),1)</f>
        <v>1.282051282</v>
      </c>
      <c r="W149" s="17">
        <f t="shared" si="5"/>
        <v>27.17948718</v>
      </c>
    </row>
    <row r="150" ht="15.75" customHeight="1">
      <c r="A150" s="8" t="s">
        <v>540</v>
      </c>
      <c r="B150" s="7" t="s">
        <v>537</v>
      </c>
      <c r="C150" s="13" t="s">
        <v>538</v>
      </c>
      <c r="D150" s="7" t="s">
        <v>33</v>
      </c>
      <c r="E150" s="8" t="s">
        <v>17</v>
      </c>
      <c r="F150" s="8" t="s">
        <v>318</v>
      </c>
      <c r="G150" s="7" t="s">
        <v>37</v>
      </c>
      <c r="H150" s="7" t="s">
        <v>539</v>
      </c>
      <c r="I150" s="8">
        <v>2000.0</v>
      </c>
      <c r="J150" s="8">
        <v>2.6</v>
      </c>
      <c r="K150" s="8" t="s">
        <v>436</v>
      </c>
      <c r="L150" s="8" t="s">
        <v>373</v>
      </c>
      <c r="M150" s="8" t="s">
        <v>325</v>
      </c>
      <c r="N150" s="8">
        <v>19.4</v>
      </c>
      <c r="O150" s="14">
        <f t="shared" si="1"/>
        <v>45931</v>
      </c>
      <c r="P150" s="15">
        <f>IFERROR(VLOOKUP(K150,Formula!$A$11:$B$20,2,FALSE),Formula!$C$26)</f>
        <v>0.95</v>
      </c>
      <c r="Q150" s="15">
        <f>IF(AND(ISNUMBER(J150),J150&gt;0),1/J150,IF(AND(ISNUMBER(I150),I150&gt;0),SQRT(MIN(I150,Formula!$C$27))/Formula!$C$24,1/Formula!$C$25))</f>
        <v>0.3846153846</v>
      </c>
      <c r="R150" s="15">
        <f t="shared" si="2"/>
        <v>0.3653846154</v>
      </c>
      <c r="S150" s="15">
        <f>IF(H150&lt;&gt;"",EXP(-Formula!$C$28*(EOMONTH(H150,0)-H150)),EXP(-Formula!$C$28*(EOMONTH(D150,0)-D150)))</f>
        <v>1</v>
      </c>
      <c r="T150" s="15">
        <f t="shared" si="3"/>
        <v>0.316227766</v>
      </c>
      <c r="U150" s="15">
        <f t="shared" si="4"/>
        <v>0.1155447607</v>
      </c>
      <c r="V150" s="16">
        <f>IF(AND(L150="Among all respondents",NOT(OR(K150="Online poll in Telegram channel",K150="Website online poll",K150="CAWI (Computer Assisted Web Interviewing)"))),1/(1-MIN(MAX(Formula!$C$33+(YEAR(D150)-Formula!$C$34)/(Formula!$C$35-Formula!$C$34)*(Formula!$C$32-Formula!$C$33),Formula!$C$33),Formula!$C$32)),1)</f>
        <v>1.282051282</v>
      </c>
      <c r="W150" s="17">
        <f t="shared" si="5"/>
        <v>24.87179487</v>
      </c>
    </row>
    <row r="151" ht="15.75" customHeight="1">
      <c r="A151" s="8" t="s">
        <v>541</v>
      </c>
      <c r="B151" s="7" t="s">
        <v>537</v>
      </c>
      <c r="C151" s="13" t="s">
        <v>538</v>
      </c>
      <c r="D151" s="7" t="s">
        <v>33</v>
      </c>
      <c r="E151" s="8" t="s">
        <v>17</v>
      </c>
      <c r="F151" s="8" t="s">
        <v>318</v>
      </c>
      <c r="G151" s="7" t="s">
        <v>37</v>
      </c>
      <c r="H151" s="7" t="s">
        <v>539</v>
      </c>
      <c r="I151" s="8">
        <v>2000.0</v>
      </c>
      <c r="J151" s="8">
        <v>2.6</v>
      </c>
      <c r="K151" s="8" t="s">
        <v>436</v>
      </c>
      <c r="L151" s="8" t="s">
        <v>373</v>
      </c>
      <c r="M151" s="8" t="s">
        <v>329</v>
      </c>
      <c r="N151" s="8">
        <v>5.6</v>
      </c>
      <c r="O151" s="14">
        <f t="shared" si="1"/>
        <v>45931</v>
      </c>
      <c r="P151" s="15">
        <f>IFERROR(VLOOKUP(K151,Formula!$A$11:$B$20,2,FALSE),Formula!$C$26)</f>
        <v>0.95</v>
      </c>
      <c r="Q151" s="15">
        <f>IF(AND(ISNUMBER(J151),J151&gt;0),1/J151,IF(AND(ISNUMBER(I151),I151&gt;0),SQRT(MIN(I151,Formula!$C$27))/Formula!$C$24,1/Formula!$C$25))</f>
        <v>0.3846153846</v>
      </c>
      <c r="R151" s="15">
        <f t="shared" si="2"/>
        <v>0.3653846154</v>
      </c>
      <c r="S151" s="15">
        <f>IF(H151&lt;&gt;"",EXP(-Formula!$C$28*(EOMONTH(H151,0)-H151)),EXP(-Formula!$C$28*(EOMONTH(D151,0)-D151)))</f>
        <v>1</v>
      </c>
      <c r="T151" s="15">
        <f t="shared" si="3"/>
        <v>0.316227766</v>
      </c>
      <c r="U151" s="15">
        <f t="shared" si="4"/>
        <v>0.1155447607</v>
      </c>
      <c r="V151" s="16">
        <f>IF(AND(L151="Among all respondents",NOT(OR(K151="Online poll in Telegram channel",K151="Website online poll",K151="CAWI (Computer Assisted Web Interviewing)"))),1/(1-MIN(MAX(Formula!$C$33+(YEAR(D151)-Formula!$C$34)/(Formula!$C$35-Formula!$C$34)*(Formula!$C$32-Formula!$C$33),Formula!$C$33),Formula!$C$32)),1)</f>
        <v>1.282051282</v>
      </c>
      <c r="W151" s="17">
        <f t="shared" si="5"/>
        <v>7.179487179</v>
      </c>
    </row>
    <row r="152" ht="15.75" customHeight="1">
      <c r="A152" s="8" t="s">
        <v>542</v>
      </c>
      <c r="B152" s="7" t="s">
        <v>537</v>
      </c>
      <c r="C152" s="13" t="s">
        <v>538</v>
      </c>
      <c r="D152" s="7" t="s">
        <v>33</v>
      </c>
      <c r="E152" s="8" t="s">
        <v>17</v>
      </c>
      <c r="F152" s="8" t="s">
        <v>318</v>
      </c>
      <c r="G152" s="7" t="s">
        <v>37</v>
      </c>
      <c r="H152" s="7" t="s">
        <v>539</v>
      </c>
      <c r="I152" s="8">
        <v>2000.0</v>
      </c>
      <c r="J152" s="8">
        <v>2.6</v>
      </c>
      <c r="K152" s="8" t="s">
        <v>436</v>
      </c>
      <c r="L152" s="8" t="s">
        <v>373</v>
      </c>
      <c r="M152" s="8" t="s">
        <v>327</v>
      </c>
      <c r="N152" s="8">
        <v>4.9</v>
      </c>
      <c r="O152" s="14">
        <f t="shared" si="1"/>
        <v>45931</v>
      </c>
      <c r="P152" s="15">
        <f>IFERROR(VLOOKUP(K152,Formula!$A$11:$B$20,2,FALSE),Formula!$C$26)</f>
        <v>0.95</v>
      </c>
      <c r="Q152" s="15">
        <f>IF(AND(ISNUMBER(J152),J152&gt;0),1/J152,IF(AND(ISNUMBER(I152),I152&gt;0),SQRT(MIN(I152,Formula!$C$27))/Formula!$C$24,1/Formula!$C$25))</f>
        <v>0.3846153846</v>
      </c>
      <c r="R152" s="15">
        <f t="shared" si="2"/>
        <v>0.3653846154</v>
      </c>
      <c r="S152" s="15">
        <f>IF(H152&lt;&gt;"",EXP(-Formula!$C$28*(EOMONTH(H152,0)-H152)),EXP(-Formula!$C$28*(EOMONTH(D152,0)-D152)))</f>
        <v>1</v>
      </c>
      <c r="T152" s="15">
        <f t="shared" si="3"/>
        <v>0.316227766</v>
      </c>
      <c r="U152" s="15">
        <f t="shared" si="4"/>
        <v>0.1155447607</v>
      </c>
      <c r="V152" s="16">
        <f>IF(AND(L152="Among all respondents",NOT(OR(K152="Online poll in Telegram channel",K152="Website online poll",K152="CAWI (Computer Assisted Web Interviewing)"))),1/(1-MIN(MAX(Formula!$C$33+(YEAR(D152)-Formula!$C$34)/(Formula!$C$35-Formula!$C$34)*(Formula!$C$32-Formula!$C$33),Formula!$C$33),Formula!$C$32)),1)</f>
        <v>1.282051282</v>
      </c>
      <c r="W152" s="17">
        <f t="shared" si="5"/>
        <v>6.282051282</v>
      </c>
    </row>
    <row r="153" ht="15.75" customHeight="1">
      <c r="A153" s="8" t="s">
        <v>543</v>
      </c>
      <c r="B153" s="7" t="s">
        <v>537</v>
      </c>
      <c r="C153" s="13" t="s">
        <v>538</v>
      </c>
      <c r="D153" s="7" t="s">
        <v>33</v>
      </c>
      <c r="E153" s="8" t="s">
        <v>17</v>
      </c>
      <c r="F153" s="8" t="s">
        <v>318</v>
      </c>
      <c r="G153" s="7" t="s">
        <v>37</v>
      </c>
      <c r="H153" s="7" t="s">
        <v>539</v>
      </c>
      <c r="I153" s="8">
        <v>2000.0</v>
      </c>
      <c r="J153" s="8">
        <v>2.6</v>
      </c>
      <c r="K153" s="8" t="s">
        <v>436</v>
      </c>
      <c r="L153" s="8" t="s">
        <v>373</v>
      </c>
      <c r="M153" s="8" t="s">
        <v>335</v>
      </c>
      <c r="N153" s="8">
        <v>3.6</v>
      </c>
      <c r="O153" s="14">
        <f t="shared" si="1"/>
        <v>45931</v>
      </c>
      <c r="P153" s="15">
        <f>IFERROR(VLOOKUP(K153,Formula!$A$11:$B$20,2,FALSE),Formula!$C$26)</f>
        <v>0.95</v>
      </c>
      <c r="Q153" s="15">
        <f>IF(AND(ISNUMBER(J153),J153&gt;0),1/J153,IF(AND(ISNUMBER(I153),I153&gt;0),SQRT(MIN(I153,Formula!$C$27))/Formula!$C$24,1/Formula!$C$25))</f>
        <v>0.3846153846</v>
      </c>
      <c r="R153" s="15">
        <f t="shared" si="2"/>
        <v>0.3653846154</v>
      </c>
      <c r="S153" s="15">
        <f>IF(H153&lt;&gt;"",EXP(-Formula!$C$28*(EOMONTH(H153,0)-H153)),EXP(-Formula!$C$28*(EOMONTH(D153,0)-D153)))</f>
        <v>1</v>
      </c>
      <c r="T153" s="15">
        <f t="shared" si="3"/>
        <v>0.316227766</v>
      </c>
      <c r="U153" s="15">
        <f t="shared" si="4"/>
        <v>0.1155447607</v>
      </c>
      <c r="V153" s="16">
        <f>IF(AND(L153="Among all respondents",NOT(OR(K153="Online poll in Telegram channel",K153="Website online poll",K153="CAWI (Computer Assisted Web Interviewing)"))),1/(1-MIN(MAX(Formula!$C$33+(YEAR(D153)-Formula!$C$34)/(Formula!$C$35-Formula!$C$34)*(Formula!$C$32-Formula!$C$33),Formula!$C$33),Formula!$C$32)),1)</f>
        <v>1.282051282</v>
      </c>
      <c r="W153" s="17">
        <f t="shared" si="5"/>
        <v>4.615384615</v>
      </c>
    </row>
    <row r="154" ht="15.75" customHeight="1">
      <c r="A154" s="8" t="s">
        <v>544</v>
      </c>
      <c r="B154" s="7" t="s">
        <v>537</v>
      </c>
      <c r="C154" s="13" t="s">
        <v>538</v>
      </c>
      <c r="D154" s="7" t="s">
        <v>33</v>
      </c>
      <c r="E154" s="8" t="s">
        <v>17</v>
      </c>
      <c r="F154" s="8" t="s">
        <v>318</v>
      </c>
      <c r="G154" s="7" t="s">
        <v>37</v>
      </c>
      <c r="H154" s="7" t="s">
        <v>539</v>
      </c>
      <c r="I154" s="8">
        <v>2000.0</v>
      </c>
      <c r="J154" s="8">
        <v>2.6</v>
      </c>
      <c r="K154" s="8" t="s">
        <v>436</v>
      </c>
      <c r="L154" s="8" t="s">
        <v>373</v>
      </c>
      <c r="M154" s="8" t="s">
        <v>333</v>
      </c>
      <c r="N154" s="8">
        <v>3.0</v>
      </c>
      <c r="O154" s="14">
        <f t="shared" si="1"/>
        <v>45931</v>
      </c>
      <c r="P154" s="15">
        <f>IFERROR(VLOOKUP(K154,Formula!$A$11:$B$20,2,FALSE),Formula!$C$26)</f>
        <v>0.95</v>
      </c>
      <c r="Q154" s="15">
        <f>IF(AND(ISNUMBER(J154),J154&gt;0),1/J154,IF(AND(ISNUMBER(I154),I154&gt;0),SQRT(MIN(I154,Formula!$C$27))/Formula!$C$24,1/Formula!$C$25))</f>
        <v>0.3846153846</v>
      </c>
      <c r="R154" s="15">
        <f t="shared" si="2"/>
        <v>0.3653846154</v>
      </c>
      <c r="S154" s="15">
        <f>IF(H154&lt;&gt;"",EXP(-Formula!$C$28*(EOMONTH(H154,0)-H154)),EXP(-Formula!$C$28*(EOMONTH(D154,0)-D154)))</f>
        <v>1</v>
      </c>
      <c r="T154" s="15">
        <f t="shared" si="3"/>
        <v>0.316227766</v>
      </c>
      <c r="U154" s="15">
        <f t="shared" si="4"/>
        <v>0.1155447607</v>
      </c>
      <c r="V154" s="16">
        <f>IF(AND(L154="Among all respondents",NOT(OR(K154="Online poll in Telegram channel",K154="Website online poll",K154="CAWI (Computer Assisted Web Interviewing)"))),1/(1-MIN(MAX(Formula!$C$33+(YEAR(D154)-Formula!$C$34)/(Formula!$C$35-Formula!$C$34)*(Formula!$C$32-Formula!$C$33),Formula!$C$33),Formula!$C$32)),1)</f>
        <v>1.282051282</v>
      </c>
      <c r="W154" s="17">
        <f t="shared" si="5"/>
        <v>3.846153846</v>
      </c>
    </row>
    <row r="155" ht="15.75" customHeight="1">
      <c r="A155" s="8" t="s">
        <v>545</v>
      </c>
      <c r="B155" s="7" t="s">
        <v>537</v>
      </c>
      <c r="C155" s="13" t="s">
        <v>538</v>
      </c>
      <c r="D155" s="7" t="s">
        <v>33</v>
      </c>
      <c r="E155" s="8" t="s">
        <v>17</v>
      </c>
      <c r="F155" s="8" t="s">
        <v>318</v>
      </c>
      <c r="G155" s="7" t="s">
        <v>37</v>
      </c>
      <c r="H155" s="7" t="s">
        <v>539</v>
      </c>
      <c r="I155" s="8">
        <v>2000.0</v>
      </c>
      <c r="J155" s="8">
        <v>2.6</v>
      </c>
      <c r="K155" s="8" t="s">
        <v>436</v>
      </c>
      <c r="L155" s="8" t="s">
        <v>373</v>
      </c>
      <c r="M155" s="8" t="s">
        <v>337</v>
      </c>
      <c r="N155" s="8">
        <v>2.3</v>
      </c>
      <c r="O155" s="14">
        <f t="shared" si="1"/>
        <v>45931</v>
      </c>
      <c r="P155" s="15">
        <f>IFERROR(VLOOKUP(K155,Formula!$A$11:$B$20,2,FALSE),Formula!$C$26)</f>
        <v>0.95</v>
      </c>
      <c r="Q155" s="15">
        <f>IF(AND(ISNUMBER(J155),J155&gt;0),1/J155,IF(AND(ISNUMBER(I155),I155&gt;0),SQRT(MIN(I155,Formula!$C$27))/Formula!$C$24,1/Formula!$C$25))</f>
        <v>0.3846153846</v>
      </c>
      <c r="R155" s="15">
        <f t="shared" si="2"/>
        <v>0.3653846154</v>
      </c>
      <c r="S155" s="15">
        <f>IF(H155&lt;&gt;"",EXP(-Formula!$C$28*(EOMONTH(H155,0)-H155)),EXP(-Formula!$C$28*(EOMONTH(D155,0)-D155)))</f>
        <v>1</v>
      </c>
      <c r="T155" s="15">
        <f t="shared" si="3"/>
        <v>0.316227766</v>
      </c>
      <c r="U155" s="15">
        <f t="shared" si="4"/>
        <v>0.1155447607</v>
      </c>
      <c r="V155" s="16">
        <f>IF(AND(L155="Among all respondents",NOT(OR(K155="Online poll in Telegram channel",K155="Website online poll",K155="CAWI (Computer Assisted Web Interviewing)"))),1/(1-MIN(MAX(Formula!$C$33+(YEAR(D155)-Formula!$C$34)/(Formula!$C$35-Formula!$C$34)*(Formula!$C$32-Formula!$C$33),Formula!$C$33),Formula!$C$32)),1)</f>
        <v>1.282051282</v>
      </c>
      <c r="W155" s="17">
        <f t="shared" si="5"/>
        <v>2.948717949</v>
      </c>
    </row>
    <row r="156" ht="15.75" customHeight="1">
      <c r="A156" s="8" t="s">
        <v>546</v>
      </c>
      <c r="B156" s="7" t="s">
        <v>537</v>
      </c>
      <c r="C156" s="13" t="s">
        <v>538</v>
      </c>
      <c r="D156" s="7" t="s">
        <v>33</v>
      </c>
      <c r="E156" s="8" t="s">
        <v>17</v>
      </c>
      <c r="F156" s="8" t="s">
        <v>318</v>
      </c>
      <c r="G156" s="7" t="s">
        <v>37</v>
      </c>
      <c r="H156" s="7" t="s">
        <v>539</v>
      </c>
      <c r="I156" s="8">
        <v>2000.0</v>
      </c>
      <c r="J156" s="8">
        <v>2.6</v>
      </c>
      <c r="K156" s="8" t="s">
        <v>436</v>
      </c>
      <c r="L156" s="8" t="s">
        <v>373</v>
      </c>
      <c r="M156" s="8" t="s">
        <v>339</v>
      </c>
      <c r="N156" s="8">
        <v>1.9</v>
      </c>
      <c r="O156" s="14">
        <f t="shared" si="1"/>
        <v>45931</v>
      </c>
      <c r="P156" s="15">
        <f>IFERROR(VLOOKUP(K156,Formula!$A$11:$B$20,2,FALSE),Formula!$C$26)</f>
        <v>0.95</v>
      </c>
      <c r="Q156" s="15">
        <f>IF(AND(ISNUMBER(J156),J156&gt;0),1/J156,IF(AND(ISNUMBER(I156),I156&gt;0),SQRT(MIN(I156,Formula!$C$27))/Formula!$C$24,1/Formula!$C$25))</f>
        <v>0.3846153846</v>
      </c>
      <c r="R156" s="15">
        <f t="shared" si="2"/>
        <v>0.3653846154</v>
      </c>
      <c r="S156" s="15">
        <f>IF(H156&lt;&gt;"",EXP(-Formula!$C$28*(EOMONTH(H156,0)-H156)),EXP(-Formula!$C$28*(EOMONTH(D156,0)-D156)))</f>
        <v>1</v>
      </c>
      <c r="T156" s="15">
        <f t="shared" si="3"/>
        <v>0.316227766</v>
      </c>
      <c r="U156" s="15">
        <f t="shared" si="4"/>
        <v>0.1155447607</v>
      </c>
      <c r="V156" s="16">
        <f>IF(AND(L156="Among all respondents",NOT(OR(K156="Online poll in Telegram channel",K156="Website online poll",K156="CAWI (Computer Assisted Web Interviewing)"))),1/(1-MIN(MAX(Formula!$C$33+(YEAR(D156)-Formula!$C$34)/(Formula!$C$35-Formula!$C$34)*(Formula!$C$32-Formula!$C$33),Formula!$C$33),Formula!$C$32)),1)</f>
        <v>1.282051282</v>
      </c>
      <c r="W156" s="17">
        <f t="shared" si="5"/>
        <v>2.435897436</v>
      </c>
    </row>
    <row r="157" ht="15.75" customHeight="1">
      <c r="A157" s="8" t="s">
        <v>547</v>
      </c>
      <c r="B157" s="7" t="s">
        <v>537</v>
      </c>
      <c r="C157" s="13" t="s">
        <v>538</v>
      </c>
      <c r="D157" s="7" t="s">
        <v>33</v>
      </c>
      <c r="E157" s="8" t="s">
        <v>17</v>
      </c>
      <c r="F157" s="8" t="s">
        <v>318</v>
      </c>
      <c r="G157" s="7" t="s">
        <v>37</v>
      </c>
      <c r="H157" s="7" t="s">
        <v>539</v>
      </c>
      <c r="I157" s="8">
        <v>2000.0</v>
      </c>
      <c r="J157" s="8">
        <v>2.6</v>
      </c>
      <c r="K157" s="8" t="s">
        <v>436</v>
      </c>
      <c r="L157" s="8" t="s">
        <v>373</v>
      </c>
      <c r="M157" s="8" t="s">
        <v>359</v>
      </c>
      <c r="N157" s="8">
        <v>1.1</v>
      </c>
      <c r="O157" s="14">
        <f t="shared" si="1"/>
        <v>45931</v>
      </c>
      <c r="P157" s="15">
        <f>IFERROR(VLOOKUP(K157,Formula!$A$11:$B$20,2,FALSE),Formula!$C$26)</f>
        <v>0.95</v>
      </c>
      <c r="Q157" s="15">
        <f>IF(AND(ISNUMBER(J157),J157&gt;0),1/J157,IF(AND(ISNUMBER(I157),I157&gt;0),SQRT(MIN(I157,Formula!$C$27))/Formula!$C$24,1/Formula!$C$25))</f>
        <v>0.3846153846</v>
      </c>
      <c r="R157" s="15">
        <f t="shared" si="2"/>
        <v>0.3653846154</v>
      </c>
      <c r="S157" s="15">
        <f>IF(H157&lt;&gt;"",EXP(-Formula!$C$28*(EOMONTH(H157,0)-H157)),EXP(-Formula!$C$28*(EOMONTH(D157,0)-D157)))</f>
        <v>1</v>
      </c>
      <c r="T157" s="15">
        <f t="shared" si="3"/>
        <v>0.316227766</v>
      </c>
      <c r="U157" s="15">
        <f t="shared" si="4"/>
        <v>0.1155447607</v>
      </c>
      <c r="V157" s="16">
        <f>IF(AND(L157="Among all respondents",NOT(OR(K157="Online poll in Telegram channel",K157="Website online poll",K157="CAWI (Computer Assisted Web Interviewing)"))),1/(1-MIN(MAX(Formula!$C$33+(YEAR(D157)-Formula!$C$34)/(Formula!$C$35-Formula!$C$34)*(Formula!$C$32-Formula!$C$33),Formula!$C$33),Formula!$C$32)),1)</f>
        <v>1.282051282</v>
      </c>
      <c r="W157" s="17">
        <f t="shared" si="5"/>
        <v>1.41025641</v>
      </c>
    </row>
    <row r="158" ht="15.75" customHeight="1">
      <c r="A158" s="8" t="s">
        <v>548</v>
      </c>
      <c r="B158" s="7" t="s">
        <v>537</v>
      </c>
      <c r="C158" s="13" t="s">
        <v>538</v>
      </c>
      <c r="D158" s="7" t="s">
        <v>33</v>
      </c>
      <c r="E158" s="8" t="s">
        <v>17</v>
      </c>
      <c r="F158" s="8" t="s">
        <v>318</v>
      </c>
      <c r="G158" s="7" t="s">
        <v>37</v>
      </c>
      <c r="H158" s="7" t="s">
        <v>539</v>
      </c>
      <c r="I158" s="8">
        <v>2000.0</v>
      </c>
      <c r="J158" s="8">
        <v>2.6</v>
      </c>
      <c r="K158" s="8" t="s">
        <v>436</v>
      </c>
      <c r="L158" s="8" t="s">
        <v>373</v>
      </c>
      <c r="M158" s="8" t="s">
        <v>343</v>
      </c>
      <c r="N158" s="8">
        <v>0.5</v>
      </c>
      <c r="O158" s="14">
        <f t="shared" si="1"/>
        <v>45931</v>
      </c>
      <c r="P158" s="15">
        <f>IFERROR(VLOOKUP(K158,Formula!$A$11:$B$20,2,FALSE),Formula!$C$26)</f>
        <v>0.95</v>
      </c>
      <c r="Q158" s="15">
        <f>IF(AND(ISNUMBER(J158),J158&gt;0),1/J158,IF(AND(ISNUMBER(I158),I158&gt;0),SQRT(MIN(I158,Formula!$C$27))/Formula!$C$24,1/Formula!$C$25))</f>
        <v>0.3846153846</v>
      </c>
      <c r="R158" s="15">
        <f t="shared" si="2"/>
        <v>0.3653846154</v>
      </c>
      <c r="S158" s="15">
        <f>IF(H158&lt;&gt;"",EXP(-Formula!$C$28*(EOMONTH(H158,0)-H158)),EXP(-Formula!$C$28*(EOMONTH(D158,0)-D158)))</f>
        <v>1</v>
      </c>
      <c r="T158" s="15">
        <f t="shared" si="3"/>
        <v>0.316227766</v>
      </c>
      <c r="U158" s="15">
        <f t="shared" si="4"/>
        <v>0.1155447607</v>
      </c>
      <c r="V158" s="16">
        <f>IF(AND(L158="Among all respondents",NOT(OR(K158="Online poll in Telegram channel",K158="Website online poll",K158="CAWI (Computer Assisted Web Interviewing)"))),1/(1-MIN(MAX(Formula!$C$33+(YEAR(D158)-Formula!$C$34)/(Formula!$C$35-Formula!$C$34)*(Formula!$C$32-Formula!$C$33),Formula!$C$33),Formula!$C$32)),1)</f>
        <v>1.282051282</v>
      </c>
      <c r="W158" s="17">
        <f t="shared" si="5"/>
        <v>0.641025641</v>
      </c>
    </row>
    <row r="159" ht="15.75" customHeight="1">
      <c r="A159" s="8" t="s">
        <v>549</v>
      </c>
      <c r="B159" s="7" t="s">
        <v>550</v>
      </c>
      <c r="C159" s="13" t="s">
        <v>551</v>
      </c>
      <c r="D159" s="7" t="s">
        <v>38</v>
      </c>
      <c r="E159" s="8" t="s">
        <v>40</v>
      </c>
      <c r="F159" s="8" t="s">
        <v>318</v>
      </c>
      <c r="G159" s="7" t="s">
        <v>552</v>
      </c>
      <c r="H159" s="7" t="s">
        <v>553</v>
      </c>
      <c r="I159" s="8">
        <v>1600.0</v>
      </c>
      <c r="J159" s="8">
        <v>2.5</v>
      </c>
      <c r="K159" s="8" t="s">
        <v>321</v>
      </c>
      <c r="L159" s="8" t="s">
        <v>373</v>
      </c>
      <c r="M159" s="8" t="s">
        <v>323</v>
      </c>
      <c r="N159" s="8">
        <v>35.2</v>
      </c>
      <c r="O159" s="14">
        <f t="shared" si="1"/>
        <v>45870</v>
      </c>
      <c r="P159" s="15">
        <f>IFERROR(VLOOKUP(K159,Formula!$A$11:$B$20,2,FALSE),Formula!$C$26)</f>
        <v>0.9</v>
      </c>
      <c r="Q159" s="15">
        <f>IF(AND(ISNUMBER(J159),J159&gt;0),1/J159,IF(AND(ISNUMBER(I159),I159&gt;0),SQRT(MIN(I159,Formula!$C$27))/Formula!$C$24,1/Formula!$C$25))</f>
        <v>0.4</v>
      </c>
      <c r="R159" s="15">
        <f t="shared" si="2"/>
        <v>0.36</v>
      </c>
      <c r="S159" s="15">
        <f>IF(H159&lt;&gt;"",EXP(-Formula!$C$28*(EOMONTH(H159,0)-H159)),EXP(-Formula!$C$28*(EOMONTH(D159,0)-D159)))</f>
        <v>0.670320046</v>
      </c>
      <c r="T159" s="15">
        <f t="shared" si="3"/>
        <v>0.316227766</v>
      </c>
      <c r="U159" s="15">
        <f t="shared" si="4"/>
        <v>0.07631057184</v>
      </c>
      <c r="V159" s="16">
        <f>IF(AND(L159="Among all respondents",NOT(OR(K159="Online poll in Telegram channel",K159="Website online poll",K159="CAWI (Computer Assisted Web Interviewing)"))),1/(1-MIN(MAX(Formula!$C$33+(YEAR(D159)-Formula!$C$34)/(Formula!$C$35-Formula!$C$34)*(Formula!$C$32-Formula!$C$33),Formula!$C$33),Formula!$C$32)),1)</f>
        <v>1.282051282</v>
      </c>
      <c r="W159" s="17">
        <f t="shared" si="5"/>
        <v>45.12820513</v>
      </c>
    </row>
    <row r="160" ht="15.75" customHeight="1">
      <c r="A160" s="8" t="s">
        <v>554</v>
      </c>
      <c r="B160" s="7" t="s">
        <v>550</v>
      </c>
      <c r="C160" s="13" t="s">
        <v>551</v>
      </c>
      <c r="D160" s="7" t="s">
        <v>38</v>
      </c>
      <c r="E160" s="8" t="s">
        <v>40</v>
      </c>
      <c r="F160" s="8" t="s">
        <v>318</v>
      </c>
      <c r="G160" s="7" t="s">
        <v>552</v>
      </c>
      <c r="H160" s="7" t="s">
        <v>553</v>
      </c>
      <c r="I160" s="8">
        <v>1600.0</v>
      </c>
      <c r="J160" s="8">
        <v>2.5</v>
      </c>
      <c r="K160" s="8" t="s">
        <v>321</v>
      </c>
      <c r="L160" s="8" t="s">
        <v>373</v>
      </c>
      <c r="M160" s="8" t="s">
        <v>325</v>
      </c>
      <c r="N160" s="8">
        <v>25.3</v>
      </c>
      <c r="O160" s="14">
        <f t="shared" si="1"/>
        <v>45870</v>
      </c>
      <c r="P160" s="15">
        <f>IFERROR(VLOOKUP(K160,Formula!$A$11:$B$20,2,FALSE),Formula!$C$26)</f>
        <v>0.9</v>
      </c>
      <c r="Q160" s="15">
        <f>IF(AND(ISNUMBER(J160),J160&gt;0),1/J160,IF(AND(ISNUMBER(I160),I160&gt;0),SQRT(MIN(I160,Formula!$C$27))/Formula!$C$24,1/Formula!$C$25))</f>
        <v>0.4</v>
      </c>
      <c r="R160" s="15">
        <f t="shared" si="2"/>
        <v>0.36</v>
      </c>
      <c r="S160" s="15">
        <f>IF(H160&lt;&gt;"",EXP(-Formula!$C$28*(EOMONTH(H160,0)-H160)),EXP(-Formula!$C$28*(EOMONTH(D160,0)-D160)))</f>
        <v>0.670320046</v>
      </c>
      <c r="T160" s="15">
        <f t="shared" si="3"/>
        <v>0.316227766</v>
      </c>
      <c r="U160" s="15">
        <f t="shared" si="4"/>
        <v>0.07631057184</v>
      </c>
      <c r="V160" s="16">
        <f>IF(AND(L160="Among all respondents",NOT(OR(K160="Online poll in Telegram channel",K160="Website online poll",K160="CAWI (Computer Assisted Web Interviewing)"))),1/(1-MIN(MAX(Formula!$C$33+(YEAR(D160)-Formula!$C$34)/(Formula!$C$35-Formula!$C$34)*(Formula!$C$32-Formula!$C$33),Formula!$C$33),Formula!$C$32)),1)</f>
        <v>1.282051282</v>
      </c>
      <c r="W160" s="17">
        <f t="shared" si="5"/>
        <v>32.43589744</v>
      </c>
    </row>
    <row r="161" ht="15.75" customHeight="1">
      <c r="A161" s="8" t="s">
        <v>555</v>
      </c>
      <c r="B161" s="7" t="s">
        <v>550</v>
      </c>
      <c r="C161" s="13" t="s">
        <v>551</v>
      </c>
      <c r="D161" s="7" t="s">
        <v>38</v>
      </c>
      <c r="E161" s="8" t="s">
        <v>40</v>
      </c>
      <c r="F161" s="8" t="s">
        <v>318</v>
      </c>
      <c r="G161" s="7" t="s">
        <v>552</v>
      </c>
      <c r="H161" s="7" t="s">
        <v>553</v>
      </c>
      <c r="I161" s="8">
        <v>1600.0</v>
      </c>
      <c r="J161" s="8">
        <v>2.5</v>
      </c>
      <c r="K161" s="8" t="s">
        <v>321</v>
      </c>
      <c r="L161" s="8" t="s">
        <v>373</v>
      </c>
      <c r="M161" s="8" t="s">
        <v>329</v>
      </c>
      <c r="N161" s="8">
        <v>5.3</v>
      </c>
      <c r="O161" s="14">
        <f t="shared" si="1"/>
        <v>45870</v>
      </c>
      <c r="P161" s="15">
        <f>IFERROR(VLOOKUP(K161,Formula!$A$11:$B$20,2,FALSE),Formula!$C$26)</f>
        <v>0.9</v>
      </c>
      <c r="Q161" s="15">
        <f>IF(AND(ISNUMBER(J161),J161&gt;0),1/J161,IF(AND(ISNUMBER(I161),I161&gt;0),SQRT(MIN(I161,Formula!$C$27))/Formula!$C$24,1/Formula!$C$25))</f>
        <v>0.4</v>
      </c>
      <c r="R161" s="15">
        <f t="shared" si="2"/>
        <v>0.36</v>
      </c>
      <c r="S161" s="15">
        <f>IF(H161&lt;&gt;"",EXP(-Formula!$C$28*(EOMONTH(H161,0)-H161)),EXP(-Formula!$C$28*(EOMONTH(D161,0)-D161)))</f>
        <v>0.670320046</v>
      </c>
      <c r="T161" s="15">
        <f t="shared" si="3"/>
        <v>0.316227766</v>
      </c>
      <c r="U161" s="15">
        <f t="shared" si="4"/>
        <v>0.07631057184</v>
      </c>
      <c r="V161" s="16">
        <f>IF(AND(L161="Among all respondents",NOT(OR(K161="Online poll in Telegram channel",K161="Website online poll",K161="CAWI (Computer Assisted Web Interviewing)"))),1/(1-MIN(MAX(Formula!$C$33+(YEAR(D161)-Formula!$C$34)/(Formula!$C$35-Formula!$C$34)*(Formula!$C$32-Formula!$C$33),Formula!$C$33),Formula!$C$32)),1)</f>
        <v>1.282051282</v>
      </c>
      <c r="W161" s="17">
        <f t="shared" si="5"/>
        <v>6.794871795</v>
      </c>
    </row>
    <row r="162" ht="15.75" customHeight="1">
      <c r="A162" s="8" t="s">
        <v>556</v>
      </c>
      <c r="B162" s="7" t="s">
        <v>550</v>
      </c>
      <c r="C162" s="13" t="s">
        <v>551</v>
      </c>
      <c r="D162" s="7" t="s">
        <v>38</v>
      </c>
      <c r="E162" s="8" t="s">
        <v>40</v>
      </c>
      <c r="F162" s="8" t="s">
        <v>318</v>
      </c>
      <c r="G162" s="7" t="s">
        <v>552</v>
      </c>
      <c r="H162" s="7" t="s">
        <v>553</v>
      </c>
      <c r="I162" s="8">
        <v>1600.0</v>
      </c>
      <c r="J162" s="8">
        <v>2.5</v>
      </c>
      <c r="K162" s="8" t="s">
        <v>321</v>
      </c>
      <c r="L162" s="8" t="s">
        <v>373</v>
      </c>
      <c r="M162" s="8" t="s">
        <v>327</v>
      </c>
      <c r="N162" s="8">
        <v>4.5</v>
      </c>
      <c r="O162" s="14">
        <f t="shared" si="1"/>
        <v>45870</v>
      </c>
      <c r="P162" s="15">
        <f>IFERROR(VLOOKUP(K162,Formula!$A$11:$B$20,2,FALSE),Formula!$C$26)</f>
        <v>0.9</v>
      </c>
      <c r="Q162" s="15">
        <f>IF(AND(ISNUMBER(J162),J162&gt;0),1/J162,IF(AND(ISNUMBER(I162),I162&gt;0),SQRT(MIN(I162,Formula!$C$27))/Formula!$C$24,1/Formula!$C$25))</f>
        <v>0.4</v>
      </c>
      <c r="R162" s="15">
        <f t="shared" si="2"/>
        <v>0.36</v>
      </c>
      <c r="S162" s="15">
        <f>IF(H162&lt;&gt;"",EXP(-Formula!$C$28*(EOMONTH(H162,0)-H162)),EXP(-Formula!$C$28*(EOMONTH(D162,0)-D162)))</f>
        <v>0.670320046</v>
      </c>
      <c r="T162" s="15">
        <f t="shared" si="3"/>
        <v>0.316227766</v>
      </c>
      <c r="U162" s="15">
        <f t="shared" si="4"/>
        <v>0.07631057184</v>
      </c>
      <c r="V162" s="16">
        <f>IF(AND(L162="Among all respondents",NOT(OR(K162="Online poll in Telegram channel",K162="Website online poll",K162="CAWI (Computer Assisted Web Interviewing)"))),1/(1-MIN(MAX(Formula!$C$33+(YEAR(D162)-Formula!$C$34)/(Formula!$C$35-Formula!$C$34)*(Formula!$C$32-Formula!$C$33),Formula!$C$33),Formula!$C$32)),1)</f>
        <v>1.282051282</v>
      </c>
      <c r="W162" s="17">
        <f t="shared" si="5"/>
        <v>5.769230769</v>
      </c>
    </row>
    <row r="163" ht="15.75" customHeight="1">
      <c r="A163" s="8" t="s">
        <v>557</v>
      </c>
      <c r="B163" s="7" t="s">
        <v>550</v>
      </c>
      <c r="C163" s="13" t="s">
        <v>551</v>
      </c>
      <c r="D163" s="7" t="s">
        <v>38</v>
      </c>
      <c r="E163" s="8" t="s">
        <v>40</v>
      </c>
      <c r="F163" s="8" t="s">
        <v>318</v>
      </c>
      <c r="G163" s="7" t="s">
        <v>552</v>
      </c>
      <c r="H163" s="7" t="s">
        <v>553</v>
      </c>
      <c r="I163" s="8">
        <v>1600.0</v>
      </c>
      <c r="J163" s="8">
        <v>2.5</v>
      </c>
      <c r="K163" s="8" t="s">
        <v>321</v>
      </c>
      <c r="L163" s="8" t="s">
        <v>373</v>
      </c>
      <c r="M163" s="8" t="s">
        <v>337</v>
      </c>
      <c r="N163" s="8">
        <v>3.4</v>
      </c>
      <c r="O163" s="14">
        <f t="shared" si="1"/>
        <v>45870</v>
      </c>
      <c r="P163" s="15">
        <f>IFERROR(VLOOKUP(K163,Formula!$A$11:$B$20,2,FALSE),Formula!$C$26)</f>
        <v>0.9</v>
      </c>
      <c r="Q163" s="15">
        <f>IF(AND(ISNUMBER(J163),J163&gt;0),1/J163,IF(AND(ISNUMBER(I163),I163&gt;0),SQRT(MIN(I163,Formula!$C$27))/Formula!$C$24,1/Formula!$C$25))</f>
        <v>0.4</v>
      </c>
      <c r="R163" s="15">
        <f t="shared" si="2"/>
        <v>0.36</v>
      </c>
      <c r="S163" s="15">
        <f>IF(H163&lt;&gt;"",EXP(-Formula!$C$28*(EOMONTH(H163,0)-H163)),EXP(-Formula!$C$28*(EOMONTH(D163,0)-D163)))</f>
        <v>0.670320046</v>
      </c>
      <c r="T163" s="15">
        <f t="shared" si="3"/>
        <v>0.316227766</v>
      </c>
      <c r="U163" s="15">
        <f t="shared" si="4"/>
        <v>0.07631057184</v>
      </c>
      <c r="V163" s="16">
        <f>IF(AND(L163="Among all respondents",NOT(OR(K163="Online poll in Telegram channel",K163="Website online poll",K163="CAWI (Computer Assisted Web Interviewing)"))),1/(1-MIN(MAX(Formula!$C$33+(YEAR(D163)-Formula!$C$34)/(Formula!$C$35-Formula!$C$34)*(Formula!$C$32-Formula!$C$33),Formula!$C$33),Formula!$C$32)),1)</f>
        <v>1.282051282</v>
      </c>
      <c r="W163" s="17">
        <f t="shared" si="5"/>
        <v>4.358974359</v>
      </c>
    </row>
    <row r="164" ht="15.75" customHeight="1">
      <c r="A164" s="8" t="s">
        <v>558</v>
      </c>
      <c r="B164" s="7" t="s">
        <v>550</v>
      </c>
      <c r="C164" s="13" t="s">
        <v>551</v>
      </c>
      <c r="D164" s="7" t="s">
        <v>38</v>
      </c>
      <c r="E164" s="8" t="s">
        <v>40</v>
      </c>
      <c r="F164" s="8" t="s">
        <v>318</v>
      </c>
      <c r="G164" s="7" t="s">
        <v>552</v>
      </c>
      <c r="H164" s="7" t="s">
        <v>553</v>
      </c>
      <c r="I164" s="8">
        <v>1600.0</v>
      </c>
      <c r="J164" s="8">
        <v>2.5</v>
      </c>
      <c r="K164" s="8" t="s">
        <v>321</v>
      </c>
      <c r="L164" s="8" t="s">
        <v>373</v>
      </c>
      <c r="M164" s="8" t="s">
        <v>333</v>
      </c>
      <c r="N164" s="8">
        <v>3.2</v>
      </c>
      <c r="O164" s="14">
        <f t="shared" si="1"/>
        <v>45870</v>
      </c>
      <c r="P164" s="15">
        <f>IFERROR(VLOOKUP(K164,Formula!$A$11:$B$20,2,FALSE),Formula!$C$26)</f>
        <v>0.9</v>
      </c>
      <c r="Q164" s="15">
        <f>IF(AND(ISNUMBER(J164),J164&gt;0),1/J164,IF(AND(ISNUMBER(I164),I164&gt;0),SQRT(MIN(I164,Formula!$C$27))/Formula!$C$24,1/Formula!$C$25))</f>
        <v>0.4</v>
      </c>
      <c r="R164" s="15">
        <f t="shared" si="2"/>
        <v>0.36</v>
      </c>
      <c r="S164" s="15">
        <f>IF(H164&lt;&gt;"",EXP(-Formula!$C$28*(EOMONTH(H164,0)-H164)),EXP(-Formula!$C$28*(EOMONTH(D164,0)-D164)))</f>
        <v>0.670320046</v>
      </c>
      <c r="T164" s="15">
        <f t="shared" si="3"/>
        <v>0.316227766</v>
      </c>
      <c r="U164" s="15">
        <f t="shared" si="4"/>
        <v>0.07631057184</v>
      </c>
      <c r="V164" s="16">
        <f>IF(AND(L164="Among all respondents",NOT(OR(K164="Online poll in Telegram channel",K164="Website online poll",K164="CAWI (Computer Assisted Web Interviewing)"))),1/(1-MIN(MAX(Formula!$C$33+(YEAR(D164)-Formula!$C$34)/(Formula!$C$35-Formula!$C$34)*(Formula!$C$32-Formula!$C$33),Formula!$C$33),Formula!$C$32)),1)</f>
        <v>1.282051282</v>
      </c>
      <c r="W164" s="17">
        <f t="shared" si="5"/>
        <v>4.102564103</v>
      </c>
    </row>
    <row r="165" ht="15.75" customHeight="1">
      <c r="A165" s="8" t="s">
        <v>559</v>
      </c>
      <c r="B165" s="7" t="s">
        <v>550</v>
      </c>
      <c r="C165" s="13" t="s">
        <v>551</v>
      </c>
      <c r="D165" s="7" t="s">
        <v>38</v>
      </c>
      <c r="E165" s="8" t="s">
        <v>40</v>
      </c>
      <c r="F165" s="8" t="s">
        <v>318</v>
      </c>
      <c r="G165" s="7" t="s">
        <v>552</v>
      </c>
      <c r="H165" s="7" t="s">
        <v>553</v>
      </c>
      <c r="I165" s="8">
        <v>1600.0</v>
      </c>
      <c r="J165" s="8">
        <v>2.5</v>
      </c>
      <c r="K165" s="8" t="s">
        <v>321</v>
      </c>
      <c r="L165" s="8" t="s">
        <v>373</v>
      </c>
      <c r="M165" s="8" t="s">
        <v>335</v>
      </c>
      <c r="N165" s="8">
        <v>2.2</v>
      </c>
      <c r="O165" s="14">
        <f t="shared" si="1"/>
        <v>45870</v>
      </c>
      <c r="P165" s="15">
        <f>IFERROR(VLOOKUP(K165,Formula!$A$11:$B$20,2,FALSE),Formula!$C$26)</f>
        <v>0.9</v>
      </c>
      <c r="Q165" s="15">
        <f>IF(AND(ISNUMBER(J165),J165&gt;0),1/J165,IF(AND(ISNUMBER(I165),I165&gt;0),SQRT(MIN(I165,Formula!$C$27))/Formula!$C$24,1/Formula!$C$25))</f>
        <v>0.4</v>
      </c>
      <c r="R165" s="15">
        <f t="shared" si="2"/>
        <v>0.36</v>
      </c>
      <c r="S165" s="15">
        <f>IF(H165&lt;&gt;"",EXP(-Formula!$C$28*(EOMONTH(H165,0)-H165)),EXP(-Formula!$C$28*(EOMONTH(D165,0)-D165)))</f>
        <v>0.670320046</v>
      </c>
      <c r="T165" s="15">
        <f t="shared" si="3"/>
        <v>0.316227766</v>
      </c>
      <c r="U165" s="15">
        <f t="shared" si="4"/>
        <v>0.07631057184</v>
      </c>
      <c r="V165" s="16">
        <f>IF(AND(L165="Among all respondents",NOT(OR(K165="Online poll in Telegram channel",K165="Website online poll",K165="CAWI (Computer Assisted Web Interviewing)"))),1/(1-MIN(MAX(Formula!$C$33+(YEAR(D165)-Formula!$C$34)/(Formula!$C$35-Formula!$C$34)*(Formula!$C$32-Formula!$C$33),Formula!$C$33),Formula!$C$32)),1)</f>
        <v>1.282051282</v>
      </c>
      <c r="W165" s="17">
        <f t="shared" si="5"/>
        <v>2.820512821</v>
      </c>
    </row>
    <row r="166" ht="15.75" customHeight="1">
      <c r="A166" s="8" t="s">
        <v>560</v>
      </c>
      <c r="B166" s="7" t="s">
        <v>550</v>
      </c>
      <c r="C166" s="13" t="s">
        <v>551</v>
      </c>
      <c r="D166" s="7" t="s">
        <v>38</v>
      </c>
      <c r="E166" s="8" t="s">
        <v>40</v>
      </c>
      <c r="F166" s="8" t="s">
        <v>318</v>
      </c>
      <c r="G166" s="7" t="s">
        <v>552</v>
      </c>
      <c r="H166" s="7" t="s">
        <v>553</v>
      </c>
      <c r="I166" s="8">
        <v>1600.0</v>
      </c>
      <c r="J166" s="8">
        <v>2.5</v>
      </c>
      <c r="K166" s="8" t="s">
        <v>321</v>
      </c>
      <c r="L166" s="8" t="s">
        <v>373</v>
      </c>
      <c r="M166" s="8" t="s">
        <v>339</v>
      </c>
      <c r="N166" s="8">
        <v>2.0</v>
      </c>
      <c r="O166" s="14">
        <f t="shared" si="1"/>
        <v>45870</v>
      </c>
      <c r="P166" s="15">
        <f>IFERROR(VLOOKUP(K166,Formula!$A$11:$B$20,2,FALSE),Formula!$C$26)</f>
        <v>0.9</v>
      </c>
      <c r="Q166" s="15">
        <f>IF(AND(ISNUMBER(J166),J166&gt;0),1/J166,IF(AND(ISNUMBER(I166),I166&gt;0),SQRT(MIN(I166,Formula!$C$27))/Formula!$C$24,1/Formula!$C$25))</f>
        <v>0.4</v>
      </c>
      <c r="R166" s="15">
        <f t="shared" si="2"/>
        <v>0.36</v>
      </c>
      <c r="S166" s="15">
        <f>IF(H166&lt;&gt;"",EXP(-Formula!$C$28*(EOMONTH(H166,0)-H166)),EXP(-Formula!$C$28*(EOMONTH(D166,0)-D166)))</f>
        <v>0.670320046</v>
      </c>
      <c r="T166" s="15">
        <f t="shared" si="3"/>
        <v>0.316227766</v>
      </c>
      <c r="U166" s="15">
        <f t="shared" si="4"/>
        <v>0.07631057184</v>
      </c>
      <c r="V166" s="16">
        <f>IF(AND(L166="Among all respondents",NOT(OR(K166="Online poll in Telegram channel",K166="Website online poll",K166="CAWI (Computer Assisted Web Interviewing)"))),1/(1-MIN(MAX(Formula!$C$33+(YEAR(D166)-Formula!$C$34)/(Formula!$C$35-Formula!$C$34)*(Formula!$C$32-Formula!$C$33),Formula!$C$33),Formula!$C$32)),1)</f>
        <v>1.282051282</v>
      </c>
      <c r="W166" s="17">
        <f t="shared" si="5"/>
        <v>2.564102564</v>
      </c>
    </row>
    <row r="167" ht="15.75" customHeight="1">
      <c r="A167" s="8" t="s">
        <v>561</v>
      </c>
      <c r="B167" s="7" t="s">
        <v>550</v>
      </c>
      <c r="C167" s="13" t="s">
        <v>551</v>
      </c>
      <c r="D167" s="7" t="s">
        <v>38</v>
      </c>
      <c r="E167" s="8" t="s">
        <v>40</v>
      </c>
      <c r="F167" s="8" t="s">
        <v>318</v>
      </c>
      <c r="G167" s="7" t="s">
        <v>552</v>
      </c>
      <c r="H167" s="7" t="s">
        <v>553</v>
      </c>
      <c r="I167" s="8">
        <v>1600.0</v>
      </c>
      <c r="J167" s="8">
        <v>2.5</v>
      </c>
      <c r="K167" s="8" t="s">
        <v>321</v>
      </c>
      <c r="L167" s="8" t="s">
        <v>373</v>
      </c>
      <c r="M167" s="8" t="s">
        <v>365</v>
      </c>
      <c r="N167" s="8">
        <v>1.6</v>
      </c>
      <c r="O167" s="14">
        <f t="shared" si="1"/>
        <v>45870</v>
      </c>
      <c r="P167" s="15">
        <f>IFERROR(VLOOKUP(K167,Formula!$A$11:$B$20,2,FALSE),Formula!$C$26)</f>
        <v>0.9</v>
      </c>
      <c r="Q167" s="15">
        <f>IF(AND(ISNUMBER(J167),J167&gt;0),1/J167,IF(AND(ISNUMBER(I167),I167&gt;0),SQRT(MIN(I167,Formula!$C$27))/Formula!$C$24,1/Formula!$C$25))</f>
        <v>0.4</v>
      </c>
      <c r="R167" s="15">
        <f t="shared" si="2"/>
        <v>0.36</v>
      </c>
      <c r="S167" s="15">
        <f>IF(H167&lt;&gt;"",EXP(-Formula!$C$28*(EOMONTH(H167,0)-H167)),EXP(-Formula!$C$28*(EOMONTH(D167,0)-D167)))</f>
        <v>0.670320046</v>
      </c>
      <c r="T167" s="15">
        <f t="shared" si="3"/>
        <v>0.316227766</v>
      </c>
      <c r="U167" s="15">
        <f t="shared" si="4"/>
        <v>0.07631057184</v>
      </c>
      <c r="V167" s="16">
        <f>IF(AND(L167="Among all respondents",NOT(OR(K167="Online poll in Telegram channel",K167="Website online poll",K167="CAWI (Computer Assisted Web Interviewing)"))),1/(1-MIN(MAX(Formula!$C$33+(YEAR(D167)-Formula!$C$34)/(Formula!$C$35-Formula!$C$34)*(Formula!$C$32-Formula!$C$33),Formula!$C$33),Formula!$C$32)),1)</f>
        <v>1.282051282</v>
      </c>
      <c r="W167" s="17">
        <f t="shared" si="5"/>
        <v>2.051282051</v>
      </c>
    </row>
    <row r="168" ht="15.75" customHeight="1">
      <c r="A168" s="8" t="s">
        <v>562</v>
      </c>
      <c r="B168" s="7" t="s">
        <v>550</v>
      </c>
      <c r="C168" s="13" t="s">
        <v>551</v>
      </c>
      <c r="D168" s="7" t="s">
        <v>38</v>
      </c>
      <c r="E168" s="8" t="s">
        <v>40</v>
      </c>
      <c r="F168" s="8" t="s">
        <v>318</v>
      </c>
      <c r="G168" s="7" t="s">
        <v>552</v>
      </c>
      <c r="H168" s="7" t="s">
        <v>553</v>
      </c>
      <c r="I168" s="8">
        <v>1600.0</v>
      </c>
      <c r="J168" s="8">
        <v>2.5</v>
      </c>
      <c r="K168" s="8" t="s">
        <v>321</v>
      </c>
      <c r="L168" s="8" t="s">
        <v>373</v>
      </c>
      <c r="M168" s="8" t="s">
        <v>343</v>
      </c>
      <c r="N168" s="8">
        <v>0.6</v>
      </c>
      <c r="O168" s="14">
        <f t="shared" si="1"/>
        <v>45870</v>
      </c>
      <c r="P168" s="15">
        <f>IFERROR(VLOOKUP(K168,Formula!$A$11:$B$20,2,FALSE),Formula!$C$26)</f>
        <v>0.9</v>
      </c>
      <c r="Q168" s="15">
        <f>IF(AND(ISNUMBER(J168),J168&gt;0),1/J168,IF(AND(ISNUMBER(I168),I168&gt;0),SQRT(MIN(I168,Formula!$C$27))/Formula!$C$24,1/Formula!$C$25))</f>
        <v>0.4</v>
      </c>
      <c r="R168" s="15">
        <f t="shared" si="2"/>
        <v>0.36</v>
      </c>
      <c r="S168" s="15">
        <f>IF(H168&lt;&gt;"",EXP(-Formula!$C$28*(EOMONTH(H168,0)-H168)),EXP(-Formula!$C$28*(EOMONTH(D168,0)-D168)))</f>
        <v>0.670320046</v>
      </c>
      <c r="T168" s="15">
        <f t="shared" si="3"/>
        <v>0.316227766</v>
      </c>
      <c r="U168" s="15">
        <f t="shared" si="4"/>
        <v>0.07631057184</v>
      </c>
      <c r="V168" s="16">
        <f>IF(AND(L168="Among all respondents",NOT(OR(K168="Online poll in Telegram channel",K168="Website online poll",K168="CAWI (Computer Assisted Web Interviewing)"))),1/(1-MIN(MAX(Formula!$C$33+(YEAR(D168)-Formula!$C$34)/(Formula!$C$35-Formula!$C$34)*(Formula!$C$32-Formula!$C$33),Formula!$C$33),Formula!$C$32)),1)</f>
        <v>1.282051282</v>
      </c>
      <c r="W168" s="17">
        <f t="shared" si="5"/>
        <v>0.7692307692</v>
      </c>
    </row>
    <row r="169" ht="15.75" customHeight="1">
      <c r="A169" s="8" t="s">
        <v>563</v>
      </c>
      <c r="B169" s="7" t="s">
        <v>564</v>
      </c>
      <c r="C169" s="13" t="s">
        <v>565</v>
      </c>
      <c r="D169" s="7" t="s">
        <v>41</v>
      </c>
      <c r="E169" s="8" t="s">
        <v>43</v>
      </c>
      <c r="F169" s="8" t="s">
        <v>318</v>
      </c>
      <c r="G169" s="7" t="s">
        <v>566</v>
      </c>
      <c r="H169" s="7" t="s">
        <v>567</v>
      </c>
      <c r="I169" s="8">
        <v>2400.0</v>
      </c>
      <c r="J169" s="8">
        <v>2.0</v>
      </c>
      <c r="K169" s="8" t="s">
        <v>321</v>
      </c>
      <c r="L169" s="8" t="s">
        <v>373</v>
      </c>
      <c r="M169" s="8" t="s">
        <v>323</v>
      </c>
      <c r="N169" s="8">
        <v>31.0</v>
      </c>
      <c r="O169" s="14">
        <f t="shared" si="1"/>
        <v>45870</v>
      </c>
      <c r="P169" s="15">
        <f>IFERROR(VLOOKUP(K169,Formula!$A$11:$B$20,2,FALSE),Formula!$C$26)</f>
        <v>0.9</v>
      </c>
      <c r="Q169" s="15">
        <f>IF(AND(ISNUMBER(J169),J169&gt;0),1/J169,IF(AND(ISNUMBER(I169),I169&gt;0),SQRT(MIN(I169,Formula!$C$27))/Formula!$C$24,1/Formula!$C$25))</f>
        <v>0.5</v>
      </c>
      <c r="R169" s="15">
        <f t="shared" si="2"/>
        <v>0.45</v>
      </c>
      <c r="S169" s="15">
        <f>IF(H169&lt;&gt;"",EXP(-Formula!$C$28*(EOMONTH(H169,0)-H169)),EXP(-Formula!$C$28*(EOMONTH(D169,0)-D169)))</f>
        <v>0.8187307531</v>
      </c>
      <c r="T169" s="15">
        <f t="shared" si="3"/>
        <v>0.3015113446</v>
      </c>
      <c r="U169" s="15">
        <f t="shared" si="4"/>
        <v>0.1110854746</v>
      </c>
      <c r="V169" s="16">
        <f>IF(AND(L169="Among all respondents",NOT(OR(K169="Online poll in Telegram channel",K169="Website online poll",K169="CAWI (Computer Assisted Web Interviewing)"))),1/(1-MIN(MAX(Formula!$C$33+(YEAR(D169)-Formula!$C$34)/(Formula!$C$35-Formula!$C$34)*(Formula!$C$32-Formula!$C$33),Formula!$C$33),Formula!$C$32)),1)</f>
        <v>1.282051282</v>
      </c>
      <c r="W169" s="17">
        <f t="shared" si="5"/>
        <v>39.74358974</v>
      </c>
    </row>
    <row r="170" ht="15.75" customHeight="1">
      <c r="A170" s="8" t="s">
        <v>568</v>
      </c>
      <c r="B170" s="7" t="s">
        <v>564</v>
      </c>
      <c r="C170" s="13" t="s">
        <v>565</v>
      </c>
      <c r="D170" s="7" t="s">
        <v>41</v>
      </c>
      <c r="E170" s="8" t="s">
        <v>43</v>
      </c>
      <c r="F170" s="8" t="s">
        <v>318</v>
      </c>
      <c r="G170" s="7" t="s">
        <v>566</v>
      </c>
      <c r="H170" s="7" t="s">
        <v>567</v>
      </c>
      <c r="I170" s="8">
        <v>2400.0</v>
      </c>
      <c r="J170" s="8">
        <v>2.0</v>
      </c>
      <c r="K170" s="8" t="s">
        <v>321</v>
      </c>
      <c r="L170" s="8" t="s">
        <v>373</v>
      </c>
      <c r="M170" s="8" t="s">
        <v>325</v>
      </c>
      <c r="N170" s="8">
        <v>25.0</v>
      </c>
      <c r="O170" s="14">
        <f t="shared" si="1"/>
        <v>45870</v>
      </c>
      <c r="P170" s="15">
        <f>IFERROR(VLOOKUP(K170,Formula!$A$11:$B$20,2,FALSE),Formula!$C$26)</f>
        <v>0.9</v>
      </c>
      <c r="Q170" s="15">
        <f>IF(AND(ISNUMBER(J170),J170&gt;0),1/J170,IF(AND(ISNUMBER(I170),I170&gt;0),SQRT(MIN(I170,Formula!$C$27))/Formula!$C$24,1/Formula!$C$25))</f>
        <v>0.5</v>
      </c>
      <c r="R170" s="15">
        <f t="shared" si="2"/>
        <v>0.45</v>
      </c>
      <c r="S170" s="15">
        <f>IF(H170&lt;&gt;"",EXP(-Formula!$C$28*(EOMONTH(H170,0)-H170)),EXP(-Formula!$C$28*(EOMONTH(D170,0)-D170)))</f>
        <v>0.8187307531</v>
      </c>
      <c r="T170" s="15">
        <f t="shared" si="3"/>
        <v>0.3015113446</v>
      </c>
      <c r="U170" s="15">
        <f t="shared" si="4"/>
        <v>0.1110854746</v>
      </c>
      <c r="V170" s="16">
        <f>IF(AND(L170="Among all respondents",NOT(OR(K170="Online poll in Telegram channel",K170="Website online poll",K170="CAWI (Computer Assisted Web Interviewing)"))),1/(1-MIN(MAX(Formula!$C$33+(YEAR(D170)-Formula!$C$34)/(Formula!$C$35-Formula!$C$34)*(Formula!$C$32-Formula!$C$33),Formula!$C$33),Formula!$C$32)),1)</f>
        <v>1.282051282</v>
      </c>
      <c r="W170" s="17">
        <f t="shared" si="5"/>
        <v>32.05128205</v>
      </c>
    </row>
    <row r="171" ht="15.75" customHeight="1">
      <c r="A171" s="8" t="s">
        <v>569</v>
      </c>
      <c r="B171" s="7" t="s">
        <v>564</v>
      </c>
      <c r="C171" s="13" t="s">
        <v>565</v>
      </c>
      <c r="D171" s="7" t="s">
        <v>41</v>
      </c>
      <c r="E171" s="8" t="s">
        <v>43</v>
      </c>
      <c r="F171" s="8" t="s">
        <v>318</v>
      </c>
      <c r="G171" s="7" t="s">
        <v>566</v>
      </c>
      <c r="H171" s="7" t="s">
        <v>567</v>
      </c>
      <c r="I171" s="8">
        <v>2400.0</v>
      </c>
      <c r="J171" s="8">
        <v>2.0</v>
      </c>
      <c r="K171" s="8" t="s">
        <v>321</v>
      </c>
      <c r="L171" s="8" t="s">
        <v>373</v>
      </c>
      <c r="M171" s="8" t="s">
        <v>329</v>
      </c>
      <c r="N171" s="8">
        <v>6.0</v>
      </c>
      <c r="O171" s="14">
        <f t="shared" si="1"/>
        <v>45870</v>
      </c>
      <c r="P171" s="15">
        <f>IFERROR(VLOOKUP(K171,Formula!$A$11:$B$20,2,FALSE),Formula!$C$26)</f>
        <v>0.9</v>
      </c>
      <c r="Q171" s="15">
        <f>IF(AND(ISNUMBER(J171),J171&gt;0),1/J171,IF(AND(ISNUMBER(I171),I171&gt;0),SQRT(MIN(I171,Formula!$C$27))/Formula!$C$24,1/Formula!$C$25))</f>
        <v>0.5</v>
      </c>
      <c r="R171" s="15">
        <f t="shared" si="2"/>
        <v>0.45</v>
      </c>
      <c r="S171" s="15">
        <f>IF(H171&lt;&gt;"",EXP(-Formula!$C$28*(EOMONTH(H171,0)-H171)),EXP(-Formula!$C$28*(EOMONTH(D171,0)-D171)))</f>
        <v>0.8187307531</v>
      </c>
      <c r="T171" s="15">
        <f t="shared" si="3"/>
        <v>0.3015113446</v>
      </c>
      <c r="U171" s="15">
        <f t="shared" si="4"/>
        <v>0.1110854746</v>
      </c>
      <c r="V171" s="16">
        <f>IF(AND(L171="Among all respondents",NOT(OR(K171="Online poll in Telegram channel",K171="Website online poll",K171="CAWI (Computer Assisted Web Interviewing)"))),1/(1-MIN(MAX(Formula!$C$33+(YEAR(D171)-Formula!$C$34)/(Formula!$C$35-Formula!$C$34)*(Formula!$C$32-Formula!$C$33),Formula!$C$33),Formula!$C$32)),1)</f>
        <v>1.282051282</v>
      </c>
      <c r="W171" s="17">
        <f t="shared" si="5"/>
        <v>7.692307692</v>
      </c>
    </row>
    <row r="172" ht="15.75" customHeight="1">
      <c r="A172" s="8" t="s">
        <v>570</v>
      </c>
      <c r="B172" s="7" t="s">
        <v>564</v>
      </c>
      <c r="C172" s="13" t="s">
        <v>565</v>
      </c>
      <c r="D172" s="7" t="s">
        <v>41</v>
      </c>
      <c r="E172" s="8" t="s">
        <v>43</v>
      </c>
      <c r="F172" s="8" t="s">
        <v>318</v>
      </c>
      <c r="G172" s="7" t="s">
        <v>566</v>
      </c>
      <c r="H172" s="7" t="s">
        <v>567</v>
      </c>
      <c r="I172" s="8">
        <v>2400.0</v>
      </c>
      <c r="J172" s="8">
        <v>2.0</v>
      </c>
      <c r="K172" s="8" t="s">
        <v>321</v>
      </c>
      <c r="L172" s="8" t="s">
        <v>373</v>
      </c>
      <c r="M172" s="8" t="s">
        <v>327</v>
      </c>
      <c r="N172" s="8">
        <v>5.0</v>
      </c>
      <c r="O172" s="14">
        <f t="shared" si="1"/>
        <v>45870</v>
      </c>
      <c r="P172" s="15">
        <f>IFERROR(VLOOKUP(K172,Formula!$A$11:$B$20,2,FALSE),Formula!$C$26)</f>
        <v>0.9</v>
      </c>
      <c r="Q172" s="15">
        <f>IF(AND(ISNUMBER(J172),J172&gt;0),1/J172,IF(AND(ISNUMBER(I172),I172&gt;0),SQRT(MIN(I172,Formula!$C$27))/Formula!$C$24,1/Formula!$C$25))</f>
        <v>0.5</v>
      </c>
      <c r="R172" s="15">
        <f t="shared" si="2"/>
        <v>0.45</v>
      </c>
      <c r="S172" s="15">
        <f>IF(H172&lt;&gt;"",EXP(-Formula!$C$28*(EOMONTH(H172,0)-H172)),EXP(-Formula!$C$28*(EOMONTH(D172,0)-D172)))</f>
        <v>0.8187307531</v>
      </c>
      <c r="T172" s="15">
        <f t="shared" si="3"/>
        <v>0.3015113446</v>
      </c>
      <c r="U172" s="15">
        <f t="shared" si="4"/>
        <v>0.1110854746</v>
      </c>
      <c r="V172" s="16">
        <f>IF(AND(L172="Among all respondents",NOT(OR(K172="Online poll in Telegram channel",K172="Website online poll",K172="CAWI (Computer Assisted Web Interviewing)"))),1/(1-MIN(MAX(Formula!$C$33+(YEAR(D172)-Formula!$C$34)/(Formula!$C$35-Formula!$C$34)*(Formula!$C$32-Formula!$C$33),Formula!$C$33),Formula!$C$32)),1)</f>
        <v>1.282051282</v>
      </c>
      <c r="W172" s="17">
        <f t="shared" si="5"/>
        <v>6.41025641</v>
      </c>
    </row>
    <row r="173" ht="15.75" customHeight="1">
      <c r="A173" s="8" t="s">
        <v>571</v>
      </c>
      <c r="B173" s="7" t="s">
        <v>564</v>
      </c>
      <c r="C173" s="13" t="s">
        <v>565</v>
      </c>
      <c r="D173" s="7" t="s">
        <v>41</v>
      </c>
      <c r="E173" s="8" t="s">
        <v>43</v>
      </c>
      <c r="F173" s="8" t="s">
        <v>318</v>
      </c>
      <c r="G173" s="7" t="s">
        <v>566</v>
      </c>
      <c r="H173" s="7" t="s">
        <v>567</v>
      </c>
      <c r="I173" s="8">
        <v>2400.0</v>
      </c>
      <c r="J173" s="8">
        <v>2.0</v>
      </c>
      <c r="K173" s="8" t="s">
        <v>321</v>
      </c>
      <c r="L173" s="8" t="s">
        <v>373</v>
      </c>
      <c r="M173" s="8" t="s">
        <v>333</v>
      </c>
      <c r="N173" s="8">
        <v>4.0</v>
      </c>
      <c r="O173" s="14">
        <f t="shared" si="1"/>
        <v>45870</v>
      </c>
      <c r="P173" s="15">
        <f>IFERROR(VLOOKUP(K173,Formula!$A$11:$B$20,2,FALSE),Formula!$C$26)</f>
        <v>0.9</v>
      </c>
      <c r="Q173" s="15">
        <f>IF(AND(ISNUMBER(J173),J173&gt;0),1/J173,IF(AND(ISNUMBER(I173),I173&gt;0),SQRT(MIN(I173,Formula!$C$27))/Formula!$C$24,1/Formula!$C$25))</f>
        <v>0.5</v>
      </c>
      <c r="R173" s="15">
        <f t="shared" si="2"/>
        <v>0.45</v>
      </c>
      <c r="S173" s="15">
        <f>IF(H173&lt;&gt;"",EXP(-Formula!$C$28*(EOMONTH(H173,0)-H173)),EXP(-Formula!$C$28*(EOMONTH(D173,0)-D173)))</f>
        <v>0.8187307531</v>
      </c>
      <c r="T173" s="15">
        <f t="shared" si="3"/>
        <v>0.3015113446</v>
      </c>
      <c r="U173" s="15">
        <f t="shared" si="4"/>
        <v>0.1110854746</v>
      </c>
      <c r="V173" s="16">
        <f>IF(AND(L173="Among all respondents",NOT(OR(K173="Online poll in Telegram channel",K173="Website online poll",K173="CAWI (Computer Assisted Web Interviewing)"))),1/(1-MIN(MAX(Formula!$C$33+(YEAR(D173)-Formula!$C$34)/(Formula!$C$35-Formula!$C$34)*(Formula!$C$32-Formula!$C$33),Formula!$C$33),Formula!$C$32)),1)</f>
        <v>1.282051282</v>
      </c>
      <c r="W173" s="17">
        <f t="shared" si="5"/>
        <v>5.128205128</v>
      </c>
    </row>
    <row r="174" ht="15.75" customHeight="1">
      <c r="A174" s="8" t="s">
        <v>572</v>
      </c>
      <c r="B174" s="7" t="s">
        <v>564</v>
      </c>
      <c r="C174" s="13" t="s">
        <v>565</v>
      </c>
      <c r="D174" s="7" t="s">
        <v>41</v>
      </c>
      <c r="E174" s="8" t="s">
        <v>43</v>
      </c>
      <c r="F174" s="8" t="s">
        <v>318</v>
      </c>
      <c r="G174" s="7" t="s">
        <v>566</v>
      </c>
      <c r="H174" s="7" t="s">
        <v>567</v>
      </c>
      <c r="I174" s="8">
        <v>2400.0</v>
      </c>
      <c r="J174" s="8">
        <v>2.0</v>
      </c>
      <c r="K174" s="8" t="s">
        <v>321</v>
      </c>
      <c r="L174" s="8" t="s">
        <v>373</v>
      </c>
      <c r="M174" s="8" t="s">
        <v>339</v>
      </c>
      <c r="N174" s="8">
        <v>3.0</v>
      </c>
      <c r="O174" s="14">
        <f t="shared" si="1"/>
        <v>45870</v>
      </c>
      <c r="P174" s="15">
        <f>IFERROR(VLOOKUP(K174,Formula!$A$11:$B$20,2,FALSE),Formula!$C$26)</f>
        <v>0.9</v>
      </c>
      <c r="Q174" s="15">
        <f>IF(AND(ISNUMBER(J174),J174&gt;0),1/J174,IF(AND(ISNUMBER(I174),I174&gt;0),SQRT(MIN(I174,Formula!$C$27))/Formula!$C$24,1/Formula!$C$25))</f>
        <v>0.5</v>
      </c>
      <c r="R174" s="15">
        <f t="shared" si="2"/>
        <v>0.45</v>
      </c>
      <c r="S174" s="15">
        <f>IF(H174&lt;&gt;"",EXP(-Formula!$C$28*(EOMONTH(H174,0)-H174)),EXP(-Formula!$C$28*(EOMONTH(D174,0)-D174)))</f>
        <v>0.8187307531</v>
      </c>
      <c r="T174" s="15">
        <f t="shared" si="3"/>
        <v>0.3015113446</v>
      </c>
      <c r="U174" s="15">
        <f t="shared" si="4"/>
        <v>0.1110854746</v>
      </c>
      <c r="V174" s="16">
        <f>IF(AND(L174="Among all respondents",NOT(OR(K174="Online poll in Telegram channel",K174="Website online poll",K174="CAWI (Computer Assisted Web Interviewing)"))),1/(1-MIN(MAX(Formula!$C$33+(YEAR(D174)-Formula!$C$34)/(Formula!$C$35-Formula!$C$34)*(Formula!$C$32-Formula!$C$33),Formula!$C$33),Formula!$C$32)),1)</f>
        <v>1.282051282</v>
      </c>
      <c r="W174" s="17">
        <f t="shared" si="5"/>
        <v>3.846153846</v>
      </c>
    </row>
    <row r="175" ht="15.75" customHeight="1">
      <c r="A175" s="8" t="s">
        <v>573</v>
      </c>
      <c r="B175" s="7" t="s">
        <v>564</v>
      </c>
      <c r="C175" s="13" t="s">
        <v>565</v>
      </c>
      <c r="D175" s="7" t="s">
        <v>41</v>
      </c>
      <c r="E175" s="8" t="s">
        <v>43</v>
      </c>
      <c r="F175" s="8" t="s">
        <v>318</v>
      </c>
      <c r="G175" s="7" t="s">
        <v>566</v>
      </c>
      <c r="H175" s="7" t="s">
        <v>567</v>
      </c>
      <c r="I175" s="8">
        <v>2400.0</v>
      </c>
      <c r="J175" s="8">
        <v>2.0</v>
      </c>
      <c r="K175" s="8" t="s">
        <v>321</v>
      </c>
      <c r="L175" s="8" t="s">
        <v>373</v>
      </c>
      <c r="M175" s="8" t="s">
        <v>337</v>
      </c>
      <c r="N175" s="8">
        <v>3.0</v>
      </c>
      <c r="O175" s="14">
        <f t="shared" si="1"/>
        <v>45870</v>
      </c>
      <c r="P175" s="15">
        <f>IFERROR(VLOOKUP(K175,Formula!$A$11:$B$20,2,FALSE),Formula!$C$26)</f>
        <v>0.9</v>
      </c>
      <c r="Q175" s="15">
        <f>IF(AND(ISNUMBER(J175),J175&gt;0),1/J175,IF(AND(ISNUMBER(I175),I175&gt;0),SQRT(MIN(I175,Formula!$C$27))/Formula!$C$24,1/Formula!$C$25))</f>
        <v>0.5</v>
      </c>
      <c r="R175" s="15">
        <f t="shared" si="2"/>
        <v>0.45</v>
      </c>
      <c r="S175" s="15">
        <f>IF(H175&lt;&gt;"",EXP(-Formula!$C$28*(EOMONTH(H175,0)-H175)),EXP(-Formula!$C$28*(EOMONTH(D175,0)-D175)))</f>
        <v>0.8187307531</v>
      </c>
      <c r="T175" s="15">
        <f t="shared" si="3"/>
        <v>0.3015113446</v>
      </c>
      <c r="U175" s="15">
        <f t="shared" si="4"/>
        <v>0.1110854746</v>
      </c>
      <c r="V175" s="16">
        <f>IF(AND(L175="Among all respondents",NOT(OR(K175="Online poll in Telegram channel",K175="Website online poll",K175="CAWI (Computer Assisted Web Interviewing)"))),1/(1-MIN(MAX(Formula!$C$33+(YEAR(D175)-Formula!$C$34)/(Formula!$C$35-Formula!$C$34)*(Formula!$C$32-Formula!$C$33),Formula!$C$33),Formula!$C$32)),1)</f>
        <v>1.282051282</v>
      </c>
      <c r="W175" s="17">
        <f t="shared" si="5"/>
        <v>3.846153846</v>
      </c>
    </row>
    <row r="176" ht="15.75" customHeight="1">
      <c r="A176" s="8" t="s">
        <v>574</v>
      </c>
      <c r="B176" s="7" t="s">
        <v>564</v>
      </c>
      <c r="C176" s="13" t="s">
        <v>565</v>
      </c>
      <c r="D176" s="7" t="s">
        <v>41</v>
      </c>
      <c r="E176" s="8" t="s">
        <v>43</v>
      </c>
      <c r="F176" s="8" t="s">
        <v>318</v>
      </c>
      <c r="G176" s="7" t="s">
        <v>566</v>
      </c>
      <c r="H176" s="7" t="s">
        <v>567</v>
      </c>
      <c r="I176" s="8">
        <v>2400.0</v>
      </c>
      <c r="J176" s="8">
        <v>2.0</v>
      </c>
      <c r="K176" s="8" t="s">
        <v>321</v>
      </c>
      <c r="L176" s="8" t="s">
        <v>373</v>
      </c>
      <c r="M176" s="8" t="s">
        <v>335</v>
      </c>
      <c r="N176" s="8">
        <v>3.0</v>
      </c>
      <c r="O176" s="14">
        <f t="shared" si="1"/>
        <v>45870</v>
      </c>
      <c r="P176" s="15">
        <f>IFERROR(VLOOKUP(K176,Formula!$A$11:$B$20,2,FALSE),Formula!$C$26)</f>
        <v>0.9</v>
      </c>
      <c r="Q176" s="15">
        <f>IF(AND(ISNUMBER(J176),J176&gt;0),1/J176,IF(AND(ISNUMBER(I176),I176&gt;0),SQRT(MIN(I176,Formula!$C$27))/Formula!$C$24,1/Formula!$C$25))</f>
        <v>0.5</v>
      </c>
      <c r="R176" s="15">
        <f t="shared" si="2"/>
        <v>0.45</v>
      </c>
      <c r="S176" s="15">
        <f>IF(H176&lt;&gt;"",EXP(-Formula!$C$28*(EOMONTH(H176,0)-H176)),EXP(-Formula!$C$28*(EOMONTH(D176,0)-D176)))</f>
        <v>0.8187307531</v>
      </c>
      <c r="T176" s="15">
        <f t="shared" si="3"/>
        <v>0.3015113446</v>
      </c>
      <c r="U176" s="15">
        <f t="shared" si="4"/>
        <v>0.1110854746</v>
      </c>
      <c r="V176" s="16">
        <f>IF(AND(L176="Among all respondents",NOT(OR(K176="Online poll in Telegram channel",K176="Website online poll",K176="CAWI (Computer Assisted Web Interviewing)"))),1/(1-MIN(MAX(Formula!$C$33+(YEAR(D176)-Formula!$C$34)/(Formula!$C$35-Formula!$C$34)*(Formula!$C$32-Formula!$C$33),Formula!$C$33),Formula!$C$32)),1)</f>
        <v>1.282051282</v>
      </c>
      <c r="W176" s="17">
        <f t="shared" si="5"/>
        <v>3.846153846</v>
      </c>
    </row>
    <row r="177" ht="15.75" customHeight="1">
      <c r="A177" s="8" t="s">
        <v>575</v>
      </c>
      <c r="B177" s="7" t="s">
        <v>564</v>
      </c>
      <c r="C177" s="13" t="s">
        <v>565</v>
      </c>
      <c r="D177" s="7" t="s">
        <v>41</v>
      </c>
      <c r="E177" s="8" t="s">
        <v>43</v>
      </c>
      <c r="F177" s="8" t="s">
        <v>318</v>
      </c>
      <c r="G177" s="7" t="s">
        <v>566</v>
      </c>
      <c r="H177" s="7" t="s">
        <v>567</v>
      </c>
      <c r="I177" s="8">
        <v>2400.0</v>
      </c>
      <c r="J177" s="8">
        <v>2.0</v>
      </c>
      <c r="K177" s="8" t="s">
        <v>321</v>
      </c>
      <c r="L177" s="8" t="s">
        <v>373</v>
      </c>
      <c r="M177" s="8" t="s">
        <v>359</v>
      </c>
      <c r="N177" s="8">
        <v>3.0</v>
      </c>
      <c r="O177" s="14">
        <f t="shared" si="1"/>
        <v>45870</v>
      </c>
      <c r="P177" s="15">
        <f>IFERROR(VLOOKUP(K177,Formula!$A$11:$B$20,2,FALSE),Formula!$C$26)</f>
        <v>0.9</v>
      </c>
      <c r="Q177" s="15">
        <f>IF(AND(ISNUMBER(J177),J177&gt;0),1/J177,IF(AND(ISNUMBER(I177),I177&gt;0),SQRT(MIN(I177,Formula!$C$27))/Formula!$C$24,1/Formula!$C$25))</f>
        <v>0.5</v>
      </c>
      <c r="R177" s="15">
        <f t="shared" si="2"/>
        <v>0.45</v>
      </c>
      <c r="S177" s="15">
        <f>IF(H177&lt;&gt;"",EXP(-Formula!$C$28*(EOMONTH(H177,0)-H177)),EXP(-Formula!$C$28*(EOMONTH(D177,0)-D177)))</f>
        <v>0.8187307531</v>
      </c>
      <c r="T177" s="15">
        <f t="shared" si="3"/>
        <v>0.3015113446</v>
      </c>
      <c r="U177" s="15">
        <f t="shared" si="4"/>
        <v>0.1110854746</v>
      </c>
      <c r="V177" s="16">
        <f>IF(AND(L177="Among all respondents",NOT(OR(K177="Online poll in Telegram channel",K177="Website online poll",K177="CAWI (Computer Assisted Web Interviewing)"))),1/(1-MIN(MAX(Formula!$C$33+(YEAR(D177)-Formula!$C$34)/(Formula!$C$35-Formula!$C$34)*(Formula!$C$32-Formula!$C$33),Formula!$C$33),Formula!$C$32)),1)</f>
        <v>1.282051282</v>
      </c>
      <c r="W177" s="17">
        <f t="shared" si="5"/>
        <v>3.846153846</v>
      </c>
    </row>
    <row r="178" ht="15.75" customHeight="1">
      <c r="A178" s="8" t="s">
        <v>576</v>
      </c>
      <c r="B178" s="7" t="s">
        <v>564</v>
      </c>
      <c r="C178" s="13" t="s">
        <v>565</v>
      </c>
      <c r="D178" s="7" t="s">
        <v>41</v>
      </c>
      <c r="E178" s="8" t="s">
        <v>43</v>
      </c>
      <c r="F178" s="8" t="s">
        <v>318</v>
      </c>
      <c r="G178" s="7" t="s">
        <v>566</v>
      </c>
      <c r="H178" s="7" t="s">
        <v>567</v>
      </c>
      <c r="I178" s="8">
        <v>2400.0</v>
      </c>
      <c r="J178" s="8">
        <v>2.0</v>
      </c>
      <c r="K178" s="8" t="s">
        <v>321</v>
      </c>
      <c r="L178" s="8" t="s">
        <v>373</v>
      </c>
      <c r="M178" s="8" t="s">
        <v>365</v>
      </c>
      <c r="N178" s="8">
        <v>1.0</v>
      </c>
      <c r="O178" s="14">
        <f t="shared" si="1"/>
        <v>45870</v>
      </c>
      <c r="P178" s="15">
        <f>IFERROR(VLOOKUP(K178,Formula!$A$11:$B$20,2,FALSE),Formula!$C$26)</f>
        <v>0.9</v>
      </c>
      <c r="Q178" s="15">
        <f>IF(AND(ISNUMBER(J178),J178&gt;0),1/J178,IF(AND(ISNUMBER(I178),I178&gt;0),SQRT(MIN(I178,Formula!$C$27))/Formula!$C$24,1/Formula!$C$25))</f>
        <v>0.5</v>
      </c>
      <c r="R178" s="15">
        <f t="shared" si="2"/>
        <v>0.45</v>
      </c>
      <c r="S178" s="15">
        <f>IF(H178&lt;&gt;"",EXP(-Formula!$C$28*(EOMONTH(H178,0)-H178)),EXP(-Formula!$C$28*(EOMONTH(D178,0)-D178)))</f>
        <v>0.8187307531</v>
      </c>
      <c r="T178" s="15">
        <f t="shared" si="3"/>
        <v>0.3015113446</v>
      </c>
      <c r="U178" s="15">
        <f t="shared" si="4"/>
        <v>0.1110854746</v>
      </c>
      <c r="V178" s="16">
        <f>IF(AND(L178="Among all respondents",NOT(OR(K178="Online poll in Telegram channel",K178="Website online poll",K178="CAWI (Computer Assisted Web Interviewing)"))),1/(1-MIN(MAX(Formula!$C$33+(YEAR(D178)-Formula!$C$34)/(Formula!$C$35-Formula!$C$34)*(Formula!$C$32-Formula!$C$33),Formula!$C$33),Formula!$C$32)),1)</f>
        <v>1.282051282</v>
      </c>
      <c r="W178" s="17">
        <f t="shared" si="5"/>
        <v>1.282051282</v>
      </c>
    </row>
    <row r="179" ht="15.75" customHeight="1">
      <c r="A179" s="8" t="s">
        <v>577</v>
      </c>
      <c r="B179" s="7" t="s">
        <v>564</v>
      </c>
      <c r="C179" s="13" t="s">
        <v>565</v>
      </c>
      <c r="D179" s="7" t="s">
        <v>41</v>
      </c>
      <c r="E179" s="8" t="s">
        <v>43</v>
      </c>
      <c r="F179" s="8" t="s">
        <v>318</v>
      </c>
      <c r="G179" s="7" t="s">
        <v>566</v>
      </c>
      <c r="H179" s="7" t="s">
        <v>567</v>
      </c>
      <c r="I179" s="8">
        <v>2400.0</v>
      </c>
      <c r="J179" s="8">
        <v>2.0</v>
      </c>
      <c r="K179" s="8" t="s">
        <v>321</v>
      </c>
      <c r="L179" s="8" t="s">
        <v>373</v>
      </c>
      <c r="M179" s="8" t="s">
        <v>343</v>
      </c>
      <c r="N179" s="8">
        <v>1.0</v>
      </c>
      <c r="O179" s="14">
        <f t="shared" si="1"/>
        <v>45870</v>
      </c>
      <c r="P179" s="15">
        <f>IFERROR(VLOOKUP(K179,Formula!$A$11:$B$20,2,FALSE),Formula!$C$26)</f>
        <v>0.9</v>
      </c>
      <c r="Q179" s="15">
        <f>IF(AND(ISNUMBER(J179),J179&gt;0),1/J179,IF(AND(ISNUMBER(I179),I179&gt;0),SQRT(MIN(I179,Formula!$C$27))/Formula!$C$24,1/Formula!$C$25))</f>
        <v>0.5</v>
      </c>
      <c r="R179" s="15">
        <f t="shared" si="2"/>
        <v>0.45</v>
      </c>
      <c r="S179" s="15">
        <f>IF(H179&lt;&gt;"",EXP(-Formula!$C$28*(EOMONTH(H179,0)-H179)),EXP(-Formula!$C$28*(EOMONTH(D179,0)-D179)))</f>
        <v>0.8187307531</v>
      </c>
      <c r="T179" s="15">
        <f t="shared" si="3"/>
        <v>0.3015113446</v>
      </c>
      <c r="U179" s="15">
        <f t="shared" si="4"/>
        <v>0.1110854746</v>
      </c>
      <c r="V179" s="16">
        <f>IF(AND(L179="Among all respondents",NOT(OR(K179="Online poll in Telegram channel",K179="Website online poll",K179="CAWI (Computer Assisted Web Interviewing)"))),1/(1-MIN(MAX(Formula!$C$33+(YEAR(D179)-Formula!$C$34)/(Formula!$C$35-Formula!$C$34)*(Formula!$C$32-Formula!$C$33),Formula!$C$33),Formula!$C$32)),1)</f>
        <v>1.282051282</v>
      </c>
      <c r="W179" s="17">
        <f t="shared" si="5"/>
        <v>1.282051282</v>
      </c>
    </row>
    <row r="180" ht="15.75" customHeight="1">
      <c r="A180" s="8" t="s">
        <v>578</v>
      </c>
      <c r="B180" s="7" t="s">
        <v>579</v>
      </c>
      <c r="C180" s="13" t="s">
        <v>580</v>
      </c>
      <c r="D180" s="7" t="s">
        <v>44</v>
      </c>
      <c r="E180" s="8" t="s">
        <v>17</v>
      </c>
      <c r="F180" s="8" t="s">
        <v>318</v>
      </c>
      <c r="G180" s="7" t="s">
        <v>581</v>
      </c>
      <c r="H180" s="7" t="s">
        <v>582</v>
      </c>
      <c r="I180" s="8">
        <v>2000.0</v>
      </c>
      <c r="J180" s="8">
        <v>2.6</v>
      </c>
      <c r="K180" s="8" t="s">
        <v>583</v>
      </c>
      <c r="L180" s="8" t="s">
        <v>322</v>
      </c>
      <c r="M180" s="8" t="s">
        <v>323</v>
      </c>
      <c r="N180" s="8">
        <v>30.9</v>
      </c>
      <c r="O180" s="14">
        <f t="shared" si="1"/>
        <v>45809</v>
      </c>
      <c r="P180" s="15">
        <f>IFERROR(VLOOKUP(K180,Formula!$A$11:$B$20,2,FALSE),Formula!$C$26)</f>
        <v>0.95</v>
      </c>
      <c r="Q180" s="15">
        <f>IF(AND(ISNUMBER(J180),J180&gt;0),1/J180,IF(AND(ISNUMBER(I180),I180&gt;0),SQRT(MIN(I180,Formula!$C$27))/Formula!$C$24,1/Formula!$C$25))</f>
        <v>0.3846153846</v>
      </c>
      <c r="R180" s="15">
        <f t="shared" si="2"/>
        <v>0.3653846154</v>
      </c>
      <c r="S180" s="15">
        <f>IF(H180&lt;&gt;"",EXP(-Formula!$C$28*(EOMONTH(H180,0)-H180)),EXP(-Formula!$C$28*(EOMONTH(D180,0)-D180)))</f>
        <v>0.3867410235</v>
      </c>
      <c r="T180" s="15">
        <f t="shared" si="3"/>
        <v>0.2886751346</v>
      </c>
      <c r="U180" s="15">
        <f t="shared" si="4"/>
        <v>0.04079245813</v>
      </c>
      <c r="V180" s="16">
        <f>IF(AND(L180="Among all respondents",NOT(OR(K180="Online poll in Telegram channel",K180="Website online poll",K180="CAWI (Computer Assisted Web Interviewing)"))),1/(1-MIN(MAX(Formula!$C$33+(YEAR(D180)-Formula!$C$34)/(Formula!$C$35-Formula!$C$34)*(Formula!$C$32-Formula!$C$33),Formula!$C$33),Formula!$C$32)),1)</f>
        <v>1</v>
      </c>
      <c r="W180" s="17">
        <f t="shared" si="5"/>
        <v>30.9</v>
      </c>
    </row>
    <row r="181" ht="15.75" customHeight="1">
      <c r="A181" s="8" t="s">
        <v>584</v>
      </c>
      <c r="B181" s="7" t="s">
        <v>579</v>
      </c>
      <c r="C181" s="13" t="s">
        <v>580</v>
      </c>
      <c r="D181" s="7" t="s">
        <v>44</v>
      </c>
      <c r="E181" s="8" t="s">
        <v>17</v>
      </c>
      <c r="F181" s="8" t="s">
        <v>318</v>
      </c>
      <c r="G181" s="7" t="s">
        <v>581</v>
      </c>
      <c r="H181" s="7" t="s">
        <v>582</v>
      </c>
      <c r="I181" s="8">
        <v>2000.0</v>
      </c>
      <c r="J181" s="8">
        <v>2.6</v>
      </c>
      <c r="K181" s="8" t="s">
        <v>583</v>
      </c>
      <c r="L181" s="8" t="s">
        <v>322</v>
      </c>
      <c r="M181" s="8" t="s">
        <v>325</v>
      </c>
      <c r="N181" s="8">
        <v>27.7</v>
      </c>
      <c r="O181" s="14">
        <f t="shared" si="1"/>
        <v>45809</v>
      </c>
      <c r="P181" s="15">
        <f>IFERROR(VLOOKUP(K181,Formula!$A$11:$B$20,2,FALSE),Formula!$C$26)</f>
        <v>0.95</v>
      </c>
      <c r="Q181" s="15">
        <f>IF(AND(ISNUMBER(J181),J181&gt;0),1/J181,IF(AND(ISNUMBER(I181),I181&gt;0),SQRT(MIN(I181,Formula!$C$27))/Formula!$C$24,1/Formula!$C$25))</f>
        <v>0.3846153846</v>
      </c>
      <c r="R181" s="15">
        <f t="shared" si="2"/>
        <v>0.3653846154</v>
      </c>
      <c r="S181" s="15">
        <f>IF(H181&lt;&gt;"",EXP(-Formula!$C$28*(EOMONTH(H181,0)-H181)),EXP(-Formula!$C$28*(EOMONTH(D181,0)-D181)))</f>
        <v>0.3867410235</v>
      </c>
      <c r="T181" s="15">
        <f t="shared" si="3"/>
        <v>0.2886751346</v>
      </c>
      <c r="U181" s="15">
        <f t="shared" si="4"/>
        <v>0.04079245813</v>
      </c>
      <c r="V181" s="16">
        <f>IF(AND(L181="Among all respondents",NOT(OR(K181="Online poll in Telegram channel",K181="Website online poll",K181="CAWI (Computer Assisted Web Interviewing)"))),1/(1-MIN(MAX(Formula!$C$33+(YEAR(D181)-Formula!$C$34)/(Formula!$C$35-Formula!$C$34)*(Formula!$C$32-Formula!$C$33),Formula!$C$33),Formula!$C$32)),1)</f>
        <v>1</v>
      </c>
      <c r="W181" s="17">
        <f t="shared" si="5"/>
        <v>27.7</v>
      </c>
    </row>
    <row r="182" ht="15.75" customHeight="1">
      <c r="A182" s="8" t="s">
        <v>585</v>
      </c>
      <c r="B182" s="7" t="s">
        <v>579</v>
      </c>
      <c r="C182" s="13" t="s">
        <v>580</v>
      </c>
      <c r="D182" s="7" t="s">
        <v>44</v>
      </c>
      <c r="E182" s="8" t="s">
        <v>17</v>
      </c>
      <c r="F182" s="8" t="s">
        <v>318</v>
      </c>
      <c r="G182" s="7" t="s">
        <v>581</v>
      </c>
      <c r="H182" s="7" t="s">
        <v>582</v>
      </c>
      <c r="I182" s="8">
        <v>2000.0</v>
      </c>
      <c r="J182" s="8">
        <v>2.6</v>
      </c>
      <c r="K182" s="8" t="s">
        <v>583</v>
      </c>
      <c r="L182" s="8" t="s">
        <v>322</v>
      </c>
      <c r="M182" s="8" t="s">
        <v>329</v>
      </c>
      <c r="N182" s="8">
        <v>6.3</v>
      </c>
      <c r="O182" s="14">
        <f t="shared" si="1"/>
        <v>45809</v>
      </c>
      <c r="P182" s="15">
        <f>IFERROR(VLOOKUP(K182,Formula!$A$11:$B$20,2,FALSE),Formula!$C$26)</f>
        <v>0.95</v>
      </c>
      <c r="Q182" s="15">
        <f>IF(AND(ISNUMBER(J182),J182&gt;0),1/J182,IF(AND(ISNUMBER(I182),I182&gt;0),SQRT(MIN(I182,Formula!$C$27))/Formula!$C$24,1/Formula!$C$25))</f>
        <v>0.3846153846</v>
      </c>
      <c r="R182" s="15">
        <f t="shared" si="2"/>
        <v>0.3653846154</v>
      </c>
      <c r="S182" s="15">
        <f>IF(H182&lt;&gt;"",EXP(-Formula!$C$28*(EOMONTH(H182,0)-H182)),EXP(-Formula!$C$28*(EOMONTH(D182,0)-D182)))</f>
        <v>0.3867410235</v>
      </c>
      <c r="T182" s="15">
        <f t="shared" si="3"/>
        <v>0.2886751346</v>
      </c>
      <c r="U182" s="15">
        <f t="shared" si="4"/>
        <v>0.04079245813</v>
      </c>
      <c r="V182" s="16">
        <f>IF(AND(L182="Among all respondents",NOT(OR(K182="Online poll in Telegram channel",K182="Website online poll",K182="CAWI (Computer Assisted Web Interviewing)"))),1/(1-MIN(MAX(Formula!$C$33+(YEAR(D182)-Formula!$C$34)/(Formula!$C$35-Formula!$C$34)*(Formula!$C$32-Formula!$C$33),Formula!$C$33),Formula!$C$32)),1)</f>
        <v>1</v>
      </c>
      <c r="W182" s="17">
        <f t="shared" si="5"/>
        <v>6.3</v>
      </c>
    </row>
    <row r="183" ht="15.75" customHeight="1">
      <c r="A183" s="8" t="s">
        <v>586</v>
      </c>
      <c r="B183" s="7" t="s">
        <v>579</v>
      </c>
      <c r="C183" s="13" t="s">
        <v>580</v>
      </c>
      <c r="D183" s="7" t="s">
        <v>44</v>
      </c>
      <c r="E183" s="8" t="s">
        <v>17</v>
      </c>
      <c r="F183" s="8" t="s">
        <v>318</v>
      </c>
      <c r="G183" s="7" t="s">
        <v>581</v>
      </c>
      <c r="H183" s="7" t="s">
        <v>582</v>
      </c>
      <c r="I183" s="8">
        <v>2000.0</v>
      </c>
      <c r="J183" s="8">
        <v>2.6</v>
      </c>
      <c r="K183" s="8" t="s">
        <v>583</v>
      </c>
      <c r="L183" s="8" t="s">
        <v>322</v>
      </c>
      <c r="M183" s="8" t="s">
        <v>333</v>
      </c>
      <c r="N183" s="8">
        <v>5.4</v>
      </c>
      <c r="O183" s="14">
        <f t="shared" si="1"/>
        <v>45809</v>
      </c>
      <c r="P183" s="15">
        <f>IFERROR(VLOOKUP(K183,Formula!$A$11:$B$20,2,FALSE),Formula!$C$26)</f>
        <v>0.95</v>
      </c>
      <c r="Q183" s="15">
        <f>IF(AND(ISNUMBER(J183),J183&gt;0),1/J183,IF(AND(ISNUMBER(I183),I183&gt;0),SQRT(MIN(I183,Formula!$C$27))/Formula!$C$24,1/Formula!$C$25))</f>
        <v>0.3846153846</v>
      </c>
      <c r="R183" s="15">
        <f t="shared" si="2"/>
        <v>0.3653846154</v>
      </c>
      <c r="S183" s="15">
        <f>IF(H183&lt;&gt;"",EXP(-Formula!$C$28*(EOMONTH(H183,0)-H183)),EXP(-Formula!$C$28*(EOMONTH(D183,0)-D183)))</f>
        <v>0.3867410235</v>
      </c>
      <c r="T183" s="15">
        <f t="shared" si="3"/>
        <v>0.2886751346</v>
      </c>
      <c r="U183" s="15">
        <f t="shared" si="4"/>
        <v>0.04079245813</v>
      </c>
      <c r="V183" s="16">
        <f>IF(AND(L183="Among all respondents",NOT(OR(K183="Online poll in Telegram channel",K183="Website online poll",K183="CAWI (Computer Assisted Web Interviewing)"))),1/(1-MIN(MAX(Formula!$C$33+(YEAR(D183)-Formula!$C$34)/(Formula!$C$35-Formula!$C$34)*(Formula!$C$32-Formula!$C$33),Formula!$C$33),Formula!$C$32)),1)</f>
        <v>1</v>
      </c>
      <c r="W183" s="17">
        <f t="shared" si="5"/>
        <v>5.4</v>
      </c>
    </row>
    <row r="184" ht="15.75" customHeight="1">
      <c r="A184" s="8" t="s">
        <v>587</v>
      </c>
      <c r="B184" s="7" t="s">
        <v>579</v>
      </c>
      <c r="C184" s="13" t="s">
        <v>580</v>
      </c>
      <c r="D184" s="7" t="s">
        <v>44</v>
      </c>
      <c r="E184" s="8" t="s">
        <v>17</v>
      </c>
      <c r="F184" s="8" t="s">
        <v>318</v>
      </c>
      <c r="G184" s="7" t="s">
        <v>581</v>
      </c>
      <c r="H184" s="7" t="s">
        <v>582</v>
      </c>
      <c r="I184" s="8">
        <v>2000.0</v>
      </c>
      <c r="J184" s="8">
        <v>2.6</v>
      </c>
      <c r="K184" s="8" t="s">
        <v>583</v>
      </c>
      <c r="L184" s="8" t="s">
        <v>322</v>
      </c>
      <c r="M184" s="8" t="s">
        <v>327</v>
      </c>
      <c r="N184" s="8">
        <v>5.2</v>
      </c>
      <c r="O184" s="14">
        <f t="shared" si="1"/>
        <v>45809</v>
      </c>
      <c r="P184" s="15">
        <f>IFERROR(VLOOKUP(K184,Formula!$A$11:$B$20,2,FALSE),Formula!$C$26)</f>
        <v>0.95</v>
      </c>
      <c r="Q184" s="15">
        <f>IF(AND(ISNUMBER(J184),J184&gt;0),1/J184,IF(AND(ISNUMBER(I184),I184&gt;0),SQRT(MIN(I184,Formula!$C$27))/Formula!$C$24,1/Formula!$C$25))</f>
        <v>0.3846153846</v>
      </c>
      <c r="R184" s="15">
        <f t="shared" si="2"/>
        <v>0.3653846154</v>
      </c>
      <c r="S184" s="15">
        <f>IF(H184&lt;&gt;"",EXP(-Formula!$C$28*(EOMONTH(H184,0)-H184)),EXP(-Formula!$C$28*(EOMONTH(D184,0)-D184)))</f>
        <v>0.3867410235</v>
      </c>
      <c r="T184" s="15">
        <f t="shared" si="3"/>
        <v>0.2886751346</v>
      </c>
      <c r="U184" s="15">
        <f t="shared" si="4"/>
        <v>0.04079245813</v>
      </c>
      <c r="V184" s="16">
        <f>IF(AND(L184="Among all respondents",NOT(OR(K184="Online poll in Telegram channel",K184="Website online poll",K184="CAWI (Computer Assisted Web Interviewing)"))),1/(1-MIN(MAX(Formula!$C$33+(YEAR(D184)-Formula!$C$34)/(Formula!$C$35-Formula!$C$34)*(Formula!$C$32-Formula!$C$33),Formula!$C$33),Formula!$C$32)),1)</f>
        <v>1</v>
      </c>
      <c r="W184" s="17">
        <f t="shared" si="5"/>
        <v>5.2</v>
      </c>
    </row>
    <row r="185" ht="15.75" customHeight="1">
      <c r="A185" s="8" t="s">
        <v>588</v>
      </c>
      <c r="B185" s="7" t="s">
        <v>579</v>
      </c>
      <c r="C185" s="13" t="s">
        <v>580</v>
      </c>
      <c r="D185" s="7" t="s">
        <v>44</v>
      </c>
      <c r="E185" s="8" t="s">
        <v>17</v>
      </c>
      <c r="F185" s="8" t="s">
        <v>318</v>
      </c>
      <c r="G185" s="7" t="s">
        <v>581</v>
      </c>
      <c r="H185" s="7" t="s">
        <v>582</v>
      </c>
      <c r="I185" s="8">
        <v>2000.0</v>
      </c>
      <c r="J185" s="8">
        <v>2.6</v>
      </c>
      <c r="K185" s="8" t="s">
        <v>583</v>
      </c>
      <c r="L185" s="8" t="s">
        <v>322</v>
      </c>
      <c r="M185" s="8" t="s">
        <v>335</v>
      </c>
      <c r="N185" s="8">
        <v>4.9</v>
      </c>
      <c r="O185" s="14">
        <f t="shared" si="1"/>
        <v>45809</v>
      </c>
      <c r="P185" s="15">
        <f>IFERROR(VLOOKUP(K185,Formula!$A$11:$B$20,2,FALSE),Formula!$C$26)</f>
        <v>0.95</v>
      </c>
      <c r="Q185" s="15">
        <f>IF(AND(ISNUMBER(J185),J185&gt;0),1/J185,IF(AND(ISNUMBER(I185),I185&gt;0),SQRT(MIN(I185,Formula!$C$27))/Formula!$C$24,1/Formula!$C$25))</f>
        <v>0.3846153846</v>
      </c>
      <c r="R185" s="15">
        <f t="shared" si="2"/>
        <v>0.3653846154</v>
      </c>
      <c r="S185" s="15">
        <f>IF(H185&lt;&gt;"",EXP(-Formula!$C$28*(EOMONTH(H185,0)-H185)),EXP(-Formula!$C$28*(EOMONTH(D185,0)-D185)))</f>
        <v>0.3867410235</v>
      </c>
      <c r="T185" s="15">
        <f t="shared" si="3"/>
        <v>0.2886751346</v>
      </c>
      <c r="U185" s="15">
        <f t="shared" si="4"/>
        <v>0.04079245813</v>
      </c>
      <c r="V185" s="16">
        <f>IF(AND(L185="Among all respondents",NOT(OR(K185="Online poll in Telegram channel",K185="Website online poll",K185="CAWI (Computer Assisted Web Interviewing)"))),1/(1-MIN(MAX(Formula!$C$33+(YEAR(D185)-Formula!$C$34)/(Formula!$C$35-Formula!$C$34)*(Formula!$C$32-Formula!$C$33),Formula!$C$33),Formula!$C$32)),1)</f>
        <v>1</v>
      </c>
      <c r="W185" s="17">
        <f t="shared" si="5"/>
        <v>4.9</v>
      </c>
    </row>
    <row r="186" ht="15.75" customHeight="1">
      <c r="A186" s="8" t="s">
        <v>589</v>
      </c>
      <c r="B186" s="7" t="s">
        <v>579</v>
      </c>
      <c r="C186" s="13" t="s">
        <v>580</v>
      </c>
      <c r="D186" s="7" t="s">
        <v>44</v>
      </c>
      <c r="E186" s="8" t="s">
        <v>17</v>
      </c>
      <c r="F186" s="8" t="s">
        <v>318</v>
      </c>
      <c r="G186" s="7" t="s">
        <v>581</v>
      </c>
      <c r="H186" s="7" t="s">
        <v>582</v>
      </c>
      <c r="I186" s="8">
        <v>2000.0</v>
      </c>
      <c r="J186" s="8">
        <v>2.6</v>
      </c>
      <c r="K186" s="8" t="s">
        <v>583</v>
      </c>
      <c r="L186" s="8" t="s">
        <v>322</v>
      </c>
      <c r="M186" s="8" t="s">
        <v>337</v>
      </c>
      <c r="N186" s="8">
        <v>4.8</v>
      </c>
      <c r="O186" s="14">
        <f t="shared" si="1"/>
        <v>45809</v>
      </c>
      <c r="P186" s="15">
        <f>IFERROR(VLOOKUP(K186,Formula!$A$11:$B$20,2,FALSE),Formula!$C$26)</f>
        <v>0.95</v>
      </c>
      <c r="Q186" s="15">
        <f>IF(AND(ISNUMBER(J186),J186&gt;0),1/J186,IF(AND(ISNUMBER(I186),I186&gt;0),SQRT(MIN(I186,Formula!$C$27))/Formula!$C$24,1/Formula!$C$25))</f>
        <v>0.3846153846</v>
      </c>
      <c r="R186" s="15">
        <f t="shared" si="2"/>
        <v>0.3653846154</v>
      </c>
      <c r="S186" s="15">
        <f>IF(H186&lt;&gt;"",EXP(-Formula!$C$28*(EOMONTH(H186,0)-H186)),EXP(-Formula!$C$28*(EOMONTH(D186,0)-D186)))</f>
        <v>0.3867410235</v>
      </c>
      <c r="T186" s="15">
        <f t="shared" si="3"/>
        <v>0.2886751346</v>
      </c>
      <c r="U186" s="15">
        <f t="shared" si="4"/>
        <v>0.04079245813</v>
      </c>
      <c r="V186" s="16">
        <f>IF(AND(L186="Among all respondents",NOT(OR(K186="Online poll in Telegram channel",K186="Website online poll",K186="CAWI (Computer Assisted Web Interviewing)"))),1/(1-MIN(MAX(Formula!$C$33+(YEAR(D186)-Formula!$C$34)/(Formula!$C$35-Formula!$C$34)*(Formula!$C$32-Formula!$C$33),Formula!$C$33),Formula!$C$32)),1)</f>
        <v>1</v>
      </c>
      <c r="W186" s="17">
        <f t="shared" si="5"/>
        <v>4.8</v>
      </c>
    </row>
    <row r="187" ht="15.75" customHeight="1">
      <c r="A187" s="8" t="s">
        <v>590</v>
      </c>
      <c r="B187" s="7" t="s">
        <v>579</v>
      </c>
      <c r="C187" s="13" t="s">
        <v>580</v>
      </c>
      <c r="D187" s="7" t="s">
        <v>44</v>
      </c>
      <c r="E187" s="8" t="s">
        <v>17</v>
      </c>
      <c r="F187" s="8" t="s">
        <v>318</v>
      </c>
      <c r="G187" s="7" t="s">
        <v>581</v>
      </c>
      <c r="H187" s="7" t="s">
        <v>582</v>
      </c>
      <c r="I187" s="8">
        <v>2000.0</v>
      </c>
      <c r="J187" s="8">
        <v>2.6</v>
      </c>
      <c r="K187" s="8" t="s">
        <v>583</v>
      </c>
      <c r="L187" s="8" t="s">
        <v>322</v>
      </c>
      <c r="M187" s="8" t="s">
        <v>367</v>
      </c>
      <c r="N187" s="8">
        <v>2.7</v>
      </c>
      <c r="O187" s="14">
        <f t="shared" si="1"/>
        <v>45809</v>
      </c>
      <c r="P187" s="15">
        <f>IFERROR(VLOOKUP(K187,Formula!$A$11:$B$20,2,FALSE),Formula!$C$26)</f>
        <v>0.95</v>
      </c>
      <c r="Q187" s="15">
        <f>IF(AND(ISNUMBER(J187),J187&gt;0),1/J187,IF(AND(ISNUMBER(I187),I187&gt;0),SQRT(MIN(I187,Formula!$C$27))/Formula!$C$24,1/Formula!$C$25))</f>
        <v>0.3846153846</v>
      </c>
      <c r="R187" s="15">
        <f t="shared" si="2"/>
        <v>0.3653846154</v>
      </c>
      <c r="S187" s="15">
        <f>IF(H187&lt;&gt;"",EXP(-Formula!$C$28*(EOMONTH(H187,0)-H187)),EXP(-Formula!$C$28*(EOMONTH(D187,0)-D187)))</f>
        <v>0.3867410235</v>
      </c>
      <c r="T187" s="15">
        <f t="shared" si="3"/>
        <v>0.2886751346</v>
      </c>
      <c r="U187" s="15">
        <f t="shared" si="4"/>
        <v>0.04079245813</v>
      </c>
      <c r="V187" s="16">
        <f>IF(AND(L187="Among all respondents",NOT(OR(K187="Online poll in Telegram channel",K187="Website online poll",K187="CAWI (Computer Assisted Web Interviewing)"))),1/(1-MIN(MAX(Formula!$C$33+(YEAR(D187)-Formula!$C$34)/(Formula!$C$35-Formula!$C$34)*(Formula!$C$32-Formula!$C$33),Formula!$C$33),Formula!$C$32)),1)</f>
        <v>1</v>
      </c>
      <c r="W187" s="17">
        <f t="shared" si="5"/>
        <v>2.7</v>
      </c>
    </row>
    <row r="188" ht="15.75" customHeight="1">
      <c r="A188" s="8" t="s">
        <v>591</v>
      </c>
      <c r="B188" s="7" t="s">
        <v>579</v>
      </c>
      <c r="C188" s="13" t="s">
        <v>580</v>
      </c>
      <c r="D188" s="7" t="s">
        <v>44</v>
      </c>
      <c r="E188" s="8" t="s">
        <v>17</v>
      </c>
      <c r="F188" s="8" t="s">
        <v>318</v>
      </c>
      <c r="G188" s="7" t="s">
        <v>581</v>
      </c>
      <c r="H188" s="7" t="s">
        <v>582</v>
      </c>
      <c r="I188" s="8">
        <v>2000.0</v>
      </c>
      <c r="J188" s="8">
        <v>2.6</v>
      </c>
      <c r="K188" s="8" t="s">
        <v>583</v>
      </c>
      <c r="L188" s="8" t="s">
        <v>322</v>
      </c>
      <c r="M188" s="8" t="s">
        <v>339</v>
      </c>
      <c r="N188" s="8">
        <v>2.5</v>
      </c>
      <c r="O188" s="14">
        <f t="shared" si="1"/>
        <v>45809</v>
      </c>
      <c r="P188" s="15">
        <f>IFERROR(VLOOKUP(K188,Formula!$A$11:$B$20,2,FALSE),Formula!$C$26)</f>
        <v>0.95</v>
      </c>
      <c r="Q188" s="15">
        <f>IF(AND(ISNUMBER(J188),J188&gt;0),1/J188,IF(AND(ISNUMBER(I188),I188&gt;0),SQRT(MIN(I188,Formula!$C$27))/Formula!$C$24,1/Formula!$C$25))</f>
        <v>0.3846153846</v>
      </c>
      <c r="R188" s="15">
        <f t="shared" si="2"/>
        <v>0.3653846154</v>
      </c>
      <c r="S188" s="15">
        <f>IF(H188&lt;&gt;"",EXP(-Formula!$C$28*(EOMONTH(H188,0)-H188)),EXP(-Formula!$C$28*(EOMONTH(D188,0)-D188)))</f>
        <v>0.3867410235</v>
      </c>
      <c r="T188" s="15">
        <f t="shared" si="3"/>
        <v>0.2886751346</v>
      </c>
      <c r="U188" s="15">
        <f t="shared" si="4"/>
        <v>0.04079245813</v>
      </c>
      <c r="V188" s="16">
        <f>IF(AND(L188="Among all respondents",NOT(OR(K188="Online poll in Telegram channel",K188="Website online poll",K188="CAWI (Computer Assisted Web Interviewing)"))),1/(1-MIN(MAX(Formula!$C$33+(YEAR(D188)-Formula!$C$34)/(Formula!$C$35-Formula!$C$34)*(Formula!$C$32-Formula!$C$33),Formula!$C$33),Formula!$C$32)),1)</f>
        <v>1</v>
      </c>
      <c r="W188" s="17">
        <f t="shared" si="5"/>
        <v>2.5</v>
      </c>
    </row>
    <row r="189" ht="15.75" customHeight="1">
      <c r="A189" s="8" t="s">
        <v>592</v>
      </c>
      <c r="B189" s="7" t="s">
        <v>579</v>
      </c>
      <c r="C189" s="13" t="s">
        <v>580</v>
      </c>
      <c r="D189" s="7" t="s">
        <v>44</v>
      </c>
      <c r="E189" s="8" t="s">
        <v>17</v>
      </c>
      <c r="F189" s="8" t="s">
        <v>318</v>
      </c>
      <c r="G189" s="7" t="s">
        <v>581</v>
      </c>
      <c r="H189" s="7" t="s">
        <v>582</v>
      </c>
      <c r="I189" s="8">
        <v>2000.0</v>
      </c>
      <c r="J189" s="8">
        <v>2.6</v>
      </c>
      <c r="K189" s="8" t="s">
        <v>583</v>
      </c>
      <c r="L189" s="8" t="s">
        <v>322</v>
      </c>
      <c r="M189" s="8" t="s">
        <v>365</v>
      </c>
      <c r="N189" s="8">
        <v>2.1</v>
      </c>
      <c r="O189" s="14">
        <f t="shared" si="1"/>
        <v>45809</v>
      </c>
      <c r="P189" s="15">
        <f>IFERROR(VLOOKUP(K189,Formula!$A$11:$B$20,2,FALSE),Formula!$C$26)</f>
        <v>0.95</v>
      </c>
      <c r="Q189" s="15">
        <f>IF(AND(ISNUMBER(J189),J189&gt;0),1/J189,IF(AND(ISNUMBER(I189),I189&gt;0),SQRT(MIN(I189,Formula!$C$27))/Formula!$C$24,1/Formula!$C$25))</f>
        <v>0.3846153846</v>
      </c>
      <c r="R189" s="15">
        <f t="shared" si="2"/>
        <v>0.3653846154</v>
      </c>
      <c r="S189" s="15">
        <f>IF(H189&lt;&gt;"",EXP(-Formula!$C$28*(EOMONTH(H189,0)-H189)),EXP(-Formula!$C$28*(EOMONTH(D189,0)-D189)))</f>
        <v>0.3867410235</v>
      </c>
      <c r="T189" s="15">
        <f t="shared" si="3"/>
        <v>0.2886751346</v>
      </c>
      <c r="U189" s="15">
        <f t="shared" si="4"/>
        <v>0.04079245813</v>
      </c>
      <c r="V189" s="16">
        <f>IF(AND(L189="Among all respondents",NOT(OR(K189="Online poll in Telegram channel",K189="Website online poll",K189="CAWI (Computer Assisted Web Interviewing)"))),1/(1-MIN(MAX(Formula!$C$33+(YEAR(D189)-Formula!$C$34)/(Formula!$C$35-Formula!$C$34)*(Formula!$C$32-Formula!$C$33),Formula!$C$33),Formula!$C$32)),1)</f>
        <v>1</v>
      </c>
      <c r="W189" s="17">
        <f t="shared" si="5"/>
        <v>2.1</v>
      </c>
    </row>
    <row r="190" ht="15.75" customHeight="1">
      <c r="A190" s="8" t="s">
        <v>593</v>
      </c>
      <c r="B190" s="7" t="s">
        <v>579</v>
      </c>
      <c r="C190" s="13" t="s">
        <v>580</v>
      </c>
      <c r="D190" s="7" t="s">
        <v>44</v>
      </c>
      <c r="E190" s="8" t="s">
        <v>17</v>
      </c>
      <c r="F190" s="8" t="s">
        <v>318</v>
      </c>
      <c r="G190" s="7" t="s">
        <v>581</v>
      </c>
      <c r="H190" s="7" t="s">
        <v>582</v>
      </c>
      <c r="I190" s="8">
        <v>2000.0</v>
      </c>
      <c r="J190" s="8">
        <v>2.6</v>
      </c>
      <c r="K190" s="8" t="s">
        <v>583</v>
      </c>
      <c r="L190" s="8" t="s">
        <v>322</v>
      </c>
      <c r="M190" s="8" t="s">
        <v>359</v>
      </c>
      <c r="N190" s="8">
        <v>1.5</v>
      </c>
      <c r="O190" s="14">
        <f t="shared" si="1"/>
        <v>45809</v>
      </c>
      <c r="P190" s="15">
        <f>IFERROR(VLOOKUP(K190,Formula!$A$11:$B$20,2,FALSE),Formula!$C$26)</f>
        <v>0.95</v>
      </c>
      <c r="Q190" s="15">
        <f>IF(AND(ISNUMBER(J190),J190&gt;0),1/J190,IF(AND(ISNUMBER(I190),I190&gt;0),SQRT(MIN(I190,Formula!$C$27))/Formula!$C$24,1/Formula!$C$25))</f>
        <v>0.3846153846</v>
      </c>
      <c r="R190" s="15">
        <f t="shared" si="2"/>
        <v>0.3653846154</v>
      </c>
      <c r="S190" s="15">
        <f>IF(H190&lt;&gt;"",EXP(-Formula!$C$28*(EOMONTH(H190,0)-H190)),EXP(-Formula!$C$28*(EOMONTH(D190,0)-D190)))</f>
        <v>0.3867410235</v>
      </c>
      <c r="T190" s="15">
        <f t="shared" si="3"/>
        <v>0.2886751346</v>
      </c>
      <c r="U190" s="15">
        <f t="shared" si="4"/>
        <v>0.04079245813</v>
      </c>
      <c r="V190" s="16">
        <f>IF(AND(L190="Among all respondents",NOT(OR(K190="Online poll in Telegram channel",K190="Website online poll",K190="CAWI (Computer Assisted Web Interviewing)"))),1/(1-MIN(MAX(Formula!$C$33+(YEAR(D190)-Formula!$C$34)/(Formula!$C$35-Formula!$C$34)*(Formula!$C$32-Formula!$C$33),Formula!$C$33),Formula!$C$32)),1)</f>
        <v>1</v>
      </c>
      <c r="W190" s="17">
        <f t="shared" si="5"/>
        <v>1.5</v>
      </c>
    </row>
    <row r="191" ht="15.75" customHeight="1">
      <c r="A191" s="8" t="s">
        <v>594</v>
      </c>
      <c r="B191" s="7" t="s">
        <v>579</v>
      </c>
      <c r="C191" s="13" t="s">
        <v>580</v>
      </c>
      <c r="D191" s="7" t="s">
        <v>44</v>
      </c>
      <c r="E191" s="8" t="s">
        <v>17</v>
      </c>
      <c r="F191" s="8" t="s">
        <v>318</v>
      </c>
      <c r="G191" s="7" t="s">
        <v>581</v>
      </c>
      <c r="H191" s="7" t="s">
        <v>582</v>
      </c>
      <c r="I191" s="8">
        <v>2000.0</v>
      </c>
      <c r="J191" s="8">
        <v>2.6</v>
      </c>
      <c r="K191" s="8" t="s">
        <v>583</v>
      </c>
      <c r="L191" s="8" t="s">
        <v>322</v>
      </c>
      <c r="M191" s="8" t="s">
        <v>343</v>
      </c>
      <c r="N191" s="8">
        <v>0.7</v>
      </c>
      <c r="O191" s="14">
        <f t="shared" si="1"/>
        <v>45809</v>
      </c>
      <c r="P191" s="15">
        <f>IFERROR(VLOOKUP(K191,Formula!$A$11:$B$20,2,FALSE),Formula!$C$26)</f>
        <v>0.95</v>
      </c>
      <c r="Q191" s="15">
        <f>IF(AND(ISNUMBER(J191),J191&gt;0),1/J191,IF(AND(ISNUMBER(I191),I191&gt;0),SQRT(MIN(I191,Formula!$C$27))/Formula!$C$24,1/Formula!$C$25))</f>
        <v>0.3846153846</v>
      </c>
      <c r="R191" s="15">
        <f t="shared" si="2"/>
        <v>0.3653846154</v>
      </c>
      <c r="S191" s="15">
        <f>IF(H191&lt;&gt;"",EXP(-Formula!$C$28*(EOMONTH(H191,0)-H191)),EXP(-Formula!$C$28*(EOMONTH(D191,0)-D191)))</f>
        <v>0.3867410235</v>
      </c>
      <c r="T191" s="15">
        <f t="shared" si="3"/>
        <v>0.2886751346</v>
      </c>
      <c r="U191" s="15">
        <f t="shared" si="4"/>
        <v>0.04079245813</v>
      </c>
      <c r="V191" s="16">
        <f>IF(AND(L191="Among all respondents",NOT(OR(K191="Online poll in Telegram channel",K191="Website online poll",K191="CAWI (Computer Assisted Web Interviewing)"))),1/(1-MIN(MAX(Formula!$C$33+(YEAR(D191)-Formula!$C$34)/(Formula!$C$35-Formula!$C$34)*(Formula!$C$32-Formula!$C$33),Formula!$C$33),Formula!$C$32)),1)</f>
        <v>1</v>
      </c>
      <c r="W191" s="17">
        <f t="shared" si="5"/>
        <v>0.7</v>
      </c>
    </row>
    <row r="192" ht="15.75" customHeight="1">
      <c r="A192" s="8" t="s">
        <v>595</v>
      </c>
      <c r="B192" s="7" t="s">
        <v>596</v>
      </c>
      <c r="C192" s="13" t="s">
        <v>597</v>
      </c>
      <c r="D192" s="7" t="s">
        <v>46</v>
      </c>
      <c r="E192" s="8" t="s">
        <v>17</v>
      </c>
      <c r="F192" s="8" t="s">
        <v>318</v>
      </c>
      <c r="G192" s="7" t="s">
        <v>47</v>
      </c>
      <c r="H192" s="7" t="s">
        <v>598</v>
      </c>
      <c r="I192" s="8">
        <v>2000.0</v>
      </c>
      <c r="J192" s="8">
        <v>2.6</v>
      </c>
      <c r="K192" s="8" t="s">
        <v>436</v>
      </c>
      <c r="L192" s="8" t="s">
        <v>373</v>
      </c>
      <c r="M192" s="8" t="s">
        <v>323</v>
      </c>
      <c r="N192" s="8">
        <v>22.9</v>
      </c>
      <c r="O192" s="14">
        <f t="shared" si="1"/>
        <v>45778</v>
      </c>
      <c r="P192" s="15">
        <f>IFERROR(VLOOKUP(K192,Formula!$A$11:$B$20,2,FALSE),Formula!$C$26)</f>
        <v>0.95</v>
      </c>
      <c r="Q192" s="15">
        <f>IF(AND(ISNUMBER(J192),J192&gt;0),1/J192,IF(AND(ISNUMBER(I192),I192&gt;0),SQRT(MIN(I192,Formula!$C$27))/Formula!$C$24,1/Formula!$C$25))</f>
        <v>0.3846153846</v>
      </c>
      <c r="R192" s="15">
        <f t="shared" si="2"/>
        <v>0.3653846154</v>
      </c>
      <c r="S192" s="15">
        <f>IF(H192&lt;&gt;"",EXP(-Formula!$C$28*(EOMONTH(H192,0)-H192)),EXP(-Formula!$C$28*(EOMONTH(D192,0)-D192)))</f>
        <v>1</v>
      </c>
      <c r="T192" s="15">
        <f t="shared" si="3"/>
        <v>0.316227766</v>
      </c>
      <c r="U192" s="15">
        <f t="shared" si="4"/>
        <v>0.1155447607</v>
      </c>
      <c r="V192" s="16">
        <f>IF(AND(L192="Among all respondents",NOT(OR(K192="Online poll in Telegram channel",K192="Website online poll",K192="CAWI (Computer Assisted Web Interviewing)"))),1/(1-MIN(MAX(Formula!$C$33+(YEAR(D192)-Formula!$C$34)/(Formula!$C$35-Formula!$C$34)*(Formula!$C$32-Formula!$C$33),Formula!$C$33),Formula!$C$32)),1)</f>
        <v>1.282051282</v>
      </c>
      <c r="W192" s="17">
        <f t="shared" si="5"/>
        <v>29.35897436</v>
      </c>
    </row>
    <row r="193" ht="15.75" customHeight="1">
      <c r="A193" s="8" t="s">
        <v>599</v>
      </c>
      <c r="B193" s="7" t="s">
        <v>596</v>
      </c>
      <c r="C193" s="13" t="s">
        <v>597</v>
      </c>
      <c r="D193" s="7" t="s">
        <v>46</v>
      </c>
      <c r="E193" s="8" t="s">
        <v>17</v>
      </c>
      <c r="F193" s="8" t="s">
        <v>318</v>
      </c>
      <c r="G193" s="7" t="s">
        <v>47</v>
      </c>
      <c r="H193" s="7" t="s">
        <v>598</v>
      </c>
      <c r="I193" s="8">
        <v>2000.0</v>
      </c>
      <c r="J193" s="8">
        <v>2.6</v>
      </c>
      <c r="K193" s="8" t="s">
        <v>436</v>
      </c>
      <c r="L193" s="8" t="s">
        <v>373</v>
      </c>
      <c r="M193" s="8" t="s">
        <v>325</v>
      </c>
      <c r="N193" s="8">
        <v>21.3</v>
      </c>
      <c r="O193" s="14">
        <f t="shared" si="1"/>
        <v>45778</v>
      </c>
      <c r="P193" s="15">
        <f>IFERROR(VLOOKUP(K193,Formula!$A$11:$B$20,2,FALSE),Formula!$C$26)</f>
        <v>0.95</v>
      </c>
      <c r="Q193" s="15">
        <f>IF(AND(ISNUMBER(J193),J193&gt;0),1/J193,IF(AND(ISNUMBER(I193),I193&gt;0),SQRT(MIN(I193,Formula!$C$27))/Formula!$C$24,1/Formula!$C$25))</f>
        <v>0.3846153846</v>
      </c>
      <c r="R193" s="15">
        <f t="shared" si="2"/>
        <v>0.3653846154</v>
      </c>
      <c r="S193" s="15">
        <f>IF(H193&lt;&gt;"",EXP(-Formula!$C$28*(EOMONTH(H193,0)-H193)),EXP(-Formula!$C$28*(EOMONTH(D193,0)-D193)))</f>
        <v>1</v>
      </c>
      <c r="T193" s="15">
        <f t="shared" si="3"/>
        <v>0.316227766</v>
      </c>
      <c r="U193" s="15">
        <f t="shared" si="4"/>
        <v>0.1155447607</v>
      </c>
      <c r="V193" s="16">
        <f>IF(AND(L193="Among all respondents",NOT(OR(K193="Online poll in Telegram channel",K193="Website online poll",K193="CAWI (Computer Assisted Web Interviewing)"))),1/(1-MIN(MAX(Formula!$C$33+(YEAR(D193)-Formula!$C$34)/(Formula!$C$35-Formula!$C$34)*(Formula!$C$32-Formula!$C$33),Formula!$C$33),Formula!$C$32)),1)</f>
        <v>1.282051282</v>
      </c>
      <c r="W193" s="17">
        <f t="shared" si="5"/>
        <v>27.30769231</v>
      </c>
    </row>
    <row r="194" ht="15.75" customHeight="1">
      <c r="A194" s="8" t="s">
        <v>600</v>
      </c>
      <c r="B194" s="7" t="s">
        <v>596</v>
      </c>
      <c r="C194" s="13" t="s">
        <v>597</v>
      </c>
      <c r="D194" s="7" t="s">
        <v>46</v>
      </c>
      <c r="E194" s="8" t="s">
        <v>17</v>
      </c>
      <c r="F194" s="8" t="s">
        <v>318</v>
      </c>
      <c r="G194" s="7" t="s">
        <v>47</v>
      </c>
      <c r="H194" s="7" t="s">
        <v>598</v>
      </c>
      <c r="I194" s="8">
        <v>2000.0</v>
      </c>
      <c r="J194" s="8">
        <v>2.6</v>
      </c>
      <c r="K194" s="8" t="s">
        <v>436</v>
      </c>
      <c r="L194" s="8" t="s">
        <v>373</v>
      </c>
      <c r="M194" s="8" t="s">
        <v>329</v>
      </c>
      <c r="N194" s="8">
        <v>4.5</v>
      </c>
      <c r="O194" s="14">
        <f t="shared" si="1"/>
        <v>45778</v>
      </c>
      <c r="P194" s="15">
        <f>IFERROR(VLOOKUP(K194,Formula!$A$11:$B$20,2,FALSE),Formula!$C$26)</f>
        <v>0.95</v>
      </c>
      <c r="Q194" s="15">
        <f>IF(AND(ISNUMBER(J194),J194&gt;0),1/J194,IF(AND(ISNUMBER(I194),I194&gt;0),SQRT(MIN(I194,Formula!$C$27))/Formula!$C$24,1/Formula!$C$25))</f>
        <v>0.3846153846</v>
      </c>
      <c r="R194" s="15">
        <f t="shared" si="2"/>
        <v>0.3653846154</v>
      </c>
      <c r="S194" s="15">
        <f>IF(H194&lt;&gt;"",EXP(-Formula!$C$28*(EOMONTH(H194,0)-H194)),EXP(-Formula!$C$28*(EOMONTH(D194,0)-D194)))</f>
        <v>1</v>
      </c>
      <c r="T194" s="15">
        <f t="shared" si="3"/>
        <v>0.316227766</v>
      </c>
      <c r="U194" s="15">
        <f t="shared" si="4"/>
        <v>0.1155447607</v>
      </c>
      <c r="V194" s="16">
        <f>IF(AND(L194="Among all respondents",NOT(OR(K194="Online poll in Telegram channel",K194="Website online poll",K194="CAWI (Computer Assisted Web Interviewing)"))),1/(1-MIN(MAX(Formula!$C$33+(YEAR(D194)-Formula!$C$34)/(Formula!$C$35-Formula!$C$34)*(Formula!$C$32-Formula!$C$33),Formula!$C$33),Formula!$C$32)),1)</f>
        <v>1.282051282</v>
      </c>
      <c r="W194" s="17">
        <f t="shared" si="5"/>
        <v>5.769230769</v>
      </c>
    </row>
    <row r="195" ht="15.75" customHeight="1">
      <c r="A195" s="8" t="s">
        <v>601</v>
      </c>
      <c r="B195" s="7" t="s">
        <v>596</v>
      </c>
      <c r="C195" s="13" t="s">
        <v>597</v>
      </c>
      <c r="D195" s="7" t="s">
        <v>46</v>
      </c>
      <c r="E195" s="8" t="s">
        <v>17</v>
      </c>
      <c r="F195" s="8" t="s">
        <v>318</v>
      </c>
      <c r="G195" s="7" t="s">
        <v>47</v>
      </c>
      <c r="H195" s="7" t="s">
        <v>598</v>
      </c>
      <c r="I195" s="8">
        <v>2000.0</v>
      </c>
      <c r="J195" s="8">
        <v>2.6</v>
      </c>
      <c r="K195" s="8" t="s">
        <v>436</v>
      </c>
      <c r="L195" s="8" t="s">
        <v>373</v>
      </c>
      <c r="M195" s="8" t="s">
        <v>327</v>
      </c>
      <c r="N195" s="8">
        <v>3.3</v>
      </c>
      <c r="O195" s="14">
        <f t="shared" si="1"/>
        <v>45778</v>
      </c>
      <c r="P195" s="15">
        <f>IFERROR(VLOOKUP(K195,Formula!$A$11:$B$20,2,FALSE),Formula!$C$26)</f>
        <v>0.95</v>
      </c>
      <c r="Q195" s="15">
        <f>IF(AND(ISNUMBER(J195),J195&gt;0),1/J195,IF(AND(ISNUMBER(I195),I195&gt;0),SQRT(MIN(I195,Formula!$C$27))/Formula!$C$24,1/Formula!$C$25))</f>
        <v>0.3846153846</v>
      </c>
      <c r="R195" s="15">
        <f t="shared" si="2"/>
        <v>0.3653846154</v>
      </c>
      <c r="S195" s="15">
        <f>IF(H195&lt;&gt;"",EXP(-Formula!$C$28*(EOMONTH(H195,0)-H195)),EXP(-Formula!$C$28*(EOMONTH(D195,0)-D195)))</f>
        <v>1</v>
      </c>
      <c r="T195" s="15">
        <f t="shared" si="3"/>
        <v>0.316227766</v>
      </c>
      <c r="U195" s="15">
        <f t="shared" si="4"/>
        <v>0.1155447607</v>
      </c>
      <c r="V195" s="16">
        <f>IF(AND(L195="Among all respondents",NOT(OR(K195="Online poll in Telegram channel",K195="Website online poll",K195="CAWI (Computer Assisted Web Interviewing)"))),1/(1-MIN(MAX(Formula!$C$33+(YEAR(D195)-Formula!$C$34)/(Formula!$C$35-Formula!$C$34)*(Formula!$C$32-Formula!$C$33),Formula!$C$33),Formula!$C$32)),1)</f>
        <v>1.282051282</v>
      </c>
      <c r="W195" s="17">
        <f t="shared" si="5"/>
        <v>4.230769231</v>
      </c>
    </row>
    <row r="196" ht="15.75" customHeight="1">
      <c r="A196" s="8" t="s">
        <v>602</v>
      </c>
      <c r="B196" s="7" t="s">
        <v>596</v>
      </c>
      <c r="C196" s="13" t="s">
        <v>597</v>
      </c>
      <c r="D196" s="7" t="s">
        <v>46</v>
      </c>
      <c r="E196" s="8" t="s">
        <v>17</v>
      </c>
      <c r="F196" s="8" t="s">
        <v>318</v>
      </c>
      <c r="G196" s="7" t="s">
        <v>47</v>
      </c>
      <c r="H196" s="7" t="s">
        <v>598</v>
      </c>
      <c r="I196" s="8">
        <v>2000.0</v>
      </c>
      <c r="J196" s="8">
        <v>2.6</v>
      </c>
      <c r="K196" s="8" t="s">
        <v>436</v>
      </c>
      <c r="L196" s="8" t="s">
        <v>373</v>
      </c>
      <c r="M196" s="8" t="s">
        <v>337</v>
      </c>
      <c r="N196" s="8">
        <v>3.3</v>
      </c>
      <c r="O196" s="14">
        <f t="shared" si="1"/>
        <v>45778</v>
      </c>
      <c r="P196" s="15">
        <f>IFERROR(VLOOKUP(K196,Formula!$A$11:$B$20,2,FALSE),Formula!$C$26)</f>
        <v>0.95</v>
      </c>
      <c r="Q196" s="15">
        <f>IF(AND(ISNUMBER(J196),J196&gt;0),1/J196,IF(AND(ISNUMBER(I196),I196&gt;0),SQRT(MIN(I196,Formula!$C$27))/Formula!$C$24,1/Formula!$C$25))</f>
        <v>0.3846153846</v>
      </c>
      <c r="R196" s="15">
        <f t="shared" si="2"/>
        <v>0.3653846154</v>
      </c>
      <c r="S196" s="15">
        <f>IF(H196&lt;&gt;"",EXP(-Formula!$C$28*(EOMONTH(H196,0)-H196)),EXP(-Formula!$C$28*(EOMONTH(D196,0)-D196)))</f>
        <v>1</v>
      </c>
      <c r="T196" s="15">
        <f t="shared" si="3"/>
        <v>0.316227766</v>
      </c>
      <c r="U196" s="15">
        <f t="shared" si="4"/>
        <v>0.1155447607</v>
      </c>
      <c r="V196" s="16">
        <f>IF(AND(L196="Among all respondents",NOT(OR(K196="Online poll in Telegram channel",K196="Website online poll",K196="CAWI (Computer Assisted Web Interviewing)"))),1/(1-MIN(MAX(Formula!$C$33+(YEAR(D196)-Formula!$C$34)/(Formula!$C$35-Formula!$C$34)*(Formula!$C$32-Formula!$C$33),Formula!$C$33),Formula!$C$32)),1)</f>
        <v>1.282051282</v>
      </c>
      <c r="W196" s="17">
        <f t="shared" si="5"/>
        <v>4.230769231</v>
      </c>
    </row>
    <row r="197" ht="15.75" customHeight="1">
      <c r="A197" s="8" t="s">
        <v>603</v>
      </c>
      <c r="B197" s="7" t="s">
        <v>596</v>
      </c>
      <c r="C197" s="13" t="s">
        <v>597</v>
      </c>
      <c r="D197" s="7" t="s">
        <v>46</v>
      </c>
      <c r="E197" s="8" t="s">
        <v>17</v>
      </c>
      <c r="F197" s="8" t="s">
        <v>318</v>
      </c>
      <c r="G197" s="7" t="s">
        <v>47</v>
      </c>
      <c r="H197" s="7" t="s">
        <v>598</v>
      </c>
      <c r="I197" s="8">
        <v>2000.0</v>
      </c>
      <c r="J197" s="8">
        <v>2.6</v>
      </c>
      <c r="K197" s="8" t="s">
        <v>436</v>
      </c>
      <c r="L197" s="8" t="s">
        <v>373</v>
      </c>
      <c r="M197" s="8" t="s">
        <v>335</v>
      </c>
      <c r="N197" s="8">
        <v>2.4</v>
      </c>
      <c r="O197" s="14">
        <f t="shared" si="1"/>
        <v>45778</v>
      </c>
      <c r="P197" s="15">
        <f>IFERROR(VLOOKUP(K197,Formula!$A$11:$B$20,2,FALSE),Formula!$C$26)</f>
        <v>0.95</v>
      </c>
      <c r="Q197" s="15">
        <f>IF(AND(ISNUMBER(J197),J197&gt;0),1/J197,IF(AND(ISNUMBER(I197),I197&gt;0),SQRT(MIN(I197,Formula!$C$27))/Formula!$C$24,1/Formula!$C$25))</f>
        <v>0.3846153846</v>
      </c>
      <c r="R197" s="15">
        <f t="shared" si="2"/>
        <v>0.3653846154</v>
      </c>
      <c r="S197" s="15">
        <f>IF(H197&lt;&gt;"",EXP(-Formula!$C$28*(EOMONTH(H197,0)-H197)),EXP(-Formula!$C$28*(EOMONTH(D197,0)-D197)))</f>
        <v>1</v>
      </c>
      <c r="T197" s="15">
        <f t="shared" si="3"/>
        <v>0.316227766</v>
      </c>
      <c r="U197" s="15">
        <f t="shared" si="4"/>
        <v>0.1155447607</v>
      </c>
      <c r="V197" s="16">
        <f>IF(AND(L197="Among all respondents",NOT(OR(K197="Online poll in Telegram channel",K197="Website online poll",K197="CAWI (Computer Assisted Web Interviewing)"))),1/(1-MIN(MAX(Formula!$C$33+(YEAR(D197)-Formula!$C$34)/(Formula!$C$35-Formula!$C$34)*(Formula!$C$32-Formula!$C$33),Formula!$C$33),Formula!$C$32)),1)</f>
        <v>1.282051282</v>
      </c>
      <c r="W197" s="17">
        <f t="shared" si="5"/>
        <v>3.076923077</v>
      </c>
    </row>
    <row r="198" ht="15.75" customHeight="1">
      <c r="A198" s="8" t="s">
        <v>604</v>
      </c>
      <c r="B198" s="7" t="s">
        <v>596</v>
      </c>
      <c r="C198" s="13" t="s">
        <v>597</v>
      </c>
      <c r="D198" s="7" t="s">
        <v>46</v>
      </c>
      <c r="E198" s="8" t="s">
        <v>17</v>
      </c>
      <c r="F198" s="8" t="s">
        <v>318</v>
      </c>
      <c r="G198" s="7" t="s">
        <v>47</v>
      </c>
      <c r="H198" s="7" t="s">
        <v>598</v>
      </c>
      <c r="I198" s="8">
        <v>2000.0</v>
      </c>
      <c r="J198" s="8">
        <v>2.6</v>
      </c>
      <c r="K198" s="8" t="s">
        <v>436</v>
      </c>
      <c r="L198" s="8" t="s">
        <v>373</v>
      </c>
      <c r="M198" s="8" t="s">
        <v>333</v>
      </c>
      <c r="N198" s="8">
        <v>2.2</v>
      </c>
      <c r="O198" s="14">
        <f t="shared" si="1"/>
        <v>45778</v>
      </c>
      <c r="P198" s="15">
        <f>IFERROR(VLOOKUP(K198,Formula!$A$11:$B$20,2,FALSE),Formula!$C$26)</f>
        <v>0.95</v>
      </c>
      <c r="Q198" s="15">
        <f>IF(AND(ISNUMBER(J198),J198&gt;0),1/J198,IF(AND(ISNUMBER(I198),I198&gt;0),SQRT(MIN(I198,Formula!$C$27))/Formula!$C$24,1/Formula!$C$25))</f>
        <v>0.3846153846</v>
      </c>
      <c r="R198" s="15">
        <f t="shared" si="2"/>
        <v>0.3653846154</v>
      </c>
      <c r="S198" s="15">
        <f>IF(H198&lt;&gt;"",EXP(-Formula!$C$28*(EOMONTH(H198,0)-H198)),EXP(-Formula!$C$28*(EOMONTH(D198,0)-D198)))</f>
        <v>1</v>
      </c>
      <c r="T198" s="15">
        <f t="shared" si="3"/>
        <v>0.316227766</v>
      </c>
      <c r="U198" s="15">
        <f t="shared" si="4"/>
        <v>0.1155447607</v>
      </c>
      <c r="V198" s="16">
        <f>IF(AND(L198="Among all respondents",NOT(OR(K198="Online poll in Telegram channel",K198="Website online poll",K198="CAWI (Computer Assisted Web Interviewing)"))),1/(1-MIN(MAX(Formula!$C$33+(YEAR(D198)-Formula!$C$34)/(Formula!$C$35-Formula!$C$34)*(Formula!$C$32-Formula!$C$33),Formula!$C$33),Formula!$C$32)),1)</f>
        <v>1.282051282</v>
      </c>
      <c r="W198" s="17">
        <f t="shared" si="5"/>
        <v>2.820512821</v>
      </c>
    </row>
    <row r="199" ht="15.75" customHeight="1">
      <c r="A199" s="8" t="s">
        <v>605</v>
      </c>
      <c r="B199" s="7" t="s">
        <v>596</v>
      </c>
      <c r="C199" s="13" t="s">
        <v>597</v>
      </c>
      <c r="D199" s="7" t="s">
        <v>46</v>
      </c>
      <c r="E199" s="8" t="s">
        <v>17</v>
      </c>
      <c r="F199" s="8" t="s">
        <v>318</v>
      </c>
      <c r="G199" s="7" t="s">
        <v>47</v>
      </c>
      <c r="H199" s="7" t="s">
        <v>598</v>
      </c>
      <c r="I199" s="8">
        <v>2000.0</v>
      </c>
      <c r="J199" s="8">
        <v>2.6</v>
      </c>
      <c r="K199" s="8" t="s">
        <v>436</v>
      </c>
      <c r="L199" s="8" t="s">
        <v>373</v>
      </c>
      <c r="M199" s="8" t="s">
        <v>339</v>
      </c>
      <c r="N199" s="8">
        <v>1.1</v>
      </c>
      <c r="O199" s="14">
        <f t="shared" si="1"/>
        <v>45778</v>
      </c>
      <c r="P199" s="15">
        <f>IFERROR(VLOOKUP(K199,Formula!$A$11:$B$20,2,FALSE),Formula!$C$26)</f>
        <v>0.95</v>
      </c>
      <c r="Q199" s="15">
        <f>IF(AND(ISNUMBER(J199),J199&gt;0),1/J199,IF(AND(ISNUMBER(I199),I199&gt;0),SQRT(MIN(I199,Formula!$C$27))/Formula!$C$24,1/Formula!$C$25))</f>
        <v>0.3846153846</v>
      </c>
      <c r="R199" s="15">
        <f t="shared" si="2"/>
        <v>0.3653846154</v>
      </c>
      <c r="S199" s="15">
        <f>IF(H199&lt;&gt;"",EXP(-Formula!$C$28*(EOMONTH(H199,0)-H199)),EXP(-Formula!$C$28*(EOMONTH(D199,0)-D199)))</f>
        <v>1</v>
      </c>
      <c r="T199" s="15">
        <f t="shared" si="3"/>
        <v>0.316227766</v>
      </c>
      <c r="U199" s="15">
        <f t="shared" si="4"/>
        <v>0.1155447607</v>
      </c>
      <c r="V199" s="16">
        <f>IF(AND(L199="Among all respondents",NOT(OR(K199="Online poll in Telegram channel",K199="Website online poll",K199="CAWI (Computer Assisted Web Interviewing)"))),1/(1-MIN(MAX(Formula!$C$33+(YEAR(D199)-Formula!$C$34)/(Formula!$C$35-Formula!$C$34)*(Formula!$C$32-Formula!$C$33),Formula!$C$33),Formula!$C$32)),1)</f>
        <v>1.282051282</v>
      </c>
      <c r="W199" s="17">
        <f t="shared" si="5"/>
        <v>1.41025641</v>
      </c>
    </row>
    <row r="200" ht="15.75" customHeight="1">
      <c r="A200" s="8" t="s">
        <v>606</v>
      </c>
      <c r="B200" s="7" t="s">
        <v>596</v>
      </c>
      <c r="C200" s="13" t="s">
        <v>597</v>
      </c>
      <c r="D200" s="7" t="s">
        <v>46</v>
      </c>
      <c r="E200" s="8" t="s">
        <v>17</v>
      </c>
      <c r="F200" s="8" t="s">
        <v>318</v>
      </c>
      <c r="G200" s="7" t="s">
        <v>47</v>
      </c>
      <c r="H200" s="7" t="s">
        <v>598</v>
      </c>
      <c r="I200" s="8">
        <v>2000.0</v>
      </c>
      <c r="J200" s="8">
        <v>2.6</v>
      </c>
      <c r="K200" s="8" t="s">
        <v>436</v>
      </c>
      <c r="L200" s="8" t="s">
        <v>373</v>
      </c>
      <c r="M200" s="8" t="s">
        <v>359</v>
      </c>
      <c r="N200" s="8">
        <v>0.6</v>
      </c>
      <c r="O200" s="14">
        <f t="shared" si="1"/>
        <v>45778</v>
      </c>
      <c r="P200" s="15">
        <f>IFERROR(VLOOKUP(K200,Formula!$A$11:$B$20,2,FALSE),Formula!$C$26)</f>
        <v>0.95</v>
      </c>
      <c r="Q200" s="15">
        <f>IF(AND(ISNUMBER(J200),J200&gt;0),1/J200,IF(AND(ISNUMBER(I200),I200&gt;0),SQRT(MIN(I200,Formula!$C$27))/Formula!$C$24,1/Formula!$C$25))</f>
        <v>0.3846153846</v>
      </c>
      <c r="R200" s="15">
        <f t="shared" si="2"/>
        <v>0.3653846154</v>
      </c>
      <c r="S200" s="15">
        <f>IF(H200&lt;&gt;"",EXP(-Formula!$C$28*(EOMONTH(H200,0)-H200)),EXP(-Formula!$C$28*(EOMONTH(D200,0)-D200)))</f>
        <v>1</v>
      </c>
      <c r="T200" s="15">
        <f t="shared" si="3"/>
        <v>0.316227766</v>
      </c>
      <c r="U200" s="15">
        <f t="shared" si="4"/>
        <v>0.1155447607</v>
      </c>
      <c r="V200" s="16">
        <f>IF(AND(L200="Among all respondents",NOT(OR(K200="Online poll in Telegram channel",K200="Website online poll",K200="CAWI (Computer Assisted Web Interviewing)"))),1/(1-MIN(MAX(Formula!$C$33+(YEAR(D200)-Formula!$C$34)/(Formula!$C$35-Formula!$C$34)*(Formula!$C$32-Formula!$C$33),Formula!$C$33),Formula!$C$32)),1)</f>
        <v>1.282051282</v>
      </c>
      <c r="W200" s="17">
        <f t="shared" si="5"/>
        <v>0.7692307692</v>
      </c>
    </row>
    <row r="201" ht="15.75" customHeight="1">
      <c r="A201" s="8" t="s">
        <v>607</v>
      </c>
      <c r="B201" s="7" t="s">
        <v>596</v>
      </c>
      <c r="C201" s="13" t="s">
        <v>597</v>
      </c>
      <c r="D201" s="7" t="s">
        <v>46</v>
      </c>
      <c r="E201" s="8" t="s">
        <v>17</v>
      </c>
      <c r="F201" s="8" t="s">
        <v>318</v>
      </c>
      <c r="G201" s="7" t="s">
        <v>47</v>
      </c>
      <c r="H201" s="7" t="s">
        <v>598</v>
      </c>
      <c r="I201" s="8">
        <v>2000.0</v>
      </c>
      <c r="J201" s="8">
        <v>2.6</v>
      </c>
      <c r="K201" s="8" t="s">
        <v>436</v>
      </c>
      <c r="L201" s="8" t="s">
        <v>373</v>
      </c>
      <c r="M201" s="8" t="s">
        <v>343</v>
      </c>
      <c r="N201" s="8">
        <v>0.5</v>
      </c>
      <c r="O201" s="14">
        <f t="shared" si="1"/>
        <v>45778</v>
      </c>
      <c r="P201" s="15">
        <f>IFERROR(VLOOKUP(K201,Formula!$A$11:$B$20,2,FALSE),Formula!$C$26)</f>
        <v>0.95</v>
      </c>
      <c r="Q201" s="15">
        <f>IF(AND(ISNUMBER(J201),J201&gt;0),1/J201,IF(AND(ISNUMBER(I201),I201&gt;0),SQRT(MIN(I201,Formula!$C$27))/Formula!$C$24,1/Formula!$C$25))</f>
        <v>0.3846153846</v>
      </c>
      <c r="R201" s="15">
        <f t="shared" si="2"/>
        <v>0.3653846154</v>
      </c>
      <c r="S201" s="15">
        <f>IF(H201&lt;&gt;"",EXP(-Formula!$C$28*(EOMONTH(H201,0)-H201)),EXP(-Formula!$C$28*(EOMONTH(D201,0)-D201)))</f>
        <v>1</v>
      </c>
      <c r="T201" s="15">
        <f t="shared" si="3"/>
        <v>0.316227766</v>
      </c>
      <c r="U201" s="15">
        <f t="shared" si="4"/>
        <v>0.1155447607</v>
      </c>
      <c r="V201" s="16">
        <f>IF(AND(L201="Among all respondents",NOT(OR(K201="Online poll in Telegram channel",K201="Website online poll",K201="CAWI (Computer Assisted Web Interviewing)"))),1/(1-MIN(MAX(Formula!$C$33+(YEAR(D201)-Formula!$C$34)/(Formula!$C$35-Formula!$C$34)*(Formula!$C$32-Formula!$C$33),Formula!$C$33),Formula!$C$32)),1)</f>
        <v>1.282051282</v>
      </c>
      <c r="W201" s="17">
        <f t="shared" si="5"/>
        <v>0.641025641</v>
      </c>
    </row>
    <row r="202" ht="15.75" customHeight="1">
      <c r="A202" s="8" t="s">
        <v>608</v>
      </c>
      <c r="B202" s="7" t="s">
        <v>609</v>
      </c>
      <c r="C202" s="13" t="s">
        <v>610</v>
      </c>
      <c r="D202" s="7" t="s">
        <v>48</v>
      </c>
      <c r="E202" s="8" t="s">
        <v>50</v>
      </c>
      <c r="F202" s="8" t="s">
        <v>318</v>
      </c>
      <c r="G202" s="7" t="s">
        <v>611</v>
      </c>
      <c r="H202" s="7" t="s">
        <v>612</v>
      </c>
      <c r="I202" s="8">
        <v>1213.0</v>
      </c>
      <c r="J202" s="8">
        <v>3.2</v>
      </c>
      <c r="K202" s="8" t="s">
        <v>583</v>
      </c>
      <c r="L202" s="8" t="s">
        <v>373</v>
      </c>
      <c r="M202" s="8" t="s">
        <v>323</v>
      </c>
      <c r="N202" s="8">
        <v>24.5</v>
      </c>
      <c r="O202" s="14">
        <f t="shared" si="1"/>
        <v>45748</v>
      </c>
      <c r="P202" s="15">
        <f>IFERROR(VLOOKUP(K202,Formula!$A$11:$B$20,2,FALSE),Formula!$C$26)</f>
        <v>0.95</v>
      </c>
      <c r="Q202" s="15">
        <f>IF(AND(ISNUMBER(J202),J202&gt;0),1/J202,IF(AND(ISNUMBER(I202),I202&gt;0),SQRT(MIN(I202,Formula!$C$27))/Formula!$C$24,1/Formula!$C$25))</f>
        <v>0.3125</v>
      </c>
      <c r="R202" s="15">
        <f t="shared" si="2"/>
        <v>0.296875</v>
      </c>
      <c r="S202" s="15">
        <f>IF(H202&lt;&gt;"",EXP(-Formula!$C$28*(EOMONTH(H202,0)-H202)),EXP(-Formula!$C$28*(EOMONTH(D202,0)-D202)))</f>
        <v>0.7408182207</v>
      </c>
      <c r="T202" s="15">
        <f t="shared" si="3"/>
        <v>0.3333333333</v>
      </c>
      <c r="U202" s="15">
        <f t="shared" si="4"/>
        <v>0.07331013642</v>
      </c>
      <c r="V202" s="16">
        <f>IF(AND(L202="Among all respondents",NOT(OR(K202="Online poll in Telegram channel",K202="Website online poll",K202="CAWI (Computer Assisted Web Interviewing)"))),1/(1-MIN(MAX(Formula!$C$33+(YEAR(D202)-Formula!$C$34)/(Formula!$C$35-Formula!$C$34)*(Formula!$C$32-Formula!$C$33),Formula!$C$33),Formula!$C$32)),1)</f>
        <v>1.282051282</v>
      </c>
      <c r="W202" s="17">
        <f t="shared" si="5"/>
        <v>31.41025641</v>
      </c>
    </row>
    <row r="203" ht="15.75" customHeight="1">
      <c r="A203" s="8" t="s">
        <v>613</v>
      </c>
      <c r="B203" s="7" t="s">
        <v>609</v>
      </c>
      <c r="C203" s="13" t="s">
        <v>610</v>
      </c>
      <c r="D203" s="7" t="s">
        <v>48</v>
      </c>
      <c r="E203" s="8" t="s">
        <v>50</v>
      </c>
      <c r="F203" s="8" t="s">
        <v>318</v>
      </c>
      <c r="G203" s="7" t="s">
        <v>611</v>
      </c>
      <c r="H203" s="7" t="s">
        <v>612</v>
      </c>
      <c r="I203" s="8">
        <v>1213.0</v>
      </c>
      <c r="J203" s="8">
        <v>3.2</v>
      </c>
      <c r="K203" s="8" t="s">
        <v>583</v>
      </c>
      <c r="L203" s="8" t="s">
        <v>373</v>
      </c>
      <c r="M203" s="8" t="s">
        <v>325</v>
      </c>
      <c r="N203" s="8">
        <v>18.0</v>
      </c>
      <c r="O203" s="14">
        <f t="shared" si="1"/>
        <v>45748</v>
      </c>
      <c r="P203" s="15">
        <f>IFERROR(VLOOKUP(K203,Formula!$A$11:$B$20,2,FALSE),Formula!$C$26)</f>
        <v>0.95</v>
      </c>
      <c r="Q203" s="15">
        <f>IF(AND(ISNUMBER(J203),J203&gt;0),1/J203,IF(AND(ISNUMBER(I203),I203&gt;0),SQRT(MIN(I203,Formula!$C$27))/Formula!$C$24,1/Formula!$C$25))</f>
        <v>0.3125</v>
      </c>
      <c r="R203" s="15">
        <f t="shared" si="2"/>
        <v>0.296875</v>
      </c>
      <c r="S203" s="15">
        <f>IF(H203&lt;&gt;"",EXP(-Formula!$C$28*(EOMONTH(H203,0)-H203)),EXP(-Formula!$C$28*(EOMONTH(D203,0)-D203)))</f>
        <v>0.7408182207</v>
      </c>
      <c r="T203" s="15">
        <f t="shared" si="3"/>
        <v>0.3333333333</v>
      </c>
      <c r="U203" s="15">
        <f t="shared" si="4"/>
        <v>0.07331013642</v>
      </c>
      <c r="V203" s="16">
        <f>IF(AND(L203="Among all respondents",NOT(OR(K203="Online poll in Telegram channel",K203="Website online poll",K203="CAWI (Computer Assisted Web Interviewing)"))),1/(1-MIN(MAX(Formula!$C$33+(YEAR(D203)-Formula!$C$34)/(Formula!$C$35-Formula!$C$34)*(Formula!$C$32-Formula!$C$33),Formula!$C$33),Formula!$C$32)),1)</f>
        <v>1.282051282</v>
      </c>
      <c r="W203" s="17">
        <f t="shared" si="5"/>
        <v>23.07692308</v>
      </c>
    </row>
    <row r="204" ht="15.75" customHeight="1">
      <c r="A204" s="8" t="s">
        <v>614</v>
      </c>
      <c r="B204" s="7" t="s">
        <v>609</v>
      </c>
      <c r="C204" s="13" t="s">
        <v>610</v>
      </c>
      <c r="D204" s="7" t="s">
        <v>48</v>
      </c>
      <c r="E204" s="8" t="s">
        <v>50</v>
      </c>
      <c r="F204" s="8" t="s">
        <v>318</v>
      </c>
      <c r="G204" s="7" t="s">
        <v>611</v>
      </c>
      <c r="H204" s="7" t="s">
        <v>612</v>
      </c>
      <c r="I204" s="8">
        <v>1213.0</v>
      </c>
      <c r="J204" s="8">
        <v>3.2</v>
      </c>
      <c r="K204" s="8" t="s">
        <v>583</v>
      </c>
      <c r="L204" s="8" t="s">
        <v>373</v>
      </c>
      <c r="M204" s="8" t="s">
        <v>329</v>
      </c>
      <c r="N204" s="8">
        <v>8.4</v>
      </c>
      <c r="O204" s="14">
        <f t="shared" si="1"/>
        <v>45748</v>
      </c>
      <c r="P204" s="15">
        <f>IFERROR(VLOOKUP(K204,Formula!$A$11:$B$20,2,FALSE),Formula!$C$26)</f>
        <v>0.95</v>
      </c>
      <c r="Q204" s="15">
        <f>IF(AND(ISNUMBER(J204),J204&gt;0),1/J204,IF(AND(ISNUMBER(I204),I204&gt;0),SQRT(MIN(I204,Formula!$C$27))/Formula!$C$24,1/Formula!$C$25))</f>
        <v>0.3125</v>
      </c>
      <c r="R204" s="15">
        <f t="shared" si="2"/>
        <v>0.296875</v>
      </c>
      <c r="S204" s="15">
        <f>IF(H204&lt;&gt;"",EXP(-Formula!$C$28*(EOMONTH(H204,0)-H204)),EXP(-Formula!$C$28*(EOMONTH(D204,0)-D204)))</f>
        <v>0.7408182207</v>
      </c>
      <c r="T204" s="15">
        <f t="shared" si="3"/>
        <v>0.3333333333</v>
      </c>
      <c r="U204" s="15">
        <f t="shared" si="4"/>
        <v>0.07331013642</v>
      </c>
      <c r="V204" s="16">
        <f>IF(AND(L204="Among all respondents",NOT(OR(K204="Online poll in Telegram channel",K204="Website online poll",K204="CAWI (Computer Assisted Web Interviewing)"))),1/(1-MIN(MAX(Formula!$C$33+(YEAR(D204)-Formula!$C$34)/(Formula!$C$35-Formula!$C$34)*(Formula!$C$32-Formula!$C$33),Formula!$C$33),Formula!$C$32)),1)</f>
        <v>1.282051282</v>
      </c>
      <c r="W204" s="17">
        <f t="shared" si="5"/>
        <v>10.76923077</v>
      </c>
    </row>
    <row r="205" ht="15.75" customHeight="1">
      <c r="A205" s="8" t="s">
        <v>615</v>
      </c>
      <c r="B205" s="7" t="s">
        <v>609</v>
      </c>
      <c r="C205" s="13" t="s">
        <v>610</v>
      </c>
      <c r="D205" s="7" t="s">
        <v>48</v>
      </c>
      <c r="E205" s="8" t="s">
        <v>50</v>
      </c>
      <c r="F205" s="8" t="s">
        <v>318</v>
      </c>
      <c r="G205" s="7" t="s">
        <v>611</v>
      </c>
      <c r="H205" s="7" t="s">
        <v>612</v>
      </c>
      <c r="I205" s="8">
        <v>1213.0</v>
      </c>
      <c r="J205" s="8">
        <v>3.2</v>
      </c>
      <c r="K205" s="8" t="s">
        <v>583</v>
      </c>
      <c r="L205" s="8" t="s">
        <v>373</v>
      </c>
      <c r="M205" s="8" t="s">
        <v>337</v>
      </c>
      <c r="N205" s="8">
        <v>2.9</v>
      </c>
      <c r="O205" s="14">
        <f t="shared" si="1"/>
        <v>45748</v>
      </c>
      <c r="P205" s="15">
        <f>IFERROR(VLOOKUP(K205,Formula!$A$11:$B$20,2,FALSE),Formula!$C$26)</f>
        <v>0.95</v>
      </c>
      <c r="Q205" s="15">
        <f>IF(AND(ISNUMBER(J205),J205&gt;0),1/J205,IF(AND(ISNUMBER(I205),I205&gt;0),SQRT(MIN(I205,Formula!$C$27))/Formula!$C$24,1/Formula!$C$25))</f>
        <v>0.3125</v>
      </c>
      <c r="R205" s="15">
        <f t="shared" si="2"/>
        <v>0.296875</v>
      </c>
      <c r="S205" s="15">
        <f>IF(H205&lt;&gt;"",EXP(-Formula!$C$28*(EOMONTH(H205,0)-H205)),EXP(-Formula!$C$28*(EOMONTH(D205,0)-D205)))</f>
        <v>0.7408182207</v>
      </c>
      <c r="T205" s="15">
        <f t="shared" si="3"/>
        <v>0.3333333333</v>
      </c>
      <c r="U205" s="15">
        <f t="shared" si="4"/>
        <v>0.07331013642</v>
      </c>
      <c r="V205" s="16">
        <f>IF(AND(L205="Among all respondents",NOT(OR(K205="Online poll in Telegram channel",K205="Website online poll",K205="CAWI (Computer Assisted Web Interviewing)"))),1/(1-MIN(MAX(Formula!$C$33+(YEAR(D205)-Formula!$C$34)/(Formula!$C$35-Formula!$C$34)*(Formula!$C$32-Formula!$C$33),Formula!$C$33),Formula!$C$32)),1)</f>
        <v>1.282051282</v>
      </c>
      <c r="W205" s="17">
        <f t="shared" si="5"/>
        <v>3.717948718</v>
      </c>
    </row>
    <row r="206" ht="15.75" customHeight="1">
      <c r="A206" s="8" t="s">
        <v>616</v>
      </c>
      <c r="B206" s="7" t="s">
        <v>609</v>
      </c>
      <c r="C206" s="13" t="s">
        <v>610</v>
      </c>
      <c r="D206" s="7" t="s">
        <v>48</v>
      </c>
      <c r="E206" s="8" t="s">
        <v>50</v>
      </c>
      <c r="F206" s="8" t="s">
        <v>318</v>
      </c>
      <c r="G206" s="7" t="s">
        <v>611</v>
      </c>
      <c r="H206" s="7" t="s">
        <v>612</v>
      </c>
      <c r="I206" s="8">
        <v>1213.0</v>
      </c>
      <c r="J206" s="8">
        <v>3.2</v>
      </c>
      <c r="K206" s="8" t="s">
        <v>583</v>
      </c>
      <c r="L206" s="8" t="s">
        <v>373</v>
      </c>
      <c r="M206" s="8" t="s">
        <v>327</v>
      </c>
      <c r="N206" s="8">
        <v>2.3</v>
      </c>
      <c r="O206" s="14">
        <f t="shared" si="1"/>
        <v>45748</v>
      </c>
      <c r="P206" s="15">
        <f>IFERROR(VLOOKUP(K206,Formula!$A$11:$B$20,2,FALSE),Formula!$C$26)</f>
        <v>0.95</v>
      </c>
      <c r="Q206" s="15">
        <f>IF(AND(ISNUMBER(J206),J206&gt;0),1/J206,IF(AND(ISNUMBER(I206),I206&gt;0),SQRT(MIN(I206,Formula!$C$27))/Formula!$C$24,1/Formula!$C$25))</f>
        <v>0.3125</v>
      </c>
      <c r="R206" s="15">
        <f t="shared" si="2"/>
        <v>0.296875</v>
      </c>
      <c r="S206" s="15">
        <f>IF(H206&lt;&gt;"",EXP(-Formula!$C$28*(EOMONTH(H206,0)-H206)),EXP(-Formula!$C$28*(EOMONTH(D206,0)-D206)))</f>
        <v>0.7408182207</v>
      </c>
      <c r="T206" s="15">
        <f t="shared" si="3"/>
        <v>0.3333333333</v>
      </c>
      <c r="U206" s="15">
        <f t="shared" si="4"/>
        <v>0.07331013642</v>
      </c>
      <c r="V206" s="16">
        <f>IF(AND(L206="Among all respondents",NOT(OR(K206="Online poll in Telegram channel",K206="Website online poll",K206="CAWI (Computer Assisted Web Interviewing)"))),1/(1-MIN(MAX(Formula!$C$33+(YEAR(D206)-Formula!$C$34)/(Formula!$C$35-Formula!$C$34)*(Formula!$C$32-Formula!$C$33),Formula!$C$33),Formula!$C$32)),1)</f>
        <v>1.282051282</v>
      </c>
      <c r="W206" s="17">
        <f t="shared" si="5"/>
        <v>2.948717949</v>
      </c>
    </row>
    <row r="207" ht="15.75" customHeight="1">
      <c r="A207" s="8" t="s">
        <v>617</v>
      </c>
      <c r="B207" s="7" t="s">
        <v>609</v>
      </c>
      <c r="C207" s="13" t="s">
        <v>610</v>
      </c>
      <c r="D207" s="7" t="s">
        <v>48</v>
      </c>
      <c r="E207" s="8" t="s">
        <v>50</v>
      </c>
      <c r="F207" s="8" t="s">
        <v>318</v>
      </c>
      <c r="G207" s="7" t="s">
        <v>611</v>
      </c>
      <c r="H207" s="7" t="s">
        <v>612</v>
      </c>
      <c r="I207" s="8">
        <v>1213.0</v>
      </c>
      <c r="J207" s="8">
        <v>3.2</v>
      </c>
      <c r="K207" s="8" t="s">
        <v>583</v>
      </c>
      <c r="L207" s="8" t="s">
        <v>373</v>
      </c>
      <c r="M207" s="8" t="s">
        <v>333</v>
      </c>
      <c r="N207" s="8">
        <v>2.2</v>
      </c>
      <c r="O207" s="14">
        <f t="shared" si="1"/>
        <v>45748</v>
      </c>
      <c r="P207" s="15">
        <f>IFERROR(VLOOKUP(K207,Formula!$A$11:$B$20,2,FALSE),Formula!$C$26)</f>
        <v>0.95</v>
      </c>
      <c r="Q207" s="15">
        <f>IF(AND(ISNUMBER(J207),J207&gt;0),1/J207,IF(AND(ISNUMBER(I207),I207&gt;0),SQRT(MIN(I207,Formula!$C$27))/Formula!$C$24,1/Formula!$C$25))</f>
        <v>0.3125</v>
      </c>
      <c r="R207" s="15">
        <f t="shared" si="2"/>
        <v>0.296875</v>
      </c>
      <c r="S207" s="15">
        <f>IF(H207&lt;&gt;"",EXP(-Formula!$C$28*(EOMONTH(H207,0)-H207)),EXP(-Formula!$C$28*(EOMONTH(D207,0)-D207)))</f>
        <v>0.7408182207</v>
      </c>
      <c r="T207" s="15">
        <f t="shared" si="3"/>
        <v>0.3333333333</v>
      </c>
      <c r="U207" s="15">
        <f t="shared" si="4"/>
        <v>0.07331013642</v>
      </c>
      <c r="V207" s="16">
        <f>IF(AND(L207="Among all respondents",NOT(OR(K207="Online poll in Telegram channel",K207="Website online poll",K207="CAWI (Computer Assisted Web Interviewing)"))),1/(1-MIN(MAX(Formula!$C$33+(YEAR(D207)-Formula!$C$34)/(Formula!$C$35-Formula!$C$34)*(Formula!$C$32-Formula!$C$33),Formula!$C$33),Formula!$C$32)),1)</f>
        <v>1.282051282</v>
      </c>
      <c r="W207" s="17">
        <f t="shared" si="5"/>
        <v>2.820512821</v>
      </c>
    </row>
    <row r="208" ht="15.75" customHeight="1">
      <c r="A208" s="8" t="s">
        <v>618</v>
      </c>
      <c r="B208" s="7" t="s">
        <v>609</v>
      </c>
      <c r="C208" s="13" t="s">
        <v>610</v>
      </c>
      <c r="D208" s="7" t="s">
        <v>48</v>
      </c>
      <c r="E208" s="8" t="s">
        <v>50</v>
      </c>
      <c r="F208" s="8" t="s">
        <v>318</v>
      </c>
      <c r="G208" s="7" t="s">
        <v>611</v>
      </c>
      <c r="H208" s="7" t="s">
        <v>612</v>
      </c>
      <c r="I208" s="8">
        <v>1213.0</v>
      </c>
      <c r="J208" s="8">
        <v>3.2</v>
      </c>
      <c r="K208" s="8" t="s">
        <v>583</v>
      </c>
      <c r="L208" s="8" t="s">
        <v>373</v>
      </c>
      <c r="M208" s="8" t="s">
        <v>339</v>
      </c>
      <c r="N208" s="8">
        <v>1.8</v>
      </c>
      <c r="O208" s="14">
        <f t="shared" si="1"/>
        <v>45748</v>
      </c>
      <c r="P208" s="15">
        <f>IFERROR(VLOOKUP(K208,Formula!$A$11:$B$20,2,FALSE),Formula!$C$26)</f>
        <v>0.95</v>
      </c>
      <c r="Q208" s="15">
        <f>IF(AND(ISNUMBER(J208),J208&gt;0),1/J208,IF(AND(ISNUMBER(I208),I208&gt;0),SQRT(MIN(I208,Formula!$C$27))/Formula!$C$24,1/Formula!$C$25))</f>
        <v>0.3125</v>
      </c>
      <c r="R208" s="15">
        <f t="shared" si="2"/>
        <v>0.296875</v>
      </c>
      <c r="S208" s="15">
        <f>IF(H208&lt;&gt;"",EXP(-Formula!$C$28*(EOMONTH(H208,0)-H208)),EXP(-Formula!$C$28*(EOMONTH(D208,0)-D208)))</f>
        <v>0.7408182207</v>
      </c>
      <c r="T208" s="15">
        <f t="shared" si="3"/>
        <v>0.3333333333</v>
      </c>
      <c r="U208" s="15">
        <f t="shared" si="4"/>
        <v>0.07331013642</v>
      </c>
      <c r="V208" s="16">
        <f>IF(AND(L208="Among all respondents",NOT(OR(K208="Online poll in Telegram channel",K208="Website online poll",K208="CAWI (Computer Assisted Web Interviewing)"))),1/(1-MIN(MAX(Formula!$C$33+(YEAR(D208)-Formula!$C$34)/(Formula!$C$35-Formula!$C$34)*(Formula!$C$32-Formula!$C$33),Formula!$C$33),Formula!$C$32)),1)</f>
        <v>1.282051282</v>
      </c>
      <c r="W208" s="17">
        <f t="shared" si="5"/>
        <v>2.307692308</v>
      </c>
    </row>
    <row r="209" ht="15.75" customHeight="1">
      <c r="A209" s="8" t="s">
        <v>619</v>
      </c>
      <c r="B209" s="7" t="s">
        <v>609</v>
      </c>
      <c r="C209" s="13" t="s">
        <v>610</v>
      </c>
      <c r="D209" s="7" t="s">
        <v>48</v>
      </c>
      <c r="E209" s="8" t="s">
        <v>50</v>
      </c>
      <c r="F209" s="8" t="s">
        <v>318</v>
      </c>
      <c r="G209" s="7" t="s">
        <v>611</v>
      </c>
      <c r="H209" s="7" t="s">
        <v>612</v>
      </c>
      <c r="I209" s="8">
        <v>1213.0</v>
      </c>
      <c r="J209" s="8">
        <v>3.2</v>
      </c>
      <c r="K209" s="8" t="s">
        <v>583</v>
      </c>
      <c r="L209" s="8" t="s">
        <v>373</v>
      </c>
      <c r="M209" s="8" t="s">
        <v>365</v>
      </c>
      <c r="N209" s="8">
        <v>0.8</v>
      </c>
      <c r="O209" s="14">
        <f t="shared" si="1"/>
        <v>45748</v>
      </c>
      <c r="P209" s="15">
        <f>IFERROR(VLOOKUP(K209,Formula!$A$11:$B$20,2,FALSE),Formula!$C$26)</f>
        <v>0.95</v>
      </c>
      <c r="Q209" s="15">
        <f>IF(AND(ISNUMBER(J209),J209&gt;0),1/J209,IF(AND(ISNUMBER(I209),I209&gt;0),SQRT(MIN(I209,Formula!$C$27))/Formula!$C$24,1/Formula!$C$25))</f>
        <v>0.3125</v>
      </c>
      <c r="R209" s="15">
        <f t="shared" si="2"/>
        <v>0.296875</v>
      </c>
      <c r="S209" s="15">
        <f>IF(H209&lt;&gt;"",EXP(-Formula!$C$28*(EOMONTH(H209,0)-H209)),EXP(-Formula!$C$28*(EOMONTH(D209,0)-D209)))</f>
        <v>0.7408182207</v>
      </c>
      <c r="T209" s="15">
        <f t="shared" si="3"/>
        <v>0.3333333333</v>
      </c>
      <c r="U209" s="15">
        <f t="shared" si="4"/>
        <v>0.07331013642</v>
      </c>
      <c r="V209" s="16">
        <f>IF(AND(L209="Among all respondents",NOT(OR(K209="Online poll in Telegram channel",K209="Website online poll",K209="CAWI (Computer Assisted Web Interviewing)"))),1/(1-MIN(MAX(Formula!$C$33+(YEAR(D209)-Formula!$C$34)/(Formula!$C$35-Formula!$C$34)*(Formula!$C$32-Formula!$C$33),Formula!$C$33),Formula!$C$32)),1)</f>
        <v>1.282051282</v>
      </c>
      <c r="W209" s="17">
        <f t="shared" si="5"/>
        <v>1.025641026</v>
      </c>
    </row>
    <row r="210" ht="15.75" customHeight="1">
      <c r="A210" s="8" t="s">
        <v>620</v>
      </c>
      <c r="B210" s="7" t="s">
        <v>609</v>
      </c>
      <c r="C210" s="13" t="s">
        <v>610</v>
      </c>
      <c r="D210" s="7" t="s">
        <v>48</v>
      </c>
      <c r="E210" s="8" t="s">
        <v>50</v>
      </c>
      <c r="F210" s="8" t="s">
        <v>318</v>
      </c>
      <c r="G210" s="7" t="s">
        <v>611</v>
      </c>
      <c r="H210" s="7" t="s">
        <v>612</v>
      </c>
      <c r="I210" s="8">
        <v>1213.0</v>
      </c>
      <c r="J210" s="8">
        <v>3.2</v>
      </c>
      <c r="K210" s="8" t="s">
        <v>583</v>
      </c>
      <c r="L210" s="8" t="s">
        <v>373</v>
      </c>
      <c r="M210" s="8" t="s">
        <v>335</v>
      </c>
      <c r="N210" s="8">
        <v>0.6</v>
      </c>
      <c r="O210" s="14">
        <f t="shared" si="1"/>
        <v>45748</v>
      </c>
      <c r="P210" s="15">
        <f>IFERROR(VLOOKUP(K210,Formula!$A$11:$B$20,2,FALSE),Formula!$C$26)</f>
        <v>0.95</v>
      </c>
      <c r="Q210" s="15">
        <f>IF(AND(ISNUMBER(J210),J210&gt;0),1/J210,IF(AND(ISNUMBER(I210),I210&gt;0),SQRT(MIN(I210,Formula!$C$27))/Formula!$C$24,1/Formula!$C$25))</f>
        <v>0.3125</v>
      </c>
      <c r="R210" s="15">
        <f t="shared" si="2"/>
        <v>0.296875</v>
      </c>
      <c r="S210" s="15">
        <f>IF(H210&lt;&gt;"",EXP(-Formula!$C$28*(EOMONTH(H210,0)-H210)),EXP(-Formula!$C$28*(EOMONTH(D210,0)-D210)))</f>
        <v>0.7408182207</v>
      </c>
      <c r="T210" s="15">
        <f t="shared" si="3"/>
        <v>0.3333333333</v>
      </c>
      <c r="U210" s="15">
        <f t="shared" si="4"/>
        <v>0.07331013642</v>
      </c>
      <c r="V210" s="16">
        <f>IF(AND(L210="Among all respondents",NOT(OR(K210="Online poll in Telegram channel",K210="Website online poll",K210="CAWI (Computer Assisted Web Interviewing)"))),1/(1-MIN(MAX(Formula!$C$33+(YEAR(D210)-Formula!$C$34)/(Formula!$C$35-Formula!$C$34)*(Formula!$C$32-Formula!$C$33),Formula!$C$33),Formula!$C$32)),1)</f>
        <v>1.282051282</v>
      </c>
      <c r="W210" s="17">
        <f t="shared" si="5"/>
        <v>0.7692307692</v>
      </c>
    </row>
    <row r="211" ht="15.75" customHeight="1">
      <c r="A211" s="8" t="s">
        <v>621</v>
      </c>
      <c r="B211" s="7" t="s">
        <v>622</v>
      </c>
      <c r="C211" s="13" t="s">
        <v>623</v>
      </c>
      <c r="D211" s="7" t="s">
        <v>51</v>
      </c>
      <c r="E211" s="8" t="s">
        <v>17</v>
      </c>
      <c r="F211" s="8" t="s">
        <v>318</v>
      </c>
      <c r="G211" s="7" t="s">
        <v>52</v>
      </c>
      <c r="H211" s="7" t="s">
        <v>624</v>
      </c>
      <c r="I211" s="8">
        <v>2000.0</v>
      </c>
      <c r="J211" s="8">
        <v>2.6</v>
      </c>
      <c r="K211" s="8" t="s">
        <v>583</v>
      </c>
      <c r="L211" s="8" t="s">
        <v>373</v>
      </c>
      <c r="M211" s="8" t="s">
        <v>323</v>
      </c>
      <c r="N211" s="8">
        <v>22.7</v>
      </c>
      <c r="O211" s="14">
        <f t="shared" si="1"/>
        <v>45717</v>
      </c>
      <c r="P211" s="15">
        <f>IFERROR(VLOOKUP(K211,Formula!$A$11:$B$20,2,FALSE),Formula!$C$26)</f>
        <v>0.95</v>
      </c>
      <c r="Q211" s="15">
        <f>IF(AND(ISNUMBER(J211),J211&gt;0),1/J211,IF(AND(ISNUMBER(I211),I211&gt;0),SQRT(MIN(I211,Formula!$C$27))/Formula!$C$24,1/Formula!$C$25))</f>
        <v>0.3846153846</v>
      </c>
      <c r="R211" s="15">
        <f t="shared" si="2"/>
        <v>0.3653846154</v>
      </c>
      <c r="S211" s="15">
        <f>IF(H211&lt;&gt;"",EXP(-Formula!$C$28*(EOMONTH(H211,0)-H211)),EXP(-Formula!$C$28*(EOMONTH(D211,0)-D211)))</f>
        <v>0.670320046</v>
      </c>
      <c r="T211" s="15">
        <f t="shared" si="3"/>
        <v>0.316227766</v>
      </c>
      <c r="U211" s="15">
        <f t="shared" si="4"/>
        <v>0.07745196928</v>
      </c>
      <c r="V211" s="16">
        <f>IF(AND(L211="Among all respondents",NOT(OR(K211="Online poll in Telegram channel",K211="Website online poll",K211="CAWI (Computer Assisted Web Interviewing)"))),1/(1-MIN(MAX(Formula!$C$33+(YEAR(D211)-Formula!$C$34)/(Formula!$C$35-Formula!$C$34)*(Formula!$C$32-Formula!$C$33),Formula!$C$33),Formula!$C$32)),1)</f>
        <v>1.282051282</v>
      </c>
      <c r="W211" s="17">
        <f t="shared" si="5"/>
        <v>29.1025641</v>
      </c>
    </row>
    <row r="212" ht="15.75" customHeight="1">
      <c r="A212" s="8" t="s">
        <v>625</v>
      </c>
      <c r="B212" s="7" t="s">
        <v>622</v>
      </c>
      <c r="C212" s="13" t="s">
        <v>623</v>
      </c>
      <c r="D212" s="7" t="s">
        <v>51</v>
      </c>
      <c r="E212" s="8" t="s">
        <v>17</v>
      </c>
      <c r="F212" s="8" t="s">
        <v>318</v>
      </c>
      <c r="G212" s="7" t="s">
        <v>52</v>
      </c>
      <c r="H212" s="7" t="s">
        <v>624</v>
      </c>
      <c r="I212" s="8">
        <v>2000.0</v>
      </c>
      <c r="J212" s="8">
        <v>2.6</v>
      </c>
      <c r="K212" s="8" t="s">
        <v>583</v>
      </c>
      <c r="L212" s="8" t="s">
        <v>373</v>
      </c>
      <c r="M212" s="8" t="s">
        <v>325</v>
      </c>
      <c r="N212" s="8">
        <v>20.8</v>
      </c>
      <c r="O212" s="14">
        <f t="shared" si="1"/>
        <v>45717</v>
      </c>
      <c r="P212" s="15">
        <f>IFERROR(VLOOKUP(K212,Formula!$A$11:$B$20,2,FALSE),Formula!$C$26)</f>
        <v>0.95</v>
      </c>
      <c r="Q212" s="15">
        <f>IF(AND(ISNUMBER(J212),J212&gt;0),1/J212,IF(AND(ISNUMBER(I212),I212&gt;0),SQRT(MIN(I212,Formula!$C$27))/Formula!$C$24,1/Formula!$C$25))</f>
        <v>0.3846153846</v>
      </c>
      <c r="R212" s="15">
        <f t="shared" si="2"/>
        <v>0.3653846154</v>
      </c>
      <c r="S212" s="15">
        <f>IF(H212&lt;&gt;"",EXP(-Formula!$C$28*(EOMONTH(H212,0)-H212)),EXP(-Formula!$C$28*(EOMONTH(D212,0)-D212)))</f>
        <v>0.670320046</v>
      </c>
      <c r="T212" s="15">
        <f t="shared" si="3"/>
        <v>0.316227766</v>
      </c>
      <c r="U212" s="15">
        <f t="shared" si="4"/>
        <v>0.07745196928</v>
      </c>
      <c r="V212" s="16">
        <f>IF(AND(L212="Among all respondents",NOT(OR(K212="Online poll in Telegram channel",K212="Website online poll",K212="CAWI (Computer Assisted Web Interviewing)"))),1/(1-MIN(MAX(Formula!$C$33+(YEAR(D212)-Formula!$C$34)/(Formula!$C$35-Formula!$C$34)*(Formula!$C$32-Formula!$C$33),Formula!$C$33),Formula!$C$32)),1)</f>
        <v>1.282051282</v>
      </c>
      <c r="W212" s="17">
        <f t="shared" si="5"/>
        <v>26.66666667</v>
      </c>
    </row>
    <row r="213" ht="15.75" customHeight="1">
      <c r="A213" s="8" t="s">
        <v>626</v>
      </c>
      <c r="B213" s="7" t="s">
        <v>622</v>
      </c>
      <c r="C213" s="13" t="s">
        <v>623</v>
      </c>
      <c r="D213" s="7" t="s">
        <v>51</v>
      </c>
      <c r="E213" s="8" t="s">
        <v>17</v>
      </c>
      <c r="F213" s="8" t="s">
        <v>318</v>
      </c>
      <c r="G213" s="7" t="s">
        <v>52</v>
      </c>
      <c r="H213" s="7" t="s">
        <v>624</v>
      </c>
      <c r="I213" s="8">
        <v>2000.0</v>
      </c>
      <c r="J213" s="8">
        <v>2.6</v>
      </c>
      <c r="K213" s="8" t="s">
        <v>583</v>
      </c>
      <c r="L213" s="8" t="s">
        <v>373</v>
      </c>
      <c r="M213" s="8" t="s">
        <v>329</v>
      </c>
      <c r="N213" s="8">
        <v>4.5</v>
      </c>
      <c r="O213" s="14">
        <f t="shared" si="1"/>
        <v>45717</v>
      </c>
      <c r="P213" s="15">
        <f>IFERROR(VLOOKUP(K213,Formula!$A$11:$B$20,2,FALSE),Formula!$C$26)</f>
        <v>0.95</v>
      </c>
      <c r="Q213" s="15">
        <f>IF(AND(ISNUMBER(J213),J213&gt;0),1/J213,IF(AND(ISNUMBER(I213),I213&gt;0),SQRT(MIN(I213,Formula!$C$27))/Formula!$C$24,1/Formula!$C$25))</f>
        <v>0.3846153846</v>
      </c>
      <c r="R213" s="15">
        <f t="shared" si="2"/>
        <v>0.3653846154</v>
      </c>
      <c r="S213" s="15">
        <f>IF(H213&lt;&gt;"",EXP(-Formula!$C$28*(EOMONTH(H213,0)-H213)),EXP(-Formula!$C$28*(EOMONTH(D213,0)-D213)))</f>
        <v>0.670320046</v>
      </c>
      <c r="T213" s="15">
        <f t="shared" si="3"/>
        <v>0.316227766</v>
      </c>
      <c r="U213" s="15">
        <f t="shared" si="4"/>
        <v>0.07745196928</v>
      </c>
      <c r="V213" s="16">
        <f>IF(AND(L213="Among all respondents",NOT(OR(K213="Online poll in Telegram channel",K213="Website online poll",K213="CAWI (Computer Assisted Web Interviewing)"))),1/(1-MIN(MAX(Formula!$C$33+(YEAR(D213)-Formula!$C$34)/(Formula!$C$35-Formula!$C$34)*(Formula!$C$32-Formula!$C$33),Formula!$C$33),Formula!$C$32)),1)</f>
        <v>1.282051282</v>
      </c>
      <c r="W213" s="17">
        <f t="shared" si="5"/>
        <v>5.769230769</v>
      </c>
    </row>
    <row r="214" ht="15.75" customHeight="1">
      <c r="A214" s="8" t="s">
        <v>627</v>
      </c>
      <c r="B214" s="7" t="s">
        <v>622</v>
      </c>
      <c r="C214" s="13" t="s">
        <v>623</v>
      </c>
      <c r="D214" s="7" t="s">
        <v>51</v>
      </c>
      <c r="E214" s="8" t="s">
        <v>17</v>
      </c>
      <c r="F214" s="8" t="s">
        <v>318</v>
      </c>
      <c r="G214" s="7" t="s">
        <v>52</v>
      </c>
      <c r="H214" s="7" t="s">
        <v>624</v>
      </c>
      <c r="I214" s="8">
        <v>2000.0</v>
      </c>
      <c r="J214" s="8">
        <v>2.6</v>
      </c>
      <c r="K214" s="8" t="s">
        <v>583</v>
      </c>
      <c r="L214" s="8" t="s">
        <v>373</v>
      </c>
      <c r="M214" s="8" t="s">
        <v>337</v>
      </c>
      <c r="N214" s="8">
        <v>3.5</v>
      </c>
      <c r="O214" s="14">
        <f t="shared" si="1"/>
        <v>45717</v>
      </c>
      <c r="P214" s="15">
        <f>IFERROR(VLOOKUP(K214,Formula!$A$11:$B$20,2,FALSE),Formula!$C$26)</f>
        <v>0.95</v>
      </c>
      <c r="Q214" s="15">
        <f>IF(AND(ISNUMBER(J214),J214&gt;0),1/J214,IF(AND(ISNUMBER(I214),I214&gt;0),SQRT(MIN(I214,Formula!$C$27))/Formula!$C$24,1/Formula!$C$25))</f>
        <v>0.3846153846</v>
      </c>
      <c r="R214" s="15">
        <f t="shared" si="2"/>
        <v>0.3653846154</v>
      </c>
      <c r="S214" s="15">
        <f>IF(H214&lt;&gt;"",EXP(-Formula!$C$28*(EOMONTH(H214,0)-H214)),EXP(-Formula!$C$28*(EOMONTH(D214,0)-D214)))</f>
        <v>0.670320046</v>
      </c>
      <c r="T214" s="15">
        <f t="shared" si="3"/>
        <v>0.316227766</v>
      </c>
      <c r="U214" s="15">
        <f t="shared" si="4"/>
        <v>0.07745196928</v>
      </c>
      <c r="V214" s="16">
        <f>IF(AND(L214="Among all respondents",NOT(OR(K214="Online poll in Telegram channel",K214="Website online poll",K214="CAWI (Computer Assisted Web Interviewing)"))),1/(1-MIN(MAX(Formula!$C$33+(YEAR(D214)-Formula!$C$34)/(Formula!$C$35-Formula!$C$34)*(Formula!$C$32-Formula!$C$33),Formula!$C$33),Formula!$C$32)),1)</f>
        <v>1.282051282</v>
      </c>
      <c r="W214" s="17">
        <f t="shared" si="5"/>
        <v>4.487179487</v>
      </c>
    </row>
    <row r="215" ht="15.75" customHeight="1">
      <c r="A215" s="8" t="s">
        <v>628</v>
      </c>
      <c r="B215" s="7" t="s">
        <v>622</v>
      </c>
      <c r="C215" s="13" t="s">
        <v>623</v>
      </c>
      <c r="D215" s="7" t="s">
        <v>51</v>
      </c>
      <c r="E215" s="8" t="s">
        <v>17</v>
      </c>
      <c r="F215" s="8" t="s">
        <v>318</v>
      </c>
      <c r="G215" s="7" t="s">
        <v>52</v>
      </c>
      <c r="H215" s="7" t="s">
        <v>624</v>
      </c>
      <c r="I215" s="8">
        <v>2000.0</v>
      </c>
      <c r="J215" s="8">
        <v>2.6</v>
      </c>
      <c r="K215" s="8" t="s">
        <v>583</v>
      </c>
      <c r="L215" s="8" t="s">
        <v>373</v>
      </c>
      <c r="M215" s="8" t="s">
        <v>333</v>
      </c>
      <c r="N215" s="8">
        <v>3.1</v>
      </c>
      <c r="O215" s="14">
        <f t="shared" si="1"/>
        <v>45717</v>
      </c>
      <c r="P215" s="15">
        <f>IFERROR(VLOOKUP(K215,Formula!$A$11:$B$20,2,FALSE),Formula!$C$26)</f>
        <v>0.95</v>
      </c>
      <c r="Q215" s="15">
        <f>IF(AND(ISNUMBER(J215),J215&gt;0),1/J215,IF(AND(ISNUMBER(I215),I215&gt;0),SQRT(MIN(I215,Formula!$C$27))/Formula!$C$24,1/Formula!$C$25))</f>
        <v>0.3846153846</v>
      </c>
      <c r="R215" s="15">
        <f t="shared" si="2"/>
        <v>0.3653846154</v>
      </c>
      <c r="S215" s="15">
        <f>IF(H215&lt;&gt;"",EXP(-Formula!$C$28*(EOMONTH(H215,0)-H215)),EXP(-Formula!$C$28*(EOMONTH(D215,0)-D215)))</f>
        <v>0.670320046</v>
      </c>
      <c r="T215" s="15">
        <f t="shared" si="3"/>
        <v>0.316227766</v>
      </c>
      <c r="U215" s="15">
        <f t="shared" si="4"/>
        <v>0.07745196928</v>
      </c>
      <c r="V215" s="16">
        <f>IF(AND(L215="Among all respondents",NOT(OR(K215="Online poll in Telegram channel",K215="Website online poll",K215="CAWI (Computer Assisted Web Interviewing)"))),1/(1-MIN(MAX(Formula!$C$33+(YEAR(D215)-Formula!$C$34)/(Formula!$C$35-Formula!$C$34)*(Formula!$C$32-Formula!$C$33),Formula!$C$33),Formula!$C$32)),1)</f>
        <v>1.282051282</v>
      </c>
      <c r="W215" s="17">
        <f t="shared" si="5"/>
        <v>3.974358974</v>
      </c>
    </row>
    <row r="216" ht="15.75" customHeight="1">
      <c r="A216" s="8" t="s">
        <v>629</v>
      </c>
      <c r="B216" s="7" t="s">
        <v>622</v>
      </c>
      <c r="C216" s="13" t="s">
        <v>623</v>
      </c>
      <c r="D216" s="7" t="s">
        <v>51</v>
      </c>
      <c r="E216" s="8" t="s">
        <v>17</v>
      </c>
      <c r="F216" s="8" t="s">
        <v>318</v>
      </c>
      <c r="G216" s="7" t="s">
        <v>52</v>
      </c>
      <c r="H216" s="7" t="s">
        <v>624</v>
      </c>
      <c r="I216" s="8">
        <v>2000.0</v>
      </c>
      <c r="J216" s="8">
        <v>2.6</v>
      </c>
      <c r="K216" s="8" t="s">
        <v>583</v>
      </c>
      <c r="L216" s="8" t="s">
        <v>373</v>
      </c>
      <c r="M216" s="8" t="s">
        <v>327</v>
      </c>
      <c r="N216" s="8">
        <v>2.3</v>
      </c>
      <c r="O216" s="14">
        <f t="shared" si="1"/>
        <v>45717</v>
      </c>
      <c r="P216" s="15">
        <f>IFERROR(VLOOKUP(K216,Formula!$A$11:$B$20,2,FALSE),Formula!$C$26)</f>
        <v>0.95</v>
      </c>
      <c r="Q216" s="15">
        <f>IF(AND(ISNUMBER(J216),J216&gt;0),1/J216,IF(AND(ISNUMBER(I216),I216&gt;0),SQRT(MIN(I216,Formula!$C$27))/Formula!$C$24,1/Formula!$C$25))</f>
        <v>0.3846153846</v>
      </c>
      <c r="R216" s="15">
        <f t="shared" si="2"/>
        <v>0.3653846154</v>
      </c>
      <c r="S216" s="15">
        <f>IF(H216&lt;&gt;"",EXP(-Formula!$C$28*(EOMONTH(H216,0)-H216)),EXP(-Formula!$C$28*(EOMONTH(D216,0)-D216)))</f>
        <v>0.670320046</v>
      </c>
      <c r="T216" s="15">
        <f t="shared" si="3"/>
        <v>0.316227766</v>
      </c>
      <c r="U216" s="15">
        <f t="shared" si="4"/>
        <v>0.07745196928</v>
      </c>
      <c r="V216" s="16">
        <f>IF(AND(L216="Among all respondents",NOT(OR(K216="Online poll in Telegram channel",K216="Website online poll",K216="CAWI (Computer Assisted Web Interviewing)"))),1/(1-MIN(MAX(Formula!$C$33+(YEAR(D216)-Formula!$C$34)/(Formula!$C$35-Formula!$C$34)*(Formula!$C$32-Formula!$C$33),Formula!$C$33),Formula!$C$32)),1)</f>
        <v>1.282051282</v>
      </c>
      <c r="W216" s="17">
        <f t="shared" si="5"/>
        <v>2.948717949</v>
      </c>
    </row>
    <row r="217" ht="15.75" customHeight="1">
      <c r="A217" s="8" t="s">
        <v>630</v>
      </c>
      <c r="B217" s="7" t="s">
        <v>622</v>
      </c>
      <c r="C217" s="13" t="s">
        <v>623</v>
      </c>
      <c r="D217" s="7" t="s">
        <v>51</v>
      </c>
      <c r="E217" s="8" t="s">
        <v>17</v>
      </c>
      <c r="F217" s="8" t="s">
        <v>318</v>
      </c>
      <c r="G217" s="7" t="s">
        <v>52</v>
      </c>
      <c r="H217" s="7" t="s">
        <v>624</v>
      </c>
      <c r="I217" s="8">
        <v>2000.0</v>
      </c>
      <c r="J217" s="8">
        <v>2.6</v>
      </c>
      <c r="K217" s="8" t="s">
        <v>583</v>
      </c>
      <c r="L217" s="8" t="s">
        <v>373</v>
      </c>
      <c r="M217" s="8" t="s">
        <v>335</v>
      </c>
      <c r="N217" s="8">
        <v>2.1</v>
      </c>
      <c r="O217" s="14">
        <f t="shared" si="1"/>
        <v>45717</v>
      </c>
      <c r="P217" s="15">
        <f>IFERROR(VLOOKUP(K217,Formula!$A$11:$B$20,2,FALSE),Formula!$C$26)</f>
        <v>0.95</v>
      </c>
      <c r="Q217" s="15">
        <f>IF(AND(ISNUMBER(J217),J217&gt;0),1/J217,IF(AND(ISNUMBER(I217),I217&gt;0),SQRT(MIN(I217,Formula!$C$27))/Formula!$C$24,1/Formula!$C$25))</f>
        <v>0.3846153846</v>
      </c>
      <c r="R217" s="15">
        <f t="shared" si="2"/>
        <v>0.3653846154</v>
      </c>
      <c r="S217" s="15">
        <f>IF(H217&lt;&gt;"",EXP(-Formula!$C$28*(EOMONTH(H217,0)-H217)),EXP(-Formula!$C$28*(EOMONTH(D217,0)-D217)))</f>
        <v>0.670320046</v>
      </c>
      <c r="T217" s="15">
        <f t="shared" si="3"/>
        <v>0.316227766</v>
      </c>
      <c r="U217" s="15">
        <f t="shared" si="4"/>
        <v>0.07745196928</v>
      </c>
      <c r="V217" s="16">
        <f>IF(AND(L217="Among all respondents",NOT(OR(K217="Online poll in Telegram channel",K217="Website online poll",K217="CAWI (Computer Assisted Web Interviewing)"))),1/(1-MIN(MAX(Formula!$C$33+(YEAR(D217)-Formula!$C$34)/(Formula!$C$35-Formula!$C$34)*(Formula!$C$32-Formula!$C$33),Formula!$C$33),Formula!$C$32)),1)</f>
        <v>1.282051282</v>
      </c>
      <c r="W217" s="17">
        <f t="shared" si="5"/>
        <v>2.692307692</v>
      </c>
    </row>
    <row r="218" ht="15.75" customHeight="1">
      <c r="A218" s="8" t="s">
        <v>631</v>
      </c>
      <c r="B218" s="7" t="s">
        <v>622</v>
      </c>
      <c r="C218" s="13" t="s">
        <v>623</v>
      </c>
      <c r="D218" s="7" t="s">
        <v>51</v>
      </c>
      <c r="E218" s="8" t="s">
        <v>17</v>
      </c>
      <c r="F218" s="8" t="s">
        <v>318</v>
      </c>
      <c r="G218" s="7" t="s">
        <v>52</v>
      </c>
      <c r="H218" s="7" t="s">
        <v>624</v>
      </c>
      <c r="I218" s="8">
        <v>2000.0</v>
      </c>
      <c r="J218" s="8">
        <v>2.6</v>
      </c>
      <c r="K218" s="8" t="s">
        <v>583</v>
      </c>
      <c r="L218" s="8" t="s">
        <v>373</v>
      </c>
      <c r="M218" s="8" t="s">
        <v>339</v>
      </c>
      <c r="N218" s="8">
        <v>1.6</v>
      </c>
      <c r="O218" s="14">
        <f t="shared" si="1"/>
        <v>45717</v>
      </c>
      <c r="P218" s="15">
        <f>IFERROR(VLOOKUP(K218,Formula!$A$11:$B$20,2,FALSE),Formula!$C$26)</f>
        <v>0.95</v>
      </c>
      <c r="Q218" s="15">
        <f>IF(AND(ISNUMBER(J218),J218&gt;0),1/J218,IF(AND(ISNUMBER(I218),I218&gt;0),SQRT(MIN(I218,Formula!$C$27))/Formula!$C$24,1/Formula!$C$25))</f>
        <v>0.3846153846</v>
      </c>
      <c r="R218" s="15">
        <f t="shared" si="2"/>
        <v>0.3653846154</v>
      </c>
      <c r="S218" s="15">
        <f>IF(H218&lt;&gt;"",EXP(-Formula!$C$28*(EOMONTH(H218,0)-H218)),EXP(-Formula!$C$28*(EOMONTH(D218,0)-D218)))</f>
        <v>0.670320046</v>
      </c>
      <c r="T218" s="15">
        <f t="shared" si="3"/>
        <v>0.316227766</v>
      </c>
      <c r="U218" s="15">
        <f t="shared" si="4"/>
        <v>0.07745196928</v>
      </c>
      <c r="V218" s="16">
        <f>IF(AND(L218="Among all respondents",NOT(OR(K218="Online poll in Telegram channel",K218="Website online poll",K218="CAWI (Computer Assisted Web Interviewing)"))),1/(1-MIN(MAX(Formula!$C$33+(YEAR(D218)-Formula!$C$34)/(Formula!$C$35-Formula!$C$34)*(Formula!$C$32-Formula!$C$33),Formula!$C$33),Formula!$C$32)),1)</f>
        <v>1.282051282</v>
      </c>
      <c r="W218" s="17">
        <f t="shared" si="5"/>
        <v>2.051282051</v>
      </c>
    </row>
    <row r="219" ht="15.75" customHeight="1">
      <c r="A219" s="8" t="s">
        <v>632</v>
      </c>
      <c r="B219" s="7" t="s">
        <v>622</v>
      </c>
      <c r="C219" s="13" t="s">
        <v>623</v>
      </c>
      <c r="D219" s="7" t="s">
        <v>51</v>
      </c>
      <c r="E219" s="8" t="s">
        <v>17</v>
      </c>
      <c r="F219" s="8" t="s">
        <v>318</v>
      </c>
      <c r="G219" s="7" t="s">
        <v>52</v>
      </c>
      <c r="H219" s="7" t="s">
        <v>624</v>
      </c>
      <c r="I219" s="8">
        <v>2000.0</v>
      </c>
      <c r="J219" s="8">
        <v>2.6</v>
      </c>
      <c r="K219" s="8" t="s">
        <v>583</v>
      </c>
      <c r="L219" s="8" t="s">
        <v>373</v>
      </c>
      <c r="M219" s="8" t="s">
        <v>359</v>
      </c>
      <c r="N219" s="8">
        <v>0.6</v>
      </c>
      <c r="O219" s="14">
        <f t="shared" si="1"/>
        <v>45717</v>
      </c>
      <c r="P219" s="15">
        <f>IFERROR(VLOOKUP(K219,Formula!$A$11:$B$20,2,FALSE),Formula!$C$26)</f>
        <v>0.95</v>
      </c>
      <c r="Q219" s="15">
        <f>IF(AND(ISNUMBER(J219),J219&gt;0),1/J219,IF(AND(ISNUMBER(I219),I219&gt;0),SQRT(MIN(I219,Formula!$C$27))/Formula!$C$24,1/Formula!$C$25))</f>
        <v>0.3846153846</v>
      </c>
      <c r="R219" s="15">
        <f t="shared" si="2"/>
        <v>0.3653846154</v>
      </c>
      <c r="S219" s="15">
        <f>IF(H219&lt;&gt;"",EXP(-Formula!$C$28*(EOMONTH(H219,0)-H219)),EXP(-Formula!$C$28*(EOMONTH(D219,0)-D219)))</f>
        <v>0.670320046</v>
      </c>
      <c r="T219" s="15">
        <f t="shared" si="3"/>
        <v>0.316227766</v>
      </c>
      <c r="U219" s="15">
        <f t="shared" si="4"/>
        <v>0.07745196928</v>
      </c>
      <c r="V219" s="16">
        <f>IF(AND(L219="Among all respondents",NOT(OR(K219="Online poll in Telegram channel",K219="Website online poll",K219="CAWI (Computer Assisted Web Interviewing)"))),1/(1-MIN(MAX(Formula!$C$33+(YEAR(D219)-Formula!$C$34)/(Formula!$C$35-Formula!$C$34)*(Formula!$C$32-Formula!$C$33),Formula!$C$33),Formula!$C$32)),1)</f>
        <v>1.282051282</v>
      </c>
      <c r="W219" s="17">
        <f t="shared" si="5"/>
        <v>0.7692307692</v>
      </c>
    </row>
    <row r="220" ht="15.75" customHeight="1">
      <c r="A220" s="8" t="s">
        <v>633</v>
      </c>
      <c r="B220" s="7" t="s">
        <v>622</v>
      </c>
      <c r="C220" s="13" t="s">
        <v>623</v>
      </c>
      <c r="D220" s="7" t="s">
        <v>51</v>
      </c>
      <c r="E220" s="8" t="s">
        <v>17</v>
      </c>
      <c r="F220" s="8" t="s">
        <v>318</v>
      </c>
      <c r="G220" s="7" t="s">
        <v>52</v>
      </c>
      <c r="H220" s="7" t="s">
        <v>624</v>
      </c>
      <c r="I220" s="8">
        <v>2000.0</v>
      </c>
      <c r="J220" s="8">
        <v>2.6</v>
      </c>
      <c r="K220" s="8" t="s">
        <v>583</v>
      </c>
      <c r="L220" s="8" t="s">
        <v>373</v>
      </c>
      <c r="M220" s="8" t="s">
        <v>343</v>
      </c>
      <c r="N220" s="8">
        <v>0.6</v>
      </c>
      <c r="O220" s="14">
        <f t="shared" si="1"/>
        <v>45717</v>
      </c>
      <c r="P220" s="15">
        <f>IFERROR(VLOOKUP(K220,Formula!$A$11:$B$20,2,FALSE),Formula!$C$26)</f>
        <v>0.95</v>
      </c>
      <c r="Q220" s="15">
        <f>IF(AND(ISNUMBER(J220),J220&gt;0),1/J220,IF(AND(ISNUMBER(I220),I220&gt;0),SQRT(MIN(I220,Formula!$C$27))/Formula!$C$24,1/Formula!$C$25))</f>
        <v>0.3846153846</v>
      </c>
      <c r="R220" s="15">
        <f t="shared" si="2"/>
        <v>0.3653846154</v>
      </c>
      <c r="S220" s="15">
        <f>IF(H220&lt;&gt;"",EXP(-Formula!$C$28*(EOMONTH(H220,0)-H220)),EXP(-Formula!$C$28*(EOMONTH(D220,0)-D220)))</f>
        <v>0.670320046</v>
      </c>
      <c r="T220" s="15">
        <f t="shared" si="3"/>
        <v>0.316227766</v>
      </c>
      <c r="U220" s="15">
        <f t="shared" si="4"/>
        <v>0.07745196928</v>
      </c>
      <c r="V220" s="16">
        <f>IF(AND(L220="Among all respondents",NOT(OR(K220="Online poll in Telegram channel",K220="Website online poll",K220="CAWI (Computer Assisted Web Interviewing)"))),1/(1-MIN(MAX(Formula!$C$33+(YEAR(D220)-Formula!$C$34)/(Formula!$C$35-Formula!$C$34)*(Formula!$C$32-Formula!$C$33),Formula!$C$33),Formula!$C$32)),1)</f>
        <v>1.282051282</v>
      </c>
      <c r="W220" s="17">
        <f t="shared" si="5"/>
        <v>0.7692307692</v>
      </c>
    </row>
    <row r="221" ht="15.75" customHeight="1">
      <c r="A221" s="8" t="s">
        <v>634</v>
      </c>
      <c r="B221" s="7" t="s">
        <v>635</v>
      </c>
      <c r="C221" s="13" t="s">
        <v>636</v>
      </c>
      <c r="D221" s="7" t="s">
        <v>52</v>
      </c>
      <c r="E221" s="8" t="s">
        <v>53</v>
      </c>
      <c r="F221" s="8" t="s">
        <v>318</v>
      </c>
      <c r="G221" s="7" t="s">
        <v>637</v>
      </c>
      <c r="H221" s="7" t="s">
        <v>638</v>
      </c>
      <c r="I221" s="8">
        <v>1020.0</v>
      </c>
      <c r="J221" s="8">
        <v>2.8</v>
      </c>
      <c r="K221" s="8" t="s">
        <v>351</v>
      </c>
      <c r="L221" s="8" t="s">
        <v>373</v>
      </c>
      <c r="M221" s="8" t="s">
        <v>323</v>
      </c>
      <c r="N221" s="8">
        <v>39.4</v>
      </c>
      <c r="O221" s="14">
        <f t="shared" si="1"/>
        <v>45717</v>
      </c>
      <c r="P221" s="15">
        <f>IFERROR(VLOOKUP(K221,Formula!$A$11:$B$20,2,FALSE),Formula!$C$26)</f>
        <v>0.6</v>
      </c>
      <c r="Q221" s="15">
        <f>IF(AND(ISNUMBER(J221),J221&gt;0),1/J221,IF(AND(ISNUMBER(I221),I221&gt;0),SQRT(MIN(I221,Formula!$C$27))/Formula!$C$24,1/Formula!$C$25))</f>
        <v>0.3571428571</v>
      </c>
      <c r="R221" s="15">
        <f t="shared" si="2"/>
        <v>0.2142857143</v>
      </c>
      <c r="S221" s="15">
        <f>IF(H221&lt;&gt;"",EXP(-Formula!$C$28*(EOMONTH(H221,0)-H221)),EXP(-Formula!$C$28*(EOMONTH(D221,0)-D221)))</f>
        <v>0.3867410235</v>
      </c>
      <c r="T221" s="15">
        <f t="shared" si="3"/>
        <v>0.377964473</v>
      </c>
      <c r="U221" s="15">
        <f t="shared" si="4"/>
        <v>0.03132307867</v>
      </c>
      <c r="V221" s="16">
        <f>IF(AND(L221="Among all respondents",NOT(OR(K221="Online poll in Telegram channel",K221="Website online poll",K221="CAWI (Computer Assisted Web Interviewing)"))),1/(1-MIN(MAX(Formula!$C$33+(YEAR(D221)-Formula!$C$34)/(Formula!$C$35-Formula!$C$34)*(Formula!$C$32-Formula!$C$33),Formula!$C$33),Formula!$C$32)),1)</f>
        <v>1</v>
      </c>
      <c r="W221" s="17">
        <f t="shared" si="5"/>
        <v>39.4</v>
      </c>
    </row>
    <row r="222" ht="15.75" customHeight="1">
      <c r="A222" s="8" t="s">
        <v>639</v>
      </c>
      <c r="B222" s="7" t="s">
        <v>635</v>
      </c>
      <c r="C222" s="13" t="s">
        <v>636</v>
      </c>
      <c r="D222" s="7" t="s">
        <v>52</v>
      </c>
      <c r="E222" s="8" t="s">
        <v>53</v>
      </c>
      <c r="F222" s="8" t="s">
        <v>318</v>
      </c>
      <c r="G222" s="7" t="s">
        <v>637</v>
      </c>
      <c r="H222" s="7" t="s">
        <v>638</v>
      </c>
      <c r="I222" s="8">
        <v>1020.0</v>
      </c>
      <c r="J222" s="8">
        <v>2.8</v>
      </c>
      <c r="K222" s="8" t="s">
        <v>351</v>
      </c>
      <c r="L222" s="8" t="s">
        <v>373</v>
      </c>
      <c r="M222" s="8" t="s">
        <v>325</v>
      </c>
      <c r="N222" s="8">
        <v>15.4</v>
      </c>
      <c r="O222" s="14">
        <f t="shared" si="1"/>
        <v>45717</v>
      </c>
      <c r="P222" s="15">
        <f>IFERROR(VLOOKUP(K222,Formula!$A$11:$B$20,2,FALSE),Formula!$C$26)</f>
        <v>0.6</v>
      </c>
      <c r="Q222" s="15">
        <f>IF(AND(ISNUMBER(J222),J222&gt;0),1/J222,IF(AND(ISNUMBER(I222),I222&gt;0),SQRT(MIN(I222,Formula!$C$27))/Formula!$C$24,1/Formula!$C$25))</f>
        <v>0.3571428571</v>
      </c>
      <c r="R222" s="15">
        <f t="shared" si="2"/>
        <v>0.2142857143</v>
      </c>
      <c r="S222" s="15">
        <f>IF(H222&lt;&gt;"",EXP(-Formula!$C$28*(EOMONTH(H222,0)-H222)),EXP(-Formula!$C$28*(EOMONTH(D222,0)-D222)))</f>
        <v>0.3867410235</v>
      </c>
      <c r="T222" s="15">
        <f t="shared" si="3"/>
        <v>0.377964473</v>
      </c>
      <c r="U222" s="15">
        <f t="shared" si="4"/>
        <v>0.03132307867</v>
      </c>
      <c r="V222" s="16">
        <f>IF(AND(L222="Among all respondents",NOT(OR(K222="Online poll in Telegram channel",K222="Website online poll",K222="CAWI (Computer Assisted Web Interviewing)"))),1/(1-MIN(MAX(Formula!$C$33+(YEAR(D222)-Formula!$C$34)/(Formula!$C$35-Formula!$C$34)*(Formula!$C$32-Formula!$C$33),Formula!$C$33),Formula!$C$32)),1)</f>
        <v>1</v>
      </c>
      <c r="W222" s="17">
        <f t="shared" si="5"/>
        <v>15.4</v>
      </c>
    </row>
    <row r="223" ht="15.75" customHeight="1">
      <c r="A223" s="8" t="s">
        <v>640</v>
      </c>
      <c r="B223" s="7" t="s">
        <v>635</v>
      </c>
      <c r="C223" s="13" t="s">
        <v>636</v>
      </c>
      <c r="D223" s="7" t="s">
        <v>52</v>
      </c>
      <c r="E223" s="8" t="s">
        <v>53</v>
      </c>
      <c r="F223" s="8" t="s">
        <v>318</v>
      </c>
      <c r="G223" s="7" t="s">
        <v>637</v>
      </c>
      <c r="H223" s="7" t="s">
        <v>638</v>
      </c>
      <c r="I223" s="8">
        <v>1020.0</v>
      </c>
      <c r="J223" s="8">
        <v>2.8</v>
      </c>
      <c r="K223" s="8" t="s">
        <v>351</v>
      </c>
      <c r="L223" s="8" t="s">
        <v>373</v>
      </c>
      <c r="M223" s="8" t="s">
        <v>329</v>
      </c>
      <c r="N223" s="8">
        <v>4.4</v>
      </c>
      <c r="O223" s="14">
        <f t="shared" si="1"/>
        <v>45717</v>
      </c>
      <c r="P223" s="15">
        <f>IFERROR(VLOOKUP(K223,Formula!$A$11:$B$20,2,FALSE),Formula!$C$26)</f>
        <v>0.6</v>
      </c>
      <c r="Q223" s="15">
        <f>IF(AND(ISNUMBER(J223),J223&gt;0),1/J223,IF(AND(ISNUMBER(I223),I223&gt;0),SQRT(MIN(I223,Formula!$C$27))/Formula!$C$24,1/Formula!$C$25))</f>
        <v>0.3571428571</v>
      </c>
      <c r="R223" s="15">
        <f t="shared" si="2"/>
        <v>0.2142857143</v>
      </c>
      <c r="S223" s="15">
        <f>IF(H223&lt;&gt;"",EXP(-Formula!$C$28*(EOMONTH(H223,0)-H223)),EXP(-Formula!$C$28*(EOMONTH(D223,0)-D223)))</f>
        <v>0.3867410235</v>
      </c>
      <c r="T223" s="15">
        <f t="shared" si="3"/>
        <v>0.377964473</v>
      </c>
      <c r="U223" s="15">
        <f t="shared" si="4"/>
        <v>0.03132307867</v>
      </c>
      <c r="V223" s="16">
        <f>IF(AND(L223="Among all respondents",NOT(OR(K223="Online poll in Telegram channel",K223="Website online poll",K223="CAWI (Computer Assisted Web Interviewing)"))),1/(1-MIN(MAX(Formula!$C$33+(YEAR(D223)-Formula!$C$34)/(Formula!$C$35-Formula!$C$34)*(Formula!$C$32-Formula!$C$33),Formula!$C$33),Formula!$C$32)),1)</f>
        <v>1</v>
      </c>
      <c r="W223" s="17">
        <f t="shared" si="5"/>
        <v>4.4</v>
      </c>
    </row>
    <row r="224" ht="15.75" customHeight="1">
      <c r="A224" s="8" t="s">
        <v>641</v>
      </c>
      <c r="B224" s="7" t="s">
        <v>635</v>
      </c>
      <c r="C224" s="13" t="s">
        <v>636</v>
      </c>
      <c r="D224" s="7" t="s">
        <v>52</v>
      </c>
      <c r="E224" s="8" t="s">
        <v>53</v>
      </c>
      <c r="F224" s="8" t="s">
        <v>318</v>
      </c>
      <c r="G224" s="7" t="s">
        <v>637</v>
      </c>
      <c r="H224" s="7" t="s">
        <v>638</v>
      </c>
      <c r="I224" s="8">
        <v>1020.0</v>
      </c>
      <c r="J224" s="8">
        <v>2.8</v>
      </c>
      <c r="K224" s="8" t="s">
        <v>351</v>
      </c>
      <c r="L224" s="8" t="s">
        <v>373</v>
      </c>
      <c r="M224" s="8" t="s">
        <v>333</v>
      </c>
      <c r="N224" s="8">
        <v>3.0</v>
      </c>
      <c r="O224" s="14">
        <f t="shared" si="1"/>
        <v>45717</v>
      </c>
      <c r="P224" s="15">
        <f>IFERROR(VLOOKUP(K224,Formula!$A$11:$B$20,2,FALSE),Formula!$C$26)</f>
        <v>0.6</v>
      </c>
      <c r="Q224" s="15">
        <f>IF(AND(ISNUMBER(J224),J224&gt;0),1/J224,IF(AND(ISNUMBER(I224),I224&gt;0),SQRT(MIN(I224,Formula!$C$27))/Formula!$C$24,1/Formula!$C$25))</f>
        <v>0.3571428571</v>
      </c>
      <c r="R224" s="15">
        <f t="shared" si="2"/>
        <v>0.2142857143</v>
      </c>
      <c r="S224" s="15">
        <f>IF(H224&lt;&gt;"",EXP(-Formula!$C$28*(EOMONTH(H224,0)-H224)),EXP(-Formula!$C$28*(EOMONTH(D224,0)-D224)))</f>
        <v>0.3867410235</v>
      </c>
      <c r="T224" s="15">
        <f t="shared" si="3"/>
        <v>0.377964473</v>
      </c>
      <c r="U224" s="15">
        <f t="shared" si="4"/>
        <v>0.03132307867</v>
      </c>
      <c r="V224" s="16">
        <f>IF(AND(L224="Among all respondents",NOT(OR(K224="Online poll in Telegram channel",K224="Website online poll",K224="CAWI (Computer Assisted Web Interviewing)"))),1/(1-MIN(MAX(Formula!$C$33+(YEAR(D224)-Formula!$C$34)/(Formula!$C$35-Formula!$C$34)*(Formula!$C$32-Formula!$C$33),Formula!$C$33),Formula!$C$32)),1)</f>
        <v>1</v>
      </c>
      <c r="W224" s="17">
        <f t="shared" si="5"/>
        <v>3</v>
      </c>
    </row>
    <row r="225" ht="15.75" customHeight="1">
      <c r="A225" s="8" t="s">
        <v>642</v>
      </c>
      <c r="B225" s="7" t="s">
        <v>635</v>
      </c>
      <c r="C225" s="13" t="s">
        <v>636</v>
      </c>
      <c r="D225" s="7" t="s">
        <v>52</v>
      </c>
      <c r="E225" s="8" t="s">
        <v>53</v>
      </c>
      <c r="F225" s="8" t="s">
        <v>318</v>
      </c>
      <c r="G225" s="7" t="s">
        <v>637</v>
      </c>
      <c r="H225" s="7" t="s">
        <v>638</v>
      </c>
      <c r="I225" s="8">
        <v>1020.0</v>
      </c>
      <c r="J225" s="8">
        <v>2.8</v>
      </c>
      <c r="K225" s="8" t="s">
        <v>351</v>
      </c>
      <c r="L225" s="8" t="s">
        <v>373</v>
      </c>
      <c r="M225" s="8" t="s">
        <v>327</v>
      </c>
      <c r="N225" s="8">
        <v>2.6</v>
      </c>
      <c r="O225" s="14">
        <f t="shared" si="1"/>
        <v>45717</v>
      </c>
      <c r="P225" s="15">
        <f>IFERROR(VLOOKUP(K225,Formula!$A$11:$B$20,2,FALSE),Formula!$C$26)</f>
        <v>0.6</v>
      </c>
      <c r="Q225" s="15">
        <f>IF(AND(ISNUMBER(J225),J225&gt;0),1/J225,IF(AND(ISNUMBER(I225),I225&gt;0),SQRT(MIN(I225,Formula!$C$27))/Formula!$C$24,1/Formula!$C$25))</f>
        <v>0.3571428571</v>
      </c>
      <c r="R225" s="15">
        <f t="shared" si="2"/>
        <v>0.2142857143</v>
      </c>
      <c r="S225" s="15">
        <f>IF(H225&lt;&gt;"",EXP(-Formula!$C$28*(EOMONTH(H225,0)-H225)),EXP(-Formula!$C$28*(EOMONTH(D225,0)-D225)))</f>
        <v>0.3867410235</v>
      </c>
      <c r="T225" s="15">
        <f t="shared" si="3"/>
        <v>0.377964473</v>
      </c>
      <c r="U225" s="15">
        <f t="shared" si="4"/>
        <v>0.03132307867</v>
      </c>
      <c r="V225" s="16">
        <f>IF(AND(L225="Among all respondents",NOT(OR(K225="Online poll in Telegram channel",K225="Website online poll",K225="CAWI (Computer Assisted Web Interviewing)"))),1/(1-MIN(MAX(Formula!$C$33+(YEAR(D225)-Formula!$C$34)/(Formula!$C$35-Formula!$C$34)*(Formula!$C$32-Formula!$C$33),Formula!$C$33),Formula!$C$32)),1)</f>
        <v>1</v>
      </c>
      <c r="W225" s="17">
        <f t="shared" si="5"/>
        <v>2.6</v>
      </c>
    </row>
    <row r="226" ht="15.75" customHeight="1">
      <c r="A226" s="8" t="s">
        <v>643</v>
      </c>
      <c r="B226" s="7" t="s">
        <v>635</v>
      </c>
      <c r="C226" s="13" t="s">
        <v>636</v>
      </c>
      <c r="D226" s="7" t="s">
        <v>52</v>
      </c>
      <c r="E226" s="8" t="s">
        <v>53</v>
      </c>
      <c r="F226" s="8" t="s">
        <v>318</v>
      </c>
      <c r="G226" s="7" t="s">
        <v>637</v>
      </c>
      <c r="H226" s="7" t="s">
        <v>638</v>
      </c>
      <c r="I226" s="8">
        <v>1020.0</v>
      </c>
      <c r="J226" s="8">
        <v>2.8</v>
      </c>
      <c r="K226" s="8" t="s">
        <v>351</v>
      </c>
      <c r="L226" s="8" t="s">
        <v>373</v>
      </c>
      <c r="M226" s="8" t="s">
        <v>337</v>
      </c>
      <c r="N226" s="8">
        <v>2.6</v>
      </c>
      <c r="O226" s="14">
        <f t="shared" si="1"/>
        <v>45717</v>
      </c>
      <c r="P226" s="15">
        <f>IFERROR(VLOOKUP(K226,Formula!$A$11:$B$20,2,FALSE),Formula!$C$26)</f>
        <v>0.6</v>
      </c>
      <c r="Q226" s="15">
        <f>IF(AND(ISNUMBER(J226),J226&gt;0),1/J226,IF(AND(ISNUMBER(I226),I226&gt;0),SQRT(MIN(I226,Formula!$C$27))/Formula!$C$24,1/Formula!$C$25))</f>
        <v>0.3571428571</v>
      </c>
      <c r="R226" s="15">
        <f t="shared" si="2"/>
        <v>0.2142857143</v>
      </c>
      <c r="S226" s="15">
        <f>IF(H226&lt;&gt;"",EXP(-Formula!$C$28*(EOMONTH(H226,0)-H226)),EXP(-Formula!$C$28*(EOMONTH(D226,0)-D226)))</f>
        <v>0.3867410235</v>
      </c>
      <c r="T226" s="15">
        <f t="shared" si="3"/>
        <v>0.377964473</v>
      </c>
      <c r="U226" s="15">
        <f t="shared" si="4"/>
        <v>0.03132307867</v>
      </c>
      <c r="V226" s="16">
        <f>IF(AND(L226="Among all respondents",NOT(OR(K226="Online poll in Telegram channel",K226="Website online poll",K226="CAWI (Computer Assisted Web Interviewing)"))),1/(1-MIN(MAX(Formula!$C$33+(YEAR(D226)-Formula!$C$34)/(Formula!$C$35-Formula!$C$34)*(Formula!$C$32-Formula!$C$33),Formula!$C$33),Formula!$C$32)),1)</f>
        <v>1</v>
      </c>
      <c r="W226" s="17">
        <f t="shared" si="5"/>
        <v>2.6</v>
      </c>
    </row>
    <row r="227" ht="15.75" customHeight="1">
      <c r="A227" s="8" t="s">
        <v>644</v>
      </c>
      <c r="B227" s="7" t="s">
        <v>635</v>
      </c>
      <c r="C227" s="13" t="s">
        <v>636</v>
      </c>
      <c r="D227" s="7" t="s">
        <v>52</v>
      </c>
      <c r="E227" s="8" t="s">
        <v>53</v>
      </c>
      <c r="F227" s="8" t="s">
        <v>318</v>
      </c>
      <c r="G227" s="7" t="s">
        <v>637</v>
      </c>
      <c r="H227" s="7" t="s">
        <v>638</v>
      </c>
      <c r="I227" s="8">
        <v>1020.0</v>
      </c>
      <c r="J227" s="8">
        <v>2.8</v>
      </c>
      <c r="K227" s="8" t="s">
        <v>351</v>
      </c>
      <c r="L227" s="8" t="s">
        <v>373</v>
      </c>
      <c r="M227" s="8" t="s">
        <v>359</v>
      </c>
      <c r="N227" s="8">
        <v>2.4</v>
      </c>
      <c r="O227" s="14">
        <f t="shared" si="1"/>
        <v>45717</v>
      </c>
      <c r="P227" s="15">
        <f>IFERROR(VLOOKUP(K227,Formula!$A$11:$B$20,2,FALSE),Formula!$C$26)</f>
        <v>0.6</v>
      </c>
      <c r="Q227" s="15">
        <f>IF(AND(ISNUMBER(J227),J227&gt;0),1/J227,IF(AND(ISNUMBER(I227),I227&gt;0),SQRT(MIN(I227,Formula!$C$27))/Formula!$C$24,1/Formula!$C$25))</f>
        <v>0.3571428571</v>
      </c>
      <c r="R227" s="15">
        <f t="shared" si="2"/>
        <v>0.2142857143</v>
      </c>
      <c r="S227" s="15">
        <f>IF(H227&lt;&gt;"",EXP(-Formula!$C$28*(EOMONTH(H227,0)-H227)),EXP(-Formula!$C$28*(EOMONTH(D227,0)-D227)))</f>
        <v>0.3867410235</v>
      </c>
      <c r="T227" s="15">
        <f t="shared" si="3"/>
        <v>0.377964473</v>
      </c>
      <c r="U227" s="15">
        <f t="shared" si="4"/>
        <v>0.03132307867</v>
      </c>
      <c r="V227" s="16">
        <f>IF(AND(L227="Among all respondents",NOT(OR(K227="Online poll in Telegram channel",K227="Website online poll",K227="CAWI (Computer Assisted Web Interviewing)"))),1/(1-MIN(MAX(Formula!$C$33+(YEAR(D227)-Formula!$C$34)/(Formula!$C$35-Formula!$C$34)*(Formula!$C$32-Formula!$C$33),Formula!$C$33),Formula!$C$32)),1)</f>
        <v>1</v>
      </c>
      <c r="W227" s="17">
        <f t="shared" si="5"/>
        <v>2.4</v>
      </c>
    </row>
    <row r="228" ht="15.75" customHeight="1">
      <c r="A228" s="8" t="s">
        <v>645</v>
      </c>
      <c r="B228" s="7" t="s">
        <v>646</v>
      </c>
      <c r="C228" s="13" t="s">
        <v>647</v>
      </c>
      <c r="D228" s="7" t="s">
        <v>54</v>
      </c>
      <c r="E228" s="8" t="s">
        <v>24</v>
      </c>
      <c r="F228" s="8" t="s">
        <v>318</v>
      </c>
      <c r="G228" s="7" t="s">
        <v>648</v>
      </c>
      <c r="H228" s="7" t="s">
        <v>649</v>
      </c>
      <c r="I228" s="8">
        <v>1000.0</v>
      </c>
      <c r="J228" s="8">
        <v>3.1</v>
      </c>
      <c r="K228" s="8" t="s">
        <v>321</v>
      </c>
      <c r="L228" s="8" t="s">
        <v>322</v>
      </c>
      <c r="M228" s="8" t="s">
        <v>323</v>
      </c>
      <c r="N228" s="8">
        <v>46.0</v>
      </c>
      <c r="O228" s="14">
        <f t="shared" si="1"/>
        <v>45717</v>
      </c>
      <c r="P228" s="15">
        <f>IFERROR(VLOOKUP(K228,Formula!$A$11:$B$20,2,FALSE),Formula!$C$26)</f>
        <v>0.9</v>
      </c>
      <c r="Q228" s="15">
        <f>IF(AND(ISNUMBER(J228),J228&gt;0),1/J228,IF(AND(ISNUMBER(I228),I228&gt;0),SQRT(MIN(I228,Formula!$C$27))/Formula!$C$24,1/Formula!$C$25))</f>
        <v>0.3225806452</v>
      </c>
      <c r="R228" s="15">
        <f t="shared" si="2"/>
        <v>0.2903225806</v>
      </c>
      <c r="S228" s="15">
        <f>IF(H228&lt;&gt;"",EXP(-Formula!$C$28*(EOMONTH(H228,0)-H228)),EXP(-Formula!$C$28*(EOMONTH(D228,0)-D228)))</f>
        <v>0.3499377491</v>
      </c>
      <c r="T228" s="15">
        <f t="shared" si="3"/>
        <v>0.316227766</v>
      </c>
      <c r="U228" s="15">
        <f t="shared" si="4"/>
        <v>0.03212710625</v>
      </c>
      <c r="V228" s="16">
        <f>IF(AND(L228="Among all respondents",NOT(OR(K228="Online poll in Telegram channel",K228="Website online poll",K228="CAWI (Computer Assisted Web Interviewing)"))),1/(1-MIN(MAX(Formula!$C$33+(YEAR(D228)-Formula!$C$34)/(Formula!$C$35-Formula!$C$34)*(Formula!$C$32-Formula!$C$33),Formula!$C$33),Formula!$C$32)),1)</f>
        <v>1</v>
      </c>
      <c r="W228" s="17">
        <f t="shared" si="5"/>
        <v>46</v>
      </c>
    </row>
    <row r="229" ht="15.75" customHeight="1">
      <c r="A229" s="8" t="s">
        <v>650</v>
      </c>
      <c r="B229" s="7" t="s">
        <v>646</v>
      </c>
      <c r="C229" s="13" t="s">
        <v>647</v>
      </c>
      <c r="D229" s="7" t="s">
        <v>54</v>
      </c>
      <c r="E229" s="8" t="s">
        <v>24</v>
      </c>
      <c r="F229" s="8" t="s">
        <v>318</v>
      </c>
      <c r="G229" s="7" t="s">
        <v>648</v>
      </c>
      <c r="H229" s="7" t="s">
        <v>649</v>
      </c>
      <c r="I229" s="8">
        <v>1000.0</v>
      </c>
      <c r="J229" s="8">
        <v>3.1</v>
      </c>
      <c r="K229" s="8" t="s">
        <v>321</v>
      </c>
      <c r="L229" s="8" t="s">
        <v>322</v>
      </c>
      <c r="M229" s="8" t="s">
        <v>325</v>
      </c>
      <c r="N229" s="8">
        <v>31.0</v>
      </c>
      <c r="O229" s="14">
        <f t="shared" si="1"/>
        <v>45717</v>
      </c>
      <c r="P229" s="15">
        <f>IFERROR(VLOOKUP(K229,Formula!$A$11:$B$20,2,FALSE),Formula!$C$26)</f>
        <v>0.9</v>
      </c>
      <c r="Q229" s="15">
        <f>IF(AND(ISNUMBER(J229),J229&gt;0),1/J229,IF(AND(ISNUMBER(I229),I229&gt;0),SQRT(MIN(I229,Formula!$C$27))/Formula!$C$24,1/Formula!$C$25))</f>
        <v>0.3225806452</v>
      </c>
      <c r="R229" s="15">
        <f t="shared" si="2"/>
        <v>0.2903225806</v>
      </c>
      <c r="S229" s="15">
        <f>IF(H229&lt;&gt;"",EXP(-Formula!$C$28*(EOMONTH(H229,0)-H229)),EXP(-Formula!$C$28*(EOMONTH(D229,0)-D229)))</f>
        <v>0.3499377491</v>
      </c>
      <c r="T229" s="15">
        <f t="shared" si="3"/>
        <v>0.316227766</v>
      </c>
      <c r="U229" s="15">
        <f t="shared" si="4"/>
        <v>0.03212710625</v>
      </c>
      <c r="V229" s="16">
        <f>IF(AND(L229="Among all respondents",NOT(OR(K229="Online poll in Telegram channel",K229="Website online poll",K229="CAWI (Computer Assisted Web Interviewing)"))),1/(1-MIN(MAX(Formula!$C$33+(YEAR(D229)-Formula!$C$34)/(Formula!$C$35-Formula!$C$34)*(Formula!$C$32-Formula!$C$33),Formula!$C$33),Formula!$C$32)),1)</f>
        <v>1</v>
      </c>
      <c r="W229" s="17">
        <f t="shared" si="5"/>
        <v>31</v>
      </c>
    </row>
    <row r="230" ht="15.75" customHeight="1">
      <c r="A230" s="8" t="s">
        <v>651</v>
      </c>
      <c r="B230" s="7" t="s">
        <v>646</v>
      </c>
      <c r="C230" s="13" t="s">
        <v>647</v>
      </c>
      <c r="D230" s="7" t="s">
        <v>54</v>
      </c>
      <c r="E230" s="8" t="s">
        <v>24</v>
      </c>
      <c r="F230" s="8" t="s">
        <v>318</v>
      </c>
      <c r="G230" s="7" t="s">
        <v>648</v>
      </c>
      <c r="H230" s="7" t="s">
        <v>649</v>
      </c>
      <c r="I230" s="8">
        <v>1000.0</v>
      </c>
      <c r="J230" s="8">
        <v>3.1</v>
      </c>
      <c r="K230" s="8" t="s">
        <v>321</v>
      </c>
      <c r="L230" s="8" t="s">
        <v>322</v>
      </c>
      <c r="M230" s="8" t="s">
        <v>329</v>
      </c>
      <c r="N230" s="8">
        <v>5.0</v>
      </c>
      <c r="O230" s="14">
        <f t="shared" si="1"/>
        <v>45717</v>
      </c>
      <c r="P230" s="15">
        <f>IFERROR(VLOOKUP(K230,Formula!$A$11:$B$20,2,FALSE),Formula!$C$26)</f>
        <v>0.9</v>
      </c>
      <c r="Q230" s="15">
        <f>IF(AND(ISNUMBER(J230),J230&gt;0),1/J230,IF(AND(ISNUMBER(I230),I230&gt;0),SQRT(MIN(I230,Formula!$C$27))/Formula!$C$24,1/Formula!$C$25))</f>
        <v>0.3225806452</v>
      </c>
      <c r="R230" s="15">
        <f t="shared" si="2"/>
        <v>0.2903225806</v>
      </c>
      <c r="S230" s="15">
        <f>IF(H230&lt;&gt;"",EXP(-Formula!$C$28*(EOMONTH(H230,0)-H230)),EXP(-Formula!$C$28*(EOMONTH(D230,0)-D230)))</f>
        <v>0.3499377491</v>
      </c>
      <c r="T230" s="15">
        <f t="shared" si="3"/>
        <v>0.316227766</v>
      </c>
      <c r="U230" s="15">
        <f t="shared" si="4"/>
        <v>0.03212710625</v>
      </c>
      <c r="V230" s="16">
        <f>IF(AND(L230="Among all respondents",NOT(OR(K230="Online poll in Telegram channel",K230="Website online poll",K230="CAWI (Computer Assisted Web Interviewing)"))),1/(1-MIN(MAX(Formula!$C$33+(YEAR(D230)-Formula!$C$34)/(Formula!$C$35-Formula!$C$34)*(Formula!$C$32-Formula!$C$33),Formula!$C$33),Formula!$C$32)),1)</f>
        <v>1</v>
      </c>
      <c r="W230" s="17">
        <f t="shared" si="5"/>
        <v>5</v>
      </c>
    </row>
    <row r="231" ht="15.75" customHeight="1">
      <c r="A231" s="8" t="s">
        <v>652</v>
      </c>
      <c r="B231" s="7" t="s">
        <v>646</v>
      </c>
      <c r="C231" s="13" t="s">
        <v>647</v>
      </c>
      <c r="D231" s="7" t="s">
        <v>54</v>
      </c>
      <c r="E231" s="8" t="s">
        <v>24</v>
      </c>
      <c r="F231" s="8" t="s">
        <v>318</v>
      </c>
      <c r="G231" s="7" t="s">
        <v>648</v>
      </c>
      <c r="H231" s="7" t="s">
        <v>649</v>
      </c>
      <c r="I231" s="8">
        <v>1000.0</v>
      </c>
      <c r="J231" s="8">
        <v>3.1</v>
      </c>
      <c r="K231" s="8" t="s">
        <v>321</v>
      </c>
      <c r="L231" s="8" t="s">
        <v>322</v>
      </c>
      <c r="M231" s="8" t="s">
        <v>337</v>
      </c>
      <c r="N231" s="8">
        <v>3.0</v>
      </c>
      <c r="O231" s="14">
        <f t="shared" si="1"/>
        <v>45717</v>
      </c>
      <c r="P231" s="15">
        <f>IFERROR(VLOOKUP(K231,Formula!$A$11:$B$20,2,FALSE),Formula!$C$26)</f>
        <v>0.9</v>
      </c>
      <c r="Q231" s="15">
        <f>IF(AND(ISNUMBER(J231),J231&gt;0),1/J231,IF(AND(ISNUMBER(I231),I231&gt;0),SQRT(MIN(I231,Formula!$C$27))/Formula!$C$24,1/Formula!$C$25))</f>
        <v>0.3225806452</v>
      </c>
      <c r="R231" s="15">
        <f t="shared" si="2"/>
        <v>0.2903225806</v>
      </c>
      <c r="S231" s="15">
        <f>IF(H231&lt;&gt;"",EXP(-Formula!$C$28*(EOMONTH(H231,0)-H231)),EXP(-Formula!$C$28*(EOMONTH(D231,0)-D231)))</f>
        <v>0.3499377491</v>
      </c>
      <c r="T231" s="15">
        <f t="shared" si="3"/>
        <v>0.316227766</v>
      </c>
      <c r="U231" s="15">
        <f t="shared" si="4"/>
        <v>0.03212710625</v>
      </c>
      <c r="V231" s="16">
        <f>IF(AND(L231="Among all respondents",NOT(OR(K231="Online poll in Telegram channel",K231="Website online poll",K231="CAWI (Computer Assisted Web Interviewing)"))),1/(1-MIN(MAX(Formula!$C$33+(YEAR(D231)-Formula!$C$34)/(Formula!$C$35-Formula!$C$34)*(Formula!$C$32-Formula!$C$33),Formula!$C$33),Formula!$C$32)),1)</f>
        <v>1</v>
      </c>
      <c r="W231" s="17">
        <f t="shared" si="5"/>
        <v>3</v>
      </c>
    </row>
    <row r="232" ht="15.75" customHeight="1">
      <c r="A232" s="8" t="s">
        <v>653</v>
      </c>
      <c r="B232" s="7" t="s">
        <v>646</v>
      </c>
      <c r="C232" s="13" t="s">
        <v>647</v>
      </c>
      <c r="D232" s="7" t="s">
        <v>54</v>
      </c>
      <c r="E232" s="8" t="s">
        <v>24</v>
      </c>
      <c r="F232" s="8" t="s">
        <v>318</v>
      </c>
      <c r="G232" s="7" t="s">
        <v>648</v>
      </c>
      <c r="H232" s="7" t="s">
        <v>649</v>
      </c>
      <c r="I232" s="8">
        <v>1000.0</v>
      </c>
      <c r="J232" s="8">
        <v>3.1</v>
      </c>
      <c r="K232" s="8" t="s">
        <v>321</v>
      </c>
      <c r="L232" s="8" t="s">
        <v>322</v>
      </c>
      <c r="M232" s="8" t="s">
        <v>333</v>
      </c>
      <c r="N232" s="8">
        <v>3.0</v>
      </c>
      <c r="O232" s="14">
        <f t="shared" si="1"/>
        <v>45717</v>
      </c>
      <c r="P232" s="15">
        <f>IFERROR(VLOOKUP(K232,Formula!$A$11:$B$20,2,FALSE),Formula!$C$26)</f>
        <v>0.9</v>
      </c>
      <c r="Q232" s="15">
        <f>IF(AND(ISNUMBER(J232),J232&gt;0),1/J232,IF(AND(ISNUMBER(I232),I232&gt;0),SQRT(MIN(I232,Formula!$C$27))/Formula!$C$24,1/Formula!$C$25))</f>
        <v>0.3225806452</v>
      </c>
      <c r="R232" s="15">
        <f t="shared" si="2"/>
        <v>0.2903225806</v>
      </c>
      <c r="S232" s="15">
        <f>IF(H232&lt;&gt;"",EXP(-Formula!$C$28*(EOMONTH(H232,0)-H232)),EXP(-Formula!$C$28*(EOMONTH(D232,0)-D232)))</f>
        <v>0.3499377491</v>
      </c>
      <c r="T232" s="15">
        <f t="shared" si="3"/>
        <v>0.316227766</v>
      </c>
      <c r="U232" s="15">
        <f t="shared" si="4"/>
        <v>0.03212710625</v>
      </c>
      <c r="V232" s="16">
        <f>IF(AND(L232="Among all respondents",NOT(OR(K232="Online poll in Telegram channel",K232="Website online poll",K232="CAWI (Computer Assisted Web Interviewing)"))),1/(1-MIN(MAX(Formula!$C$33+(YEAR(D232)-Formula!$C$34)/(Formula!$C$35-Formula!$C$34)*(Formula!$C$32-Formula!$C$33),Formula!$C$33),Formula!$C$32)),1)</f>
        <v>1</v>
      </c>
      <c r="W232" s="17">
        <f t="shared" si="5"/>
        <v>3</v>
      </c>
    </row>
    <row r="233" ht="15.75" customHeight="1">
      <c r="A233" s="8" t="s">
        <v>654</v>
      </c>
      <c r="B233" s="7" t="s">
        <v>646</v>
      </c>
      <c r="C233" s="13" t="s">
        <v>647</v>
      </c>
      <c r="D233" s="7" t="s">
        <v>54</v>
      </c>
      <c r="E233" s="8" t="s">
        <v>24</v>
      </c>
      <c r="F233" s="8" t="s">
        <v>318</v>
      </c>
      <c r="G233" s="7" t="s">
        <v>648</v>
      </c>
      <c r="H233" s="7" t="s">
        <v>649</v>
      </c>
      <c r="I233" s="8">
        <v>1000.0</v>
      </c>
      <c r="J233" s="8">
        <v>3.1</v>
      </c>
      <c r="K233" s="8" t="s">
        <v>321</v>
      </c>
      <c r="L233" s="8" t="s">
        <v>322</v>
      </c>
      <c r="M233" s="8" t="s">
        <v>327</v>
      </c>
      <c r="N233" s="8">
        <v>3.0</v>
      </c>
      <c r="O233" s="14">
        <f t="shared" si="1"/>
        <v>45717</v>
      </c>
      <c r="P233" s="15">
        <f>IFERROR(VLOOKUP(K233,Formula!$A$11:$B$20,2,FALSE),Formula!$C$26)</f>
        <v>0.9</v>
      </c>
      <c r="Q233" s="15">
        <f>IF(AND(ISNUMBER(J233),J233&gt;0),1/J233,IF(AND(ISNUMBER(I233),I233&gt;0),SQRT(MIN(I233,Formula!$C$27))/Formula!$C$24,1/Formula!$C$25))</f>
        <v>0.3225806452</v>
      </c>
      <c r="R233" s="15">
        <f t="shared" si="2"/>
        <v>0.2903225806</v>
      </c>
      <c r="S233" s="15">
        <f>IF(H233&lt;&gt;"",EXP(-Formula!$C$28*(EOMONTH(H233,0)-H233)),EXP(-Formula!$C$28*(EOMONTH(D233,0)-D233)))</f>
        <v>0.3499377491</v>
      </c>
      <c r="T233" s="15">
        <f t="shared" si="3"/>
        <v>0.316227766</v>
      </c>
      <c r="U233" s="15">
        <f t="shared" si="4"/>
        <v>0.03212710625</v>
      </c>
      <c r="V233" s="16">
        <f>IF(AND(L233="Among all respondents",NOT(OR(K233="Online poll in Telegram channel",K233="Website online poll",K233="CAWI (Computer Assisted Web Interviewing)"))),1/(1-MIN(MAX(Formula!$C$33+(YEAR(D233)-Formula!$C$34)/(Formula!$C$35-Formula!$C$34)*(Formula!$C$32-Formula!$C$33),Formula!$C$33),Formula!$C$32)),1)</f>
        <v>1</v>
      </c>
      <c r="W233" s="17">
        <f t="shared" si="5"/>
        <v>3</v>
      </c>
    </row>
    <row r="234" ht="15.75" customHeight="1">
      <c r="A234" s="8" t="s">
        <v>655</v>
      </c>
      <c r="B234" s="7" t="s">
        <v>646</v>
      </c>
      <c r="C234" s="13" t="s">
        <v>647</v>
      </c>
      <c r="D234" s="7" t="s">
        <v>54</v>
      </c>
      <c r="E234" s="8" t="s">
        <v>24</v>
      </c>
      <c r="F234" s="8" t="s">
        <v>318</v>
      </c>
      <c r="G234" s="7" t="s">
        <v>648</v>
      </c>
      <c r="H234" s="7" t="s">
        <v>649</v>
      </c>
      <c r="I234" s="8">
        <v>1000.0</v>
      </c>
      <c r="J234" s="8">
        <v>3.1</v>
      </c>
      <c r="K234" s="8" t="s">
        <v>321</v>
      </c>
      <c r="L234" s="8" t="s">
        <v>322</v>
      </c>
      <c r="M234" s="8" t="s">
        <v>339</v>
      </c>
      <c r="N234" s="8">
        <v>2.0</v>
      </c>
      <c r="O234" s="14">
        <f t="shared" si="1"/>
        <v>45717</v>
      </c>
      <c r="P234" s="15">
        <f>IFERROR(VLOOKUP(K234,Formula!$A$11:$B$20,2,FALSE),Formula!$C$26)</f>
        <v>0.9</v>
      </c>
      <c r="Q234" s="15">
        <f>IF(AND(ISNUMBER(J234),J234&gt;0),1/J234,IF(AND(ISNUMBER(I234),I234&gt;0),SQRT(MIN(I234,Formula!$C$27))/Formula!$C$24,1/Formula!$C$25))</f>
        <v>0.3225806452</v>
      </c>
      <c r="R234" s="15">
        <f t="shared" si="2"/>
        <v>0.2903225806</v>
      </c>
      <c r="S234" s="15">
        <f>IF(H234&lt;&gt;"",EXP(-Formula!$C$28*(EOMONTH(H234,0)-H234)),EXP(-Formula!$C$28*(EOMONTH(D234,0)-D234)))</f>
        <v>0.3499377491</v>
      </c>
      <c r="T234" s="15">
        <f t="shared" si="3"/>
        <v>0.316227766</v>
      </c>
      <c r="U234" s="15">
        <f t="shared" si="4"/>
        <v>0.03212710625</v>
      </c>
      <c r="V234" s="16">
        <f>IF(AND(L234="Among all respondents",NOT(OR(K234="Online poll in Telegram channel",K234="Website online poll",K234="CAWI (Computer Assisted Web Interviewing)"))),1/(1-MIN(MAX(Formula!$C$33+(YEAR(D234)-Formula!$C$34)/(Formula!$C$35-Formula!$C$34)*(Formula!$C$32-Formula!$C$33),Formula!$C$33),Formula!$C$32)),1)</f>
        <v>1</v>
      </c>
      <c r="W234" s="17">
        <f t="shared" si="5"/>
        <v>2</v>
      </c>
    </row>
    <row r="235" ht="15.75" customHeight="1">
      <c r="A235" s="8" t="s">
        <v>656</v>
      </c>
      <c r="B235" s="7" t="s">
        <v>646</v>
      </c>
      <c r="C235" s="13" t="s">
        <v>647</v>
      </c>
      <c r="D235" s="7" t="s">
        <v>54</v>
      </c>
      <c r="E235" s="8" t="s">
        <v>24</v>
      </c>
      <c r="F235" s="8" t="s">
        <v>318</v>
      </c>
      <c r="G235" s="7" t="s">
        <v>648</v>
      </c>
      <c r="H235" s="7" t="s">
        <v>649</v>
      </c>
      <c r="I235" s="8">
        <v>1000.0</v>
      </c>
      <c r="J235" s="8">
        <v>3.1</v>
      </c>
      <c r="K235" s="8" t="s">
        <v>321</v>
      </c>
      <c r="L235" s="8" t="s">
        <v>322</v>
      </c>
      <c r="M235" s="8" t="s">
        <v>362</v>
      </c>
      <c r="N235" s="8">
        <v>2.0</v>
      </c>
      <c r="O235" s="14">
        <f t="shared" si="1"/>
        <v>45717</v>
      </c>
      <c r="P235" s="15">
        <f>IFERROR(VLOOKUP(K235,Formula!$A$11:$B$20,2,FALSE),Formula!$C$26)</f>
        <v>0.9</v>
      </c>
      <c r="Q235" s="15">
        <f>IF(AND(ISNUMBER(J235),J235&gt;0),1/J235,IF(AND(ISNUMBER(I235),I235&gt;0),SQRT(MIN(I235,Formula!$C$27))/Formula!$C$24,1/Formula!$C$25))</f>
        <v>0.3225806452</v>
      </c>
      <c r="R235" s="15">
        <f t="shared" si="2"/>
        <v>0.2903225806</v>
      </c>
      <c r="S235" s="15">
        <f>IF(H235&lt;&gt;"",EXP(-Formula!$C$28*(EOMONTH(H235,0)-H235)),EXP(-Formula!$C$28*(EOMONTH(D235,0)-D235)))</f>
        <v>0.3499377491</v>
      </c>
      <c r="T235" s="15">
        <f t="shared" si="3"/>
        <v>0.316227766</v>
      </c>
      <c r="U235" s="15">
        <f t="shared" si="4"/>
        <v>0.03212710625</v>
      </c>
      <c r="V235" s="16">
        <f>IF(AND(L235="Among all respondents",NOT(OR(K235="Online poll in Telegram channel",K235="Website online poll",K235="CAWI (Computer Assisted Web Interviewing)"))),1/(1-MIN(MAX(Formula!$C$33+(YEAR(D235)-Formula!$C$34)/(Formula!$C$35-Formula!$C$34)*(Formula!$C$32-Formula!$C$33),Formula!$C$33),Formula!$C$32)),1)</f>
        <v>1</v>
      </c>
      <c r="W235" s="17">
        <f t="shared" si="5"/>
        <v>2</v>
      </c>
    </row>
    <row r="236" ht="15.75" customHeight="1">
      <c r="A236" s="8" t="s">
        <v>657</v>
      </c>
      <c r="B236" s="7" t="s">
        <v>646</v>
      </c>
      <c r="C236" s="13" t="s">
        <v>647</v>
      </c>
      <c r="D236" s="7" t="s">
        <v>54</v>
      </c>
      <c r="E236" s="8" t="s">
        <v>24</v>
      </c>
      <c r="F236" s="8" t="s">
        <v>318</v>
      </c>
      <c r="G236" s="7" t="s">
        <v>648</v>
      </c>
      <c r="H236" s="7" t="s">
        <v>649</v>
      </c>
      <c r="I236" s="8">
        <v>1000.0</v>
      </c>
      <c r="J236" s="8">
        <v>3.1</v>
      </c>
      <c r="K236" s="8" t="s">
        <v>321</v>
      </c>
      <c r="L236" s="8" t="s">
        <v>322</v>
      </c>
      <c r="M236" s="8" t="s">
        <v>335</v>
      </c>
      <c r="N236" s="8">
        <v>1.0</v>
      </c>
      <c r="O236" s="14">
        <f t="shared" si="1"/>
        <v>45717</v>
      </c>
      <c r="P236" s="15">
        <f>IFERROR(VLOOKUP(K236,Formula!$A$11:$B$20,2,FALSE),Formula!$C$26)</f>
        <v>0.9</v>
      </c>
      <c r="Q236" s="15">
        <f>IF(AND(ISNUMBER(J236),J236&gt;0),1/J236,IF(AND(ISNUMBER(I236),I236&gt;0),SQRT(MIN(I236,Formula!$C$27))/Formula!$C$24,1/Formula!$C$25))</f>
        <v>0.3225806452</v>
      </c>
      <c r="R236" s="15">
        <f t="shared" si="2"/>
        <v>0.2903225806</v>
      </c>
      <c r="S236" s="15">
        <f>IF(H236&lt;&gt;"",EXP(-Formula!$C$28*(EOMONTH(H236,0)-H236)),EXP(-Formula!$C$28*(EOMONTH(D236,0)-D236)))</f>
        <v>0.3499377491</v>
      </c>
      <c r="T236" s="15">
        <f t="shared" si="3"/>
        <v>0.316227766</v>
      </c>
      <c r="U236" s="15">
        <f t="shared" si="4"/>
        <v>0.03212710625</v>
      </c>
      <c r="V236" s="16">
        <f>IF(AND(L236="Among all respondents",NOT(OR(K236="Online poll in Telegram channel",K236="Website online poll",K236="CAWI (Computer Assisted Web Interviewing)"))),1/(1-MIN(MAX(Formula!$C$33+(YEAR(D236)-Formula!$C$34)/(Formula!$C$35-Formula!$C$34)*(Formula!$C$32-Formula!$C$33),Formula!$C$33),Formula!$C$32)),1)</f>
        <v>1</v>
      </c>
      <c r="W236" s="17">
        <f t="shared" si="5"/>
        <v>1</v>
      </c>
    </row>
    <row r="237" ht="15.75" customHeight="1">
      <c r="A237" s="8" t="s">
        <v>658</v>
      </c>
      <c r="B237" s="7" t="s">
        <v>646</v>
      </c>
      <c r="C237" s="13" t="s">
        <v>647</v>
      </c>
      <c r="D237" s="7" t="s">
        <v>54</v>
      </c>
      <c r="E237" s="8" t="s">
        <v>24</v>
      </c>
      <c r="F237" s="8" t="s">
        <v>318</v>
      </c>
      <c r="G237" s="7" t="s">
        <v>648</v>
      </c>
      <c r="H237" s="7" t="s">
        <v>649</v>
      </c>
      <c r="I237" s="8">
        <v>1000.0</v>
      </c>
      <c r="J237" s="8">
        <v>3.1</v>
      </c>
      <c r="K237" s="8" t="s">
        <v>321</v>
      </c>
      <c r="L237" s="8" t="s">
        <v>322</v>
      </c>
      <c r="M237" s="8" t="s">
        <v>343</v>
      </c>
      <c r="N237" s="8">
        <v>1.0</v>
      </c>
      <c r="O237" s="14">
        <f t="shared" si="1"/>
        <v>45717</v>
      </c>
      <c r="P237" s="15">
        <f>IFERROR(VLOOKUP(K237,Formula!$A$11:$B$20,2,FALSE),Formula!$C$26)</f>
        <v>0.9</v>
      </c>
      <c r="Q237" s="15">
        <f>IF(AND(ISNUMBER(J237),J237&gt;0),1/J237,IF(AND(ISNUMBER(I237),I237&gt;0),SQRT(MIN(I237,Formula!$C$27))/Formula!$C$24,1/Formula!$C$25))</f>
        <v>0.3225806452</v>
      </c>
      <c r="R237" s="15">
        <f t="shared" si="2"/>
        <v>0.2903225806</v>
      </c>
      <c r="S237" s="15">
        <f>IF(H237&lt;&gt;"",EXP(-Formula!$C$28*(EOMONTH(H237,0)-H237)),EXP(-Formula!$C$28*(EOMONTH(D237,0)-D237)))</f>
        <v>0.3499377491</v>
      </c>
      <c r="T237" s="15">
        <f t="shared" si="3"/>
        <v>0.316227766</v>
      </c>
      <c r="U237" s="15">
        <f t="shared" si="4"/>
        <v>0.03212710625</v>
      </c>
      <c r="V237" s="16">
        <f>IF(AND(L237="Among all respondents",NOT(OR(K237="Online poll in Telegram channel",K237="Website online poll",K237="CAWI (Computer Assisted Web Interviewing)"))),1/(1-MIN(MAX(Formula!$C$33+(YEAR(D237)-Formula!$C$34)/(Formula!$C$35-Formula!$C$34)*(Formula!$C$32-Formula!$C$33),Formula!$C$33),Formula!$C$32)),1)</f>
        <v>1</v>
      </c>
      <c r="W237" s="17">
        <f t="shared" si="5"/>
        <v>1</v>
      </c>
    </row>
    <row r="238" ht="15.75" customHeight="1">
      <c r="A238" s="8" t="s">
        <v>659</v>
      </c>
      <c r="B238" s="7" t="s">
        <v>660</v>
      </c>
      <c r="C238" s="13" t="s">
        <v>661</v>
      </c>
      <c r="D238" s="7" t="s">
        <v>58</v>
      </c>
      <c r="E238" s="8" t="s">
        <v>17</v>
      </c>
      <c r="F238" s="8" t="s">
        <v>318</v>
      </c>
      <c r="G238" s="7" t="s">
        <v>662</v>
      </c>
      <c r="H238" s="7" t="s">
        <v>663</v>
      </c>
      <c r="I238" s="8">
        <v>2000.0</v>
      </c>
      <c r="K238" s="8" t="s">
        <v>583</v>
      </c>
      <c r="L238" s="8" t="s">
        <v>322</v>
      </c>
      <c r="M238" s="8" t="s">
        <v>325</v>
      </c>
      <c r="N238" s="8">
        <v>37.4</v>
      </c>
      <c r="O238" s="14">
        <f t="shared" si="1"/>
        <v>45689</v>
      </c>
      <c r="P238" s="15">
        <f>IFERROR(VLOOKUP(K238,Formula!$A$11:$B$20,2,FALSE),Formula!$C$26)</f>
        <v>0.95</v>
      </c>
      <c r="Q238" s="15">
        <f>IF(AND(ISNUMBER(J238),J238&gt;0),1/J238,IF(AND(ISNUMBER(I238),I238&gt;0),SQRT(MIN(I238,Formula!$C$27))/Formula!$C$24,1/Formula!$C$25))</f>
        <v>0.4563404036</v>
      </c>
      <c r="R238" s="15">
        <f t="shared" si="2"/>
        <v>0.4335233834</v>
      </c>
      <c r="S238" s="15">
        <f>IF(H238&lt;&gt;"",EXP(-Formula!$C$28*(EOMONTH(H238,0)-H238)),EXP(-Formula!$C$28*(EOMONTH(D238,0)-D238)))</f>
        <v>0.3867410235</v>
      </c>
      <c r="T238" s="15">
        <f t="shared" si="3"/>
        <v>0.2672612419</v>
      </c>
      <c r="U238" s="15">
        <f t="shared" si="4"/>
        <v>0.04480936111</v>
      </c>
      <c r="V238" s="16">
        <f>IF(AND(L238="Among all respondents",NOT(OR(K238="Online poll in Telegram channel",K238="Website online poll",K238="CAWI (Computer Assisted Web Interviewing)"))),1/(1-MIN(MAX(Formula!$C$33+(YEAR(D238)-Formula!$C$34)/(Formula!$C$35-Formula!$C$34)*(Formula!$C$32-Formula!$C$33),Formula!$C$33),Formula!$C$32)),1)</f>
        <v>1</v>
      </c>
      <c r="W238" s="17">
        <f t="shared" si="5"/>
        <v>37.4</v>
      </c>
    </row>
    <row r="239" ht="15.75" customHeight="1">
      <c r="A239" s="8" t="s">
        <v>664</v>
      </c>
      <c r="B239" s="7" t="s">
        <v>660</v>
      </c>
      <c r="C239" s="13" t="s">
        <v>661</v>
      </c>
      <c r="D239" s="7" t="s">
        <v>58</v>
      </c>
      <c r="E239" s="8" t="s">
        <v>17</v>
      </c>
      <c r="F239" s="8" t="s">
        <v>318</v>
      </c>
      <c r="G239" s="7" t="s">
        <v>662</v>
      </c>
      <c r="H239" s="7" t="s">
        <v>663</v>
      </c>
      <c r="I239" s="8">
        <v>2000.0</v>
      </c>
      <c r="K239" s="8" t="s">
        <v>583</v>
      </c>
      <c r="L239" s="8" t="s">
        <v>322</v>
      </c>
      <c r="M239" s="8" t="s">
        <v>323</v>
      </c>
      <c r="N239" s="8">
        <v>21.9</v>
      </c>
      <c r="O239" s="14">
        <f t="shared" si="1"/>
        <v>45689</v>
      </c>
      <c r="P239" s="15">
        <f>IFERROR(VLOOKUP(K239,Formula!$A$11:$B$20,2,FALSE),Formula!$C$26)</f>
        <v>0.95</v>
      </c>
      <c r="Q239" s="15">
        <f>IF(AND(ISNUMBER(J239),J239&gt;0),1/J239,IF(AND(ISNUMBER(I239),I239&gt;0),SQRT(MIN(I239,Formula!$C$27))/Formula!$C$24,1/Formula!$C$25))</f>
        <v>0.4563404036</v>
      </c>
      <c r="R239" s="15">
        <f t="shared" si="2"/>
        <v>0.4335233834</v>
      </c>
      <c r="S239" s="15">
        <f>IF(H239&lt;&gt;"",EXP(-Formula!$C$28*(EOMONTH(H239,0)-H239)),EXP(-Formula!$C$28*(EOMONTH(D239,0)-D239)))</f>
        <v>0.3867410235</v>
      </c>
      <c r="T239" s="15">
        <f t="shared" si="3"/>
        <v>0.2672612419</v>
      </c>
      <c r="U239" s="15">
        <f t="shared" si="4"/>
        <v>0.04480936111</v>
      </c>
      <c r="V239" s="16">
        <f>IF(AND(L239="Among all respondents",NOT(OR(K239="Online poll in Telegram channel",K239="Website online poll",K239="CAWI (Computer Assisted Web Interviewing)"))),1/(1-MIN(MAX(Formula!$C$33+(YEAR(D239)-Formula!$C$34)/(Formula!$C$35-Formula!$C$34)*(Formula!$C$32-Formula!$C$33),Formula!$C$33),Formula!$C$32)),1)</f>
        <v>1</v>
      </c>
      <c r="W239" s="17">
        <f t="shared" si="5"/>
        <v>21.9</v>
      </c>
    </row>
    <row r="240" ht="15.75" customHeight="1">
      <c r="A240" s="8" t="s">
        <v>665</v>
      </c>
      <c r="B240" s="7" t="s">
        <v>660</v>
      </c>
      <c r="C240" s="13" t="s">
        <v>661</v>
      </c>
      <c r="D240" s="7" t="s">
        <v>58</v>
      </c>
      <c r="E240" s="8" t="s">
        <v>17</v>
      </c>
      <c r="F240" s="8" t="s">
        <v>318</v>
      </c>
      <c r="G240" s="7" t="s">
        <v>662</v>
      </c>
      <c r="H240" s="7" t="s">
        <v>663</v>
      </c>
      <c r="I240" s="8">
        <v>2000.0</v>
      </c>
      <c r="K240" s="8" t="s">
        <v>583</v>
      </c>
      <c r="L240" s="8" t="s">
        <v>322</v>
      </c>
      <c r="M240" s="8" t="s">
        <v>329</v>
      </c>
      <c r="N240" s="8">
        <v>7.7</v>
      </c>
      <c r="O240" s="14">
        <f t="shared" si="1"/>
        <v>45689</v>
      </c>
      <c r="P240" s="15">
        <f>IFERROR(VLOOKUP(K240,Formula!$A$11:$B$20,2,FALSE),Formula!$C$26)</f>
        <v>0.95</v>
      </c>
      <c r="Q240" s="15">
        <f>IF(AND(ISNUMBER(J240),J240&gt;0),1/J240,IF(AND(ISNUMBER(I240),I240&gt;0),SQRT(MIN(I240,Formula!$C$27))/Formula!$C$24,1/Formula!$C$25))</f>
        <v>0.4563404036</v>
      </c>
      <c r="R240" s="15">
        <f t="shared" si="2"/>
        <v>0.4335233834</v>
      </c>
      <c r="S240" s="15">
        <f>IF(H240&lt;&gt;"",EXP(-Formula!$C$28*(EOMONTH(H240,0)-H240)),EXP(-Formula!$C$28*(EOMONTH(D240,0)-D240)))</f>
        <v>0.3867410235</v>
      </c>
      <c r="T240" s="15">
        <f t="shared" si="3"/>
        <v>0.2672612419</v>
      </c>
      <c r="U240" s="15">
        <f t="shared" si="4"/>
        <v>0.04480936111</v>
      </c>
      <c r="V240" s="16">
        <f>IF(AND(L240="Among all respondents",NOT(OR(K240="Online poll in Telegram channel",K240="Website online poll",K240="CAWI (Computer Assisted Web Interviewing)"))),1/(1-MIN(MAX(Formula!$C$33+(YEAR(D240)-Formula!$C$34)/(Formula!$C$35-Formula!$C$34)*(Formula!$C$32-Formula!$C$33),Formula!$C$33),Formula!$C$32)),1)</f>
        <v>1</v>
      </c>
      <c r="W240" s="17">
        <f t="shared" si="5"/>
        <v>7.7</v>
      </c>
    </row>
    <row r="241" ht="15.75" customHeight="1">
      <c r="A241" s="8" t="s">
        <v>666</v>
      </c>
      <c r="B241" s="7" t="s">
        <v>660</v>
      </c>
      <c r="C241" s="13" t="s">
        <v>661</v>
      </c>
      <c r="D241" s="7" t="s">
        <v>58</v>
      </c>
      <c r="E241" s="8" t="s">
        <v>17</v>
      </c>
      <c r="F241" s="8" t="s">
        <v>318</v>
      </c>
      <c r="G241" s="7" t="s">
        <v>662</v>
      </c>
      <c r="H241" s="7" t="s">
        <v>663</v>
      </c>
      <c r="I241" s="8">
        <v>2000.0</v>
      </c>
      <c r="K241" s="8" t="s">
        <v>583</v>
      </c>
      <c r="L241" s="8" t="s">
        <v>322</v>
      </c>
      <c r="M241" s="8" t="s">
        <v>327</v>
      </c>
      <c r="N241" s="8">
        <v>4.4</v>
      </c>
      <c r="O241" s="14">
        <f t="shared" si="1"/>
        <v>45689</v>
      </c>
      <c r="P241" s="15">
        <f>IFERROR(VLOOKUP(K241,Formula!$A$11:$B$20,2,FALSE),Formula!$C$26)</f>
        <v>0.95</v>
      </c>
      <c r="Q241" s="15">
        <f>IF(AND(ISNUMBER(J241),J241&gt;0),1/J241,IF(AND(ISNUMBER(I241),I241&gt;0),SQRT(MIN(I241,Formula!$C$27))/Formula!$C$24,1/Formula!$C$25))</f>
        <v>0.4563404036</v>
      </c>
      <c r="R241" s="15">
        <f t="shared" si="2"/>
        <v>0.4335233834</v>
      </c>
      <c r="S241" s="15">
        <f>IF(H241&lt;&gt;"",EXP(-Formula!$C$28*(EOMONTH(H241,0)-H241)),EXP(-Formula!$C$28*(EOMONTH(D241,0)-D241)))</f>
        <v>0.3867410235</v>
      </c>
      <c r="T241" s="15">
        <f t="shared" si="3"/>
        <v>0.2672612419</v>
      </c>
      <c r="U241" s="15">
        <f t="shared" si="4"/>
        <v>0.04480936111</v>
      </c>
      <c r="V241" s="16">
        <f>IF(AND(L241="Among all respondents",NOT(OR(K241="Online poll in Telegram channel",K241="Website online poll",K241="CAWI (Computer Assisted Web Interviewing)"))),1/(1-MIN(MAX(Formula!$C$33+(YEAR(D241)-Formula!$C$34)/(Formula!$C$35-Formula!$C$34)*(Formula!$C$32-Formula!$C$33),Formula!$C$33),Formula!$C$32)),1)</f>
        <v>1</v>
      </c>
      <c r="W241" s="17">
        <f t="shared" si="5"/>
        <v>4.4</v>
      </c>
    </row>
    <row r="242" ht="15.75" customHeight="1">
      <c r="A242" s="8" t="s">
        <v>667</v>
      </c>
      <c r="B242" s="7" t="s">
        <v>660</v>
      </c>
      <c r="C242" s="13" t="s">
        <v>661</v>
      </c>
      <c r="D242" s="7" t="s">
        <v>58</v>
      </c>
      <c r="E242" s="8" t="s">
        <v>17</v>
      </c>
      <c r="F242" s="8" t="s">
        <v>318</v>
      </c>
      <c r="G242" s="7" t="s">
        <v>662</v>
      </c>
      <c r="H242" s="7" t="s">
        <v>663</v>
      </c>
      <c r="I242" s="8">
        <v>2000.0</v>
      </c>
      <c r="K242" s="8" t="s">
        <v>583</v>
      </c>
      <c r="L242" s="8" t="s">
        <v>322</v>
      </c>
      <c r="M242" s="8" t="s">
        <v>335</v>
      </c>
      <c r="N242" s="8">
        <v>3.9</v>
      </c>
      <c r="O242" s="14">
        <f t="shared" si="1"/>
        <v>45689</v>
      </c>
      <c r="P242" s="15">
        <f>IFERROR(VLOOKUP(K242,Formula!$A$11:$B$20,2,FALSE),Formula!$C$26)</f>
        <v>0.95</v>
      </c>
      <c r="Q242" s="15">
        <f>IF(AND(ISNUMBER(J242),J242&gt;0),1/J242,IF(AND(ISNUMBER(I242),I242&gt;0),SQRT(MIN(I242,Formula!$C$27))/Formula!$C$24,1/Formula!$C$25))</f>
        <v>0.4563404036</v>
      </c>
      <c r="R242" s="15">
        <f t="shared" si="2"/>
        <v>0.4335233834</v>
      </c>
      <c r="S242" s="15">
        <f>IF(H242&lt;&gt;"",EXP(-Formula!$C$28*(EOMONTH(H242,0)-H242)),EXP(-Formula!$C$28*(EOMONTH(D242,0)-D242)))</f>
        <v>0.3867410235</v>
      </c>
      <c r="T242" s="15">
        <f t="shared" si="3"/>
        <v>0.2672612419</v>
      </c>
      <c r="U242" s="15">
        <f t="shared" si="4"/>
        <v>0.04480936111</v>
      </c>
      <c r="V242" s="16">
        <f>IF(AND(L242="Among all respondents",NOT(OR(K242="Online poll in Telegram channel",K242="Website online poll",K242="CAWI (Computer Assisted Web Interviewing)"))),1/(1-MIN(MAX(Formula!$C$33+(YEAR(D242)-Formula!$C$34)/(Formula!$C$35-Formula!$C$34)*(Formula!$C$32-Formula!$C$33),Formula!$C$33),Formula!$C$32)),1)</f>
        <v>1</v>
      </c>
      <c r="W242" s="17">
        <f t="shared" si="5"/>
        <v>3.9</v>
      </c>
    </row>
    <row r="243" ht="15.75" customHeight="1">
      <c r="A243" s="8" t="s">
        <v>668</v>
      </c>
      <c r="B243" s="7" t="s">
        <v>660</v>
      </c>
      <c r="C243" s="13" t="s">
        <v>661</v>
      </c>
      <c r="D243" s="7" t="s">
        <v>58</v>
      </c>
      <c r="E243" s="8" t="s">
        <v>17</v>
      </c>
      <c r="F243" s="8" t="s">
        <v>318</v>
      </c>
      <c r="G243" s="7" t="s">
        <v>662</v>
      </c>
      <c r="H243" s="7" t="s">
        <v>663</v>
      </c>
      <c r="I243" s="8">
        <v>2000.0</v>
      </c>
      <c r="K243" s="8" t="s">
        <v>583</v>
      </c>
      <c r="L243" s="8" t="s">
        <v>322</v>
      </c>
      <c r="M243" s="8" t="s">
        <v>337</v>
      </c>
      <c r="N243" s="8">
        <v>3.7</v>
      </c>
      <c r="O243" s="14">
        <f t="shared" si="1"/>
        <v>45689</v>
      </c>
      <c r="P243" s="15">
        <f>IFERROR(VLOOKUP(K243,Formula!$A$11:$B$20,2,FALSE),Formula!$C$26)</f>
        <v>0.95</v>
      </c>
      <c r="Q243" s="15">
        <f>IF(AND(ISNUMBER(J243),J243&gt;0),1/J243,IF(AND(ISNUMBER(I243),I243&gt;0),SQRT(MIN(I243,Formula!$C$27))/Formula!$C$24,1/Formula!$C$25))</f>
        <v>0.4563404036</v>
      </c>
      <c r="R243" s="15">
        <f t="shared" si="2"/>
        <v>0.4335233834</v>
      </c>
      <c r="S243" s="15">
        <f>IF(H243&lt;&gt;"",EXP(-Formula!$C$28*(EOMONTH(H243,0)-H243)),EXP(-Formula!$C$28*(EOMONTH(D243,0)-D243)))</f>
        <v>0.3867410235</v>
      </c>
      <c r="T243" s="15">
        <f t="shared" si="3"/>
        <v>0.2672612419</v>
      </c>
      <c r="U243" s="15">
        <f t="shared" si="4"/>
        <v>0.04480936111</v>
      </c>
      <c r="V243" s="16">
        <f>IF(AND(L243="Among all respondents",NOT(OR(K243="Online poll in Telegram channel",K243="Website online poll",K243="CAWI (Computer Assisted Web Interviewing)"))),1/(1-MIN(MAX(Formula!$C$33+(YEAR(D243)-Formula!$C$34)/(Formula!$C$35-Formula!$C$34)*(Formula!$C$32-Formula!$C$33),Formula!$C$33),Formula!$C$32)),1)</f>
        <v>1</v>
      </c>
      <c r="W243" s="17">
        <f t="shared" si="5"/>
        <v>3.7</v>
      </c>
    </row>
    <row r="244" ht="15.75" customHeight="1">
      <c r="A244" s="8" t="s">
        <v>669</v>
      </c>
      <c r="B244" s="7" t="s">
        <v>660</v>
      </c>
      <c r="C244" s="13" t="s">
        <v>661</v>
      </c>
      <c r="D244" s="7" t="s">
        <v>58</v>
      </c>
      <c r="E244" s="8" t="s">
        <v>17</v>
      </c>
      <c r="F244" s="8" t="s">
        <v>318</v>
      </c>
      <c r="G244" s="7" t="s">
        <v>662</v>
      </c>
      <c r="H244" s="7" t="s">
        <v>663</v>
      </c>
      <c r="I244" s="8">
        <v>2000.0</v>
      </c>
      <c r="K244" s="8" t="s">
        <v>583</v>
      </c>
      <c r="L244" s="8" t="s">
        <v>322</v>
      </c>
      <c r="M244" s="8" t="s">
        <v>333</v>
      </c>
      <c r="N244" s="8">
        <v>3.6</v>
      </c>
      <c r="O244" s="14">
        <f t="shared" si="1"/>
        <v>45689</v>
      </c>
      <c r="P244" s="15">
        <f>IFERROR(VLOOKUP(K244,Formula!$A$11:$B$20,2,FALSE),Formula!$C$26)</f>
        <v>0.95</v>
      </c>
      <c r="Q244" s="15">
        <f>IF(AND(ISNUMBER(J244),J244&gt;0),1/J244,IF(AND(ISNUMBER(I244),I244&gt;0),SQRT(MIN(I244,Formula!$C$27))/Formula!$C$24,1/Formula!$C$25))</f>
        <v>0.4563404036</v>
      </c>
      <c r="R244" s="15">
        <f t="shared" si="2"/>
        <v>0.4335233834</v>
      </c>
      <c r="S244" s="15">
        <f>IF(H244&lt;&gt;"",EXP(-Formula!$C$28*(EOMONTH(H244,0)-H244)),EXP(-Formula!$C$28*(EOMONTH(D244,0)-D244)))</f>
        <v>0.3867410235</v>
      </c>
      <c r="T244" s="15">
        <f t="shared" si="3"/>
        <v>0.2672612419</v>
      </c>
      <c r="U244" s="15">
        <f t="shared" si="4"/>
        <v>0.04480936111</v>
      </c>
      <c r="V244" s="16">
        <f>IF(AND(L244="Among all respondents",NOT(OR(K244="Online poll in Telegram channel",K244="Website online poll",K244="CAWI (Computer Assisted Web Interviewing)"))),1/(1-MIN(MAX(Formula!$C$33+(YEAR(D244)-Formula!$C$34)/(Formula!$C$35-Formula!$C$34)*(Formula!$C$32-Formula!$C$33),Formula!$C$33),Formula!$C$32)),1)</f>
        <v>1</v>
      </c>
      <c r="W244" s="17">
        <f t="shared" si="5"/>
        <v>3.6</v>
      </c>
    </row>
    <row r="245" ht="15.75" customHeight="1">
      <c r="A245" s="8" t="s">
        <v>670</v>
      </c>
      <c r="B245" s="7" t="s">
        <v>660</v>
      </c>
      <c r="C245" s="13" t="s">
        <v>661</v>
      </c>
      <c r="D245" s="7" t="s">
        <v>58</v>
      </c>
      <c r="E245" s="8" t="s">
        <v>17</v>
      </c>
      <c r="F245" s="8" t="s">
        <v>318</v>
      </c>
      <c r="G245" s="7" t="s">
        <v>662</v>
      </c>
      <c r="H245" s="7" t="s">
        <v>663</v>
      </c>
      <c r="I245" s="8">
        <v>2000.0</v>
      </c>
      <c r="K245" s="8" t="s">
        <v>583</v>
      </c>
      <c r="L245" s="8" t="s">
        <v>322</v>
      </c>
      <c r="M245" s="8" t="s">
        <v>339</v>
      </c>
      <c r="N245" s="8">
        <v>2.5</v>
      </c>
      <c r="O245" s="14">
        <f t="shared" si="1"/>
        <v>45689</v>
      </c>
      <c r="P245" s="15">
        <f>IFERROR(VLOOKUP(K245,Formula!$A$11:$B$20,2,FALSE),Formula!$C$26)</f>
        <v>0.95</v>
      </c>
      <c r="Q245" s="15">
        <f>IF(AND(ISNUMBER(J245),J245&gt;0),1/J245,IF(AND(ISNUMBER(I245),I245&gt;0),SQRT(MIN(I245,Formula!$C$27))/Formula!$C$24,1/Formula!$C$25))</f>
        <v>0.4563404036</v>
      </c>
      <c r="R245" s="15">
        <f t="shared" si="2"/>
        <v>0.4335233834</v>
      </c>
      <c r="S245" s="15">
        <f>IF(H245&lt;&gt;"",EXP(-Formula!$C$28*(EOMONTH(H245,0)-H245)),EXP(-Formula!$C$28*(EOMONTH(D245,0)-D245)))</f>
        <v>0.3867410235</v>
      </c>
      <c r="T245" s="15">
        <f t="shared" si="3"/>
        <v>0.2672612419</v>
      </c>
      <c r="U245" s="15">
        <f t="shared" si="4"/>
        <v>0.04480936111</v>
      </c>
      <c r="V245" s="16">
        <f>IF(AND(L245="Among all respondents",NOT(OR(K245="Online poll in Telegram channel",K245="Website online poll",K245="CAWI (Computer Assisted Web Interviewing)"))),1/(1-MIN(MAX(Formula!$C$33+(YEAR(D245)-Formula!$C$34)/(Formula!$C$35-Formula!$C$34)*(Formula!$C$32-Formula!$C$33),Formula!$C$33),Formula!$C$32)),1)</f>
        <v>1</v>
      </c>
      <c r="W245" s="17">
        <f t="shared" si="5"/>
        <v>2.5</v>
      </c>
    </row>
    <row r="246" ht="15.75" customHeight="1">
      <c r="A246" s="8" t="s">
        <v>671</v>
      </c>
      <c r="B246" s="7" t="s">
        <v>660</v>
      </c>
      <c r="C246" s="13" t="s">
        <v>661</v>
      </c>
      <c r="D246" s="7" t="s">
        <v>58</v>
      </c>
      <c r="E246" s="8" t="s">
        <v>17</v>
      </c>
      <c r="F246" s="8" t="s">
        <v>318</v>
      </c>
      <c r="G246" s="7" t="s">
        <v>662</v>
      </c>
      <c r="H246" s="7" t="s">
        <v>663</v>
      </c>
      <c r="I246" s="8">
        <v>2000.0</v>
      </c>
      <c r="K246" s="8" t="s">
        <v>583</v>
      </c>
      <c r="L246" s="8" t="s">
        <v>322</v>
      </c>
      <c r="M246" s="8" t="s">
        <v>331</v>
      </c>
      <c r="N246" s="8">
        <v>2.4</v>
      </c>
      <c r="O246" s="14">
        <f t="shared" si="1"/>
        <v>45689</v>
      </c>
      <c r="P246" s="15">
        <f>IFERROR(VLOOKUP(K246,Formula!$A$11:$B$20,2,FALSE),Formula!$C$26)</f>
        <v>0.95</v>
      </c>
      <c r="Q246" s="15">
        <f>IF(AND(ISNUMBER(J246),J246&gt;0),1/J246,IF(AND(ISNUMBER(I246),I246&gt;0),SQRT(MIN(I246,Formula!$C$27))/Formula!$C$24,1/Formula!$C$25))</f>
        <v>0.4563404036</v>
      </c>
      <c r="R246" s="15">
        <f t="shared" si="2"/>
        <v>0.4335233834</v>
      </c>
      <c r="S246" s="15">
        <f>IF(H246&lt;&gt;"",EXP(-Formula!$C$28*(EOMONTH(H246,0)-H246)),EXP(-Formula!$C$28*(EOMONTH(D246,0)-D246)))</f>
        <v>0.3867410235</v>
      </c>
      <c r="T246" s="15">
        <f t="shared" si="3"/>
        <v>0.2672612419</v>
      </c>
      <c r="U246" s="15">
        <f t="shared" si="4"/>
        <v>0.04480936111</v>
      </c>
      <c r="V246" s="16">
        <f>IF(AND(L246="Among all respondents",NOT(OR(K246="Online poll in Telegram channel",K246="Website online poll",K246="CAWI (Computer Assisted Web Interviewing)"))),1/(1-MIN(MAX(Formula!$C$33+(YEAR(D246)-Formula!$C$34)/(Formula!$C$35-Formula!$C$34)*(Formula!$C$32-Formula!$C$33),Formula!$C$33),Formula!$C$32)),1)</f>
        <v>1</v>
      </c>
      <c r="W246" s="17">
        <f t="shared" si="5"/>
        <v>2.4</v>
      </c>
    </row>
    <row r="247" ht="15.75" customHeight="1">
      <c r="A247" s="8" t="s">
        <v>672</v>
      </c>
      <c r="B247" s="7" t="s">
        <v>660</v>
      </c>
      <c r="C247" s="13" t="s">
        <v>661</v>
      </c>
      <c r="D247" s="7" t="s">
        <v>58</v>
      </c>
      <c r="E247" s="8" t="s">
        <v>17</v>
      </c>
      <c r="F247" s="8" t="s">
        <v>318</v>
      </c>
      <c r="G247" s="7" t="s">
        <v>662</v>
      </c>
      <c r="H247" s="7" t="s">
        <v>663</v>
      </c>
      <c r="I247" s="8">
        <v>2000.0</v>
      </c>
      <c r="K247" s="8" t="s">
        <v>583</v>
      </c>
      <c r="L247" s="8" t="s">
        <v>322</v>
      </c>
      <c r="M247" s="8" t="s">
        <v>367</v>
      </c>
      <c r="N247" s="8">
        <v>1.7</v>
      </c>
      <c r="O247" s="14">
        <f t="shared" si="1"/>
        <v>45689</v>
      </c>
      <c r="P247" s="15">
        <f>IFERROR(VLOOKUP(K247,Formula!$A$11:$B$20,2,FALSE),Formula!$C$26)</f>
        <v>0.95</v>
      </c>
      <c r="Q247" s="15">
        <f>IF(AND(ISNUMBER(J247),J247&gt;0),1/J247,IF(AND(ISNUMBER(I247),I247&gt;0),SQRT(MIN(I247,Formula!$C$27))/Formula!$C$24,1/Formula!$C$25))</f>
        <v>0.4563404036</v>
      </c>
      <c r="R247" s="15">
        <f t="shared" si="2"/>
        <v>0.4335233834</v>
      </c>
      <c r="S247" s="15">
        <f>IF(H247&lt;&gt;"",EXP(-Formula!$C$28*(EOMONTH(H247,0)-H247)),EXP(-Formula!$C$28*(EOMONTH(D247,0)-D247)))</f>
        <v>0.3867410235</v>
      </c>
      <c r="T247" s="15">
        <f t="shared" si="3"/>
        <v>0.2672612419</v>
      </c>
      <c r="U247" s="15">
        <f t="shared" si="4"/>
        <v>0.04480936111</v>
      </c>
      <c r="V247" s="16">
        <f>IF(AND(L247="Among all respondents",NOT(OR(K247="Online poll in Telegram channel",K247="Website online poll",K247="CAWI (Computer Assisted Web Interviewing)"))),1/(1-MIN(MAX(Formula!$C$33+(YEAR(D247)-Formula!$C$34)/(Formula!$C$35-Formula!$C$34)*(Formula!$C$32-Formula!$C$33),Formula!$C$33),Formula!$C$32)),1)</f>
        <v>1</v>
      </c>
      <c r="W247" s="17">
        <f t="shared" si="5"/>
        <v>1.7</v>
      </c>
    </row>
    <row r="248" ht="15.75" customHeight="1">
      <c r="A248" s="8" t="s">
        <v>673</v>
      </c>
      <c r="B248" s="7" t="s">
        <v>660</v>
      </c>
      <c r="C248" s="13" t="s">
        <v>661</v>
      </c>
      <c r="D248" s="7" t="s">
        <v>58</v>
      </c>
      <c r="E248" s="8" t="s">
        <v>17</v>
      </c>
      <c r="F248" s="8" t="s">
        <v>318</v>
      </c>
      <c r="G248" s="7" t="s">
        <v>662</v>
      </c>
      <c r="H248" s="7" t="s">
        <v>663</v>
      </c>
      <c r="I248" s="8">
        <v>2000.0</v>
      </c>
      <c r="K248" s="8" t="s">
        <v>583</v>
      </c>
      <c r="L248" s="8" t="s">
        <v>322</v>
      </c>
      <c r="M248" s="8" t="s">
        <v>362</v>
      </c>
      <c r="N248" s="8">
        <v>1.1</v>
      </c>
      <c r="O248" s="14">
        <f t="shared" si="1"/>
        <v>45689</v>
      </c>
      <c r="P248" s="15">
        <f>IFERROR(VLOOKUP(K248,Formula!$A$11:$B$20,2,FALSE),Formula!$C$26)</f>
        <v>0.95</v>
      </c>
      <c r="Q248" s="15">
        <f>IF(AND(ISNUMBER(J248),J248&gt;0),1/J248,IF(AND(ISNUMBER(I248),I248&gt;0),SQRT(MIN(I248,Formula!$C$27))/Formula!$C$24,1/Formula!$C$25))</f>
        <v>0.4563404036</v>
      </c>
      <c r="R248" s="15">
        <f t="shared" si="2"/>
        <v>0.4335233834</v>
      </c>
      <c r="S248" s="15">
        <f>IF(H248&lt;&gt;"",EXP(-Formula!$C$28*(EOMONTH(H248,0)-H248)),EXP(-Formula!$C$28*(EOMONTH(D248,0)-D248)))</f>
        <v>0.3867410235</v>
      </c>
      <c r="T248" s="15">
        <f t="shared" si="3"/>
        <v>0.2672612419</v>
      </c>
      <c r="U248" s="15">
        <f t="shared" si="4"/>
        <v>0.04480936111</v>
      </c>
      <c r="V248" s="16">
        <f>IF(AND(L248="Among all respondents",NOT(OR(K248="Online poll in Telegram channel",K248="Website online poll",K248="CAWI (Computer Assisted Web Interviewing)"))),1/(1-MIN(MAX(Formula!$C$33+(YEAR(D248)-Formula!$C$34)/(Formula!$C$35-Formula!$C$34)*(Formula!$C$32-Formula!$C$33),Formula!$C$33),Formula!$C$32)),1)</f>
        <v>1</v>
      </c>
      <c r="W248" s="17">
        <f t="shared" si="5"/>
        <v>1.1</v>
      </c>
    </row>
    <row r="249" ht="15.75" customHeight="1">
      <c r="A249" s="8" t="s">
        <v>674</v>
      </c>
      <c r="B249" s="7" t="s">
        <v>660</v>
      </c>
      <c r="C249" s="13" t="s">
        <v>661</v>
      </c>
      <c r="D249" s="7" t="s">
        <v>58</v>
      </c>
      <c r="E249" s="8" t="s">
        <v>17</v>
      </c>
      <c r="F249" s="8" t="s">
        <v>318</v>
      </c>
      <c r="G249" s="7" t="s">
        <v>662</v>
      </c>
      <c r="H249" s="7" t="s">
        <v>663</v>
      </c>
      <c r="I249" s="8">
        <v>2000.0</v>
      </c>
      <c r="K249" s="8" t="s">
        <v>583</v>
      </c>
      <c r="L249" s="8" t="s">
        <v>322</v>
      </c>
      <c r="M249" s="8" t="s">
        <v>343</v>
      </c>
      <c r="N249" s="8">
        <v>1.1</v>
      </c>
      <c r="O249" s="14">
        <f t="shared" si="1"/>
        <v>45689</v>
      </c>
      <c r="P249" s="15">
        <f>IFERROR(VLOOKUP(K249,Formula!$A$11:$B$20,2,FALSE),Formula!$C$26)</f>
        <v>0.95</v>
      </c>
      <c r="Q249" s="15">
        <f>IF(AND(ISNUMBER(J249),J249&gt;0),1/J249,IF(AND(ISNUMBER(I249),I249&gt;0),SQRT(MIN(I249,Formula!$C$27))/Formula!$C$24,1/Formula!$C$25))</f>
        <v>0.4563404036</v>
      </c>
      <c r="R249" s="15">
        <f t="shared" si="2"/>
        <v>0.4335233834</v>
      </c>
      <c r="S249" s="15">
        <f>IF(H249&lt;&gt;"",EXP(-Formula!$C$28*(EOMONTH(H249,0)-H249)),EXP(-Formula!$C$28*(EOMONTH(D249,0)-D249)))</f>
        <v>0.3867410235</v>
      </c>
      <c r="T249" s="15">
        <f t="shared" si="3"/>
        <v>0.2672612419</v>
      </c>
      <c r="U249" s="15">
        <f t="shared" si="4"/>
        <v>0.04480936111</v>
      </c>
      <c r="V249" s="16">
        <f>IF(AND(L249="Among all respondents",NOT(OR(K249="Online poll in Telegram channel",K249="Website online poll",K249="CAWI (Computer Assisted Web Interviewing)"))),1/(1-MIN(MAX(Formula!$C$33+(YEAR(D249)-Formula!$C$34)/(Formula!$C$35-Formula!$C$34)*(Formula!$C$32-Formula!$C$33),Formula!$C$33),Formula!$C$32)),1)</f>
        <v>1</v>
      </c>
      <c r="W249" s="17">
        <f t="shared" si="5"/>
        <v>1.1</v>
      </c>
    </row>
    <row r="250" ht="15.75" customHeight="1">
      <c r="A250" s="8" t="s">
        <v>675</v>
      </c>
      <c r="B250" s="7" t="s">
        <v>660</v>
      </c>
      <c r="C250" s="13" t="s">
        <v>661</v>
      </c>
      <c r="D250" s="7" t="s">
        <v>58</v>
      </c>
      <c r="E250" s="8" t="s">
        <v>17</v>
      </c>
      <c r="F250" s="8" t="s">
        <v>318</v>
      </c>
      <c r="G250" s="7" t="s">
        <v>662</v>
      </c>
      <c r="H250" s="7" t="s">
        <v>663</v>
      </c>
      <c r="I250" s="8">
        <v>2000.0</v>
      </c>
      <c r="K250" s="8" t="s">
        <v>583</v>
      </c>
      <c r="L250" s="8" t="s">
        <v>322</v>
      </c>
      <c r="M250" s="8" t="s">
        <v>359</v>
      </c>
      <c r="N250" s="8">
        <v>1.1</v>
      </c>
      <c r="O250" s="14">
        <f t="shared" si="1"/>
        <v>45689</v>
      </c>
      <c r="P250" s="15">
        <f>IFERROR(VLOOKUP(K250,Formula!$A$11:$B$20,2,FALSE),Formula!$C$26)</f>
        <v>0.95</v>
      </c>
      <c r="Q250" s="15">
        <f>IF(AND(ISNUMBER(J250),J250&gt;0),1/J250,IF(AND(ISNUMBER(I250),I250&gt;0),SQRT(MIN(I250,Formula!$C$27))/Formula!$C$24,1/Formula!$C$25))</f>
        <v>0.4563404036</v>
      </c>
      <c r="R250" s="15">
        <f t="shared" si="2"/>
        <v>0.4335233834</v>
      </c>
      <c r="S250" s="15">
        <f>IF(H250&lt;&gt;"",EXP(-Formula!$C$28*(EOMONTH(H250,0)-H250)),EXP(-Formula!$C$28*(EOMONTH(D250,0)-D250)))</f>
        <v>0.3867410235</v>
      </c>
      <c r="T250" s="15">
        <f t="shared" si="3"/>
        <v>0.2672612419</v>
      </c>
      <c r="U250" s="15">
        <f t="shared" si="4"/>
        <v>0.04480936111</v>
      </c>
      <c r="V250" s="16">
        <f>IF(AND(L250="Among all respondents",NOT(OR(K250="Online poll in Telegram channel",K250="Website online poll",K250="CAWI (Computer Assisted Web Interviewing)"))),1/(1-MIN(MAX(Formula!$C$33+(YEAR(D250)-Formula!$C$34)/(Formula!$C$35-Formula!$C$34)*(Formula!$C$32-Formula!$C$33),Formula!$C$33),Formula!$C$32)),1)</f>
        <v>1</v>
      </c>
      <c r="W250" s="17">
        <f t="shared" si="5"/>
        <v>1.1</v>
      </c>
    </row>
    <row r="251" ht="15.75" customHeight="1">
      <c r="A251" s="8" t="s">
        <v>676</v>
      </c>
      <c r="B251" s="7" t="s">
        <v>660</v>
      </c>
      <c r="C251" s="13" t="s">
        <v>661</v>
      </c>
      <c r="D251" s="7" t="s">
        <v>58</v>
      </c>
      <c r="E251" s="8" t="s">
        <v>17</v>
      </c>
      <c r="F251" s="8" t="s">
        <v>318</v>
      </c>
      <c r="G251" s="7" t="s">
        <v>662</v>
      </c>
      <c r="H251" s="7" t="s">
        <v>663</v>
      </c>
      <c r="I251" s="8">
        <v>2000.0</v>
      </c>
      <c r="K251" s="8" t="s">
        <v>583</v>
      </c>
      <c r="L251" s="8" t="s">
        <v>322</v>
      </c>
      <c r="M251" s="8" t="s">
        <v>365</v>
      </c>
      <c r="N251" s="8">
        <v>0.9</v>
      </c>
      <c r="O251" s="14">
        <f t="shared" si="1"/>
        <v>45689</v>
      </c>
      <c r="P251" s="15">
        <f>IFERROR(VLOOKUP(K251,Formula!$A$11:$B$20,2,FALSE),Formula!$C$26)</f>
        <v>0.95</v>
      </c>
      <c r="Q251" s="15">
        <f>IF(AND(ISNUMBER(J251),J251&gt;0),1/J251,IF(AND(ISNUMBER(I251),I251&gt;0),SQRT(MIN(I251,Formula!$C$27))/Formula!$C$24,1/Formula!$C$25))</f>
        <v>0.4563404036</v>
      </c>
      <c r="R251" s="15">
        <f t="shared" si="2"/>
        <v>0.4335233834</v>
      </c>
      <c r="S251" s="15">
        <f>IF(H251&lt;&gt;"",EXP(-Formula!$C$28*(EOMONTH(H251,0)-H251)),EXP(-Formula!$C$28*(EOMONTH(D251,0)-D251)))</f>
        <v>0.3867410235</v>
      </c>
      <c r="T251" s="15">
        <f t="shared" si="3"/>
        <v>0.2672612419</v>
      </c>
      <c r="U251" s="15">
        <f t="shared" si="4"/>
        <v>0.04480936111</v>
      </c>
      <c r="V251" s="16">
        <f>IF(AND(L251="Among all respondents",NOT(OR(K251="Online poll in Telegram channel",K251="Website online poll",K251="CAWI (Computer Assisted Web Interviewing)"))),1/(1-MIN(MAX(Formula!$C$33+(YEAR(D251)-Formula!$C$34)/(Formula!$C$35-Formula!$C$34)*(Formula!$C$32-Formula!$C$33),Formula!$C$33),Formula!$C$32)),1)</f>
        <v>1</v>
      </c>
      <c r="W251" s="17">
        <f t="shared" si="5"/>
        <v>0.9</v>
      </c>
    </row>
    <row r="252" ht="15.75" customHeight="1">
      <c r="A252" s="8" t="s">
        <v>677</v>
      </c>
      <c r="B252" s="7" t="s">
        <v>678</v>
      </c>
      <c r="C252" s="13" t="s">
        <v>679</v>
      </c>
      <c r="D252" s="7" t="s">
        <v>55</v>
      </c>
      <c r="E252" s="8" t="s">
        <v>57</v>
      </c>
      <c r="F252" s="8" t="s">
        <v>318</v>
      </c>
      <c r="G252" s="7" t="s">
        <v>680</v>
      </c>
      <c r="H252" s="7" t="s">
        <v>680</v>
      </c>
      <c r="I252" s="8">
        <v>1000.0</v>
      </c>
      <c r="K252" s="8" t="s">
        <v>351</v>
      </c>
      <c r="L252" s="8" t="s">
        <v>322</v>
      </c>
      <c r="M252" s="8" t="s">
        <v>323</v>
      </c>
      <c r="N252" s="8">
        <v>23.0</v>
      </c>
      <c r="O252" s="14">
        <f t="shared" si="1"/>
        <v>45689</v>
      </c>
      <c r="P252" s="15">
        <f>IFERROR(VLOOKUP(K252,Formula!$A$11:$B$20,2,FALSE),Formula!$C$26)</f>
        <v>0.6</v>
      </c>
      <c r="Q252" s="15">
        <f>IF(AND(ISNUMBER(J252),J252&gt;0),1/J252,IF(AND(ISNUMBER(I252),I252&gt;0),SQRT(MIN(I252,Formula!$C$27))/Formula!$C$24,1/Formula!$C$25))</f>
        <v>0.3226813939</v>
      </c>
      <c r="R252" s="15">
        <f t="shared" si="2"/>
        <v>0.1936088363</v>
      </c>
      <c r="S252" s="15">
        <f>IF(H252&lt;&gt;"",EXP(-Formula!$C$28*(EOMONTH(H252,0)-H252)),EXP(-Formula!$C$28*(EOMONTH(D252,0)-D252)))</f>
        <v>0.6376281516</v>
      </c>
      <c r="T252" s="15">
        <f t="shared" si="3"/>
        <v>1</v>
      </c>
      <c r="U252" s="15">
        <f t="shared" si="4"/>
        <v>0.1234504445</v>
      </c>
      <c r="V252" s="16">
        <f>IF(AND(L252="Among all respondents",NOT(OR(K252="Online poll in Telegram channel",K252="Website online poll",K252="CAWI (Computer Assisted Web Interviewing)"))),1/(1-MIN(MAX(Formula!$C$33+(YEAR(D252)-Formula!$C$34)/(Formula!$C$35-Formula!$C$34)*(Formula!$C$32-Formula!$C$33),Formula!$C$33),Formula!$C$32)),1)</f>
        <v>1</v>
      </c>
      <c r="W252" s="17">
        <f t="shared" si="5"/>
        <v>23</v>
      </c>
    </row>
    <row r="253" ht="15.75" customHeight="1">
      <c r="A253" s="8" t="s">
        <v>681</v>
      </c>
      <c r="B253" s="7" t="s">
        <v>682</v>
      </c>
      <c r="C253" s="13" t="s">
        <v>683</v>
      </c>
      <c r="D253" s="7" t="s">
        <v>62</v>
      </c>
      <c r="E253" s="8" t="s">
        <v>17</v>
      </c>
      <c r="F253" s="8" t="s">
        <v>318</v>
      </c>
      <c r="G253" s="7" t="s">
        <v>684</v>
      </c>
      <c r="H253" s="7" t="s">
        <v>685</v>
      </c>
      <c r="I253" s="8">
        <v>2000.0</v>
      </c>
      <c r="K253" s="8" t="s">
        <v>321</v>
      </c>
      <c r="L253" s="8" t="s">
        <v>322</v>
      </c>
      <c r="M253" s="8" t="s">
        <v>325</v>
      </c>
      <c r="N253" s="8">
        <v>36.1</v>
      </c>
      <c r="O253" s="14">
        <f t="shared" si="1"/>
        <v>45658</v>
      </c>
      <c r="P253" s="15">
        <f>IFERROR(VLOOKUP(K253,Formula!$A$11:$B$20,2,FALSE),Formula!$C$26)</f>
        <v>0.9</v>
      </c>
      <c r="Q253" s="15">
        <f>IF(AND(ISNUMBER(J253),J253&gt;0),1/J253,IF(AND(ISNUMBER(I253),I253&gt;0),SQRT(MIN(I253,Formula!$C$27))/Formula!$C$24,1/Formula!$C$25))</f>
        <v>0.4563404036</v>
      </c>
      <c r="R253" s="15">
        <f t="shared" si="2"/>
        <v>0.4107063632</v>
      </c>
      <c r="S253" s="15">
        <f>IF(H253&lt;&gt;"",EXP(-Formula!$C$28*(EOMONTH(H253,0)-H253)),EXP(-Formula!$C$28*(EOMONTH(D253,0)-D253)))</f>
        <v>0.3678794412</v>
      </c>
      <c r="T253" s="15">
        <f t="shared" si="3"/>
        <v>0.316227766</v>
      </c>
      <c r="U253" s="15">
        <f t="shared" si="4"/>
        <v>0.04777898832</v>
      </c>
      <c r="V253" s="16">
        <f>IF(AND(L253="Among all respondents",NOT(OR(K253="Online poll in Telegram channel",K253="Website online poll",K253="CAWI (Computer Assisted Web Interviewing)"))),1/(1-MIN(MAX(Formula!$C$33+(YEAR(D253)-Formula!$C$34)/(Formula!$C$35-Formula!$C$34)*(Formula!$C$32-Formula!$C$33),Formula!$C$33),Formula!$C$32)),1)</f>
        <v>1</v>
      </c>
      <c r="W253" s="17">
        <f t="shared" si="5"/>
        <v>36.1</v>
      </c>
    </row>
    <row r="254" ht="15.75" customHeight="1">
      <c r="A254" s="8" t="s">
        <v>686</v>
      </c>
      <c r="B254" s="7" t="s">
        <v>682</v>
      </c>
      <c r="C254" s="13" t="s">
        <v>683</v>
      </c>
      <c r="D254" s="7" t="s">
        <v>62</v>
      </c>
      <c r="E254" s="8" t="s">
        <v>17</v>
      </c>
      <c r="F254" s="8" t="s">
        <v>318</v>
      </c>
      <c r="G254" s="7" t="s">
        <v>684</v>
      </c>
      <c r="H254" s="7" t="s">
        <v>685</v>
      </c>
      <c r="I254" s="8">
        <v>2000.0</v>
      </c>
      <c r="K254" s="8" t="s">
        <v>321</v>
      </c>
      <c r="L254" s="8" t="s">
        <v>322</v>
      </c>
      <c r="M254" s="8" t="s">
        <v>323</v>
      </c>
      <c r="N254" s="8">
        <v>24.3</v>
      </c>
      <c r="O254" s="14">
        <f t="shared" si="1"/>
        <v>45658</v>
      </c>
      <c r="P254" s="15">
        <f>IFERROR(VLOOKUP(K254,Formula!$A$11:$B$20,2,FALSE),Formula!$C$26)</f>
        <v>0.9</v>
      </c>
      <c r="Q254" s="15">
        <f>IF(AND(ISNUMBER(J254),J254&gt;0),1/J254,IF(AND(ISNUMBER(I254),I254&gt;0),SQRT(MIN(I254,Formula!$C$27))/Formula!$C$24,1/Formula!$C$25))</f>
        <v>0.4563404036</v>
      </c>
      <c r="R254" s="15">
        <f t="shared" si="2"/>
        <v>0.4107063632</v>
      </c>
      <c r="S254" s="15">
        <f>IF(H254&lt;&gt;"",EXP(-Formula!$C$28*(EOMONTH(H254,0)-H254)),EXP(-Formula!$C$28*(EOMONTH(D254,0)-D254)))</f>
        <v>0.3678794412</v>
      </c>
      <c r="T254" s="15">
        <f t="shared" si="3"/>
        <v>0.316227766</v>
      </c>
      <c r="U254" s="15">
        <f t="shared" si="4"/>
        <v>0.04777898832</v>
      </c>
      <c r="V254" s="16">
        <f>IF(AND(L254="Among all respondents",NOT(OR(K254="Online poll in Telegram channel",K254="Website online poll",K254="CAWI (Computer Assisted Web Interviewing)"))),1/(1-MIN(MAX(Formula!$C$33+(YEAR(D254)-Formula!$C$34)/(Formula!$C$35-Formula!$C$34)*(Formula!$C$32-Formula!$C$33),Formula!$C$33),Formula!$C$32)),1)</f>
        <v>1</v>
      </c>
      <c r="W254" s="17">
        <f t="shared" si="5"/>
        <v>24.3</v>
      </c>
    </row>
    <row r="255" ht="15.75" customHeight="1">
      <c r="A255" s="8" t="s">
        <v>687</v>
      </c>
      <c r="B255" s="7" t="s">
        <v>682</v>
      </c>
      <c r="C255" s="13" t="s">
        <v>683</v>
      </c>
      <c r="D255" s="7" t="s">
        <v>62</v>
      </c>
      <c r="E255" s="8" t="s">
        <v>17</v>
      </c>
      <c r="F255" s="8" t="s">
        <v>318</v>
      </c>
      <c r="G255" s="7" t="s">
        <v>684</v>
      </c>
      <c r="H255" s="7" t="s">
        <v>685</v>
      </c>
      <c r="I255" s="8">
        <v>2000.0</v>
      </c>
      <c r="K255" s="8" t="s">
        <v>321</v>
      </c>
      <c r="L255" s="8" t="s">
        <v>322</v>
      </c>
      <c r="M255" s="8" t="s">
        <v>329</v>
      </c>
      <c r="N255" s="8">
        <v>9.4</v>
      </c>
      <c r="O255" s="14">
        <f t="shared" si="1"/>
        <v>45658</v>
      </c>
      <c r="P255" s="15">
        <f>IFERROR(VLOOKUP(K255,Formula!$A$11:$B$20,2,FALSE),Formula!$C$26)</f>
        <v>0.9</v>
      </c>
      <c r="Q255" s="15">
        <f>IF(AND(ISNUMBER(J255),J255&gt;0),1/J255,IF(AND(ISNUMBER(I255),I255&gt;0),SQRT(MIN(I255,Formula!$C$27))/Formula!$C$24,1/Formula!$C$25))</f>
        <v>0.4563404036</v>
      </c>
      <c r="R255" s="15">
        <f t="shared" si="2"/>
        <v>0.4107063632</v>
      </c>
      <c r="S255" s="15">
        <f>IF(H255&lt;&gt;"",EXP(-Formula!$C$28*(EOMONTH(H255,0)-H255)),EXP(-Formula!$C$28*(EOMONTH(D255,0)-D255)))</f>
        <v>0.3678794412</v>
      </c>
      <c r="T255" s="15">
        <f t="shared" si="3"/>
        <v>0.316227766</v>
      </c>
      <c r="U255" s="15">
        <f t="shared" si="4"/>
        <v>0.04777898832</v>
      </c>
      <c r="V255" s="16">
        <f>IF(AND(L255="Among all respondents",NOT(OR(K255="Online poll in Telegram channel",K255="Website online poll",K255="CAWI (Computer Assisted Web Interviewing)"))),1/(1-MIN(MAX(Formula!$C$33+(YEAR(D255)-Formula!$C$34)/(Formula!$C$35-Formula!$C$34)*(Formula!$C$32-Formula!$C$33),Formula!$C$33),Formula!$C$32)),1)</f>
        <v>1</v>
      </c>
      <c r="W255" s="17">
        <f t="shared" si="5"/>
        <v>9.4</v>
      </c>
    </row>
    <row r="256" ht="15.75" customHeight="1">
      <c r="A256" s="8" t="s">
        <v>688</v>
      </c>
      <c r="B256" s="7" t="s">
        <v>682</v>
      </c>
      <c r="C256" s="13" t="s">
        <v>683</v>
      </c>
      <c r="D256" s="7" t="s">
        <v>62</v>
      </c>
      <c r="E256" s="8" t="s">
        <v>17</v>
      </c>
      <c r="F256" s="8" t="s">
        <v>318</v>
      </c>
      <c r="G256" s="7" t="s">
        <v>684</v>
      </c>
      <c r="H256" s="7" t="s">
        <v>685</v>
      </c>
      <c r="I256" s="8">
        <v>2000.0</v>
      </c>
      <c r="K256" s="8" t="s">
        <v>321</v>
      </c>
      <c r="L256" s="8" t="s">
        <v>322</v>
      </c>
      <c r="M256" s="8" t="s">
        <v>333</v>
      </c>
      <c r="N256" s="8">
        <v>8.3</v>
      </c>
      <c r="O256" s="14">
        <f t="shared" si="1"/>
        <v>45658</v>
      </c>
      <c r="P256" s="15">
        <f>IFERROR(VLOOKUP(K256,Formula!$A$11:$B$20,2,FALSE),Formula!$C$26)</f>
        <v>0.9</v>
      </c>
      <c r="Q256" s="15">
        <f>IF(AND(ISNUMBER(J256),J256&gt;0),1/J256,IF(AND(ISNUMBER(I256),I256&gt;0),SQRT(MIN(I256,Formula!$C$27))/Formula!$C$24,1/Formula!$C$25))</f>
        <v>0.4563404036</v>
      </c>
      <c r="R256" s="15">
        <f t="shared" si="2"/>
        <v>0.4107063632</v>
      </c>
      <c r="S256" s="15">
        <f>IF(H256&lt;&gt;"",EXP(-Formula!$C$28*(EOMONTH(H256,0)-H256)),EXP(-Formula!$C$28*(EOMONTH(D256,0)-D256)))</f>
        <v>0.3678794412</v>
      </c>
      <c r="T256" s="15">
        <f t="shared" si="3"/>
        <v>0.316227766</v>
      </c>
      <c r="U256" s="15">
        <f t="shared" si="4"/>
        <v>0.04777898832</v>
      </c>
      <c r="V256" s="16">
        <f>IF(AND(L256="Among all respondents",NOT(OR(K256="Online poll in Telegram channel",K256="Website online poll",K256="CAWI (Computer Assisted Web Interviewing)"))),1/(1-MIN(MAX(Formula!$C$33+(YEAR(D256)-Formula!$C$34)/(Formula!$C$35-Formula!$C$34)*(Formula!$C$32-Formula!$C$33),Formula!$C$33),Formula!$C$32)),1)</f>
        <v>1</v>
      </c>
      <c r="W256" s="17">
        <f t="shared" si="5"/>
        <v>8.3</v>
      </c>
    </row>
    <row r="257" ht="15.75" customHeight="1">
      <c r="A257" s="8" t="s">
        <v>689</v>
      </c>
      <c r="B257" s="7" t="s">
        <v>682</v>
      </c>
      <c r="C257" s="13" t="s">
        <v>683</v>
      </c>
      <c r="D257" s="7" t="s">
        <v>62</v>
      </c>
      <c r="E257" s="8" t="s">
        <v>17</v>
      </c>
      <c r="F257" s="8" t="s">
        <v>318</v>
      </c>
      <c r="G257" s="7" t="s">
        <v>684</v>
      </c>
      <c r="H257" s="7" t="s">
        <v>685</v>
      </c>
      <c r="I257" s="8">
        <v>2000.0</v>
      </c>
      <c r="K257" s="8" t="s">
        <v>321</v>
      </c>
      <c r="L257" s="8" t="s">
        <v>322</v>
      </c>
      <c r="M257" s="8" t="s">
        <v>337</v>
      </c>
      <c r="N257" s="8">
        <v>6.0</v>
      </c>
      <c r="O257" s="14">
        <f t="shared" si="1"/>
        <v>45658</v>
      </c>
      <c r="P257" s="15">
        <f>IFERROR(VLOOKUP(K257,Formula!$A$11:$B$20,2,FALSE),Formula!$C$26)</f>
        <v>0.9</v>
      </c>
      <c r="Q257" s="15">
        <f>IF(AND(ISNUMBER(J257),J257&gt;0),1/J257,IF(AND(ISNUMBER(I257),I257&gt;0),SQRT(MIN(I257,Formula!$C$27))/Formula!$C$24,1/Formula!$C$25))</f>
        <v>0.4563404036</v>
      </c>
      <c r="R257" s="15">
        <f t="shared" si="2"/>
        <v>0.4107063632</v>
      </c>
      <c r="S257" s="15">
        <f>IF(H257&lt;&gt;"",EXP(-Formula!$C$28*(EOMONTH(H257,0)-H257)),EXP(-Formula!$C$28*(EOMONTH(D257,0)-D257)))</f>
        <v>0.3678794412</v>
      </c>
      <c r="T257" s="15">
        <f t="shared" si="3"/>
        <v>0.316227766</v>
      </c>
      <c r="U257" s="15">
        <f t="shared" si="4"/>
        <v>0.04777898832</v>
      </c>
      <c r="V257" s="16">
        <f>IF(AND(L257="Among all respondents",NOT(OR(K257="Online poll in Telegram channel",K257="Website online poll",K257="CAWI (Computer Assisted Web Interviewing)"))),1/(1-MIN(MAX(Formula!$C$33+(YEAR(D257)-Formula!$C$34)/(Formula!$C$35-Formula!$C$34)*(Formula!$C$32-Formula!$C$33),Formula!$C$33),Formula!$C$32)),1)</f>
        <v>1</v>
      </c>
      <c r="W257" s="17">
        <f t="shared" si="5"/>
        <v>6</v>
      </c>
    </row>
    <row r="258" ht="15.75" customHeight="1">
      <c r="A258" s="8" t="s">
        <v>690</v>
      </c>
      <c r="B258" s="7" t="s">
        <v>682</v>
      </c>
      <c r="C258" s="13" t="s">
        <v>683</v>
      </c>
      <c r="D258" s="7" t="s">
        <v>62</v>
      </c>
      <c r="E258" s="8" t="s">
        <v>17</v>
      </c>
      <c r="F258" s="8" t="s">
        <v>318</v>
      </c>
      <c r="G258" s="7" t="s">
        <v>684</v>
      </c>
      <c r="H258" s="7" t="s">
        <v>685</v>
      </c>
      <c r="I258" s="8">
        <v>2000.0</v>
      </c>
      <c r="K258" s="8" t="s">
        <v>321</v>
      </c>
      <c r="L258" s="8" t="s">
        <v>322</v>
      </c>
      <c r="M258" s="8" t="s">
        <v>339</v>
      </c>
      <c r="N258" s="8">
        <v>2.9</v>
      </c>
      <c r="O258" s="14">
        <f t="shared" si="1"/>
        <v>45658</v>
      </c>
      <c r="P258" s="15">
        <f>IFERROR(VLOOKUP(K258,Formula!$A$11:$B$20,2,FALSE),Formula!$C$26)</f>
        <v>0.9</v>
      </c>
      <c r="Q258" s="15">
        <f>IF(AND(ISNUMBER(J258),J258&gt;0),1/J258,IF(AND(ISNUMBER(I258),I258&gt;0),SQRT(MIN(I258,Formula!$C$27))/Formula!$C$24,1/Formula!$C$25))</f>
        <v>0.4563404036</v>
      </c>
      <c r="R258" s="15">
        <f t="shared" si="2"/>
        <v>0.4107063632</v>
      </c>
      <c r="S258" s="15">
        <f>IF(H258&lt;&gt;"",EXP(-Formula!$C$28*(EOMONTH(H258,0)-H258)),EXP(-Formula!$C$28*(EOMONTH(D258,0)-D258)))</f>
        <v>0.3678794412</v>
      </c>
      <c r="T258" s="15">
        <f t="shared" si="3"/>
        <v>0.316227766</v>
      </c>
      <c r="U258" s="15">
        <f t="shared" si="4"/>
        <v>0.04777898832</v>
      </c>
      <c r="V258" s="16">
        <f>IF(AND(L258="Among all respondents",NOT(OR(K258="Online poll in Telegram channel",K258="Website online poll",K258="CAWI (Computer Assisted Web Interviewing)"))),1/(1-MIN(MAX(Formula!$C$33+(YEAR(D258)-Formula!$C$34)/(Formula!$C$35-Formula!$C$34)*(Formula!$C$32-Formula!$C$33),Formula!$C$33),Formula!$C$32)),1)</f>
        <v>1</v>
      </c>
      <c r="W258" s="17">
        <f t="shared" si="5"/>
        <v>2.9</v>
      </c>
    </row>
    <row r="259" ht="15.75" customHeight="1">
      <c r="A259" s="8" t="s">
        <v>691</v>
      </c>
      <c r="B259" s="7" t="s">
        <v>682</v>
      </c>
      <c r="C259" s="13" t="s">
        <v>683</v>
      </c>
      <c r="D259" s="7" t="s">
        <v>62</v>
      </c>
      <c r="E259" s="8" t="s">
        <v>17</v>
      </c>
      <c r="F259" s="8" t="s">
        <v>318</v>
      </c>
      <c r="G259" s="7" t="s">
        <v>684</v>
      </c>
      <c r="H259" s="7" t="s">
        <v>685</v>
      </c>
      <c r="I259" s="8">
        <v>2000.0</v>
      </c>
      <c r="K259" s="8" t="s">
        <v>321</v>
      </c>
      <c r="L259" s="8" t="s">
        <v>322</v>
      </c>
      <c r="M259" s="8" t="s">
        <v>327</v>
      </c>
      <c r="N259" s="8">
        <v>2.8</v>
      </c>
      <c r="O259" s="14">
        <f t="shared" si="1"/>
        <v>45658</v>
      </c>
      <c r="P259" s="15">
        <f>IFERROR(VLOOKUP(K259,Formula!$A$11:$B$20,2,FALSE),Formula!$C$26)</f>
        <v>0.9</v>
      </c>
      <c r="Q259" s="15">
        <f>IF(AND(ISNUMBER(J259),J259&gt;0),1/J259,IF(AND(ISNUMBER(I259),I259&gt;0),SQRT(MIN(I259,Formula!$C$27))/Formula!$C$24,1/Formula!$C$25))</f>
        <v>0.4563404036</v>
      </c>
      <c r="R259" s="15">
        <f t="shared" si="2"/>
        <v>0.4107063632</v>
      </c>
      <c r="S259" s="15">
        <f>IF(H259&lt;&gt;"",EXP(-Formula!$C$28*(EOMONTH(H259,0)-H259)),EXP(-Formula!$C$28*(EOMONTH(D259,0)-D259)))</f>
        <v>0.3678794412</v>
      </c>
      <c r="T259" s="15">
        <f t="shared" si="3"/>
        <v>0.316227766</v>
      </c>
      <c r="U259" s="15">
        <f t="shared" si="4"/>
        <v>0.04777898832</v>
      </c>
      <c r="V259" s="16">
        <f>IF(AND(L259="Among all respondents",NOT(OR(K259="Online poll in Telegram channel",K259="Website online poll",K259="CAWI (Computer Assisted Web Interviewing)"))),1/(1-MIN(MAX(Formula!$C$33+(YEAR(D259)-Formula!$C$34)/(Formula!$C$35-Formula!$C$34)*(Formula!$C$32-Formula!$C$33),Formula!$C$33),Formula!$C$32)),1)</f>
        <v>1</v>
      </c>
      <c r="W259" s="17">
        <f t="shared" si="5"/>
        <v>2.8</v>
      </c>
    </row>
    <row r="260" ht="15.75" customHeight="1">
      <c r="A260" s="8" t="s">
        <v>692</v>
      </c>
      <c r="B260" s="7" t="s">
        <v>682</v>
      </c>
      <c r="C260" s="13" t="s">
        <v>683</v>
      </c>
      <c r="D260" s="7" t="s">
        <v>62</v>
      </c>
      <c r="E260" s="8" t="s">
        <v>17</v>
      </c>
      <c r="F260" s="8" t="s">
        <v>318</v>
      </c>
      <c r="G260" s="7" t="s">
        <v>684</v>
      </c>
      <c r="H260" s="7" t="s">
        <v>685</v>
      </c>
      <c r="I260" s="8">
        <v>2000.0</v>
      </c>
      <c r="K260" s="8" t="s">
        <v>321</v>
      </c>
      <c r="L260" s="8" t="s">
        <v>322</v>
      </c>
      <c r="M260" s="8" t="s">
        <v>335</v>
      </c>
      <c r="N260" s="8">
        <v>2.2</v>
      </c>
      <c r="O260" s="14">
        <f t="shared" si="1"/>
        <v>45658</v>
      </c>
      <c r="P260" s="15">
        <f>IFERROR(VLOOKUP(K260,Formula!$A$11:$B$20,2,FALSE),Formula!$C$26)</f>
        <v>0.9</v>
      </c>
      <c r="Q260" s="15">
        <f>IF(AND(ISNUMBER(J260),J260&gt;0),1/J260,IF(AND(ISNUMBER(I260),I260&gt;0),SQRT(MIN(I260,Formula!$C$27))/Formula!$C$24,1/Formula!$C$25))</f>
        <v>0.4563404036</v>
      </c>
      <c r="R260" s="15">
        <f t="shared" si="2"/>
        <v>0.4107063632</v>
      </c>
      <c r="S260" s="15">
        <f>IF(H260&lt;&gt;"",EXP(-Formula!$C$28*(EOMONTH(H260,0)-H260)),EXP(-Formula!$C$28*(EOMONTH(D260,0)-D260)))</f>
        <v>0.3678794412</v>
      </c>
      <c r="T260" s="15">
        <f t="shared" si="3"/>
        <v>0.316227766</v>
      </c>
      <c r="U260" s="15">
        <f t="shared" si="4"/>
        <v>0.04777898832</v>
      </c>
      <c r="V260" s="16">
        <f>IF(AND(L260="Among all respondents",NOT(OR(K260="Online poll in Telegram channel",K260="Website online poll",K260="CAWI (Computer Assisted Web Interviewing)"))),1/(1-MIN(MAX(Formula!$C$33+(YEAR(D260)-Formula!$C$34)/(Formula!$C$35-Formula!$C$34)*(Formula!$C$32-Formula!$C$33),Formula!$C$33),Formula!$C$32)),1)</f>
        <v>1</v>
      </c>
      <c r="W260" s="17">
        <f t="shared" si="5"/>
        <v>2.2</v>
      </c>
    </row>
    <row r="261" ht="15.75" customHeight="1">
      <c r="A261" s="8" t="s">
        <v>693</v>
      </c>
      <c r="B261" s="7" t="s">
        <v>682</v>
      </c>
      <c r="C261" s="13" t="s">
        <v>683</v>
      </c>
      <c r="D261" s="7" t="s">
        <v>62</v>
      </c>
      <c r="E261" s="8" t="s">
        <v>17</v>
      </c>
      <c r="F261" s="8" t="s">
        <v>318</v>
      </c>
      <c r="G261" s="7" t="s">
        <v>684</v>
      </c>
      <c r="H261" s="7" t="s">
        <v>685</v>
      </c>
      <c r="I261" s="8">
        <v>2000.0</v>
      </c>
      <c r="K261" s="8" t="s">
        <v>321</v>
      </c>
      <c r="L261" s="8" t="s">
        <v>322</v>
      </c>
      <c r="M261" s="8" t="s">
        <v>343</v>
      </c>
      <c r="N261" s="8">
        <v>2.0</v>
      </c>
      <c r="O261" s="14">
        <f t="shared" si="1"/>
        <v>45658</v>
      </c>
      <c r="P261" s="15">
        <f>IFERROR(VLOOKUP(K261,Formula!$A$11:$B$20,2,FALSE),Formula!$C$26)</f>
        <v>0.9</v>
      </c>
      <c r="Q261" s="15">
        <f>IF(AND(ISNUMBER(J261),J261&gt;0),1/J261,IF(AND(ISNUMBER(I261),I261&gt;0),SQRT(MIN(I261,Formula!$C$27))/Formula!$C$24,1/Formula!$C$25))</f>
        <v>0.4563404036</v>
      </c>
      <c r="R261" s="15">
        <f t="shared" si="2"/>
        <v>0.4107063632</v>
      </c>
      <c r="S261" s="15">
        <f>IF(H261&lt;&gt;"",EXP(-Formula!$C$28*(EOMONTH(H261,0)-H261)),EXP(-Formula!$C$28*(EOMONTH(D261,0)-D261)))</f>
        <v>0.3678794412</v>
      </c>
      <c r="T261" s="15">
        <f t="shared" si="3"/>
        <v>0.316227766</v>
      </c>
      <c r="U261" s="15">
        <f t="shared" si="4"/>
        <v>0.04777898832</v>
      </c>
      <c r="V261" s="16">
        <f>IF(AND(L261="Among all respondents",NOT(OR(K261="Online poll in Telegram channel",K261="Website online poll",K261="CAWI (Computer Assisted Web Interviewing)"))),1/(1-MIN(MAX(Formula!$C$33+(YEAR(D261)-Formula!$C$34)/(Formula!$C$35-Formula!$C$34)*(Formula!$C$32-Formula!$C$33),Formula!$C$33),Formula!$C$32)),1)</f>
        <v>1</v>
      </c>
      <c r="W261" s="17">
        <f t="shared" si="5"/>
        <v>2</v>
      </c>
    </row>
    <row r="262" ht="15.75" customHeight="1">
      <c r="A262" s="8" t="s">
        <v>694</v>
      </c>
      <c r="B262" s="7" t="s">
        <v>682</v>
      </c>
      <c r="C262" s="13" t="s">
        <v>683</v>
      </c>
      <c r="D262" s="7" t="s">
        <v>62</v>
      </c>
      <c r="E262" s="8" t="s">
        <v>17</v>
      </c>
      <c r="F262" s="8" t="s">
        <v>318</v>
      </c>
      <c r="G262" s="7" t="s">
        <v>684</v>
      </c>
      <c r="H262" s="7" t="s">
        <v>685</v>
      </c>
      <c r="I262" s="8">
        <v>2000.0</v>
      </c>
      <c r="K262" s="8" t="s">
        <v>321</v>
      </c>
      <c r="L262" s="8" t="s">
        <v>322</v>
      </c>
      <c r="M262" s="8" t="s">
        <v>359</v>
      </c>
      <c r="N262" s="8">
        <v>1.4</v>
      </c>
      <c r="O262" s="14">
        <f t="shared" si="1"/>
        <v>45658</v>
      </c>
      <c r="P262" s="15">
        <f>IFERROR(VLOOKUP(K262,Formula!$A$11:$B$20,2,FALSE),Formula!$C$26)</f>
        <v>0.9</v>
      </c>
      <c r="Q262" s="15">
        <f>IF(AND(ISNUMBER(J262),J262&gt;0),1/J262,IF(AND(ISNUMBER(I262),I262&gt;0),SQRT(MIN(I262,Formula!$C$27))/Formula!$C$24,1/Formula!$C$25))</f>
        <v>0.4563404036</v>
      </c>
      <c r="R262" s="15">
        <f t="shared" si="2"/>
        <v>0.4107063632</v>
      </c>
      <c r="S262" s="15">
        <f>IF(H262&lt;&gt;"",EXP(-Formula!$C$28*(EOMONTH(H262,0)-H262)),EXP(-Formula!$C$28*(EOMONTH(D262,0)-D262)))</f>
        <v>0.3678794412</v>
      </c>
      <c r="T262" s="15">
        <f t="shared" si="3"/>
        <v>0.316227766</v>
      </c>
      <c r="U262" s="15">
        <f t="shared" si="4"/>
        <v>0.04777898832</v>
      </c>
      <c r="V262" s="16">
        <f>IF(AND(L262="Among all respondents",NOT(OR(K262="Online poll in Telegram channel",K262="Website online poll",K262="CAWI (Computer Assisted Web Interviewing)"))),1/(1-MIN(MAX(Formula!$C$33+(YEAR(D262)-Formula!$C$34)/(Formula!$C$35-Formula!$C$34)*(Formula!$C$32-Formula!$C$33),Formula!$C$33),Formula!$C$32)),1)</f>
        <v>1</v>
      </c>
      <c r="W262" s="17">
        <f t="shared" si="5"/>
        <v>1.4</v>
      </c>
    </row>
    <row r="263" ht="15.75" customHeight="1">
      <c r="A263" s="8" t="s">
        <v>695</v>
      </c>
      <c r="B263" s="7" t="s">
        <v>696</v>
      </c>
      <c r="C263" s="13" t="s">
        <v>697</v>
      </c>
      <c r="D263" s="7" t="s">
        <v>59</v>
      </c>
      <c r="E263" s="8" t="s">
        <v>61</v>
      </c>
      <c r="F263" s="8" t="s">
        <v>318</v>
      </c>
      <c r="G263" s="7" t="s">
        <v>698</v>
      </c>
      <c r="H263" s="7" t="s">
        <v>699</v>
      </c>
      <c r="I263" s="8">
        <v>5094.0</v>
      </c>
      <c r="J263" s="8">
        <v>2.0</v>
      </c>
      <c r="K263" s="8" t="s">
        <v>467</v>
      </c>
      <c r="L263" s="8" t="s">
        <v>373</v>
      </c>
      <c r="M263" s="8" t="s">
        <v>325</v>
      </c>
      <c r="N263" s="8">
        <v>24.29</v>
      </c>
      <c r="O263" s="14">
        <f t="shared" si="1"/>
        <v>45658</v>
      </c>
      <c r="P263" s="15">
        <f>IFERROR(VLOOKUP(K263,Formula!$A$11:$B$20,2,FALSE),Formula!$C$26)</f>
        <v>1</v>
      </c>
      <c r="Q263" s="15">
        <f>IF(AND(ISNUMBER(J263),J263&gt;0),1/J263,IF(AND(ISNUMBER(I263),I263&gt;0),SQRT(MIN(I263,Formula!$C$27))/Formula!$C$24,1/Formula!$C$25))</f>
        <v>0.5</v>
      </c>
      <c r="R263" s="15">
        <f t="shared" si="2"/>
        <v>0.5</v>
      </c>
      <c r="S263" s="15">
        <f>IF(H263&lt;&gt;"",EXP(-Formula!$C$28*(EOMONTH(H263,0)-H263)),EXP(-Formula!$C$28*(EOMONTH(D263,0)-D263)))</f>
        <v>0.7046880897</v>
      </c>
      <c r="T263" s="15">
        <f t="shared" si="3"/>
        <v>0.3015113446</v>
      </c>
      <c r="U263" s="15">
        <f t="shared" si="4"/>
        <v>0.1062357267</v>
      </c>
      <c r="V263" s="16">
        <f>IF(AND(L263="Among all respondents",NOT(OR(K263="Online poll in Telegram channel",K263="Website online poll",K263="CAWI (Computer Assisted Web Interviewing)"))),1/(1-MIN(MAX(Formula!$C$33+(YEAR(D263)-Formula!$C$34)/(Formula!$C$35-Formula!$C$34)*(Formula!$C$32-Formula!$C$33),Formula!$C$33),Formula!$C$32)),1)</f>
        <v>1.282051282</v>
      </c>
      <c r="W263" s="17">
        <f t="shared" si="5"/>
        <v>31.14102564</v>
      </c>
    </row>
    <row r="264" ht="15.75" customHeight="1">
      <c r="A264" s="8" t="s">
        <v>700</v>
      </c>
      <c r="B264" s="7" t="s">
        <v>696</v>
      </c>
      <c r="C264" s="13" t="s">
        <v>697</v>
      </c>
      <c r="D264" s="7" t="s">
        <v>59</v>
      </c>
      <c r="E264" s="8" t="s">
        <v>61</v>
      </c>
      <c r="F264" s="8" t="s">
        <v>318</v>
      </c>
      <c r="G264" s="7" t="s">
        <v>698</v>
      </c>
      <c r="H264" s="7" t="s">
        <v>699</v>
      </c>
      <c r="I264" s="8">
        <v>5094.0</v>
      </c>
      <c r="J264" s="8">
        <v>2.0</v>
      </c>
      <c r="K264" s="8" t="s">
        <v>467</v>
      </c>
      <c r="L264" s="8" t="s">
        <v>373</v>
      </c>
      <c r="M264" s="8" t="s">
        <v>323</v>
      </c>
      <c r="N264" s="8">
        <v>16.07</v>
      </c>
      <c r="O264" s="14">
        <f t="shared" si="1"/>
        <v>45658</v>
      </c>
      <c r="P264" s="15">
        <f>IFERROR(VLOOKUP(K264,Formula!$A$11:$B$20,2,FALSE),Formula!$C$26)</f>
        <v>1</v>
      </c>
      <c r="Q264" s="15">
        <f>IF(AND(ISNUMBER(J264),J264&gt;0),1/J264,IF(AND(ISNUMBER(I264),I264&gt;0),SQRT(MIN(I264,Formula!$C$27))/Formula!$C$24,1/Formula!$C$25))</f>
        <v>0.5</v>
      </c>
      <c r="R264" s="15">
        <f t="shared" si="2"/>
        <v>0.5</v>
      </c>
      <c r="S264" s="15">
        <f>IF(H264&lt;&gt;"",EXP(-Formula!$C$28*(EOMONTH(H264,0)-H264)),EXP(-Formula!$C$28*(EOMONTH(D264,0)-D264)))</f>
        <v>0.7046880897</v>
      </c>
      <c r="T264" s="15">
        <f t="shared" si="3"/>
        <v>0.3015113446</v>
      </c>
      <c r="U264" s="15">
        <f t="shared" si="4"/>
        <v>0.1062357267</v>
      </c>
      <c r="V264" s="16">
        <f>IF(AND(L264="Among all respondents",NOT(OR(K264="Online poll in Telegram channel",K264="Website online poll",K264="CAWI (Computer Assisted Web Interviewing)"))),1/(1-MIN(MAX(Formula!$C$33+(YEAR(D264)-Formula!$C$34)/(Formula!$C$35-Formula!$C$34)*(Formula!$C$32-Formula!$C$33),Formula!$C$33),Formula!$C$32)),1)</f>
        <v>1.282051282</v>
      </c>
      <c r="W264" s="17">
        <f t="shared" si="5"/>
        <v>20.6025641</v>
      </c>
    </row>
    <row r="265" ht="15.75" customHeight="1">
      <c r="A265" s="8" t="s">
        <v>701</v>
      </c>
      <c r="B265" s="7" t="s">
        <v>696</v>
      </c>
      <c r="C265" s="13" t="s">
        <v>697</v>
      </c>
      <c r="D265" s="7" t="s">
        <v>59</v>
      </c>
      <c r="E265" s="8" t="s">
        <v>61</v>
      </c>
      <c r="F265" s="8" t="s">
        <v>318</v>
      </c>
      <c r="G265" s="7" t="s">
        <v>698</v>
      </c>
      <c r="H265" s="7" t="s">
        <v>699</v>
      </c>
      <c r="I265" s="8">
        <v>5094.0</v>
      </c>
      <c r="J265" s="8">
        <v>2.0</v>
      </c>
      <c r="K265" s="8" t="s">
        <v>467</v>
      </c>
      <c r="L265" s="8" t="s">
        <v>373</v>
      </c>
      <c r="M265" s="8" t="s">
        <v>337</v>
      </c>
      <c r="N265" s="8">
        <v>12.62</v>
      </c>
      <c r="O265" s="14">
        <f t="shared" si="1"/>
        <v>45658</v>
      </c>
      <c r="P265" s="15">
        <f>IFERROR(VLOOKUP(K265,Formula!$A$11:$B$20,2,FALSE),Formula!$C$26)</f>
        <v>1</v>
      </c>
      <c r="Q265" s="15">
        <f>IF(AND(ISNUMBER(J265),J265&gt;0),1/J265,IF(AND(ISNUMBER(I265),I265&gt;0),SQRT(MIN(I265,Formula!$C$27))/Formula!$C$24,1/Formula!$C$25))</f>
        <v>0.5</v>
      </c>
      <c r="R265" s="15">
        <f t="shared" si="2"/>
        <v>0.5</v>
      </c>
      <c r="S265" s="15">
        <f>IF(H265&lt;&gt;"",EXP(-Formula!$C$28*(EOMONTH(H265,0)-H265)),EXP(-Formula!$C$28*(EOMONTH(D265,0)-D265)))</f>
        <v>0.7046880897</v>
      </c>
      <c r="T265" s="15">
        <f t="shared" si="3"/>
        <v>0.3015113446</v>
      </c>
      <c r="U265" s="15">
        <f t="shared" si="4"/>
        <v>0.1062357267</v>
      </c>
      <c r="V265" s="16">
        <f>IF(AND(L265="Among all respondents",NOT(OR(K265="Online poll in Telegram channel",K265="Website online poll",K265="CAWI (Computer Assisted Web Interviewing)"))),1/(1-MIN(MAX(Formula!$C$33+(YEAR(D265)-Formula!$C$34)/(Formula!$C$35-Formula!$C$34)*(Formula!$C$32-Formula!$C$33),Formula!$C$33),Formula!$C$32)),1)</f>
        <v>1.282051282</v>
      </c>
      <c r="W265" s="17">
        <f t="shared" si="5"/>
        <v>16.17948718</v>
      </c>
    </row>
    <row r="266" ht="15.75" customHeight="1">
      <c r="A266" s="8" t="s">
        <v>702</v>
      </c>
      <c r="B266" s="7" t="s">
        <v>696</v>
      </c>
      <c r="C266" s="13" t="s">
        <v>697</v>
      </c>
      <c r="D266" s="7" t="s">
        <v>59</v>
      </c>
      <c r="E266" s="8" t="s">
        <v>61</v>
      </c>
      <c r="F266" s="8" t="s">
        <v>318</v>
      </c>
      <c r="G266" s="7" t="s">
        <v>698</v>
      </c>
      <c r="H266" s="7" t="s">
        <v>699</v>
      </c>
      <c r="I266" s="8">
        <v>5094.0</v>
      </c>
      <c r="J266" s="8">
        <v>2.0</v>
      </c>
      <c r="K266" s="8" t="s">
        <v>467</v>
      </c>
      <c r="L266" s="8" t="s">
        <v>373</v>
      </c>
      <c r="M266" s="8" t="s">
        <v>329</v>
      </c>
      <c r="N266" s="8">
        <v>6.89</v>
      </c>
      <c r="O266" s="14">
        <f t="shared" si="1"/>
        <v>45658</v>
      </c>
      <c r="P266" s="15">
        <f>IFERROR(VLOOKUP(K266,Formula!$A$11:$B$20,2,FALSE),Formula!$C$26)</f>
        <v>1</v>
      </c>
      <c r="Q266" s="15">
        <f>IF(AND(ISNUMBER(J266),J266&gt;0),1/J266,IF(AND(ISNUMBER(I266),I266&gt;0),SQRT(MIN(I266,Formula!$C$27))/Formula!$C$24,1/Formula!$C$25))</f>
        <v>0.5</v>
      </c>
      <c r="R266" s="15">
        <f t="shared" si="2"/>
        <v>0.5</v>
      </c>
      <c r="S266" s="15">
        <f>IF(H266&lt;&gt;"",EXP(-Formula!$C$28*(EOMONTH(H266,0)-H266)),EXP(-Formula!$C$28*(EOMONTH(D266,0)-D266)))</f>
        <v>0.7046880897</v>
      </c>
      <c r="T266" s="15">
        <f t="shared" si="3"/>
        <v>0.3015113446</v>
      </c>
      <c r="U266" s="15">
        <f t="shared" si="4"/>
        <v>0.1062357267</v>
      </c>
      <c r="V266" s="16">
        <f>IF(AND(L266="Among all respondents",NOT(OR(K266="Online poll in Telegram channel",K266="Website online poll",K266="CAWI (Computer Assisted Web Interviewing)"))),1/(1-MIN(MAX(Formula!$C$33+(YEAR(D266)-Formula!$C$34)/(Formula!$C$35-Formula!$C$34)*(Formula!$C$32-Formula!$C$33),Formula!$C$33),Formula!$C$32)),1)</f>
        <v>1.282051282</v>
      </c>
      <c r="W266" s="17">
        <f t="shared" si="5"/>
        <v>8.833333333</v>
      </c>
    </row>
    <row r="267" ht="15.75" customHeight="1">
      <c r="A267" s="8" t="s">
        <v>703</v>
      </c>
      <c r="B267" s="7" t="s">
        <v>696</v>
      </c>
      <c r="C267" s="13" t="s">
        <v>697</v>
      </c>
      <c r="D267" s="7" t="s">
        <v>59</v>
      </c>
      <c r="E267" s="8" t="s">
        <v>61</v>
      </c>
      <c r="F267" s="8" t="s">
        <v>318</v>
      </c>
      <c r="G267" s="7" t="s">
        <v>698</v>
      </c>
      <c r="H267" s="7" t="s">
        <v>699</v>
      </c>
      <c r="I267" s="8">
        <v>5094.0</v>
      </c>
      <c r="J267" s="8">
        <v>2.0</v>
      </c>
      <c r="K267" s="8" t="s">
        <v>467</v>
      </c>
      <c r="L267" s="8" t="s">
        <v>373</v>
      </c>
      <c r="M267" s="8" t="s">
        <v>343</v>
      </c>
      <c r="N267" s="8">
        <v>4.99</v>
      </c>
      <c r="O267" s="14">
        <f t="shared" si="1"/>
        <v>45658</v>
      </c>
      <c r="P267" s="15">
        <f>IFERROR(VLOOKUP(K267,Formula!$A$11:$B$20,2,FALSE),Formula!$C$26)</f>
        <v>1</v>
      </c>
      <c r="Q267" s="15">
        <f>IF(AND(ISNUMBER(J267),J267&gt;0),1/J267,IF(AND(ISNUMBER(I267),I267&gt;0),SQRT(MIN(I267,Formula!$C$27))/Formula!$C$24,1/Formula!$C$25))</f>
        <v>0.5</v>
      </c>
      <c r="R267" s="15">
        <f t="shared" si="2"/>
        <v>0.5</v>
      </c>
      <c r="S267" s="15">
        <f>IF(H267&lt;&gt;"",EXP(-Formula!$C$28*(EOMONTH(H267,0)-H267)),EXP(-Formula!$C$28*(EOMONTH(D267,0)-D267)))</f>
        <v>0.7046880897</v>
      </c>
      <c r="T267" s="15">
        <f t="shared" si="3"/>
        <v>0.3015113446</v>
      </c>
      <c r="U267" s="15">
        <f t="shared" si="4"/>
        <v>0.1062357267</v>
      </c>
      <c r="V267" s="16">
        <f>IF(AND(L267="Among all respondents",NOT(OR(K267="Online poll in Telegram channel",K267="Website online poll",K267="CAWI (Computer Assisted Web Interviewing)"))),1/(1-MIN(MAX(Formula!$C$33+(YEAR(D267)-Formula!$C$34)/(Formula!$C$35-Formula!$C$34)*(Formula!$C$32-Formula!$C$33),Formula!$C$33),Formula!$C$32)),1)</f>
        <v>1.282051282</v>
      </c>
      <c r="W267" s="17">
        <f t="shared" si="5"/>
        <v>6.397435897</v>
      </c>
    </row>
    <row r="268" ht="15.75" customHeight="1">
      <c r="A268" s="8" t="s">
        <v>704</v>
      </c>
      <c r="B268" s="7" t="s">
        <v>696</v>
      </c>
      <c r="C268" s="13" t="s">
        <v>697</v>
      </c>
      <c r="D268" s="7" t="s">
        <v>59</v>
      </c>
      <c r="E268" s="8" t="s">
        <v>61</v>
      </c>
      <c r="F268" s="8" t="s">
        <v>318</v>
      </c>
      <c r="G268" s="7" t="s">
        <v>698</v>
      </c>
      <c r="H268" s="7" t="s">
        <v>699</v>
      </c>
      <c r="I268" s="8">
        <v>5094.0</v>
      </c>
      <c r="J268" s="8">
        <v>2.0</v>
      </c>
      <c r="K268" s="8" t="s">
        <v>467</v>
      </c>
      <c r="L268" s="8" t="s">
        <v>373</v>
      </c>
      <c r="M268" s="8" t="s">
        <v>333</v>
      </c>
      <c r="N268" s="8">
        <v>1.45</v>
      </c>
      <c r="O268" s="14">
        <f t="shared" si="1"/>
        <v>45658</v>
      </c>
      <c r="P268" s="15">
        <f>IFERROR(VLOOKUP(K268,Formula!$A$11:$B$20,2,FALSE),Formula!$C$26)</f>
        <v>1</v>
      </c>
      <c r="Q268" s="15">
        <f>IF(AND(ISNUMBER(J268),J268&gt;0),1/J268,IF(AND(ISNUMBER(I268),I268&gt;0),SQRT(MIN(I268,Formula!$C$27))/Formula!$C$24,1/Formula!$C$25))</f>
        <v>0.5</v>
      </c>
      <c r="R268" s="15">
        <f t="shared" si="2"/>
        <v>0.5</v>
      </c>
      <c r="S268" s="15">
        <f>IF(H268&lt;&gt;"",EXP(-Formula!$C$28*(EOMONTH(H268,0)-H268)),EXP(-Formula!$C$28*(EOMONTH(D268,0)-D268)))</f>
        <v>0.7046880897</v>
      </c>
      <c r="T268" s="15">
        <f t="shared" si="3"/>
        <v>0.3015113446</v>
      </c>
      <c r="U268" s="15">
        <f t="shared" si="4"/>
        <v>0.1062357267</v>
      </c>
      <c r="V268" s="16">
        <f>IF(AND(L268="Among all respondents",NOT(OR(K268="Online poll in Telegram channel",K268="Website online poll",K268="CAWI (Computer Assisted Web Interviewing)"))),1/(1-MIN(MAX(Formula!$C$33+(YEAR(D268)-Formula!$C$34)/(Formula!$C$35-Formula!$C$34)*(Formula!$C$32-Formula!$C$33),Formula!$C$33),Formula!$C$32)),1)</f>
        <v>1.282051282</v>
      </c>
      <c r="W268" s="17">
        <f t="shared" si="5"/>
        <v>1.858974359</v>
      </c>
    </row>
    <row r="269" ht="15.75" customHeight="1">
      <c r="A269" s="8" t="s">
        <v>705</v>
      </c>
      <c r="B269" s="7" t="s">
        <v>696</v>
      </c>
      <c r="C269" s="13" t="s">
        <v>697</v>
      </c>
      <c r="D269" s="7" t="s">
        <v>59</v>
      </c>
      <c r="E269" s="8" t="s">
        <v>61</v>
      </c>
      <c r="F269" s="8" t="s">
        <v>318</v>
      </c>
      <c r="G269" s="7" t="s">
        <v>698</v>
      </c>
      <c r="H269" s="7" t="s">
        <v>699</v>
      </c>
      <c r="I269" s="8">
        <v>5094.0</v>
      </c>
      <c r="J269" s="8">
        <v>2.0</v>
      </c>
      <c r="K269" s="8" t="s">
        <v>467</v>
      </c>
      <c r="L269" s="8" t="s">
        <v>373</v>
      </c>
      <c r="M269" s="8" t="s">
        <v>327</v>
      </c>
      <c r="N269" s="8">
        <v>1.33</v>
      </c>
      <c r="O269" s="14">
        <f t="shared" si="1"/>
        <v>45658</v>
      </c>
      <c r="P269" s="15">
        <f>IFERROR(VLOOKUP(K269,Formula!$A$11:$B$20,2,FALSE),Formula!$C$26)</f>
        <v>1</v>
      </c>
      <c r="Q269" s="15">
        <f>IF(AND(ISNUMBER(J269),J269&gt;0),1/J269,IF(AND(ISNUMBER(I269),I269&gt;0),SQRT(MIN(I269,Formula!$C$27))/Formula!$C$24,1/Formula!$C$25))</f>
        <v>0.5</v>
      </c>
      <c r="R269" s="15">
        <f t="shared" si="2"/>
        <v>0.5</v>
      </c>
      <c r="S269" s="15">
        <f>IF(H269&lt;&gt;"",EXP(-Formula!$C$28*(EOMONTH(H269,0)-H269)),EXP(-Formula!$C$28*(EOMONTH(D269,0)-D269)))</f>
        <v>0.7046880897</v>
      </c>
      <c r="T269" s="15">
        <f t="shared" si="3"/>
        <v>0.3015113446</v>
      </c>
      <c r="U269" s="15">
        <f t="shared" si="4"/>
        <v>0.1062357267</v>
      </c>
      <c r="V269" s="16">
        <f>IF(AND(L269="Among all respondents",NOT(OR(K269="Online poll in Telegram channel",K269="Website online poll",K269="CAWI (Computer Assisted Web Interviewing)"))),1/(1-MIN(MAX(Formula!$C$33+(YEAR(D269)-Formula!$C$34)/(Formula!$C$35-Formula!$C$34)*(Formula!$C$32-Formula!$C$33),Formula!$C$33),Formula!$C$32)),1)</f>
        <v>1.282051282</v>
      </c>
      <c r="W269" s="17">
        <f t="shared" si="5"/>
        <v>1.705128205</v>
      </c>
    </row>
    <row r="270" ht="15.75" customHeight="1">
      <c r="A270" s="8" t="s">
        <v>706</v>
      </c>
      <c r="B270" s="7" t="s">
        <v>696</v>
      </c>
      <c r="C270" s="13" t="s">
        <v>697</v>
      </c>
      <c r="D270" s="7" t="s">
        <v>59</v>
      </c>
      <c r="E270" s="8" t="s">
        <v>61</v>
      </c>
      <c r="F270" s="8" t="s">
        <v>318</v>
      </c>
      <c r="G270" s="7" t="s">
        <v>698</v>
      </c>
      <c r="H270" s="7" t="s">
        <v>699</v>
      </c>
      <c r="I270" s="8">
        <v>5094.0</v>
      </c>
      <c r="J270" s="8">
        <v>2.0</v>
      </c>
      <c r="K270" s="8" t="s">
        <v>467</v>
      </c>
      <c r="L270" s="8" t="s">
        <v>373</v>
      </c>
      <c r="M270" s="8" t="s">
        <v>335</v>
      </c>
      <c r="N270" s="8">
        <v>1.31</v>
      </c>
      <c r="O270" s="14">
        <f t="shared" si="1"/>
        <v>45658</v>
      </c>
      <c r="P270" s="15">
        <f>IFERROR(VLOOKUP(K270,Formula!$A$11:$B$20,2,FALSE),Formula!$C$26)</f>
        <v>1</v>
      </c>
      <c r="Q270" s="15">
        <f>IF(AND(ISNUMBER(J270),J270&gt;0),1/J270,IF(AND(ISNUMBER(I270),I270&gt;0),SQRT(MIN(I270,Formula!$C$27))/Formula!$C$24,1/Formula!$C$25))</f>
        <v>0.5</v>
      </c>
      <c r="R270" s="15">
        <f t="shared" si="2"/>
        <v>0.5</v>
      </c>
      <c r="S270" s="15">
        <f>IF(H270&lt;&gt;"",EXP(-Formula!$C$28*(EOMONTH(H270,0)-H270)),EXP(-Formula!$C$28*(EOMONTH(D270,0)-D270)))</f>
        <v>0.7046880897</v>
      </c>
      <c r="T270" s="15">
        <f t="shared" si="3"/>
        <v>0.3015113446</v>
      </c>
      <c r="U270" s="15">
        <f t="shared" si="4"/>
        <v>0.1062357267</v>
      </c>
      <c r="V270" s="16">
        <f>IF(AND(L270="Among all respondents",NOT(OR(K270="Online poll in Telegram channel",K270="Website online poll",K270="CAWI (Computer Assisted Web Interviewing)"))),1/(1-MIN(MAX(Formula!$C$33+(YEAR(D270)-Formula!$C$34)/(Formula!$C$35-Formula!$C$34)*(Formula!$C$32-Formula!$C$33),Formula!$C$33),Formula!$C$32)),1)</f>
        <v>1.282051282</v>
      </c>
      <c r="W270" s="17">
        <f t="shared" si="5"/>
        <v>1.679487179</v>
      </c>
    </row>
    <row r="271" ht="15.75" customHeight="1">
      <c r="A271" s="8" t="s">
        <v>707</v>
      </c>
      <c r="B271" s="7" t="s">
        <v>696</v>
      </c>
      <c r="C271" s="13" t="s">
        <v>697</v>
      </c>
      <c r="D271" s="7" t="s">
        <v>59</v>
      </c>
      <c r="E271" s="8" t="s">
        <v>61</v>
      </c>
      <c r="F271" s="8" t="s">
        <v>318</v>
      </c>
      <c r="G271" s="7" t="s">
        <v>698</v>
      </c>
      <c r="H271" s="7" t="s">
        <v>699</v>
      </c>
      <c r="I271" s="8">
        <v>5094.0</v>
      </c>
      <c r="J271" s="8">
        <v>2.0</v>
      </c>
      <c r="K271" s="8" t="s">
        <v>467</v>
      </c>
      <c r="L271" s="8" t="s">
        <v>373</v>
      </c>
      <c r="M271" s="8" t="s">
        <v>339</v>
      </c>
      <c r="N271" s="8">
        <v>1.07</v>
      </c>
      <c r="O271" s="14">
        <f t="shared" si="1"/>
        <v>45658</v>
      </c>
      <c r="P271" s="15">
        <f>IFERROR(VLOOKUP(K271,Formula!$A$11:$B$20,2,FALSE),Formula!$C$26)</f>
        <v>1</v>
      </c>
      <c r="Q271" s="15">
        <f>IF(AND(ISNUMBER(J271),J271&gt;0),1/J271,IF(AND(ISNUMBER(I271),I271&gt;0),SQRT(MIN(I271,Formula!$C$27))/Formula!$C$24,1/Formula!$C$25))</f>
        <v>0.5</v>
      </c>
      <c r="R271" s="15">
        <f t="shared" si="2"/>
        <v>0.5</v>
      </c>
      <c r="S271" s="15">
        <f>IF(H271&lt;&gt;"",EXP(-Formula!$C$28*(EOMONTH(H271,0)-H271)),EXP(-Formula!$C$28*(EOMONTH(D271,0)-D271)))</f>
        <v>0.7046880897</v>
      </c>
      <c r="T271" s="15">
        <f t="shared" si="3"/>
        <v>0.3015113446</v>
      </c>
      <c r="U271" s="15">
        <f t="shared" si="4"/>
        <v>0.1062357267</v>
      </c>
      <c r="V271" s="16">
        <f>IF(AND(L271="Among all respondents",NOT(OR(K271="Online poll in Telegram channel",K271="Website online poll",K271="CAWI (Computer Assisted Web Interviewing)"))),1/(1-MIN(MAX(Formula!$C$33+(YEAR(D271)-Formula!$C$34)/(Formula!$C$35-Formula!$C$34)*(Formula!$C$32-Formula!$C$33),Formula!$C$33),Formula!$C$32)),1)</f>
        <v>1.282051282</v>
      </c>
      <c r="W271" s="17">
        <f t="shared" si="5"/>
        <v>1.371794872</v>
      </c>
    </row>
    <row r="272" ht="15.75" customHeight="1">
      <c r="A272" s="8" t="s">
        <v>708</v>
      </c>
      <c r="B272" s="7" t="s">
        <v>696</v>
      </c>
      <c r="C272" s="13" t="s">
        <v>697</v>
      </c>
      <c r="D272" s="7" t="s">
        <v>59</v>
      </c>
      <c r="E272" s="8" t="s">
        <v>61</v>
      </c>
      <c r="F272" s="8" t="s">
        <v>318</v>
      </c>
      <c r="G272" s="7" t="s">
        <v>698</v>
      </c>
      <c r="H272" s="7" t="s">
        <v>699</v>
      </c>
      <c r="I272" s="8">
        <v>5094.0</v>
      </c>
      <c r="J272" s="8">
        <v>2.0</v>
      </c>
      <c r="K272" s="8" t="s">
        <v>467</v>
      </c>
      <c r="L272" s="8" t="s">
        <v>373</v>
      </c>
      <c r="M272" s="8" t="s">
        <v>386</v>
      </c>
      <c r="N272" s="8">
        <v>1.06</v>
      </c>
      <c r="O272" s="14">
        <f t="shared" si="1"/>
        <v>45658</v>
      </c>
      <c r="P272" s="15">
        <f>IFERROR(VLOOKUP(K272,Formula!$A$11:$B$20,2,FALSE),Formula!$C$26)</f>
        <v>1</v>
      </c>
      <c r="Q272" s="15">
        <f>IF(AND(ISNUMBER(J272),J272&gt;0),1/J272,IF(AND(ISNUMBER(I272),I272&gt;0),SQRT(MIN(I272,Formula!$C$27))/Formula!$C$24,1/Formula!$C$25))</f>
        <v>0.5</v>
      </c>
      <c r="R272" s="15">
        <f t="shared" si="2"/>
        <v>0.5</v>
      </c>
      <c r="S272" s="15">
        <f>IF(H272&lt;&gt;"",EXP(-Formula!$C$28*(EOMONTH(H272,0)-H272)),EXP(-Formula!$C$28*(EOMONTH(D272,0)-D272)))</f>
        <v>0.7046880897</v>
      </c>
      <c r="T272" s="15">
        <f t="shared" si="3"/>
        <v>0.3015113446</v>
      </c>
      <c r="U272" s="15">
        <f t="shared" si="4"/>
        <v>0.1062357267</v>
      </c>
      <c r="V272" s="16">
        <f>IF(AND(L272="Among all respondents",NOT(OR(K272="Online poll in Telegram channel",K272="Website online poll",K272="CAWI (Computer Assisted Web Interviewing)"))),1/(1-MIN(MAX(Formula!$C$33+(YEAR(D272)-Formula!$C$34)/(Formula!$C$35-Formula!$C$34)*(Formula!$C$32-Formula!$C$33),Formula!$C$33),Formula!$C$32)),1)</f>
        <v>1.282051282</v>
      </c>
      <c r="W272" s="17">
        <f t="shared" si="5"/>
        <v>1.358974359</v>
      </c>
    </row>
    <row r="273" ht="15.75" customHeight="1">
      <c r="A273" s="8" t="s">
        <v>709</v>
      </c>
      <c r="B273" s="7" t="s">
        <v>696</v>
      </c>
      <c r="C273" s="13" t="s">
        <v>697</v>
      </c>
      <c r="D273" s="7" t="s">
        <v>59</v>
      </c>
      <c r="E273" s="8" t="s">
        <v>61</v>
      </c>
      <c r="F273" s="8" t="s">
        <v>318</v>
      </c>
      <c r="G273" s="7" t="s">
        <v>698</v>
      </c>
      <c r="H273" s="7" t="s">
        <v>699</v>
      </c>
      <c r="I273" s="8">
        <v>5094.0</v>
      </c>
      <c r="J273" s="8">
        <v>2.0</v>
      </c>
      <c r="K273" s="8" t="s">
        <v>467</v>
      </c>
      <c r="L273" s="8" t="s">
        <v>373</v>
      </c>
      <c r="M273" s="8" t="s">
        <v>362</v>
      </c>
      <c r="N273" s="8">
        <v>0.96</v>
      </c>
      <c r="O273" s="14">
        <f t="shared" si="1"/>
        <v>45658</v>
      </c>
      <c r="P273" s="15">
        <f>IFERROR(VLOOKUP(K273,Formula!$A$11:$B$20,2,FALSE),Formula!$C$26)</f>
        <v>1</v>
      </c>
      <c r="Q273" s="15">
        <f>IF(AND(ISNUMBER(J273),J273&gt;0),1/J273,IF(AND(ISNUMBER(I273),I273&gt;0),SQRT(MIN(I273,Formula!$C$27))/Formula!$C$24,1/Formula!$C$25))</f>
        <v>0.5</v>
      </c>
      <c r="R273" s="15">
        <f t="shared" si="2"/>
        <v>0.5</v>
      </c>
      <c r="S273" s="15">
        <f>IF(H273&lt;&gt;"",EXP(-Formula!$C$28*(EOMONTH(H273,0)-H273)),EXP(-Formula!$C$28*(EOMONTH(D273,0)-D273)))</f>
        <v>0.7046880897</v>
      </c>
      <c r="T273" s="15">
        <f t="shared" si="3"/>
        <v>0.3015113446</v>
      </c>
      <c r="U273" s="15">
        <f t="shared" si="4"/>
        <v>0.1062357267</v>
      </c>
      <c r="V273" s="16">
        <f>IF(AND(L273="Among all respondents",NOT(OR(K273="Online poll in Telegram channel",K273="Website online poll",K273="CAWI (Computer Assisted Web Interviewing)"))),1/(1-MIN(MAX(Formula!$C$33+(YEAR(D273)-Formula!$C$34)/(Formula!$C$35-Formula!$C$34)*(Formula!$C$32-Formula!$C$33),Formula!$C$33),Formula!$C$32)),1)</f>
        <v>1.282051282</v>
      </c>
      <c r="W273" s="17">
        <f t="shared" si="5"/>
        <v>1.230769231</v>
      </c>
    </row>
    <row r="274" ht="15.75" customHeight="1">
      <c r="A274" s="8" t="s">
        <v>710</v>
      </c>
      <c r="B274" s="7" t="s">
        <v>711</v>
      </c>
      <c r="C274" s="13" t="s">
        <v>712</v>
      </c>
      <c r="D274" s="7" t="s">
        <v>63</v>
      </c>
      <c r="E274" s="8" t="s">
        <v>65</v>
      </c>
      <c r="F274" s="8" t="s">
        <v>318</v>
      </c>
      <c r="G274" s="7" t="s">
        <v>713</v>
      </c>
      <c r="H274" s="7" t="s">
        <v>714</v>
      </c>
      <c r="I274" s="8">
        <v>1200.0</v>
      </c>
      <c r="J274" s="8">
        <v>2.9</v>
      </c>
      <c r="K274" s="8" t="s">
        <v>715</v>
      </c>
      <c r="L274" s="8" t="s">
        <v>373</v>
      </c>
      <c r="M274" s="8" t="s">
        <v>325</v>
      </c>
      <c r="N274" s="8">
        <v>27.0</v>
      </c>
      <c r="O274" s="14">
        <f t="shared" si="1"/>
        <v>45597</v>
      </c>
      <c r="P274" s="15">
        <f>IFERROR(VLOOKUP(K274,Formula!$A$11:$B$20,2,FALSE),Formula!$C$26)</f>
        <v>0.85</v>
      </c>
      <c r="Q274" s="15">
        <f>IF(AND(ISNUMBER(J274),J274&gt;0),1/J274,IF(AND(ISNUMBER(I274),I274&gt;0),SQRT(MIN(I274,Formula!$C$27))/Formula!$C$24,1/Formula!$C$25))</f>
        <v>0.3448275862</v>
      </c>
      <c r="R274" s="15">
        <f t="shared" si="2"/>
        <v>0.2931034483</v>
      </c>
      <c r="S274" s="15">
        <f>IF(H274&lt;&gt;"",EXP(-Formula!$C$28*(EOMONTH(H274,0)-H274)),EXP(-Formula!$C$28*(EOMONTH(D274,0)-D274)))</f>
        <v>0.6376281516</v>
      </c>
      <c r="T274" s="15">
        <f t="shared" si="3"/>
        <v>0.2886751346</v>
      </c>
      <c r="U274" s="15">
        <f t="shared" si="4"/>
        <v>0.05395078745</v>
      </c>
      <c r="V274" s="16">
        <f>IF(AND(L274="Among all respondents",NOT(OR(K274="Online poll in Telegram channel",K274="Website online poll",K274="CAWI (Computer Assisted Web Interviewing)"))),1/(1-MIN(MAX(Formula!$C$33+(YEAR(D274)-Formula!$C$34)/(Formula!$C$35-Formula!$C$34)*(Formula!$C$32-Formula!$C$33),Formula!$C$33),Formula!$C$32)),1)</f>
        <v>1.195219124</v>
      </c>
      <c r="W274" s="17">
        <f t="shared" si="5"/>
        <v>32.27091633</v>
      </c>
    </row>
    <row r="275" ht="15.75" customHeight="1">
      <c r="A275" s="8" t="s">
        <v>716</v>
      </c>
      <c r="B275" s="7" t="s">
        <v>711</v>
      </c>
      <c r="C275" s="13" t="s">
        <v>712</v>
      </c>
      <c r="D275" s="7" t="s">
        <v>63</v>
      </c>
      <c r="E275" s="8" t="s">
        <v>65</v>
      </c>
      <c r="F275" s="8" t="s">
        <v>318</v>
      </c>
      <c r="G275" s="7" t="s">
        <v>713</v>
      </c>
      <c r="H275" s="7" t="s">
        <v>714</v>
      </c>
      <c r="I275" s="8">
        <v>1200.0</v>
      </c>
      <c r="J275" s="8">
        <v>2.9</v>
      </c>
      <c r="K275" s="8" t="s">
        <v>715</v>
      </c>
      <c r="L275" s="8" t="s">
        <v>373</v>
      </c>
      <c r="M275" s="8" t="s">
        <v>323</v>
      </c>
      <c r="N275" s="8">
        <v>16.0</v>
      </c>
      <c r="O275" s="14">
        <f t="shared" si="1"/>
        <v>45597</v>
      </c>
      <c r="P275" s="15">
        <f>IFERROR(VLOOKUP(K275,Formula!$A$11:$B$20,2,FALSE),Formula!$C$26)</f>
        <v>0.85</v>
      </c>
      <c r="Q275" s="15">
        <f>IF(AND(ISNUMBER(J275),J275&gt;0),1/J275,IF(AND(ISNUMBER(I275),I275&gt;0),SQRT(MIN(I275,Formula!$C$27))/Formula!$C$24,1/Formula!$C$25))</f>
        <v>0.3448275862</v>
      </c>
      <c r="R275" s="15">
        <f t="shared" si="2"/>
        <v>0.2931034483</v>
      </c>
      <c r="S275" s="15">
        <f>IF(H275&lt;&gt;"",EXP(-Formula!$C$28*(EOMONTH(H275,0)-H275)),EXP(-Formula!$C$28*(EOMONTH(D275,0)-D275)))</f>
        <v>0.6376281516</v>
      </c>
      <c r="T275" s="15">
        <f t="shared" si="3"/>
        <v>0.2886751346</v>
      </c>
      <c r="U275" s="15">
        <f t="shared" si="4"/>
        <v>0.05395078745</v>
      </c>
      <c r="V275" s="16">
        <f>IF(AND(L275="Among all respondents",NOT(OR(K275="Online poll in Telegram channel",K275="Website online poll",K275="CAWI (Computer Assisted Web Interviewing)"))),1/(1-MIN(MAX(Formula!$C$33+(YEAR(D275)-Formula!$C$34)/(Formula!$C$35-Formula!$C$34)*(Formula!$C$32-Formula!$C$33),Formula!$C$33),Formula!$C$32)),1)</f>
        <v>1.195219124</v>
      </c>
      <c r="W275" s="17">
        <f t="shared" si="5"/>
        <v>19.12350598</v>
      </c>
    </row>
    <row r="276" ht="15.75" customHeight="1">
      <c r="A276" s="8" t="s">
        <v>717</v>
      </c>
      <c r="B276" s="7" t="s">
        <v>711</v>
      </c>
      <c r="C276" s="13" t="s">
        <v>712</v>
      </c>
      <c r="D276" s="7" t="s">
        <v>63</v>
      </c>
      <c r="E276" s="8" t="s">
        <v>65</v>
      </c>
      <c r="F276" s="8" t="s">
        <v>318</v>
      </c>
      <c r="G276" s="7" t="s">
        <v>713</v>
      </c>
      <c r="H276" s="7" t="s">
        <v>714</v>
      </c>
      <c r="I276" s="8">
        <v>1200.0</v>
      </c>
      <c r="J276" s="8">
        <v>2.9</v>
      </c>
      <c r="K276" s="8" t="s">
        <v>715</v>
      </c>
      <c r="L276" s="8" t="s">
        <v>373</v>
      </c>
      <c r="M276" s="8" t="s">
        <v>329</v>
      </c>
      <c r="N276" s="8">
        <v>7.0</v>
      </c>
      <c r="O276" s="14">
        <f t="shared" si="1"/>
        <v>45597</v>
      </c>
      <c r="P276" s="15">
        <f>IFERROR(VLOOKUP(K276,Formula!$A$11:$B$20,2,FALSE),Formula!$C$26)</f>
        <v>0.85</v>
      </c>
      <c r="Q276" s="15">
        <f>IF(AND(ISNUMBER(J276),J276&gt;0),1/J276,IF(AND(ISNUMBER(I276),I276&gt;0),SQRT(MIN(I276,Formula!$C$27))/Formula!$C$24,1/Formula!$C$25))</f>
        <v>0.3448275862</v>
      </c>
      <c r="R276" s="15">
        <f t="shared" si="2"/>
        <v>0.2931034483</v>
      </c>
      <c r="S276" s="15">
        <f>IF(H276&lt;&gt;"",EXP(-Formula!$C$28*(EOMONTH(H276,0)-H276)),EXP(-Formula!$C$28*(EOMONTH(D276,0)-D276)))</f>
        <v>0.6376281516</v>
      </c>
      <c r="T276" s="15">
        <f t="shared" si="3"/>
        <v>0.2886751346</v>
      </c>
      <c r="U276" s="15">
        <f t="shared" si="4"/>
        <v>0.05395078745</v>
      </c>
      <c r="V276" s="16">
        <f>IF(AND(L276="Among all respondents",NOT(OR(K276="Online poll in Telegram channel",K276="Website online poll",K276="CAWI (Computer Assisted Web Interviewing)"))),1/(1-MIN(MAX(Formula!$C$33+(YEAR(D276)-Formula!$C$34)/(Formula!$C$35-Formula!$C$34)*(Formula!$C$32-Formula!$C$33),Formula!$C$33),Formula!$C$32)),1)</f>
        <v>1.195219124</v>
      </c>
      <c r="W276" s="17">
        <f t="shared" si="5"/>
        <v>8.366533865</v>
      </c>
    </row>
    <row r="277" ht="15.75" customHeight="1">
      <c r="A277" s="8" t="s">
        <v>718</v>
      </c>
      <c r="B277" s="7" t="s">
        <v>711</v>
      </c>
      <c r="C277" s="13" t="s">
        <v>712</v>
      </c>
      <c r="D277" s="7" t="s">
        <v>63</v>
      </c>
      <c r="E277" s="8" t="s">
        <v>65</v>
      </c>
      <c r="F277" s="8" t="s">
        <v>318</v>
      </c>
      <c r="G277" s="7" t="s">
        <v>713</v>
      </c>
      <c r="H277" s="7" t="s">
        <v>714</v>
      </c>
      <c r="I277" s="8">
        <v>1200.0</v>
      </c>
      <c r="J277" s="8">
        <v>2.9</v>
      </c>
      <c r="K277" s="8" t="s">
        <v>715</v>
      </c>
      <c r="L277" s="8" t="s">
        <v>373</v>
      </c>
      <c r="M277" s="8" t="s">
        <v>327</v>
      </c>
      <c r="N277" s="8">
        <v>6.0</v>
      </c>
      <c r="O277" s="14">
        <f t="shared" si="1"/>
        <v>45597</v>
      </c>
      <c r="P277" s="15">
        <f>IFERROR(VLOOKUP(K277,Formula!$A$11:$B$20,2,FALSE),Formula!$C$26)</f>
        <v>0.85</v>
      </c>
      <c r="Q277" s="15">
        <f>IF(AND(ISNUMBER(J277),J277&gt;0),1/J277,IF(AND(ISNUMBER(I277),I277&gt;0),SQRT(MIN(I277,Formula!$C$27))/Formula!$C$24,1/Formula!$C$25))</f>
        <v>0.3448275862</v>
      </c>
      <c r="R277" s="15">
        <f t="shared" si="2"/>
        <v>0.2931034483</v>
      </c>
      <c r="S277" s="15">
        <f>IF(H277&lt;&gt;"",EXP(-Formula!$C$28*(EOMONTH(H277,0)-H277)),EXP(-Formula!$C$28*(EOMONTH(D277,0)-D277)))</f>
        <v>0.6376281516</v>
      </c>
      <c r="T277" s="15">
        <f t="shared" si="3"/>
        <v>0.2886751346</v>
      </c>
      <c r="U277" s="15">
        <f t="shared" si="4"/>
        <v>0.05395078745</v>
      </c>
      <c r="V277" s="16">
        <f>IF(AND(L277="Among all respondents",NOT(OR(K277="Online poll in Telegram channel",K277="Website online poll",K277="CAWI (Computer Assisted Web Interviewing)"))),1/(1-MIN(MAX(Formula!$C$33+(YEAR(D277)-Formula!$C$34)/(Formula!$C$35-Formula!$C$34)*(Formula!$C$32-Formula!$C$33),Formula!$C$33),Formula!$C$32)),1)</f>
        <v>1.195219124</v>
      </c>
      <c r="W277" s="17">
        <f t="shared" si="5"/>
        <v>7.171314741</v>
      </c>
    </row>
    <row r="278" ht="15.75" customHeight="1">
      <c r="A278" s="8" t="s">
        <v>719</v>
      </c>
      <c r="B278" s="7" t="s">
        <v>711</v>
      </c>
      <c r="C278" s="13" t="s">
        <v>712</v>
      </c>
      <c r="D278" s="7" t="s">
        <v>63</v>
      </c>
      <c r="E278" s="8" t="s">
        <v>65</v>
      </c>
      <c r="F278" s="8" t="s">
        <v>318</v>
      </c>
      <c r="G278" s="7" t="s">
        <v>713</v>
      </c>
      <c r="H278" s="7" t="s">
        <v>714</v>
      </c>
      <c r="I278" s="8">
        <v>1200.0</v>
      </c>
      <c r="J278" s="8">
        <v>2.9</v>
      </c>
      <c r="K278" s="8" t="s">
        <v>715</v>
      </c>
      <c r="L278" s="8" t="s">
        <v>373</v>
      </c>
      <c r="M278" s="8" t="s">
        <v>333</v>
      </c>
      <c r="N278" s="8">
        <v>4.0</v>
      </c>
      <c r="O278" s="14">
        <f t="shared" si="1"/>
        <v>45597</v>
      </c>
      <c r="P278" s="15">
        <f>IFERROR(VLOOKUP(K278,Formula!$A$11:$B$20,2,FALSE),Formula!$C$26)</f>
        <v>0.85</v>
      </c>
      <c r="Q278" s="15">
        <f>IF(AND(ISNUMBER(J278),J278&gt;0),1/J278,IF(AND(ISNUMBER(I278),I278&gt;0),SQRT(MIN(I278,Formula!$C$27))/Formula!$C$24,1/Formula!$C$25))</f>
        <v>0.3448275862</v>
      </c>
      <c r="R278" s="15">
        <f t="shared" si="2"/>
        <v>0.2931034483</v>
      </c>
      <c r="S278" s="15">
        <f>IF(H278&lt;&gt;"",EXP(-Formula!$C$28*(EOMONTH(H278,0)-H278)),EXP(-Formula!$C$28*(EOMONTH(D278,0)-D278)))</f>
        <v>0.6376281516</v>
      </c>
      <c r="T278" s="15">
        <f t="shared" si="3"/>
        <v>0.2886751346</v>
      </c>
      <c r="U278" s="15">
        <f t="shared" si="4"/>
        <v>0.05395078745</v>
      </c>
      <c r="V278" s="16">
        <f>IF(AND(L278="Among all respondents",NOT(OR(K278="Online poll in Telegram channel",K278="Website online poll",K278="CAWI (Computer Assisted Web Interviewing)"))),1/(1-MIN(MAX(Formula!$C$33+(YEAR(D278)-Formula!$C$34)/(Formula!$C$35-Formula!$C$34)*(Formula!$C$32-Formula!$C$33),Formula!$C$33),Formula!$C$32)),1)</f>
        <v>1.195219124</v>
      </c>
      <c r="W278" s="17">
        <f t="shared" si="5"/>
        <v>4.780876494</v>
      </c>
    </row>
    <row r="279" ht="15.75" customHeight="1">
      <c r="A279" s="8" t="s">
        <v>720</v>
      </c>
      <c r="B279" s="7" t="s">
        <v>711</v>
      </c>
      <c r="C279" s="13" t="s">
        <v>712</v>
      </c>
      <c r="D279" s="7" t="s">
        <v>63</v>
      </c>
      <c r="E279" s="8" t="s">
        <v>65</v>
      </c>
      <c r="F279" s="8" t="s">
        <v>318</v>
      </c>
      <c r="G279" s="7" t="s">
        <v>713</v>
      </c>
      <c r="H279" s="7" t="s">
        <v>714</v>
      </c>
      <c r="I279" s="8">
        <v>1200.0</v>
      </c>
      <c r="J279" s="8">
        <v>2.9</v>
      </c>
      <c r="K279" s="8" t="s">
        <v>715</v>
      </c>
      <c r="L279" s="8" t="s">
        <v>373</v>
      </c>
      <c r="M279" s="8" t="s">
        <v>337</v>
      </c>
      <c r="N279" s="8">
        <v>4.0</v>
      </c>
      <c r="O279" s="14">
        <f t="shared" si="1"/>
        <v>45597</v>
      </c>
      <c r="P279" s="15">
        <f>IFERROR(VLOOKUP(K279,Formula!$A$11:$B$20,2,FALSE),Formula!$C$26)</f>
        <v>0.85</v>
      </c>
      <c r="Q279" s="15">
        <f>IF(AND(ISNUMBER(J279),J279&gt;0),1/J279,IF(AND(ISNUMBER(I279),I279&gt;0),SQRT(MIN(I279,Formula!$C$27))/Formula!$C$24,1/Formula!$C$25))</f>
        <v>0.3448275862</v>
      </c>
      <c r="R279" s="15">
        <f t="shared" si="2"/>
        <v>0.2931034483</v>
      </c>
      <c r="S279" s="15">
        <f>IF(H279&lt;&gt;"",EXP(-Formula!$C$28*(EOMONTH(H279,0)-H279)),EXP(-Formula!$C$28*(EOMONTH(D279,0)-D279)))</f>
        <v>0.6376281516</v>
      </c>
      <c r="T279" s="15">
        <f t="shared" si="3"/>
        <v>0.2886751346</v>
      </c>
      <c r="U279" s="15">
        <f t="shared" si="4"/>
        <v>0.05395078745</v>
      </c>
      <c r="V279" s="16">
        <f>IF(AND(L279="Among all respondents",NOT(OR(K279="Online poll in Telegram channel",K279="Website online poll",K279="CAWI (Computer Assisted Web Interviewing)"))),1/(1-MIN(MAX(Formula!$C$33+(YEAR(D279)-Formula!$C$34)/(Formula!$C$35-Formula!$C$34)*(Formula!$C$32-Formula!$C$33),Formula!$C$33),Formula!$C$32)),1)</f>
        <v>1.195219124</v>
      </c>
      <c r="W279" s="17">
        <f t="shared" si="5"/>
        <v>4.780876494</v>
      </c>
    </row>
    <row r="280" ht="15.75" customHeight="1">
      <c r="A280" s="8" t="s">
        <v>721</v>
      </c>
      <c r="B280" s="7" t="s">
        <v>711</v>
      </c>
      <c r="C280" s="13" t="s">
        <v>712</v>
      </c>
      <c r="D280" s="7" t="s">
        <v>63</v>
      </c>
      <c r="E280" s="8" t="s">
        <v>65</v>
      </c>
      <c r="F280" s="8" t="s">
        <v>318</v>
      </c>
      <c r="G280" s="7" t="s">
        <v>713</v>
      </c>
      <c r="H280" s="7" t="s">
        <v>714</v>
      </c>
      <c r="I280" s="8">
        <v>1200.0</v>
      </c>
      <c r="J280" s="8">
        <v>2.9</v>
      </c>
      <c r="K280" s="8" t="s">
        <v>715</v>
      </c>
      <c r="L280" s="8" t="s">
        <v>373</v>
      </c>
      <c r="M280" s="8" t="s">
        <v>335</v>
      </c>
      <c r="N280" s="8">
        <v>3.0</v>
      </c>
      <c r="O280" s="14">
        <f t="shared" si="1"/>
        <v>45597</v>
      </c>
      <c r="P280" s="15">
        <f>IFERROR(VLOOKUP(K280,Formula!$A$11:$B$20,2,FALSE),Formula!$C$26)</f>
        <v>0.85</v>
      </c>
      <c r="Q280" s="15">
        <f>IF(AND(ISNUMBER(J280),J280&gt;0),1/J280,IF(AND(ISNUMBER(I280),I280&gt;0),SQRT(MIN(I280,Formula!$C$27))/Formula!$C$24,1/Formula!$C$25))</f>
        <v>0.3448275862</v>
      </c>
      <c r="R280" s="15">
        <f t="shared" si="2"/>
        <v>0.2931034483</v>
      </c>
      <c r="S280" s="15">
        <f>IF(H280&lt;&gt;"",EXP(-Formula!$C$28*(EOMONTH(H280,0)-H280)),EXP(-Formula!$C$28*(EOMONTH(D280,0)-D280)))</f>
        <v>0.6376281516</v>
      </c>
      <c r="T280" s="15">
        <f t="shared" si="3"/>
        <v>0.2886751346</v>
      </c>
      <c r="U280" s="15">
        <f t="shared" si="4"/>
        <v>0.05395078745</v>
      </c>
      <c r="V280" s="16">
        <f>IF(AND(L280="Among all respondents",NOT(OR(K280="Online poll in Telegram channel",K280="Website online poll",K280="CAWI (Computer Assisted Web Interviewing)"))),1/(1-MIN(MAX(Formula!$C$33+(YEAR(D280)-Formula!$C$34)/(Formula!$C$35-Formula!$C$34)*(Formula!$C$32-Formula!$C$33),Formula!$C$33),Formula!$C$32)),1)</f>
        <v>1.195219124</v>
      </c>
      <c r="W280" s="17">
        <f t="shared" si="5"/>
        <v>3.585657371</v>
      </c>
    </row>
    <row r="281" ht="15.75" customHeight="1">
      <c r="A281" s="8" t="s">
        <v>722</v>
      </c>
      <c r="B281" s="7" t="s">
        <v>711</v>
      </c>
      <c r="C281" s="13" t="s">
        <v>712</v>
      </c>
      <c r="D281" s="7" t="s">
        <v>63</v>
      </c>
      <c r="E281" s="8" t="s">
        <v>65</v>
      </c>
      <c r="F281" s="8" t="s">
        <v>318</v>
      </c>
      <c r="G281" s="7" t="s">
        <v>713</v>
      </c>
      <c r="H281" s="7" t="s">
        <v>714</v>
      </c>
      <c r="I281" s="8">
        <v>1200.0</v>
      </c>
      <c r="J281" s="8">
        <v>2.9</v>
      </c>
      <c r="K281" s="8" t="s">
        <v>715</v>
      </c>
      <c r="L281" s="8" t="s">
        <v>373</v>
      </c>
      <c r="M281" s="8" t="s">
        <v>339</v>
      </c>
      <c r="N281" s="8">
        <v>2.0</v>
      </c>
      <c r="O281" s="14">
        <f t="shared" si="1"/>
        <v>45597</v>
      </c>
      <c r="P281" s="15">
        <f>IFERROR(VLOOKUP(K281,Formula!$A$11:$B$20,2,FALSE),Formula!$C$26)</f>
        <v>0.85</v>
      </c>
      <c r="Q281" s="15">
        <f>IF(AND(ISNUMBER(J281),J281&gt;0),1/J281,IF(AND(ISNUMBER(I281),I281&gt;0),SQRT(MIN(I281,Formula!$C$27))/Formula!$C$24,1/Formula!$C$25))</f>
        <v>0.3448275862</v>
      </c>
      <c r="R281" s="15">
        <f t="shared" si="2"/>
        <v>0.2931034483</v>
      </c>
      <c r="S281" s="15">
        <f>IF(H281&lt;&gt;"",EXP(-Formula!$C$28*(EOMONTH(H281,0)-H281)),EXP(-Formula!$C$28*(EOMONTH(D281,0)-D281)))</f>
        <v>0.6376281516</v>
      </c>
      <c r="T281" s="15">
        <f t="shared" si="3"/>
        <v>0.2886751346</v>
      </c>
      <c r="U281" s="15">
        <f t="shared" si="4"/>
        <v>0.05395078745</v>
      </c>
      <c r="V281" s="16">
        <f>IF(AND(L281="Among all respondents",NOT(OR(K281="Online poll in Telegram channel",K281="Website online poll",K281="CAWI (Computer Assisted Web Interviewing)"))),1/(1-MIN(MAX(Formula!$C$33+(YEAR(D281)-Formula!$C$34)/(Formula!$C$35-Formula!$C$34)*(Formula!$C$32-Formula!$C$33),Formula!$C$33),Formula!$C$32)),1)</f>
        <v>1.195219124</v>
      </c>
      <c r="W281" s="17">
        <f t="shared" si="5"/>
        <v>2.390438247</v>
      </c>
    </row>
    <row r="282" ht="15.75" customHeight="1">
      <c r="A282" s="8" t="s">
        <v>723</v>
      </c>
      <c r="B282" s="7" t="s">
        <v>711</v>
      </c>
      <c r="C282" s="13" t="s">
        <v>712</v>
      </c>
      <c r="D282" s="7" t="s">
        <v>63</v>
      </c>
      <c r="E282" s="8" t="s">
        <v>65</v>
      </c>
      <c r="F282" s="8" t="s">
        <v>318</v>
      </c>
      <c r="G282" s="7" t="s">
        <v>713</v>
      </c>
      <c r="H282" s="7" t="s">
        <v>714</v>
      </c>
      <c r="I282" s="8">
        <v>1200.0</v>
      </c>
      <c r="J282" s="8">
        <v>2.9</v>
      </c>
      <c r="K282" s="8" t="s">
        <v>715</v>
      </c>
      <c r="L282" s="8" t="s">
        <v>373</v>
      </c>
      <c r="M282" s="8" t="s">
        <v>343</v>
      </c>
      <c r="N282" s="8">
        <v>2.0</v>
      </c>
      <c r="O282" s="14">
        <f t="shared" si="1"/>
        <v>45597</v>
      </c>
      <c r="P282" s="15">
        <f>IFERROR(VLOOKUP(K282,Formula!$A$11:$B$20,2,FALSE),Formula!$C$26)</f>
        <v>0.85</v>
      </c>
      <c r="Q282" s="15">
        <f>IF(AND(ISNUMBER(J282),J282&gt;0),1/J282,IF(AND(ISNUMBER(I282),I282&gt;0),SQRT(MIN(I282,Formula!$C$27))/Formula!$C$24,1/Formula!$C$25))</f>
        <v>0.3448275862</v>
      </c>
      <c r="R282" s="15">
        <f t="shared" si="2"/>
        <v>0.2931034483</v>
      </c>
      <c r="S282" s="15">
        <f>IF(H282&lt;&gt;"",EXP(-Formula!$C$28*(EOMONTH(H282,0)-H282)),EXP(-Formula!$C$28*(EOMONTH(D282,0)-D282)))</f>
        <v>0.6376281516</v>
      </c>
      <c r="T282" s="15">
        <f t="shared" si="3"/>
        <v>0.2886751346</v>
      </c>
      <c r="U282" s="15">
        <f t="shared" si="4"/>
        <v>0.05395078745</v>
      </c>
      <c r="V282" s="16">
        <f>IF(AND(L282="Among all respondents",NOT(OR(K282="Online poll in Telegram channel",K282="Website online poll",K282="CAWI (Computer Assisted Web Interviewing)"))),1/(1-MIN(MAX(Formula!$C$33+(YEAR(D282)-Formula!$C$34)/(Formula!$C$35-Formula!$C$34)*(Formula!$C$32-Formula!$C$33),Formula!$C$33),Formula!$C$32)),1)</f>
        <v>1.195219124</v>
      </c>
      <c r="W282" s="17">
        <f t="shared" si="5"/>
        <v>2.390438247</v>
      </c>
    </row>
    <row r="283" ht="15.75" customHeight="1">
      <c r="A283" s="8" t="s">
        <v>724</v>
      </c>
      <c r="B283" s="7" t="s">
        <v>711</v>
      </c>
      <c r="C283" s="13" t="s">
        <v>712</v>
      </c>
      <c r="D283" s="7" t="s">
        <v>63</v>
      </c>
      <c r="E283" s="8" t="s">
        <v>65</v>
      </c>
      <c r="F283" s="8" t="s">
        <v>318</v>
      </c>
      <c r="G283" s="7" t="s">
        <v>713</v>
      </c>
      <c r="H283" s="7" t="s">
        <v>714</v>
      </c>
      <c r="I283" s="8">
        <v>1200.0</v>
      </c>
      <c r="J283" s="8">
        <v>2.9</v>
      </c>
      <c r="K283" s="8" t="s">
        <v>715</v>
      </c>
      <c r="L283" s="8" t="s">
        <v>373</v>
      </c>
      <c r="M283" s="8" t="s">
        <v>362</v>
      </c>
      <c r="N283" s="8">
        <v>1.0</v>
      </c>
      <c r="O283" s="14">
        <f t="shared" si="1"/>
        <v>45597</v>
      </c>
      <c r="P283" s="15">
        <f>IFERROR(VLOOKUP(K283,Formula!$A$11:$B$20,2,FALSE),Formula!$C$26)</f>
        <v>0.85</v>
      </c>
      <c r="Q283" s="15">
        <f>IF(AND(ISNUMBER(J283),J283&gt;0),1/J283,IF(AND(ISNUMBER(I283),I283&gt;0),SQRT(MIN(I283,Formula!$C$27))/Formula!$C$24,1/Formula!$C$25))</f>
        <v>0.3448275862</v>
      </c>
      <c r="R283" s="15">
        <f t="shared" si="2"/>
        <v>0.2931034483</v>
      </c>
      <c r="S283" s="15">
        <f>IF(H283&lt;&gt;"",EXP(-Formula!$C$28*(EOMONTH(H283,0)-H283)),EXP(-Formula!$C$28*(EOMONTH(D283,0)-D283)))</f>
        <v>0.6376281516</v>
      </c>
      <c r="T283" s="15">
        <f t="shared" si="3"/>
        <v>0.2886751346</v>
      </c>
      <c r="U283" s="15">
        <f t="shared" si="4"/>
        <v>0.05395078745</v>
      </c>
      <c r="V283" s="16">
        <f>IF(AND(L283="Among all respondents",NOT(OR(K283="Online poll in Telegram channel",K283="Website online poll",K283="CAWI (Computer Assisted Web Interviewing)"))),1/(1-MIN(MAX(Formula!$C$33+(YEAR(D283)-Formula!$C$34)/(Formula!$C$35-Formula!$C$34)*(Formula!$C$32-Formula!$C$33),Formula!$C$33),Formula!$C$32)),1)</f>
        <v>1.195219124</v>
      </c>
      <c r="W283" s="17">
        <f t="shared" si="5"/>
        <v>1.195219124</v>
      </c>
    </row>
    <row r="284" ht="15.75" customHeight="1">
      <c r="A284" s="8" t="s">
        <v>725</v>
      </c>
      <c r="B284" s="7" t="s">
        <v>711</v>
      </c>
      <c r="C284" s="13" t="s">
        <v>712</v>
      </c>
      <c r="D284" s="7" t="s">
        <v>63</v>
      </c>
      <c r="E284" s="8" t="s">
        <v>65</v>
      </c>
      <c r="F284" s="8" t="s">
        <v>318</v>
      </c>
      <c r="G284" s="7" t="s">
        <v>713</v>
      </c>
      <c r="H284" s="7" t="s">
        <v>714</v>
      </c>
      <c r="I284" s="8">
        <v>1200.0</v>
      </c>
      <c r="J284" s="8">
        <v>2.9</v>
      </c>
      <c r="K284" s="8" t="s">
        <v>715</v>
      </c>
      <c r="L284" s="8" t="s">
        <v>373</v>
      </c>
      <c r="M284" s="8" t="s">
        <v>365</v>
      </c>
      <c r="N284" s="8">
        <v>1.0</v>
      </c>
      <c r="O284" s="14">
        <f t="shared" si="1"/>
        <v>45597</v>
      </c>
      <c r="P284" s="15">
        <f>IFERROR(VLOOKUP(K284,Formula!$A$11:$B$20,2,FALSE),Formula!$C$26)</f>
        <v>0.85</v>
      </c>
      <c r="Q284" s="15">
        <f>IF(AND(ISNUMBER(J284),J284&gt;0),1/J284,IF(AND(ISNUMBER(I284),I284&gt;0),SQRT(MIN(I284,Formula!$C$27))/Formula!$C$24,1/Formula!$C$25))</f>
        <v>0.3448275862</v>
      </c>
      <c r="R284" s="15">
        <f t="shared" si="2"/>
        <v>0.2931034483</v>
      </c>
      <c r="S284" s="15">
        <f>IF(H284&lt;&gt;"",EXP(-Formula!$C$28*(EOMONTH(H284,0)-H284)),EXP(-Formula!$C$28*(EOMONTH(D284,0)-D284)))</f>
        <v>0.6376281516</v>
      </c>
      <c r="T284" s="15">
        <f t="shared" si="3"/>
        <v>0.2886751346</v>
      </c>
      <c r="U284" s="15">
        <f t="shared" si="4"/>
        <v>0.05395078745</v>
      </c>
      <c r="V284" s="16">
        <f>IF(AND(L284="Among all respondents",NOT(OR(K284="Online poll in Telegram channel",K284="Website online poll",K284="CAWI (Computer Assisted Web Interviewing)"))),1/(1-MIN(MAX(Formula!$C$33+(YEAR(D284)-Formula!$C$34)/(Formula!$C$35-Formula!$C$34)*(Formula!$C$32-Formula!$C$33),Formula!$C$33),Formula!$C$32)),1)</f>
        <v>1.195219124</v>
      </c>
      <c r="W284" s="17">
        <f t="shared" si="5"/>
        <v>1.195219124</v>
      </c>
    </row>
    <row r="285" ht="15.75" customHeight="1">
      <c r="A285" s="8" t="s">
        <v>726</v>
      </c>
      <c r="B285" s="7" t="s">
        <v>711</v>
      </c>
      <c r="C285" s="13" t="s">
        <v>712</v>
      </c>
      <c r="D285" s="7" t="s">
        <v>63</v>
      </c>
      <c r="E285" s="8" t="s">
        <v>65</v>
      </c>
      <c r="F285" s="8" t="s">
        <v>318</v>
      </c>
      <c r="G285" s="7" t="s">
        <v>713</v>
      </c>
      <c r="H285" s="7" t="s">
        <v>714</v>
      </c>
      <c r="I285" s="8">
        <v>1200.0</v>
      </c>
      <c r="J285" s="8">
        <v>2.9</v>
      </c>
      <c r="K285" s="8" t="s">
        <v>715</v>
      </c>
      <c r="L285" s="8" t="s">
        <v>373</v>
      </c>
      <c r="M285" s="8" t="s">
        <v>386</v>
      </c>
      <c r="N285" s="8">
        <v>1.0</v>
      </c>
      <c r="O285" s="14">
        <f t="shared" si="1"/>
        <v>45597</v>
      </c>
      <c r="P285" s="15">
        <f>IFERROR(VLOOKUP(K285,Formula!$A$11:$B$20,2,FALSE),Formula!$C$26)</f>
        <v>0.85</v>
      </c>
      <c r="Q285" s="15">
        <f>IF(AND(ISNUMBER(J285),J285&gt;0),1/J285,IF(AND(ISNUMBER(I285),I285&gt;0),SQRT(MIN(I285,Formula!$C$27))/Formula!$C$24,1/Formula!$C$25))</f>
        <v>0.3448275862</v>
      </c>
      <c r="R285" s="15">
        <f t="shared" si="2"/>
        <v>0.2931034483</v>
      </c>
      <c r="S285" s="15">
        <f>IF(H285&lt;&gt;"",EXP(-Formula!$C$28*(EOMONTH(H285,0)-H285)),EXP(-Formula!$C$28*(EOMONTH(D285,0)-D285)))</f>
        <v>0.6376281516</v>
      </c>
      <c r="T285" s="15">
        <f t="shared" si="3"/>
        <v>0.2886751346</v>
      </c>
      <c r="U285" s="15">
        <f t="shared" si="4"/>
        <v>0.05395078745</v>
      </c>
      <c r="V285" s="16">
        <f>IF(AND(L285="Among all respondents",NOT(OR(K285="Online poll in Telegram channel",K285="Website online poll",K285="CAWI (Computer Assisted Web Interviewing)"))),1/(1-MIN(MAX(Formula!$C$33+(YEAR(D285)-Formula!$C$34)/(Formula!$C$35-Formula!$C$34)*(Formula!$C$32-Formula!$C$33),Formula!$C$33),Formula!$C$32)),1)</f>
        <v>1.195219124</v>
      </c>
      <c r="W285" s="17">
        <f t="shared" si="5"/>
        <v>1.195219124</v>
      </c>
    </row>
    <row r="286" ht="15.75" customHeight="1">
      <c r="A286" s="8" t="s">
        <v>727</v>
      </c>
      <c r="B286" s="7" t="s">
        <v>728</v>
      </c>
      <c r="C286" s="13" t="s">
        <v>729</v>
      </c>
      <c r="D286" s="7" t="s">
        <v>66</v>
      </c>
      <c r="E286" s="8" t="s">
        <v>61</v>
      </c>
      <c r="F286" s="8" t="s">
        <v>318</v>
      </c>
      <c r="G286" s="7" t="s">
        <v>730</v>
      </c>
      <c r="H286" s="7" t="s">
        <v>731</v>
      </c>
      <c r="I286" s="8">
        <v>5011.0</v>
      </c>
      <c r="J286" s="8">
        <v>2.0</v>
      </c>
      <c r="K286" s="8" t="s">
        <v>467</v>
      </c>
      <c r="L286" s="8" t="s">
        <v>373</v>
      </c>
      <c r="M286" s="8" t="s">
        <v>323</v>
      </c>
      <c r="N286" s="8">
        <v>15.98</v>
      </c>
      <c r="O286" s="14">
        <f t="shared" si="1"/>
        <v>45566</v>
      </c>
      <c r="P286" s="15">
        <f>IFERROR(VLOOKUP(K286,Formula!$A$11:$B$20,2,FALSE),Formula!$C$26)</f>
        <v>1</v>
      </c>
      <c r="Q286" s="15">
        <f>IF(AND(ISNUMBER(J286),J286&gt;0),1/J286,IF(AND(ISNUMBER(I286),I286&gt;0),SQRT(MIN(I286,Formula!$C$27))/Formula!$C$24,1/Formula!$C$25))</f>
        <v>0.5</v>
      </c>
      <c r="R286" s="15">
        <f t="shared" si="2"/>
        <v>0.5</v>
      </c>
      <c r="S286" s="15">
        <f>IF(H286&lt;&gt;"",EXP(-Formula!$C$28*(EOMONTH(H286,0)-H286)),EXP(-Formula!$C$28*(EOMONTH(D286,0)-D286)))</f>
        <v>0.5769498104</v>
      </c>
      <c r="T286" s="15">
        <f t="shared" si="3"/>
        <v>0.3015113446</v>
      </c>
      <c r="U286" s="15">
        <f t="shared" si="4"/>
        <v>0.08697845654</v>
      </c>
      <c r="V286" s="16">
        <f>IF(AND(L286="Among all respondents",NOT(OR(K286="Online poll in Telegram channel",K286="Website online poll",K286="CAWI (Computer Assisted Web Interviewing)"))),1/(1-MIN(MAX(Formula!$C$33+(YEAR(D286)-Formula!$C$34)/(Formula!$C$35-Formula!$C$34)*(Formula!$C$32-Formula!$C$33),Formula!$C$33),Formula!$C$32)),1)</f>
        <v>1.195219124</v>
      </c>
      <c r="W286" s="17">
        <f t="shared" si="5"/>
        <v>19.09960159</v>
      </c>
    </row>
    <row r="287" ht="15.75" customHeight="1">
      <c r="A287" s="8" t="s">
        <v>732</v>
      </c>
      <c r="B287" s="7" t="s">
        <v>728</v>
      </c>
      <c r="C287" s="13" t="s">
        <v>729</v>
      </c>
      <c r="D287" s="7" t="s">
        <v>66</v>
      </c>
      <c r="E287" s="8" t="s">
        <v>61</v>
      </c>
      <c r="F287" s="8" t="s">
        <v>318</v>
      </c>
      <c r="G287" s="7" t="s">
        <v>730</v>
      </c>
      <c r="H287" s="7" t="s">
        <v>731</v>
      </c>
      <c r="I287" s="8">
        <v>5011.0</v>
      </c>
      <c r="J287" s="8">
        <v>2.0</v>
      </c>
      <c r="K287" s="8" t="s">
        <v>467</v>
      </c>
      <c r="L287" s="8" t="s">
        <v>373</v>
      </c>
      <c r="M287" s="8" t="s">
        <v>337</v>
      </c>
      <c r="N287" s="8">
        <v>12.07</v>
      </c>
      <c r="O287" s="14">
        <f t="shared" si="1"/>
        <v>45566</v>
      </c>
      <c r="P287" s="15">
        <f>IFERROR(VLOOKUP(K287,Formula!$A$11:$B$20,2,FALSE),Formula!$C$26)</f>
        <v>1</v>
      </c>
      <c r="Q287" s="15">
        <f>IF(AND(ISNUMBER(J287),J287&gt;0),1/J287,IF(AND(ISNUMBER(I287),I287&gt;0),SQRT(MIN(I287,Formula!$C$27))/Formula!$C$24,1/Formula!$C$25))</f>
        <v>0.5</v>
      </c>
      <c r="R287" s="15">
        <f t="shared" si="2"/>
        <v>0.5</v>
      </c>
      <c r="S287" s="15">
        <f>IF(H287&lt;&gt;"",EXP(-Formula!$C$28*(EOMONTH(H287,0)-H287)),EXP(-Formula!$C$28*(EOMONTH(D287,0)-D287)))</f>
        <v>0.5769498104</v>
      </c>
      <c r="T287" s="15">
        <f t="shared" si="3"/>
        <v>0.3015113446</v>
      </c>
      <c r="U287" s="15">
        <f t="shared" si="4"/>
        <v>0.08697845654</v>
      </c>
      <c r="V287" s="16">
        <f>IF(AND(L287="Among all respondents",NOT(OR(K287="Online poll in Telegram channel",K287="Website online poll",K287="CAWI (Computer Assisted Web Interviewing)"))),1/(1-MIN(MAX(Formula!$C$33+(YEAR(D287)-Formula!$C$34)/(Formula!$C$35-Formula!$C$34)*(Formula!$C$32-Formula!$C$33),Formula!$C$33),Formula!$C$32)),1)</f>
        <v>1.195219124</v>
      </c>
      <c r="W287" s="17">
        <f t="shared" si="5"/>
        <v>14.42629482</v>
      </c>
    </row>
    <row r="288" ht="15.75" customHeight="1">
      <c r="A288" s="8" t="s">
        <v>733</v>
      </c>
      <c r="B288" s="7" t="s">
        <v>728</v>
      </c>
      <c r="C288" s="13" t="s">
        <v>729</v>
      </c>
      <c r="D288" s="7" t="s">
        <v>66</v>
      </c>
      <c r="E288" s="8" t="s">
        <v>61</v>
      </c>
      <c r="F288" s="8" t="s">
        <v>318</v>
      </c>
      <c r="G288" s="7" t="s">
        <v>730</v>
      </c>
      <c r="H288" s="7" t="s">
        <v>731</v>
      </c>
      <c r="I288" s="8">
        <v>5011.0</v>
      </c>
      <c r="J288" s="8">
        <v>2.0</v>
      </c>
      <c r="K288" s="8" t="s">
        <v>467</v>
      </c>
      <c r="L288" s="8" t="s">
        <v>373</v>
      </c>
      <c r="M288" s="8" t="s">
        <v>329</v>
      </c>
      <c r="N288" s="8">
        <v>7.24</v>
      </c>
      <c r="O288" s="14">
        <f t="shared" si="1"/>
        <v>45566</v>
      </c>
      <c r="P288" s="15">
        <f>IFERROR(VLOOKUP(K288,Formula!$A$11:$B$20,2,FALSE),Formula!$C$26)</f>
        <v>1</v>
      </c>
      <c r="Q288" s="15">
        <f>IF(AND(ISNUMBER(J288),J288&gt;0),1/J288,IF(AND(ISNUMBER(I288),I288&gt;0),SQRT(MIN(I288,Formula!$C$27))/Formula!$C$24,1/Formula!$C$25))</f>
        <v>0.5</v>
      </c>
      <c r="R288" s="15">
        <f t="shared" si="2"/>
        <v>0.5</v>
      </c>
      <c r="S288" s="15">
        <f>IF(H288&lt;&gt;"",EXP(-Formula!$C$28*(EOMONTH(H288,0)-H288)),EXP(-Formula!$C$28*(EOMONTH(D288,0)-D288)))</f>
        <v>0.5769498104</v>
      </c>
      <c r="T288" s="15">
        <f t="shared" si="3"/>
        <v>0.3015113446</v>
      </c>
      <c r="U288" s="15">
        <f t="shared" si="4"/>
        <v>0.08697845654</v>
      </c>
      <c r="V288" s="16">
        <f>IF(AND(L288="Among all respondents",NOT(OR(K288="Online poll in Telegram channel",K288="Website online poll",K288="CAWI (Computer Assisted Web Interviewing)"))),1/(1-MIN(MAX(Formula!$C$33+(YEAR(D288)-Formula!$C$34)/(Formula!$C$35-Formula!$C$34)*(Formula!$C$32-Formula!$C$33),Formula!$C$33),Formula!$C$32)),1)</f>
        <v>1.195219124</v>
      </c>
      <c r="W288" s="17">
        <f t="shared" si="5"/>
        <v>8.653386454</v>
      </c>
    </row>
    <row r="289" ht="15.75" customHeight="1">
      <c r="A289" s="8" t="s">
        <v>734</v>
      </c>
      <c r="B289" s="7" t="s">
        <v>728</v>
      </c>
      <c r="C289" s="13" t="s">
        <v>729</v>
      </c>
      <c r="D289" s="7" t="s">
        <v>66</v>
      </c>
      <c r="E289" s="8" t="s">
        <v>61</v>
      </c>
      <c r="F289" s="8" t="s">
        <v>318</v>
      </c>
      <c r="G289" s="7" t="s">
        <v>730</v>
      </c>
      <c r="H289" s="7" t="s">
        <v>731</v>
      </c>
      <c r="I289" s="8">
        <v>5011.0</v>
      </c>
      <c r="J289" s="8">
        <v>2.0</v>
      </c>
      <c r="K289" s="8" t="s">
        <v>467</v>
      </c>
      <c r="L289" s="8" t="s">
        <v>373</v>
      </c>
      <c r="M289" s="8" t="s">
        <v>343</v>
      </c>
      <c r="N289" s="8">
        <v>4.83</v>
      </c>
      <c r="O289" s="14">
        <f t="shared" si="1"/>
        <v>45566</v>
      </c>
      <c r="P289" s="15">
        <f>IFERROR(VLOOKUP(K289,Formula!$A$11:$B$20,2,FALSE),Formula!$C$26)</f>
        <v>1</v>
      </c>
      <c r="Q289" s="15">
        <f>IF(AND(ISNUMBER(J289),J289&gt;0),1/J289,IF(AND(ISNUMBER(I289),I289&gt;0),SQRT(MIN(I289,Formula!$C$27))/Formula!$C$24,1/Formula!$C$25))</f>
        <v>0.5</v>
      </c>
      <c r="R289" s="15">
        <f t="shared" si="2"/>
        <v>0.5</v>
      </c>
      <c r="S289" s="15">
        <f>IF(H289&lt;&gt;"",EXP(-Formula!$C$28*(EOMONTH(H289,0)-H289)),EXP(-Formula!$C$28*(EOMONTH(D289,0)-D289)))</f>
        <v>0.5769498104</v>
      </c>
      <c r="T289" s="15">
        <f t="shared" si="3"/>
        <v>0.3015113446</v>
      </c>
      <c r="U289" s="15">
        <f t="shared" si="4"/>
        <v>0.08697845654</v>
      </c>
      <c r="V289" s="16">
        <f>IF(AND(L289="Among all respondents",NOT(OR(K289="Online poll in Telegram channel",K289="Website online poll",K289="CAWI (Computer Assisted Web Interviewing)"))),1/(1-MIN(MAX(Formula!$C$33+(YEAR(D289)-Formula!$C$34)/(Formula!$C$35-Formula!$C$34)*(Formula!$C$32-Formula!$C$33),Formula!$C$33),Formula!$C$32)),1)</f>
        <v>1.195219124</v>
      </c>
      <c r="W289" s="17">
        <f t="shared" si="5"/>
        <v>5.772908367</v>
      </c>
    </row>
    <row r="290" ht="15.75" customHeight="1">
      <c r="A290" s="8" t="s">
        <v>735</v>
      </c>
      <c r="B290" s="7" t="s">
        <v>728</v>
      </c>
      <c r="C290" s="13" t="s">
        <v>729</v>
      </c>
      <c r="D290" s="7" t="s">
        <v>66</v>
      </c>
      <c r="E290" s="8" t="s">
        <v>61</v>
      </c>
      <c r="F290" s="8" t="s">
        <v>318</v>
      </c>
      <c r="G290" s="7" t="s">
        <v>730</v>
      </c>
      <c r="H290" s="7" t="s">
        <v>731</v>
      </c>
      <c r="I290" s="8">
        <v>5011.0</v>
      </c>
      <c r="J290" s="8">
        <v>2.0</v>
      </c>
      <c r="K290" s="8" t="s">
        <v>467</v>
      </c>
      <c r="L290" s="8" t="s">
        <v>373</v>
      </c>
      <c r="M290" s="8" t="s">
        <v>335</v>
      </c>
      <c r="N290" s="8">
        <v>2.3</v>
      </c>
      <c r="O290" s="14">
        <f t="shared" si="1"/>
        <v>45566</v>
      </c>
      <c r="P290" s="15">
        <f>IFERROR(VLOOKUP(K290,Formula!$A$11:$B$20,2,FALSE),Formula!$C$26)</f>
        <v>1</v>
      </c>
      <c r="Q290" s="15">
        <f>IF(AND(ISNUMBER(J290),J290&gt;0),1/J290,IF(AND(ISNUMBER(I290),I290&gt;0),SQRT(MIN(I290,Formula!$C$27))/Formula!$C$24,1/Formula!$C$25))</f>
        <v>0.5</v>
      </c>
      <c r="R290" s="15">
        <f t="shared" si="2"/>
        <v>0.5</v>
      </c>
      <c r="S290" s="15">
        <f>IF(H290&lt;&gt;"",EXP(-Formula!$C$28*(EOMONTH(H290,0)-H290)),EXP(-Formula!$C$28*(EOMONTH(D290,0)-D290)))</f>
        <v>0.5769498104</v>
      </c>
      <c r="T290" s="15">
        <f t="shared" si="3"/>
        <v>0.3015113446</v>
      </c>
      <c r="U290" s="15">
        <f t="shared" si="4"/>
        <v>0.08697845654</v>
      </c>
      <c r="V290" s="16">
        <f>IF(AND(L290="Among all respondents",NOT(OR(K290="Online poll in Telegram channel",K290="Website online poll",K290="CAWI (Computer Assisted Web Interviewing)"))),1/(1-MIN(MAX(Formula!$C$33+(YEAR(D290)-Formula!$C$34)/(Formula!$C$35-Formula!$C$34)*(Formula!$C$32-Formula!$C$33),Formula!$C$33),Formula!$C$32)),1)</f>
        <v>1.195219124</v>
      </c>
      <c r="W290" s="17">
        <f t="shared" si="5"/>
        <v>2.749003984</v>
      </c>
    </row>
    <row r="291" ht="15.75" customHeight="1">
      <c r="A291" s="8" t="s">
        <v>736</v>
      </c>
      <c r="B291" s="7" t="s">
        <v>728</v>
      </c>
      <c r="C291" s="13" t="s">
        <v>729</v>
      </c>
      <c r="D291" s="7" t="s">
        <v>66</v>
      </c>
      <c r="E291" s="8" t="s">
        <v>61</v>
      </c>
      <c r="F291" s="8" t="s">
        <v>318</v>
      </c>
      <c r="G291" s="7" t="s">
        <v>730</v>
      </c>
      <c r="H291" s="7" t="s">
        <v>731</v>
      </c>
      <c r="I291" s="8">
        <v>5011.0</v>
      </c>
      <c r="J291" s="8">
        <v>2.0</v>
      </c>
      <c r="K291" s="8" t="s">
        <v>467</v>
      </c>
      <c r="L291" s="8" t="s">
        <v>373</v>
      </c>
      <c r="M291" s="8" t="s">
        <v>327</v>
      </c>
      <c r="N291" s="8">
        <v>1.78</v>
      </c>
      <c r="O291" s="14">
        <f t="shared" si="1"/>
        <v>45566</v>
      </c>
      <c r="P291" s="15">
        <f>IFERROR(VLOOKUP(K291,Formula!$A$11:$B$20,2,FALSE),Formula!$C$26)</f>
        <v>1</v>
      </c>
      <c r="Q291" s="15">
        <f>IF(AND(ISNUMBER(J291),J291&gt;0),1/J291,IF(AND(ISNUMBER(I291),I291&gt;0),SQRT(MIN(I291,Formula!$C$27))/Formula!$C$24,1/Formula!$C$25))</f>
        <v>0.5</v>
      </c>
      <c r="R291" s="15">
        <f t="shared" si="2"/>
        <v>0.5</v>
      </c>
      <c r="S291" s="15">
        <f>IF(H291&lt;&gt;"",EXP(-Formula!$C$28*(EOMONTH(H291,0)-H291)),EXP(-Formula!$C$28*(EOMONTH(D291,0)-D291)))</f>
        <v>0.5769498104</v>
      </c>
      <c r="T291" s="15">
        <f t="shared" si="3"/>
        <v>0.3015113446</v>
      </c>
      <c r="U291" s="15">
        <f t="shared" si="4"/>
        <v>0.08697845654</v>
      </c>
      <c r="V291" s="16">
        <f>IF(AND(L291="Among all respondents",NOT(OR(K291="Online poll in Telegram channel",K291="Website online poll",K291="CAWI (Computer Assisted Web Interviewing)"))),1/(1-MIN(MAX(Formula!$C$33+(YEAR(D291)-Formula!$C$34)/(Formula!$C$35-Formula!$C$34)*(Formula!$C$32-Formula!$C$33),Formula!$C$33),Formula!$C$32)),1)</f>
        <v>1.195219124</v>
      </c>
      <c r="W291" s="17">
        <f t="shared" si="5"/>
        <v>2.12749004</v>
      </c>
    </row>
    <row r="292" ht="15.75" customHeight="1">
      <c r="A292" s="8" t="s">
        <v>737</v>
      </c>
      <c r="B292" s="7" t="s">
        <v>728</v>
      </c>
      <c r="C292" s="13" t="s">
        <v>729</v>
      </c>
      <c r="D292" s="7" t="s">
        <v>66</v>
      </c>
      <c r="E292" s="8" t="s">
        <v>61</v>
      </c>
      <c r="F292" s="8" t="s">
        <v>318</v>
      </c>
      <c r="G292" s="7" t="s">
        <v>730</v>
      </c>
      <c r="H292" s="7" t="s">
        <v>731</v>
      </c>
      <c r="I292" s="8">
        <v>5011.0</v>
      </c>
      <c r="J292" s="8">
        <v>2.0</v>
      </c>
      <c r="K292" s="8" t="s">
        <v>467</v>
      </c>
      <c r="L292" s="8" t="s">
        <v>373</v>
      </c>
      <c r="M292" s="8" t="s">
        <v>333</v>
      </c>
      <c r="N292" s="8">
        <v>1.46</v>
      </c>
      <c r="O292" s="14">
        <f t="shared" si="1"/>
        <v>45566</v>
      </c>
      <c r="P292" s="15">
        <f>IFERROR(VLOOKUP(K292,Formula!$A$11:$B$20,2,FALSE),Formula!$C$26)</f>
        <v>1</v>
      </c>
      <c r="Q292" s="15">
        <f>IF(AND(ISNUMBER(J292),J292&gt;0),1/J292,IF(AND(ISNUMBER(I292),I292&gt;0),SQRT(MIN(I292,Formula!$C$27))/Formula!$C$24,1/Formula!$C$25))</f>
        <v>0.5</v>
      </c>
      <c r="R292" s="15">
        <f t="shared" si="2"/>
        <v>0.5</v>
      </c>
      <c r="S292" s="15">
        <f>IF(H292&lt;&gt;"",EXP(-Formula!$C$28*(EOMONTH(H292,0)-H292)),EXP(-Formula!$C$28*(EOMONTH(D292,0)-D292)))</f>
        <v>0.5769498104</v>
      </c>
      <c r="T292" s="15">
        <f t="shared" si="3"/>
        <v>0.3015113446</v>
      </c>
      <c r="U292" s="15">
        <f t="shared" si="4"/>
        <v>0.08697845654</v>
      </c>
      <c r="V292" s="16">
        <f>IF(AND(L292="Among all respondents",NOT(OR(K292="Online poll in Telegram channel",K292="Website online poll",K292="CAWI (Computer Assisted Web Interviewing)"))),1/(1-MIN(MAX(Formula!$C$33+(YEAR(D292)-Formula!$C$34)/(Formula!$C$35-Formula!$C$34)*(Formula!$C$32-Formula!$C$33),Formula!$C$33),Formula!$C$32)),1)</f>
        <v>1.195219124</v>
      </c>
      <c r="W292" s="17">
        <f t="shared" si="5"/>
        <v>1.74501992</v>
      </c>
    </row>
    <row r="293" ht="15.75" customHeight="1">
      <c r="A293" s="8" t="s">
        <v>738</v>
      </c>
      <c r="B293" s="7" t="s">
        <v>728</v>
      </c>
      <c r="C293" s="13" t="s">
        <v>729</v>
      </c>
      <c r="D293" s="7" t="s">
        <v>66</v>
      </c>
      <c r="E293" s="8" t="s">
        <v>61</v>
      </c>
      <c r="F293" s="8" t="s">
        <v>318</v>
      </c>
      <c r="G293" s="7" t="s">
        <v>730</v>
      </c>
      <c r="H293" s="7" t="s">
        <v>731</v>
      </c>
      <c r="I293" s="8">
        <v>5011.0</v>
      </c>
      <c r="J293" s="8">
        <v>2.0</v>
      </c>
      <c r="K293" s="8" t="s">
        <v>467</v>
      </c>
      <c r="L293" s="8" t="s">
        <v>373</v>
      </c>
      <c r="M293" s="8" t="s">
        <v>339</v>
      </c>
      <c r="N293" s="8">
        <v>1.32</v>
      </c>
      <c r="O293" s="14">
        <f t="shared" si="1"/>
        <v>45566</v>
      </c>
      <c r="P293" s="15">
        <f>IFERROR(VLOOKUP(K293,Formula!$A$11:$B$20,2,FALSE),Formula!$C$26)</f>
        <v>1</v>
      </c>
      <c r="Q293" s="15">
        <f>IF(AND(ISNUMBER(J293),J293&gt;0),1/J293,IF(AND(ISNUMBER(I293),I293&gt;0),SQRT(MIN(I293,Formula!$C$27))/Formula!$C$24,1/Formula!$C$25))</f>
        <v>0.5</v>
      </c>
      <c r="R293" s="15">
        <f t="shared" si="2"/>
        <v>0.5</v>
      </c>
      <c r="S293" s="15">
        <f>IF(H293&lt;&gt;"",EXP(-Formula!$C$28*(EOMONTH(H293,0)-H293)),EXP(-Formula!$C$28*(EOMONTH(D293,0)-D293)))</f>
        <v>0.5769498104</v>
      </c>
      <c r="T293" s="15">
        <f t="shared" si="3"/>
        <v>0.3015113446</v>
      </c>
      <c r="U293" s="15">
        <f t="shared" si="4"/>
        <v>0.08697845654</v>
      </c>
      <c r="V293" s="16">
        <f>IF(AND(L293="Among all respondents",NOT(OR(K293="Online poll in Telegram channel",K293="Website online poll",K293="CAWI (Computer Assisted Web Interviewing)"))),1/(1-MIN(MAX(Formula!$C$33+(YEAR(D293)-Formula!$C$34)/(Formula!$C$35-Formula!$C$34)*(Formula!$C$32-Formula!$C$33),Formula!$C$33),Formula!$C$32)),1)</f>
        <v>1.195219124</v>
      </c>
      <c r="W293" s="17">
        <f t="shared" si="5"/>
        <v>1.577689243</v>
      </c>
    </row>
    <row r="294" ht="15.75" customHeight="1">
      <c r="A294" s="8" t="s">
        <v>739</v>
      </c>
      <c r="B294" s="7" t="s">
        <v>728</v>
      </c>
      <c r="C294" s="13" t="s">
        <v>729</v>
      </c>
      <c r="D294" s="7" t="s">
        <v>66</v>
      </c>
      <c r="E294" s="8" t="s">
        <v>61</v>
      </c>
      <c r="F294" s="8" t="s">
        <v>318</v>
      </c>
      <c r="G294" s="7" t="s">
        <v>730</v>
      </c>
      <c r="H294" s="7" t="s">
        <v>731</v>
      </c>
      <c r="I294" s="8">
        <v>5011.0</v>
      </c>
      <c r="J294" s="8">
        <v>2.0</v>
      </c>
      <c r="K294" s="8" t="s">
        <v>467</v>
      </c>
      <c r="L294" s="8" t="s">
        <v>373</v>
      </c>
      <c r="M294" s="8" t="s">
        <v>740</v>
      </c>
      <c r="N294" s="8">
        <v>0.2</v>
      </c>
      <c r="O294" s="14">
        <f t="shared" si="1"/>
        <v>45566</v>
      </c>
      <c r="P294" s="15">
        <f>IFERROR(VLOOKUP(K294,Formula!$A$11:$B$20,2,FALSE),Formula!$C$26)</f>
        <v>1</v>
      </c>
      <c r="Q294" s="15">
        <f>IF(AND(ISNUMBER(J294),J294&gt;0),1/J294,IF(AND(ISNUMBER(I294),I294&gt;0),SQRT(MIN(I294,Formula!$C$27))/Formula!$C$24,1/Formula!$C$25))</f>
        <v>0.5</v>
      </c>
      <c r="R294" s="15">
        <f t="shared" si="2"/>
        <v>0.5</v>
      </c>
      <c r="S294" s="15">
        <f>IF(H294&lt;&gt;"",EXP(-Formula!$C$28*(EOMONTH(H294,0)-H294)),EXP(-Formula!$C$28*(EOMONTH(D294,0)-D294)))</f>
        <v>0.5769498104</v>
      </c>
      <c r="T294" s="15">
        <f t="shared" si="3"/>
        <v>0.3015113446</v>
      </c>
      <c r="U294" s="15">
        <f t="shared" si="4"/>
        <v>0.08697845654</v>
      </c>
      <c r="V294" s="16">
        <f>IF(AND(L294="Among all respondents",NOT(OR(K294="Online poll in Telegram channel",K294="Website online poll",K294="CAWI (Computer Assisted Web Interviewing)"))),1/(1-MIN(MAX(Formula!$C$33+(YEAR(D294)-Formula!$C$34)/(Formula!$C$35-Formula!$C$34)*(Formula!$C$32-Formula!$C$33),Formula!$C$33),Formula!$C$32)),1)</f>
        <v>1.195219124</v>
      </c>
      <c r="W294" s="17">
        <f t="shared" si="5"/>
        <v>0.2390438247</v>
      </c>
    </row>
    <row r="295" ht="15.75" customHeight="1">
      <c r="A295" s="8" t="s">
        <v>741</v>
      </c>
      <c r="B295" s="7" t="s">
        <v>728</v>
      </c>
      <c r="C295" s="13" t="s">
        <v>729</v>
      </c>
      <c r="D295" s="7" t="s">
        <v>66</v>
      </c>
      <c r="E295" s="8" t="s">
        <v>61</v>
      </c>
      <c r="F295" s="8" t="s">
        <v>318</v>
      </c>
      <c r="G295" s="7" t="s">
        <v>730</v>
      </c>
      <c r="H295" s="7" t="s">
        <v>731</v>
      </c>
      <c r="I295" s="8">
        <v>5011.0</v>
      </c>
      <c r="J295" s="8">
        <v>2.0</v>
      </c>
      <c r="K295" s="8" t="s">
        <v>467</v>
      </c>
      <c r="L295" s="8" t="s">
        <v>373</v>
      </c>
      <c r="M295" s="8" t="s">
        <v>386</v>
      </c>
      <c r="N295" s="8">
        <v>0.14</v>
      </c>
      <c r="O295" s="14">
        <f t="shared" si="1"/>
        <v>45566</v>
      </c>
      <c r="P295" s="15">
        <f>IFERROR(VLOOKUP(K295,Formula!$A$11:$B$20,2,FALSE),Formula!$C$26)</f>
        <v>1</v>
      </c>
      <c r="Q295" s="15">
        <f>IF(AND(ISNUMBER(J295),J295&gt;0),1/J295,IF(AND(ISNUMBER(I295),I295&gt;0),SQRT(MIN(I295,Formula!$C$27))/Formula!$C$24,1/Formula!$C$25))</f>
        <v>0.5</v>
      </c>
      <c r="R295" s="15">
        <f t="shared" si="2"/>
        <v>0.5</v>
      </c>
      <c r="S295" s="15">
        <f>IF(H295&lt;&gt;"",EXP(-Formula!$C$28*(EOMONTH(H295,0)-H295)),EXP(-Formula!$C$28*(EOMONTH(D295,0)-D295)))</f>
        <v>0.5769498104</v>
      </c>
      <c r="T295" s="15">
        <f t="shared" si="3"/>
        <v>0.3015113446</v>
      </c>
      <c r="U295" s="15">
        <f t="shared" si="4"/>
        <v>0.08697845654</v>
      </c>
      <c r="V295" s="16">
        <f>IF(AND(L295="Among all respondents",NOT(OR(K295="Online poll in Telegram channel",K295="Website online poll",K295="CAWI (Computer Assisted Web Interviewing)"))),1/(1-MIN(MAX(Formula!$C$33+(YEAR(D295)-Formula!$C$34)/(Formula!$C$35-Formula!$C$34)*(Formula!$C$32-Formula!$C$33),Formula!$C$33),Formula!$C$32)),1)</f>
        <v>1.195219124</v>
      </c>
      <c r="W295" s="17">
        <f t="shared" si="5"/>
        <v>0.1673306773</v>
      </c>
    </row>
    <row r="296" ht="15.75" customHeight="1">
      <c r="A296" s="8" t="s">
        <v>742</v>
      </c>
      <c r="B296" s="7" t="s">
        <v>728</v>
      </c>
      <c r="C296" s="13" t="s">
        <v>729</v>
      </c>
      <c r="D296" s="7" t="s">
        <v>66</v>
      </c>
      <c r="E296" s="8" t="s">
        <v>61</v>
      </c>
      <c r="F296" s="8" t="s">
        <v>318</v>
      </c>
      <c r="G296" s="7" t="s">
        <v>730</v>
      </c>
      <c r="H296" s="7" t="s">
        <v>731</v>
      </c>
      <c r="I296" s="8">
        <v>5011.0</v>
      </c>
      <c r="J296" s="8">
        <v>2.0</v>
      </c>
      <c r="K296" s="8" t="s">
        <v>467</v>
      </c>
      <c r="L296" s="8" t="s">
        <v>373</v>
      </c>
      <c r="M296" s="8" t="s">
        <v>743</v>
      </c>
      <c r="N296" s="8">
        <v>0.12</v>
      </c>
      <c r="O296" s="14">
        <f t="shared" si="1"/>
        <v>45566</v>
      </c>
      <c r="P296" s="15">
        <f>IFERROR(VLOOKUP(K296,Formula!$A$11:$B$20,2,FALSE),Formula!$C$26)</f>
        <v>1</v>
      </c>
      <c r="Q296" s="15">
        <f>IF(AND(ISNUMBER(J296),J296&gt;0),1/J296,IF(AND(ISNUMBER(I296),I296&gt;0),SQRT(MIN(I296,Formula!$C$27))/Formula!$C$24,1/Formula!$C$25))</f>
        <v>0.5</v>
      </c>
      <c r="R296" s="15">
        <f t="shared" si="2"/>
        <v>0.5</v>
      </c>
      <c r="S296" s="15">
        <f>IF(H296&lt;&gt;"",EXP(-Formula!$C$28*(EOMONTH(H296,0)-H296)),EXP(-Formula!$C$28*(EOMONTH(D296,0)-D296)))</f>
        <v>0.5769498104</v>
      </c>
      <c r="T296" s="15">
        <f t="shared" si="3"/>
        <v>0.3015113446</v>
      </c>
      <c r="U296" s="15">
        <f t="shared" si="4"/>
        <v>0.08697845654</v>
      </c>
      <c r="V296" s="16">
        <f>IF(AND(L296="Among all respondents",NOT(OR(K296="Online poll in Telegram channel",K296="Website online poll",K296="CAWI (Computer Assisted Web Interviewing)"))),1/(1-MIN(MAX(Formula!$C$33+(YEAR(D296)-Formula!$C$34)/(Formula!$C$35-Formula!$C$34)*(Formula!$C$32-Formula!$C$33),Formula!$C$33),Formula!$C$32)),1)</f>
        <v>1.195219124</v>
      </c>
      <c r="W296" s="17">
        <f t="shared" si="5"/>
        <v>0.1434262948</v>
      </c>
    </row>
    <row r="297" ht="15.75" customHeight="1">
      <c r="A297" s="8" t="s">
        <v>744</v>
      </c>
      <c r="B297" s="7" t="s">
        <v>745</v>
      </c>
      <c r="C297" s="13" t="s">
        <v>746</v>
      </c>
      <c r="D297" s="7" t="s">
        <v>68</v>
      </c>
      <c r="E297" s="8" t="s">
        <v>61</v>
      </c>
      <c r="F297" s="8" t="s">
        <v>318</v>
      </c>
      <c r="G297" s="7" t="s">
        <v>747</v>
      </c>
      <c r="H297" s="7" t="s">
        <v>748</v>
      </c>
      <c r="I297" s="8">
        <v>5255.0</v>
      </c>
      <c r="J297" s="8">
        <v>2.0</v>
      </c>
      <c r="K297" s="8" t="s">
        <v>467</v>
      </c>
      <c r="L297" s="8" t="s">
        <v>373</v>
      </c>
      <c r="M297" s="8" t="s">
        <v>323</v>
      </c>
      <c r="N297" s="8">
        <v>15.19</v>
      </c>
      <c r="O297" s="14">
        <f t="shared" si="1"/>
        <v>45505</v>
      </c>
      <c r="P297" s="15">
        <f>IFERROR(VLOOKUP(K297,Formula!$A$11:$B$20,2,FALSE),Formula!$C$26)</f>
        <v>1</v>
      </c>
      <c r="Q297" s="15">
        <f>IF(AND(ISNUMBER(J297),J297&gt;0),1/J297,IF(AND(ISNUMBER(I297),I297&gt;0),SQRT(MIN(I297,Formula!$C$27))/Formula!$C$24,1/Formula!$C$25))</f>
        <v>0.5</v>
      </c>
      <c r="R297" s="15">
        <f t="shared" si="2"/>
        <v>0.5</v>
      </c>
      <c r="S297" s="15">
        <f>IF(H297&lt;&gt;"",EXP(-Formula!$C$28*(EOMONTH(H297,0)-H297)),EXP(-Formula!$C$28*(EOMONTH(D297,0)-D297)))</f>
        <v>0.3678794412</v>
      </c>
      <c r="T297" s="15">
        <f t="shared" si="3"/>
        <v>0.3015113446</v>
      </c>
      <c r="U297" s="15">
        <f t="shared" si="4"/>
        <v>0.05545991248</v>
      </c>
      <c r="V297" s="16">
        <f>IF(AND(L297="Among all respondents",NOT(OR(K297="Online poll in Telegram channel",K297="Website online poll",K297="CAWI (Computer Assisted Web Interviewing)"))),1/(1-MIN(MAX(Formula!$C$33+(YEAR(D297)-Formula!$C$34)/(Formula!$C$35-Formula!$C$34)*(Formula!$C$32-Formula!$C$33),Formula!$C$33),Formula!$C$32)),1)</f>
        <v>1.195219124</v>
      </c>
      <c r="W297" s="17">
        <f t="shared" si="5"/>
        <v>18.15537849</v>
      </c>
    </row>
    <row r="298" ht="15.75" customHeight="1">
      <c r="A298" s="8" t="s">
        <v>749</v>
      </c>
      <c r="B298" s="7" t="s">
        <v>745</v>
      </c>
      <c r="C298" s="13" t="s">
        <v>746</v>
      </c>
      <c r="D298" s="7" t="s">
        <v>68</v>
      </c>
      <c r="E298" s="8" t="s">
        <v>61</v>
      </c>
      <c r="F298" s="8" t="s">
        <v>318</v>
      </c>
      <c r="G298" s="7" t="s">
        <v>747</v>
      </c>
      <c r="H298" s="7" t="s">
        <v>748</v>
      </c>
      <c r="I298" s="8">
        <v>5255.0</v>
      </c>
      <c r="J298" s="8">
        <v>2.0</v>
      </c>
      <c r="K298" s="8" t="s">
        <v>467</v>
      </c>
      <c r="L298" s="8" t="s">
        <v>373</v>
      </c>
      <c r="M298" s="8" t="s">
        <v>337</v>
      </c>
      <c r="N298" s="8">
        <v>11.32</v>
      </c>
      <c r="O298" s="14">
        <f t="shared" si="1"/>
        <v>45505</v>
      </c>
      <c r="P298" s="15">
        <f>IFERROR(VLOOKUP(K298,Formula!$A$11:$B$20,2,FALSE),Formula!$C$26)</f>
        <v>1</v>
      </c>
      <c r="Q298" s="15">
        <f>IF(AND(ISNUMBER(J298),J298&gt;0),1/J298,IF(AND(ISNUMBER(I298),I298&gt;0),SQRT(MIN(I298,Formula!$C$27))/Formula!$C$24,1/Formula!$C$25))</f>
        <v>0.5</v>
      </c>
      <c r="R298" s="15">
        <f t="shared" si="2"/>
        <v>0.5</v>
      </c>
      <c r="S298" s="15">
        <f>IF(H298&lt;&gt;"",EXP(-Formula!$C$28*(EOMONTH(H298,0)-H298)),EXP(-Formula!$C$28*(EOMONTH(D298,0)-D298)))</f>
        <v>0.3678794412</v>
      </c>
      <c r="T298" s="15">
        <f t="shared" si="3"/>
        <v>0.3015113446</v>
      </c>
      <c r="U298" s="15">
        <f t="shared" si="4"/>
        <v>0.05545991248</v>
      </c>
      <c r="V298" s="16">
        <f>IF(AND(L298="Among all respondents",NOT(OR(K298="Online poll in Telegram channel",K298="Website online poll",K298="CAWI (Computer Assisted Web Interviewing)"))),1/(1-MIN(MAX(Formula!$C$33+(YEAR(D298)-Formula!$C$34)/(Formula!$C$35-Formula!$C$34)*(Formula!$C$32-Formula!$C$33),Formula!$C$33),Formula!$C$32)),1)</f>
        <v>1.195219124</v>
      </c>
      <c r="W298" s="17">
        <f t="shared" si="5"/>
        <v>13.52988048</v>
      </c>
    </row>
    <row r="299" ht="15.75" customHeight="1">
      <c r="A299" s="8" t="s">
        <v>750</v>
      </c>
      <c r="B299" s="7" t="s">
        <v>745</v>
      </c>
      <c r="C299" s="13" t="s">
        <v>746</v>
      </c>
      <c r="D299" s="7" t="s">
        <v>68</v>
      </c>
      <c r="E299" s="8" t="s">
        <v>61</v>
      </c>
      <c r="F299" s="8" t="s">
        <v>318</v>
      </c>
      <c r="G299" s="7" t="s">
        <v>747</v>
      </c>
      <c r="H299" s="7" t="s">
        <v>748</v>
      </c>
      <c r="I299" s="8">
        <v>5255.0</v>
      </c>
      <c r="J299" s="8">
        <v>2.0</v>
      </c>
      <c r="K299" s="8" t="s">
        <v>467</v>
      </c>
      <c r="L299" s="8" t="s">
        <v>373</v>
      </c>
      <c r="M299" s="8" t="s">
        <v>329</v>
      </c>
      <c r="N299" s="8">
        <v>7.04</v>
      </c>
      <c r="O299" s="14">
        <f t="shared" si="1"/>
        <v>45505</v>
      </c>
      <c r="P299" s="15">
        <f>IFERROR(VLOOKUP(K299,Formula!$A$11:$B$20,2,FALSE),Formula!$C$26)</f>
        <v>1</v>
      </c>
      <c r="Q299" s="15">
        <f>IF(AND(ISNUMBER(J299),J299&gt;0),1/J299,IF(AND(ISNUMBER(I299),I299&gt;0),SQRT(MIN(I299,Formula!$C$27))/Formula!$C$24,1/Formula!$C$25))</f>
        <v>0.5</v>
      </c>
      <c r="R299" s="15">
        <f t="shared" si="2"/>
        <v>0.5</v>
      </c>
      <c r="S299" s="15">
        <f>IF(H299&lt;&gt;"",EXP(-Formula!$C$28*(EOMONTH(H299,0)-H299)),EXP(-Formula!$C$28*(EOMONTH(D299,0)-D299)))</f>
        <v>0.3678794412</v>
      </c>
      <c r="T299" s="15">
        <f t="shared" si="3"/>
        <v>0.3015113446</v>
      </c>
      <c r="U299" s="15">
        <f t="shared" si="4"/>
        <v>0.05545991248</v>
      </c>
      <c r="V299" s="16">
        <f>IF(AND(L299="Among all respondents",NOT(OR(K299="Online poll in Telegram channel",K299="Website online poll",K299="CAWI (Computer Assisted Web Interviewing)"))),1/(1-MIN(MAX(Formula!$C$33+(YEAR(D299)-Formula!$C$34)/(Formula!$C$35-Formula!$C$34)*(Formula!$C$32-Formula!$C$33),Formula!$C$33),Formula!$C$32)),1)</f>
        <v>1.195219124</v>
      </c>
      <c r="W299" s="17">
        <f t="shared" si="5"/>
        <v>8.414342629</v>
      </c>
    </row>
    <row r="300" ht="15.75" customHeight="1">
      <c r="A300" s="8" t="s">
        <v>751</v>
      </c>
      <c r="B300" s="7" t="s">
        <v>745</v>
      </c>
      <c r="C300" s="13" t="s">
        <v>746</v>
      </c>
      <c r="D300" s="7" t="s">
        <v>68</v>
      </c>
      <c r="E300" s="8" t="s">
        <v>61</v>
      </c>
      <c r="F300" s="8" t="s">
        <v>318</v>
      </c>
      <c r="G300" s="7" t="s">
        <v>747</v>
      </c>
      <c r="H300" s="7" t="s">
        <v>748</v>
      </c>
      <c r="I300" s="8">
        <v>5255.0</v>
      </c>
      <c r="J300" s="8">
        <v>2.0</v>
      </c>
      <c r="K300" s="8" t="s">
        <v>467</v>
      </c>
      <c r="L300" s="8" t="s">
        <v>373</v>
      </c>
      <c r="M300" s="8" t="s">
        <v>343</v>
      </c>
      <c r="N300" s="8">
        <v>4.22</v>
      </c>
      <c r="O300" s="14">
        <f t="shared" si="1"/>
        <v>45505</v>
      </c>
      <c r="P300" s="15">
        <f>IFERROR(VLOOKUP(K300,Formula!$A$11:$B$20,2,FALSE),Formula!$C$26)</f>
        <v>1</v>
      </c>
      <c r="Q300" s="15">
        <f>IF(AND(ISNUMBER(J300),J300&gt;0),1/J300,IF(AND(ISNUMBER(I300),I300&gt;0),SQRT(MIN(I300,Formula!$C$27))/Formula!$C$24,1/Formula!$C$25))</f>
        <v>0.5</v>
      </c>
      <c r="R300" s="15">
        <f t="shared" si="2"/>
        <v>0.5</v>
      </c>
      <c r="S300" s="15">
        <f>IF(H300&lt;&gt;"",EXP(-Formula!$C$28*(EOMONTH(H300,0)-H300)),EXP(-Formula!$C$28*(EOMONTH(D300,0)-D300)))</f>
        <v>0.3678794412</v>
      </c>
      <c r="T300" s="15">
        <f t="shared" si="3"/>
        <v>0.3015113446</v>
      </c>
      <c r="U300" s="15">
        <f t="shared" si="4"/>
        <v>0.05545991248</v>
      </c>
      <c r="V300" s="16">
        <f>IF(AND(L300="Among all respondents",NOT(OR(K300="Online poll in Telegram channel",K300="Website online poll",K300="CAWI (Computer Assisted Web Interviewing)"))),1/(1-MIN(MAX(Formula!$C$33+(YEAR(D300)-Formula!$C$34)/(Formula!$C$35-Formula!$C$34)*(Formula!$C$32-Formula!$C$33),Formula!$C$33),Formula!$C$32)),1)</f>
        <v>1.195219124</v>
      </c>
      <c r="W300" s="17">
        <f t="shared" si="5"/>
        <v>5.043824701</v>
      </c>
    </row>
    <row r="301" ht="15.75" customHeight="1">
      <c r="A301" s="8" t="s">
        <v>752</v>
      </c>
      <c r="B301" s="7" t="s">
        <v>745</v>
      </c>
      <c r="C301" s="13" t="s">
        <v>746</v>
      </c>
      <c r="D301" s="7" t="s">
        <v>68</v>
      </c>
      <c r="E301" s="8" t="s">
        <v>61</v>
      </c>
      <c r="F301" s="8" t="s">
        <v>318</v>
      </c>
      <c r="G301" s="7" t="s">
        <v>747</v>
      </c>
      <c r="H301" s="7" t="s">
        <v>748</v>
      </c>
      <c r="I301" s="8">
        <v>5255.0</v>
      </c>
      <c r="J301" s="8">
        <v>2.0</v>
      </c>
      <c r="K301" s="8" t="s">
        <v>467</v>
      </c>
      <c r="L301" s="8" t="s">
        <v>373</v>
      </c>
      <c r="M301" s="8" t="s">
        <v>335</v>
      </c>
      <c r="N301" s="8">
        <v>2.47</v>
      </c>
      <c r="O301" s="14">
        <f t="shared" si="1"/>
        <v>45505</v>
      </c>
      <c r="P301" s="15">
        <f>IFERROR(VLOOKUP(K301,Formula!$A$11:$B$20,2,FALSE),Formula!$C$26)</f>
        <v>1</v>
      </c>
      <c r="Q301" s="15">
        <f>IF(AND(ISNUMBER(J301),J301&gt;0),1/J301,IF(AND(ISNUMBER(I301),I301&gt;0),SQRT(MIN(I301,Formula!$C$27))/Formula!$C$24,1/Formula!$C$25))</f>
        <v>0.5</v>
      </c>
      <c r="R301" s="15">
        <f t="shared" si="2"/>
        <v>0.5</v>
      </c>
      <c r="S301" s="15">
        <f>IF(H301&lt;&gt;"",EXP(-Formula!$C$28*(EOMONTH(H301,0)-H301)),EXP(-Formula!$C$28*(EOMONTH(D301,0)-D301)))</f>
        <v>0.3678794412</v>
      </c>
      <c r="T301" s="15">
        <f t="shared" si="3"/>
        <v>0.3015113446</v>
      </c>
      <c r="U301" s="15">
        <f t="shared" si="4"/>
        <v>0.05545991248</v>
      </c>
      <c r="V301" s="16">
        <f>IF(AND(L301="Among all respondents",NOT(OR(K301="Online poll in Telegram channel",K301="Website online poll",K301="CAWI (Computer Assisted Web Interviewing)"))),1/(1-MIN(MAX(Formula!$C$33+(YEAR(D301)-Formula!$C$34)/(Formula!$C$35-Formula!$C$34)*(Formula!$C$32-Formula!$C$33),Formula!$C$33),Formula!$C$32)),1)</f>
        <v>1.195219124</v>
      </c>
      <c r="W301" s="17">
        <f t="shared" si="5"/>
        <v>2.952191235</v>
      </c>
    </row>
    <row r="302" ht="15.75" customHeight="1">
      <c r="A302" s="8" t="s">
        <v>753</v>
      </c>
      <c r="B302" s="7" t="s">
        <v>745</v>
      </c>
      <c r="C302" s="13" t="s">
        <v>746</v>
      </c>
      <c r="D302" s="7" t="s">
        <v>68</v>
      </c>
      <c r="E302" s="8" t="s">
        <v>61</v>
      </c>
      <c r="F302" s="8" t="s">
        <v>318</v>
      </c>
      <c r="G302" s="7" t="s">
        <v>747</v>
      </c>
      <c r="H302" s="7" t="s">
        <v>748</v>
      </c>
      <c r="I302" s="8">
        <v>5255.0</v>
      </c>
      <c r="J302" s="8">
        <v>2.0</v>
      </c>
      <c r="K302" s="8" t="s">
        <v>467</v>
      </c>
      <c r="L302" s="8" t="s">
        <v>373</v>
      </c>
      <c r="M302" s="8" t="s">
        <v>327</v>
      </c>
      <c r="N302" s="8">
        <v>1.52</v>
      </c>
      <c r="O302" s="14">
        <f t="shared" si="1"/>
        <v>45505</v>
      </c>
      <c r="P302" s="15">
        <f>IFERROR(VLOOKUP(K302,Formula!$A$11:$B$20,2,FALSE),Formula!$C$26)</f>
        <v>1</v>
      </c>
      <c r="Q302" s="15">
        <f>IF(AND(ISNUMBER(J302),J302&gt;0),1/J302,IF(AND(ISNUMBER(I302),I302&gt;0),SQRT(MIN(I302,Formula!$C$27))/Formula!$C$24,1/Formula!$C$25))</f>
        <v>0.5</v>
      </c>
      <c r="R302" s="15">
        <f t="shared" si="2"/>
        <v>0.5</v>
      </c>
      <c r="S302" s="15">
        <f>IF(H302&lt;&gt;"",EXP(-Formula!$C$28*(EOMONTH(H302,0)-H302)),EXP(-Formula!$C$28*(EOMONTH(D302,0)-D302)))</f>
        <v>0.3678794412</v>
      </c>
      <c r="T302" s="15">
        <f t="shared" si="3"/>
        <v>0.3015113446</v>
      </c>
      <c r="U302" s="15">
        <f t="shared" si="4"/>
        <v>0.05545991248</v>
      </c>
      <c r="V302" s="16">
        <f>IF(AND(L302="Among all respondents",NOT(OR(K302="Online poll in Telegram channel",K302="Website online poll",K302="CAWI (Computer Assisted Web Interviewing)"))),1/(1-MIN(MAX(Formula!$C$33+(YEAR(D302)-Formula!$C$34)/(Formula!$C$35-Formula!$C$34)*(Formula!$C$32-Formula!$C$33),Formula!$C$33),Formula!$C$32)),1)</f>
        <v>1.195219124</v>
      </c>
      <c r="W302" s="17">
        <f t="shared" si="5"/>
        <v>1.816733068</v>
      </c>
    </row>
    <row r="303" ht="15.75" customHeight="1">
      <c r="A303" s="8" t="s">
        <v>754</v>
      </c>
      <c r="B303" s="7" t="s">
        <v>745</v>
      </c>
      <c r="C303" s="13" t="s">
        <v>746</v>
      </c>
      <c r="D303" s="7" t="s">
        <v>68</v>
      </c>
      <c r="E303" s="8" t="s">
        <v>61</v>
      </c>
      <c r="F303" s="8" t="s">
        <v>318</v>
      </c>
      <c r="G303" s="7" t="s">
        <v>747</v>
      </c>
      <c r="H303" s="7" t="s">
        <v>748</v>
      </c>
      <c r="I303" s="8">
        <v>5255.0</v>
      </c>
      <c r="J303" s="8">
        <v>2.0</v>
      </c>
      <c r="K303" s="8" t="s">
        <v>467</v>
      </c>
      <c r="L303" s="8" t="s">
        <v>373</v>
      </c>
      <c r="M303" s="8" t="s">
        <v>333</v>
      </c>
      <c r="N303" s="8">
        <v>1.24</v>
      </c>
      <c r="O303" s="14">
        <f t="shared" si="1"/>
        <v>45505</v>
      </c>
      <c r="P303" s="15">
        <f>IFERROR(VLOOKUP(K303,Formula!$A$11:$B$20,2,FALSE),Formula!$C$26)</f>
        <v>1</v>
      </c>
      <c r="Q303" s="15">
        <f>IF(AND(ISNUMBER(J303),J303&gt;0),1/J303,IF(AND(ISNUMBER(I303),I303&gt;0),SQRT(MIN(I303,Formula!$C$27))/Formula!$C$24,1/Formula!$C$25))</f>
        <v>0.5</v>
      </c>
      <c r="R303" s="15">
        <f t="shared" si="2"/>
        <v>0.5</v>
      </c>
      <c r="S303" s="15">
        <f>IF(H303&lt;&gt;"",EXP(-Formula!$C$28*(EOMONTH(H303,0)-H303)),EXP(-Formula!$C$28*(EOMONTH(D303,0)-D303)))</f>
        <v>0.3678794412</v>
      </c>
      <c r="T303" s="15">
        <f t="shared" si="3"/>
        <v>0.3015113446</v>
      </c>
      <c r="U303" s="15">
        <f t="shared" si="4"/>
        <v>0.05545991248</v>
      </c>
      <c r="V303" s="16">
        <f>IF(AND(L303="Among all respondents",NOT(OR(K303="Online poll in Telegram channel",K303="Website online poll",K303="CAWI (Computer Assisted Web Interviewing)"))),1/(1-MIN(MAX(Formula!$C$33+(YEAR(D303)-Formula!$C$34)/(Formula!$C$35-Formula!$C$34)*(Formula!$C$32-Formula!$C$33),Formula!$C$33),Formula!$C$32)),1)</f>
        <v>1.195219124</v>
      </c>
      <c r="W303" s="17">
        <f t="shared" si="5"/>
        <v>1.482071713</v>
      </c>
    </row>
    <row r="304" ht="15.75" customHeight="1">
      <c r="A304" s="8" t="s">
        <v>755</v>
      </c>
      <c r="B304" s="7" t="s">
        <v>745</v>
      </c>
      <c r="C304" s="13" t="s">
        <v>746</v>
      </c>
      <c r="D304" s="7" t="s">
        <v>68</v>
      </c>
      <c r="E304" s="8" t="s">
        <v>61</v>
      </c>
      <c r="F304" s="8" t="s">
        <v>318</v>
      </c>
      <c r="G304" s="7" t="s">
        <v>747</v>
      </c>
      <c r="H304" s="7" t="s">
        <v>748</v>
      </c>
      <c r="I304" s="8">
        <v>5255.0</v>
      </c>
      <c r="J304" s="8">
        <v>2.0</v>
      </c>
      <c r="K304" s="8" t="s">
        <v>467</v>
      </c>
      <c r="L304" s="8" t="s">
        <v>373</v>
      </c>
      <c r="M304" s="8" t="s">
        <v>339</v>
      </c>
      <c r="N304" s="8">
        <v>1.18</v>
      </c>
      <c r="O304" s="14">
        <f t="shared" si="1"/>
        <v>45505</v>
      </c>
      <c r="P304" s="15">
        <f>IFERROR(VLOOKUP(K304,Formula!$A$11:$B$20,2,FALSE),Formula!$C$26)</f>
        <v>1</v>
      </c>
      <c r="Q304" s="15">
        <f>IF(AND(ISNUMBER(J304),J304&gt;0),1/J304,IF(AND(ISNUMBER(I304),I304&gt;0),SQRT(MIN(I304,Formula!$C$27))/Formula!$C$24,1/Formula!$C$25))</f>
        <v>0.5</v>
      </c>
      <c r="R304" s="15">
        <f t="shared" si="2"/>
        <v>0.5</v>
      </c>
      <c r="S304" s="15">
        <f>IF(H304&lt;&gt;"",EXP(-Formula!$C$28*(EOMONTH(H304,0)-H304)),EXP(-Formula!$C$28*(EOMONTH(D304,0)-D304)))</f>
        <v>0.3678794412</v>
      </c>
      <c r="T304" s="15">
        <f t="shared" si="3"/>
        <v>0.3015113446</v>
      </c>
      <c r="U304" s="15">
        <f t="shared" si="4"/>
        <v>0.05545991248</v>
      </c>
      <c r="V304" s="16">
        <f>IF(AND(L304="Among all respondents",NOT(OR(K304="Online poll in Telegram channel",K304="Website online poll",K304="CAWI (Computer Assisted Web Interviewing)"))),1/(1-MIN(MAX(Formula!$C$33+(YEAR(D304)-Formula!$C$34)/(Formula!$C$35-Formula!$C$34)*(Formula!$C$32-Formula!$C$33),Formula!$C$33),Formula!$C$32)),1)</f>
        <v>1.195219124</v>
      </c>
      <c r="W304" s="17">
        <f t="shared" si="5"/>
        <v>1.410358566</v>
      </c>
    </row>
    <row r="305" ht="15.75" customHeight="1">
      <c r="A305" s="8" t="s">
        <v>756</v>
      </c>
      <c r="B305" s="7" t="s">
        <v>745</v>
      </c>
      <c r="C305" s="13" t="s">
        <v>746</v>
      </c>
      <c r="D305" s="7" t="s">
        <v>68</v>
      </c>
      <c r="E305" s="8" t="s">
        <v>61</v>
      </c>
      <c r="F305" s="8" t="s">
        <v>318</v>
      </c>
      <c r="G305" s="7" t="s">
        <v>747</v>
      </c>
      <c r="H305" s="7" t="s">
        <v>748</v>
      </c>
      <c r="I305" s="8">
        <v>5255.0</v>
      </c>
      <c r="J305" s="8">
        <v>2.0</v>
      </c>
      <c r="K305" s="8" t="s">
        <v>467</v>
      </c>
      <c r="L305" s="8" t="s">
        <v>373</v>
      </c>
      <c r="M305" s="8" t="s">
        <v>740</v>
      </c>
      <c r="N305" s="8">
        <v>0.27</v>
      </c>
      <c r="O305" s="14">
        <f t="shared" si="1"/>
        <v>45505</v>
      </c>
      <c r="P305" s="15">
        <f>IFERROR(VLOOKUP(K305,Formula!$A$11:$B$20,2,FALSE),Formula!$C$26)</f>
        <v>1</v>
      </c>
      <c r="Q305" s="15">
        <f>IF(AND(ISNUMBER(J305),J305&gt;0),1/J305,IF(AND(ISNUMBER(I305),I305&gt;0),SQRT(MIN(I305,Formula!$C$27))/Formula!$C$24,1/Formula!$C$25))</f>
        <v>0.5</v>
      </c>
      <c r="R305" s="15">
        <f t="shared" si="2"/>
        <v>0.5</v>
      </c>
      <c r="S305" s="15">
        <f>IF(H305&lt;&gt;"",EXP(-Formula!$C$28*(EOMONTH(H305,0)-H305)),EXP(-Formula!$C$28*(EOMONTH(D305,0)-D305)))</f>
        <v>0.3678794412</v>
      </c>
      <c r="T305" s="15">
        <f t="shared" si="3"/>
        <v>0.3015113446</v>
      </c>
      <c r="U305" s="15">
        <f t="shared" si="4"/>
        <v>0.05545991248</v>
      </c>
      <c r="V305" s="16">
        <f>IF(AND(L305="Among all respondents",NOT(OR(K305="Online poll in Telegram channel",K305="Website online poll",K305="CAWI (Computer Assisted Web Interviewing)"))),1/(1-MIN(MAX(Formula!$C$33+(YEAR(D305)-Formula!$C$34)/(Formula!$C$35-Formula!$C$34)*(Formula!$C$32-Formula!$C$33),Formula!$C$33),Formula!$C$32)),1)</f>
        <v>1.195219124</v>
      </c>
      <c r="W305" s="17">
        <f t="shared" si="5"/>
        <v>0.3227091633</v>
      </c>
    </row>
    <row r="306" ht="15.75" customHeight="1">
      <c r="A306" s="8" t="s">
        <v>757</v>
      </c>
      <c r="B306" s="7" t="s">
        <v>745</v>
      </c>
      <c r="C306" s="13" t="s">
        <v>746</v>
      </c>
      <c r="D306" s="7" t="s">
        <v>68</v>
      </c>
      <c r="E306" s="8" t="s">
        <v>61</v>
      </c>
      <c r="F306" s="8" t="s">
        <v>318</v>
      </c>
      <c r="G306" s="7" t="s">
        <v>747</v>
      </c>
      <c r="H306" s="7" t="s">
        <v>748</v>
      </c>
      <c r="I306" s="8">
        <v>5255.0</v>
      </c>
      <c r="J306" s="8">
        <v>2.0</v>
      </c>
      <c r="K306" s="8" t="s">
        <v>467</v>
      </c>
      <c r="L306" s="8" t="s">
        <v>373</v>
      </c>
      <c r="M306" s="8" t="s">
        <v>386</v>
      </c>
      <c r="N306" s="8">
        <v>0.19</v>
      </c>
      <c r="O306" s="14">
        <f t="shared" si="1"/>
        <v>45505</v>
      </c>
      <c r="P306" s="15">
        <f>IFERROR(VLOOKUP(K306,Formula!$A$11:$B$20,2,FALSE),Formula!$C$26)</f>
        <v>1</v>
      </c>
      <c r="Q306" s="15">
        <f>IF(AND(ISNUMBER(J306),J306&gt;0),1/J306,IF(AND(ISNUMBER(I306),I306&gt;0),SQRT(MIN(I306,Formula!$C$27))/Formula!$C$24,1/Formula!$C$25))</f>
        <v>0.5</v>
      </c>
      <c r="R306" s="15">
        <f t="shared" si="2"/>
        <v>0.5</v>
      </c>
      <c r="S306" s="15">
        <f>IF(H306&lt;&gt;"",EXP(-Formula!$C$28*(EOMONTH(H306,0)-H306)),EXP(-Formula!$C$28*(EOMONTH(D306,0)-D306)))</f>
        <v>0.3678794412</v>
      </c>
      <c r="T306" s="15">
        <f t="shared" si="3"/>
        <v>0.3015113446</v>
      </c>
      <c r="U306" s="15">
        <f t="shared" si="4"/>
        <v>0.05545991248</v>
      </c>
      <c r="V306" s="16">
        <f>IF(AND(L306="Among all respondents",NOT(OR(K306="Online poll in Telegram channel",K306="Website online poll",K306="CAWI (Computer Assisted Web Interviewing)"))),1/(1-MIN(MAX(Formula!$C$33+(YEAR(D306)-Formula!$C$34)/(Formula!$C$35-Formula!$C$34)*(Formula!$C$32-Formula!$C$33),Formula!$C$33),Formula!$C$32)),1)</f>
        <v>1.195219124</v>
      </c>
      <c r="W306" s="17">
        <f t="shared" si="5"/>
        <v>0.2270916335</v>
      </c>
    </row>
    <row r="307" ht="15.75" customHeight="1">
      <c r="A307" s="8" t="s">
        <v>758</v>
      </c>
      <c r="B307" s="7" t="s">
        <v>745</v>
      </c>
      <c r="C307" s="13" t="s">
        <v>746</v>
      </c>
      <c r="D307" s="7" t="s">
        <v>68</v>
      </c>
      <c r="E307" s="8" t="s">
        <v>61</v>
      </c>
      <c r="F307" s="8" t="s">
        <v>318</v>
      </c>
      <c r="G307" s="7" t="s">
        <v>747</v>
      </c>
      <c r="H307" s="7" t="s">
        <v>748</v>
      </c>
      <c r="I307" s="8">
        <v>5255.0</v>
      </c>
      <c r="J307" s="8">
        <v>2.0</v>
      </c>
      <c r="K307" s="8" t="s">
        <v>467</v>
      </c>
      <c r="L307" s="8" t="s">
        <v>373</v>
      </c>
      <c r="M307" s="8" t="s">
        <v>743</v>
      </c>
      <c r="N307" s="8">
        <v>0.17</v>
      </c>
      <c r="O307" s="14">
        <f t="shared" si="1"/>
        <v>45505</v>
      </c>
      <c r="P307" s="15">
        <f>IFERROR(VLOOKUP(K307,Formula!$A$11:$B$20,2,FALSE),Formula!$C$26)</f>
        <v>1</v>
      </c>
      <c r="Q307" s="15">
        <f>IF(AND(ISNUMBER(J307),J307&gt;0),1/J307,IF(AND(ISNUMBER(I307),I307&gt;0),SQRT(MIN(I307,Formula!$C$27))/Formula!$C$24,1/Formula!$C$25))</f>
        <v>0.5</v>
      </c>
      <c r="R307" s="15">
        <f t="shared" si="2"/>
        <v>0.5</v>
      </c>
      <c r="S307" s="15">
        <f>IF(H307&lt;&gt;"",EXP(-Formula!$C$28*(EOMONTH(H307,0)-H307)),EXP(-Formula!$C$28*(EOMONTH(D307,0)-D307)))</f>
        <v>0.3678794412</v>
      </c>
      <c r="T307" s="15">
        <f t="shared" si="3"/>
        <v>0.3015113446</v>
      </c>
      <c r="U307" s="15">
        <f t="shared" si="4"/>
        <v>0.05545991248</v>
      </c>
      <c r="V307" s="16">
        <f>IF(AND(L307="Among all respondents",NOT(OR(K307="Online poll in Telegram channel",K307="Website online poll",K307="CAWI (Computer Assisted Web Interviewing)"))),1/(1-MIN(MAX(Formula!$C$33+(YEAR(D307)-Formula!$C$34)/(Formula!$C$35-Formula!$C$34)*(Formula!$C$32-Formula!$C$33),Formula!$C$33),Formula!$C$32)),1)</f>
        <v>1.195219124</v>
      </c>
      <c r="W307" s="17">
        <f t="shared" si="5"/>
        <v>0.203187251</v>
      </c>
    </row>
    <row r="308" ht="15.75" customHeight="1">
      <c r="A308" s="8" t="s">
        <v>759</v>
      </c>
      <c r="B308" s="7" t="s">
        <v>760</v>
      </c>
      <c r="C308" s="13" t="s">
        <v>761</v>
      </c>
      <c r="D308" s="7" t="s">
        <v>75</v>
      </c>
      <c r="E308" s="8" t="s">
        <v>50</v>
      </c>
      <c r="F308" s="8" t="s">
        <v>318</v>
      </c>
      <c r="G308" s="7" t="s">
        <v>74</v>
      </c>
      <c r="H308" s="7" t="s">
        <v>762</v>
      </c>
      <c r="I308" s="8">
        <v>1200.0</v>
      </c>
      <c r="J308" s="8">
        <v>3.2</v>
      </c>
      <c r="K308" s="8" t="s">
        <v>583</v>
      </c>
      <c r="L308" s="8" t="s">
        <v>373</v>
      </c>
      <c r="M308" s="8" t="s">
        <v>325</v>
      </c>
      <c r="N308" s="8">
        <v>23.6</v>
      </c>
      <c r="O308" s="14">
        <f t="shared" si="1"/>
        <v>45444</v>
      </c>
      <c r="P308" s="15">
        <f>IFERROR(VLOOKUP(K308,Formula!$A$11:$B$20,2,FALSE),Formula!$C$26)</f>
        <v>0.95</v>
      </c>
      <c r="Q308" s="15">
        <f>IF(AND(ISNUMBER(J308),J308&gt;0),1/J308,IF(AND(ISNUMBER(I308),I308&gt;0),SQRT(MIN(I308,Formula!$C$27))/Formula!$C$24,1/Formula!$C$25))</f>
        <v>0.3125</v>
      </c>
      <c r="R308" s="15">
        <f t="shared" si="2"/>
        <v>0.296875</v>
      </c>
      <c r="S308" s="15">
        <f>IF(H308&lt;&gt;"",EXP(-Formula!$C$28*(EOMONTH(H308,0)-H308)),EXP(-Formula!$C$28*(EOMONTH(D308,0)-D308)))</f>
        <v>0.4493289641</v>
      </c>
      <c r="T308" s="15">
        <f t="shared" si="3"/>
        <v>0.4082482905</v>
      </c>
      <c r="U308" s="15">
        <f t="shared" si="4"/>
        <v>0.05445809137</v>
      </c>
      <c r="V308" s="16">
        <f>IF(AND(L308="Among all respondents",NOT(OR(K308="Online poll in Telegram channel",K308="Website online poll",K308="CAWI (Computer Assisted Web Interviewing)"))),1/(1-MIN(MAX(Formula!$C$33+(YEAR(D308)-Formula!$C$34)/(Formula!$C$35-Formula!$C$34)*(Formula!$C$32-Formula!$C$33),Formula!$C$33),Formula!$C$32)),1)</f>
        <v>1.195219124</v>
      </c>
      <c r="W308" s="17">
        <f t="shared" si="5"/>
        <v>28.20717131</v>
      </c>
    </row>
    <row r="309" ht="15.75" customHeight="1">
      <c r="A309" s="8" t="s">
        <v>763</v>
      </c>
      <c r="B309" s="7" t="s">
        <v>760</v>
      </c>
      <c r="C309" s="13" t="s">
        <v>761</v>
      </c>
      <c r="D309" s="7" t="s">
        <v>75</v>
      </c>
      <c r="E309" s="8" t="s">
        <v>50</v>
      </c>
      <c r="F309" s="8" t="s">
        <v>318</v>
      </c>
      <c r="G309" s="7" t="s">
        <v>74</v>
      </c>
      <c r="H309" s="7" t="s">
        <v>762</v>
      </c>
      <c r="I309" s="8">
        <v>1200.0</v>
      </c>
      <c r="J309" s="8">
        <v>3.2</v>
      </c>
      <c r="K309" s="8" t="s">
        <v>583</v>
      </c>
      <c r="L309" s="8" t="s">
        <v>373</v>
      </c>
      <c r="M309" s="8" t="s">
        <v>323</v>
      </c>
      <c r="N309" s="8">
        <v>20.9</v>
      </c>
      <c r="O309" s="14">
        <f t="shared" si="1"/>
        <v>45444</v>
      </c>
      <c r="P309" s="15">
        <f>IFERROR(VLOOKUP(K309,Formula!$A$11:$B$20,2,FALSE),Formula!$C$26)</f>
        <v>0.95</v>
      </c>
      <c r="Q309" s="15">
        <f>IF(AND(ISNUMBER(J309),J309&gt;0),1/J309,IF(AND(ISNUMBER(I309),I309&gt;0),SQRT(MIN(I309,Formula!$C$27))/Formula!$C$24,1/Formula!$C$25))</f>
        <v>0.3125</v>
      </c>
      <c r="R309" s="15">
        <f t="shared" si="2"/>
        <v>0.296875</v>
      </c>
      <c r="S309" s="15">
        <f>IF(H309&lt;&gt;"",EXP(-Formula!$C$28*(EOMONTH(H309,0)-H309)),EXP(-Formula!$C$28*(EOMONTH(D309,0)-D309)))</f>
        <v>0.4493289641</v>
      </c>
      <c r="T309" s="15">
        <f t="shared" si="3"/>
        <v>0.4082482905</v>
      </c>
      <c r="U309" s="15">
        <f t="shared" si="4"/>
        <v>0.05445809137</v>
      </c>
      <c r="V309" s="16">
        <f>IF(AND(L309="Among all respondents",NOT(OR(K309="Online poll in Telegram channel",K309="Website online poll",K309="CAWI (Computer Assisted Web Interviewing)"))),1/(1-MIN(MAX(Formula!$C$33+(YEAR(D309)-Formula!$C$34)/(Formula!$C$35-Formula!$C$34)*(Formula!$C$32-Formula!$C$33),Formula!$C$33),Formula!$C$32)),1)</f>
        <v>1.195219124</v>
      </c>
      <c r="W309" s="17">
        <f t="shared" si="5"/>
        <v>24.98007968</v>
      </c>
    </row>
    <row r="310" ht="15.75" customHeight="1">
      <c r="A310" s="8" t="s">
        <v>764</v>
      </c>
      <c r="B310" s="7" t="s">
        <v>760</v>
      </c>
      <c r="C310" s="13" t="s">
        <v>761</v>
      </c>
      <c r="D310" s="7" t="s">
        <v>75</v>
      </c>
      <c r="E310" s="8" t="s">
        <v>50</v>
      </c>
      <c r="F310" s="8" t="s">
        <v>318</v>
      </c>
      <c r="G310" s="7" t="s">
        <v>74</v>
      </c>
      <c r="H310" s="7" t="s">
        <v>762</v>
      </c>
      <c r="I310" s="8">
        <v>1200.0</v>
      </c>
      <c r="J310" s="8">
        <v>3.2</v>
      </c>
      <c r="K310" s="8" t="s">
        <v>583</v>
      </c>
      <c r="L310" s="8" t="s">
        <v>373</v>
      </c>
      <c r="M310" s="8" t="s">
        <v>329</v>
      </c>
      <c r="N310" s="8">
        <v>8.3</v>
      </c>
      <c r="O310" s="14">
        <f t="shared" si="1"/>
        <v>45444</v>
      </c>
      <c r="P310" s="15">
        <f>IFERROR(VLOOKUP(K310,Formula!$A$11:$B$20,2,FALSE),Formula!$C$26)</f>
        <v>0.95</v>
      </c>
      <c r="Q310" s="15">
        <f>IF(AND(ISNUMBER(J310),J310&gt;0),1/J310,IF(AND(ISNUMBER(I310),I310&gt;0),SQRT(MIN(I310,Formula!$C$27))/Formula!$C$24,1/Formula!$C$25))</f>
        <v>0.3125</v>
      </c>
      <c r="R310" s="15">
        <f t="shared" si="2"/>
        <v>0.296875</v>
      </c>
      <c r="S310" s="15">
        <f>IF(H310&lt;&gt;"",EXP(-Formula!$C$28*(EOMONTH(H310,0)-H310)),EXP(-Formula!$C$28*(EOMONTH(D310,0)-D310)))</f>
        <v>0.4493289641</v>
      </c>
      <c r="T310" s="15">
        <f t="shared" si="3"/>
        <v>0.4082482905</v>
      </c>
      <c r="U310" s="15">
        <f t="shared" si="4"/>
        <v>0.05445809137</v>
      </c>
      <c r="V310" s="16">
        <f>IF(AND(L310="Among all respondents",NOT(OR(K310="Online poll in Telegram channel",K310="Website online poll",K310="CAWI (Computer Assisted Web Interviewing)"))),1/(1-MIN(MAX(Formula!$C$33+(YEAR(D310)-Formula!$C$34)/(Formula!$C$35-Formula!$C$34)*(Formula!$C$32-Formula!$C$33),Formula!$C$33),Formula!$C$32)),1)</f>
        <v>1.195219124</v>
      </c>
      <c r="W310" s="17">
        <f t="shared" si="5"/>
        <v>9.920318725</v>
      </c>
    </row>
    <row r="311" ht="15.75" customHeight="1">
      <c r="A311" s="8" t="s">
        <v>765</v>
      </c>
      <c r="B311" s="7" t="s">
        <v>760</v>
      </c>
      <c r="C311" s="13" t="s">
        <v>761</v>
      </c>
      <c r="D311" s="7" t="s">
        <v>75</v>
      </c>
      <c r="E311" s="8" t="s">
        <v>50</v>
      </c>
      <c r="F311" s="8" t="s">
        <v>318</v>
      </c>
      <c r="G311" s="7" t="s">
        <v>74</v>
      </c>
      <c r="H311" s="7" t="s">
        <v>762</v>
      </c>
      <c r="I311" s="8">
        <v>1200.0</v>
      </c>
      <c r="J311" s="8">
        <v>3.2</v>
      </c>
      <c r="K311" s="8" t="s">
        <v>583</v>
      </c>
      <c r="L311" s="8" t="s">
        <v>373</v>
      </c>
      <c r="M311" s="8" t="s">
        <v>339</v>
      </c>
      <c r="N311" s="8">
        <v>3.2</v>
      </c>
      <c r="O311" s="14">
        <f t="shared" si="1"/>
        <v>45444</v>
      </c>
      <c r="P311" s="15">
        <f>IFERROR(VLOOKUP(K311,Formula!$A$11:$B$20,2,FALSE),Formula!$C$26)</f>
        <v>0.95</v>
      </c>
      <c r="Q311" s="15">
        <f>IF(AND(ISNUMBER(J311),J311&gt;0),1/J311,IF(AND(ISNUMBER(I311),I311&gt;0),SQRT(MIN(I311,Formula!$C$27))/Formula!$C$24,1/Formula!$C$25))</f>
        <v>0.3125</v>
      </c>
      <c r="R311" s="15">
        <f t="shared" si="2"/>
        <v>0.296875</v>
      </c>
      <c r="S311" s="15">
        <f>IF(H311&lt;&gt;"",EXP(-Formula!$C$28*(EOMONTH(H311,0)-H311)),EXP(-Formula!$C$28*(EOMONTH(D311,0)-D311)))</f>
        <v>0.4493289641</v>
      </c>
      <c r="T311" s="15">
        <f t="shared" si="3"/>
        <v>0.4082482905</v>
      </c>
      <c r="U311" s="15">
        <f t="shared" si="4"/>
        <v>0.05445809137</v>
      </c>
      <c r="V311" s="16">
        <f>IF(AND(L311="Among all respondents",NOT(OR(K311="Online poll in Telegram channel",K311="Website online poll",K311="CAWI (Computer Assisted Web Interviewing)"))),1/(1-MIN(MAX(Formula!$C$33+(YEAR(D311)-Formula!$C$34)/(Formula!$C$35-Formula!$C$34)*(Formula!$C$32-Formula!$C$33),Formula!$C$33),Formula!$C$32)),1)</f>
        <v>1.195219124</v>
      </c>
      <c r="W311" s="17">
        <f t="shared" si="5"/>
        <v>3.824701195</v>
      </c>
    </row>
    <row r="312" ht="15.75" customHeight="1">
      <c r="A312" s="8" t="s">
        <v>766</v>
      </c>
      <c r="B312" s="7" t="s">
        <v>760</v>
      </c>
      <c r="C312" s="13" t="s">
        <v>761</v>
      </c>
      <c r="D312" s="7" t="s">
        <v>75</v>
      </c>
      <c r="E312" s="8" t="s">
        <v>50</v>
      </c>
      <c r="F312" s="8" t="s">
        <v>318</v>
      </c>
      <c r="G312" s="7" t="s">
        <v>74</v>
      </c>
      <c r="H312" s="7" t="s">
        <v>762</v>
      </c>
      <c r="I312" s="8">
        <v>1200.0</v>
      </c>
      <c r="J312" s="8">
        <v>3.2</v>
      </c>
      <c r="K312" s="8" t="s">
        <v>583</v>
      </c>
      <c r="L312" s="8" t="s">
        <v>373</v>
      </c>
      <c r="M312" s="8" t="s">
        <v>337</v>
      </c>
      <c r="N312" s="8">
        <v>2.3</v>
      </c>
      <c r="O312" s="14">
        <f t="shared" si="1"/>
        <v>45444</v>
      </c>
      <c r="P312" s="15">
        <f>IFERROR(VLOOKUP(K312,Formula!$A$11:$B$20,2,FALSE),Formula!$C$26)</f>
        <v>0.95</v>
      </c>
      <c r="Q312" s="15">
        <f>IF(AND(ISNUMBER(J312),J312&gt;0),1/J312,IF(AND(ISNUMBER(I312),I312&gt;0),SQRT(MIN(I312,Formula!$C$27))/Formula!$C$24,1/Formula!$C$25))</f>
        <v>0.3125</v>
      </c>
      <c r="R312" s="15">
        <f t="shared" si="2"/>
        <v>0.296875</v>
      </c>
      <c r="S312" s="15">
        <f>IF(H312&lt;&gt;"",EXP(-Formula!$C$28*(EOMONTH(H312,0)-H312)),EXP(-Formula!$C$28*(EOMONTH(D312,0)-D312)))</f>
        <v>0.4493289641</v>
      </c>
      <c r="T312" s="15">
        <f t="shared" si="3"/>
        <v>0.4082482905</v>
      </c>
      <c r="U312" s="15">
        <f t="shared" si="4"/>
        <v>0.05445809137</v>
      </c>
      <c r="V312" s="16">
        <f>IF(AND(L312="Among all respondents",NOT(OR(K312="Online poll in Telegram channel",K312="Website online poll",K312="CAWI (Computer Assisted Web Interviewing)"))),1/(1-MIN(MAX(Formula!$C$33+(YEAR(D312)-Formula!$C$34)/(Formula!$C$35-Formula!$C$34)*(Formula!$C$32-Formula!$C$33),Formula!$C$33),Formula!$C$32)),1)</f>
        <v>1.195219124</v>
      </c>
      <c r="W312" s="17">
        <f t="shared" si="5"/>
        <v>2.749003984</v>
      </c>
    </row>
    <row r="313" ht="15.75" customHeight="1">
      <c r="A313" s="8" t="s">
        <v>767</v>
      </c>
      <c r="B313" s="7" t="s">
        <v>760</v>
      </c>
      <c r="C313" s="13" t="s">
        <v>761</v>
      </c>
      <c r="D313" s="7" t="s">
        <v>75</v>
      </c>
      <c r="E313" s="8" t="s">
        <v>50</v>
      </c>
      <c r="F313" s="8" t="s">
        <v>318</v>
      </c>
      <c r="G313" s="7" t="s">
        <v>74</v>
      </c>
      <c r="H313" s="7" t="s">
        <v>762</v>
      </c>
      <c r="I313" s="8">
        <v>1200.0</v>
      </c>
      <c r="J313" s="8">
        <v>3.2</v>
      </c>
      <c r="K313" s="8" t="s">
        <v>583</v>
      </c>
      <c r="L313" s="8" t="s">
        <v>373</v>
      </c>
      <c r="M313" s="8" t="s">
        <v>362</v>
      </c>
      <c r="N313" s="8">
        <v>0.8</v>
      </c>
      <c r="O313" s="14">
        <f t="shared" si="1"/>
        <v>45444</v>
      </c>
      <c r="P313" s="15">
        <f>IFERROR(VLOOKUP(K313,Formula!$A$11:$B$20,2,FALSE),Formula!$C$26)</f>
        <v>0.95</v>
      </c>
      <c r="Q313" s="15">
        <f>IF(AND(ISNUMBER(J313),J313&gt;0),1/J313,IF(AND(ISNUMBER(I313),I313&gt;0),SQRT(MIN(I313,Formula!$C$27))/Formula!$C$24,1/Formula!$C$25))</f>
        <v>0.3125</v>
      </c>
      <c r="R313" s="15">
        <f t="shared" si="2"/>
        <v>0.296875</v>
      </c>
      <c r="S313" s="15">
        <f>IF(H313&lt;&gt;"",EXP(-Formula!$C$28*(EOMONTH(H313,0)-H313)),EXP(-Formula!$C$28*(EOMONTH(D313,0)-D313)))</f>
        <v>0.4493289641</v>
      </c>
      <c r="T313" s="15">
        <f t="shared" si="3"/>
        <v>0.4082482905</v>
      </c>
      <c r="U313" s="15">
        <f t="shared" si="4"/>
        <v>0.05445809137</v>
      </c>
      <c r="V313" s="16">
        <f>IF(AND(L313="Among all respondents",NOT(OR(K313="Online poll in Telegram channel",K313="Website online poll",K313="CAWI (Computer Assisted Web Interviewing)"))),1/(1-MIN(MAX(Formula!$C$33+(YEAR(D313)-Formula!$C$34)/(Formula!$C$35-Formula!$C$34)*(Formula!$C$32-Formula!$C$33),Formula!$C$33),Formula!$C$32)),1)</f>
        <v>1.195219124</v>
      </c>
      <c r="W313" s="17">
        <f t="shared" si="5"/>
        <v>0.9561752988</v>
      </c>
    </row>
    <row r="314" ht="15.75" customHeight="1">
      <c r="A314" s="8" t="s">
        <v>768</v>
      </c>
      <c r="B314" s="7" t="s">
        <v>769</v>
      </c>
      <c r="C314" s="13" t="s">
        <v>770</v>
      </c>
      <c r="D314" s="7" t="s">
        <v>70</v>
      </c>
      <c r="E314" s="8" t="s">
        <v>72</v>
      </c>
      <c r="F314" s="8" t="s">
        <v>318</v>
      </c>
      <c r="G314" s="7" t="s">
        <v>771</v>
      </c>
      <c r="H314" s="7" t="s">
        <v>772</v>
      </c>
      <c r="I314" s="8">
        <v>2011.0</v>
      </c>
      <c r="J314" s="8">
        <v>3.3</v>
      </c>
      <c r="K314" s="8" t="s">
        <v>321</v>
      </c>
      <c r="L314" s="8" t="s">
        <v>322</v>
      </c>
      <c r="M314" s="8" t="s">
        <v>323</v>
      </c>
      <c r="N314" s="8">
        <v>27.0</v>
      </c>
      <c r="O314" s="14">
        <f t="shared" si="1"/>
        <v>45444</v>
      </c>
      <c r="P314" s="15">
        <f>IFERROR(VLOOKUP(K314,Formula!$A$11:$B$20,2,FALSE),Formula!$C$26)</f>
        <v>0.9</v>
      </c>
      <c r="Q314" s="15">
        <f>IF(AND(ISNUMBER(J314),J314&gt;0),1/J314,IF(AND(ISNUMBER(I314),I314&gt;0),SQRT(MIN(I314,Formula!$C$27))/Formula!$C$24,1/Formula!$C$25))</f>
        <v>0.303030303</v>
      </c>
      <c r="R314" s="15">
        <f t="shared" si="2"/>
        <v>0.2727272727</v>
      </c>
      <c r="S314" s="15">
        <f>IF(H314&lt;&gt;"",EXP(-Formula!$C$28*(EOMONTH(H314,0)-H314)),EXP(-Formula!$C$28*(EOMONTH(D314,0)-D314)))</f>
        <v>0.2345702881</v>
      </c>
      <c r="T314" s="15">
        <f t="shared" si="3"/>
        <v>0.5773502692</v>
      </c>
      <c r="U314" s="15">
        <f t="shared" si="4"/>
        <v>0.03693524154</v>
      </c>
      <c r="V314" s="16">
        <f>IF(AND(L314="Among all respondents",NOT(OR(K314="Online poll in Telegram channel",K314="Website online poll",K314="CAWI (Computer Assisted Web Interviewing)"))),1/(1-MIN(MAX(Formula!$C$33+(YEAR(D314)-Formula!$C$34)/(Formula!$C$35-Formula!$C$34)*(Formula!$C$32-Formula!$C$33),Formula!$C$33),Formula!$C$32)),1)</f>
        <v>1</v>
      </c>
      <c r="W314" s="17">
        <f t="shared" si="5"/>
        <v>27</v>
      </c>
    </row>
    <row r="315" ht="15.75" customHeight="1">
      <c r="A315" s="8" t="s">
        <v>773</v>
      </c>
      <c r="B315" s="7" t="s">
        <v>769</v>
      </c>
      <c r="C315" s="13" t="s">
        <v>770</v>
      </c>
      <c r="D315" s="7" t="s">
        <v>70</v>
      </c>
      <c r="E315" s="8" t="s">
        <v>72</v>
      </c>
      <c r="F315" s="8" t="s">
        <v>318</v>
      </c>
      <c r="G315" s="7" t="s">
        <v>771</v>
      </c>
      <c r="H315" s="7" t="s">
        <v>772</v>
      </c>
      <c r="I315" s="8">
        <v>2011.0</v>
      </c>
      <c r="J315" s="8">
        <v>3.3</v>
      </c>
      <c r="K315" s="8" t="s">
        <v>321</v>
      </c>
      <c r="L315" s="8" t="s">
        <v>322</v>
      </c>
      <c r="M315" s="8" t="s">
        <v>325</v>
      </c>
      <c r="N315" s="8">
        <v>27.0</v>
      </c>
      <c r="O315" s="14">
        <f t="shared" si="1"/>
        <v>45444</v>
      </c>
      <c r="P315" s="15">
        <f>IFERROR(VLOOKUP(K315,Formula!$A$11:$B$20,2,FALSE),Formula!$C$26)</f>
        <v>0.9</v>
      </c>
      <c r="Q315" s="15">
        <f>IF(AND(ISNUMBER(J315),J315&gt;0),1/J315,IF(AND(ISNUMBER(I315),I315&gt;0),SQRT(MIN(I315,Formula!$C$27))/Formula!$C$24,1/Formula!$C$25))</f>
        <v>0.303030303</v>
      </c>
      <c r="R315" s="15">
        <f t="shared" si="2"/>
        <v>0.2727272727</v>
      </c>
      <c r="S315" s="15">
        <f>IF(H315&lt;&gt;"",EXP(-Formula!$C$28*(EOMONTH(H315,0)-H315)),EXP(-Formula!$C$28*(EOMONTH(D315,0)-D315)))</f>
        <v>0.2345702881</v>
      </c>
      <c r="T315" s="15">
        <f t="shared" si="3"/>
        <v>0.5773502692</v>
      </c>
      <c r="U315" s="15">
        <f t="shared" si="4"/>
        <v>0.03693524154</v>
      </c>
      <c r="V315" s="16">
        <f>IF(AND(L315="Among all respondents",NOT(OR(K315="Online poll in Telegram channel",K315="Website online poll",K315="CAWI (Computer Assisted Web Interviewing)"))),1/(1-MIN(MAX(Formula!$C$33+(YEAR(D315)-Formula!$C$34)/(Formula!$C$35-Formula!$C$34)*(Formula!$C$32-Formula!$C$33),Formula!$C$33),Formula!$C$32)),1)</f>
        <v>1</v>
      </c>
      <c r="W315" s="17">
        <f t="shared" si="5"/>
        <v>27</v>
      </c>
    </row>
    <row r="316" ht="15.75" customHeight="1">
      <c r="A316" s="8" t="s">
        <v>774</v>
      </c>
      <c r="B316" s="7" t="s">
        <v>769</v>
      </c>
      <c r="C316" s="13" t="s">
        <v>770</v>
      </c>
      <c r="D316" s="7" t="s">
        <v>70</v>
      </c>
      <c r="E316" s="8" t="s">
        <v>72</v>
      </c>
      <c r="F316" s="8" t="s">
        <v>318</v>
      </c>
      <c r="G316" s="7" t="s">
        <v>771</v>
      </c>
      <c r="H316" s="7" t="s">
        <v>772</v>
      </c>
      <c r="I316" s="8">
        <v>2011.0</v>
      </c>
      <c r="J316" s="8">
        <v>3.3</v>
      </c>
      <c r="K316" s="8" t="s">
        <v>321</v>
      </c>
      <c r="L316" s="8" t="s">
        <v>322</v>
      </c>
      <c r="M316" s="8" t="s">
        <v>329</v>
      </c>
      <c r="N316" s="8">
        <v>7.0</v>
      </c>
      <c r="O316" s="14">
        <f t="shared" si="1"/>
        <v>45444</v>
      </c>
      <c r="P316" s="15">
        <f>IFERROR(VLOOKUP(K316,Formula!$A$11:$B$20,2,FALSE),Formula!$C$26)</f>
        <v>0.9</v>
      </c>
      <c r="Q316" s="15">
        <f>IF(AND(ISNUMBER(J316),J316&gt;0),1/J316,IF(AND(ISNUMBER(I316),I316&gt;0),SQRT(MIN(I316,Formula!$C$27))/Formula!$C$24,1/Formula!$C$25))</f>
        <v>0.303030303</v>
      </c>
      <c r="R316" s="15">
        <f t="shared" si="2"/>
        <v>0.2727272727</v>
      </c>
      <c r="S316" s="15">
        <f>IF(H316&lt;&gt;"",EXP(-Formula!$C$28*(EOMONTH(H316,0)-H316)),EXP(-Formula!$C$28*(EOMONTH(D316,0)-D316)))</f>
        <v>0.2345702881</v>
      </c>
      <c r="T316" s="15">
        <f t="shared" si="3"/>
        <v>0.5773502692</v>
      </c>
      <c r="U316" s="15">
        <f t="shared" si="4"/>
        <v>0.03693524154</v>
      </c>
      <c r="V316" s="16">
        <f>IF(AND(L316="Among all respondents",NOT(OR(K316="Online poll in Telegram channel",K316="Website online poll",K316="CAWI (Computer Assisted Web Interviewing)"))),1/(1-MIN(MAX(Formula!$C$33+(YEAR(D316)-Formula!$C$34)/(Formula!$C$35-Formula!$C$34)*(Formula!$C$32-Formula!$C$33),Formula!$C$33),Formula!$C$32)),1)</f>
        <v>1</v>
      </c>
      <c r="W316" s="17">
        <f t="shared" si="5"/>
        <v>7</v>
      </c>
    </row>
    <row r="317" ht="15.75" customHeight="1">
      <c r="A317" s="8" t="s">
        <v>775</v>
      </c>
      <c r="B317" s="7" t="s">
        <v>776</v>
      </c>
      <c r="C317" s="13" t="s">
        <v>777</v>
      </c>
      <c r="D317" s="7" t="s">
        <v>73</v>
      </c>
      <c r="E317" s="8" t="s">
        <v>61</v>
      </c>
      <c r="F317" s="8" t="s">
        <v>318</v>
      </c>
      <c r="G317" s="7" t="s">
        <v>778</v>
      </c>
      <c r="H317" s="7" t="s">
        <v>779</v>
      </c>
      <c r="I317" s="8">
        <v>5329.0</v>
      </c>
      <c r="J317" s="8">
        <v>2.0</v>
      </c>
      <c r="K317" s="8" t="s">
        <v>467</v>
      </c>
      <c r="L317" s="8" t="s">
        <v>322</v>
      </c>
      <c r="M317" s="8" t="s">
        <v>323</v>
      </c>
      <c r="N317" s="8">
        <v>15.77</v>
      </c>
      <c r="O317" s="14">
        <f t="shared" si="1"/>
        <v>45352</v>
      </c>
      <c r="P317" s="15">
        <f>IFERROR(VLOOKUP(K317,Formula!$A$11:$B$20,2,FALSE),Formula!$C$26)</f>
        <v>1</v>
      </c>
      <c r="Q317" s="15">
        <f>IF(AND(ISNUMBER(J317),J317&gt;0),1/J317,IF(AND(ISNUMBER(I317),I317&gt;0),SQRT(MIN(I317,Formula!$C$27))/Formula!$C$24,1/Formula!$C$25))</f>
        <v>0.5</v>
      </c>
      <c r="R317" s="15">
        <f t="shared" si="2"/>
        <v>0.5</v>
      </c>
      <c r="S317" s="15">
        <f>IF(H317&lt;&gt;"",EXP(-Formula!$C$28*(EOMONTH(H317,0)-H317)),EXP(-Formula!$C$28*(EOMONTH(D317,0)-D317)))</f>
        <v>0.7046880897</v>
      </c>
      <c r="T317" s="15">
        <f t="shared" si="3"/>
        <v>0.3015113446</v>
      </c>
      <c r="U317" s="15">
        <f t="shared" si="4"/>
        <v>0.1062357267</v>
      </c>
      <c r="V317" s="16">
        <f>IF(AND(L317="Among all respondents",NOT(OR(K317="Online poll in Telegram channel",K317="Website online poll",K317="CAWI (Computer Assisted Web Interviewing)"))),1/(1-MIN(MAX(Formula!$C$33+(YEAR(D317)-Formula!$C$34)/(Formula!$C$35-Formula!$C$34)*(Formula!$C$32-Formula!$C$33),Formula!$C$33),Formula!$C$32)),1)</f>
        <v>1</v>
      </c>
      <c r="W317" s="17">
        <f t="shared" si="5"/>
        <v>15.77</v>
      </c>
    </row>
    <row r="318" ht="15.75" customHeight="1">
      <c r="A318" s="8" t="s">
        <v>780</v>
      </c>
      <c r="B318" s="7" t="s">
        <v>776</v>
      </c>
      <c r="C318" s="13" t="s">
        <v>777</v>
      </c>
      <c r="D318" s="7" t="s">
        <v>73</v>
      </c>
      <c r="E318" s="8" t="s">
        <v>61</v>
      </c>
      <c r="F318" s="8" t="s">
        <v>318</v>
      </c>
      <c r="G318" s="7" t="s">
        <v>778</v>
      </c>
      <c r="H318" s="7" t="s">
        <v>779</v>
      </c>
      <c r="I318" s="8">
        <v>5329.0</v>
      </c>
      <c r="J318" s="8">
        <v>2.0</v>
      </c>
      <c r="K318" s="8" t="s">
        <v>467</v>
      </c>
      <c r="L318" s="8" t="s">
        <v>322</v>
      </c>
      <c r="M318" s="8" t="s">
        <v>337</v>
      </c>
      <c r="N318" s="8">
        <v>12.31</v>
      </c>
      <c r="O318" s="14">
        <f t="shared" si="1"/>
        <v>45352</v>
      </c>
      <c r="P318" s="15">
        <f>IFERROR(VLOOKUP(K318,Formula!$A$11:$B$20,2,FALSE),Formula!$C$26)</f>
        <v>1</v>
      </c>
      <c r="Q318" s="15">
        <f>IF(AND(ISNUMBER(J318),J318&gt;0),1/J318,IF(AND(ISNUMBER(I318),I318&gt;0),SQRT(MIN(I318,Formula!$C$27))/Formula!$C$24,1/Formula!$C$25))</f>
        <v>0.5</v>
      </c>
      <c r="R318" s="15">
        <f t="shared" si="2"/>
        <v>0.5</v>
      </c>
      <c r="S318" s="15">
        <f>IF(H318&lt;&gt;"",EXP(-Formula!$C$28*(EOMONTH(H318,0)-H318)),EXP(-Formula!$C$28*(EOMONTH(D318,0)-D318)))</f>
        <v>0.7046880897</v>
      </c>
      <c r="T318" s="15">
        <f t="shared" si="3"/>
        <v>0.3015113446</v>
      </c>
      <c r="U318" s="15">
        <f t="shared" si="4"/>
        <v>0.1062357267</v>
      </c>
      <c r="V318" s="16">
        <f>IF(AND(L318="Among all respondents",NOT(OR(K318="Online poll in Telegram channel",K318="Website online poll",K318="CAWI (Computer Assisted Web Interviewing)"))),1/(1-MIN(MAX(Formula!$C$33+(YEAR(D318)-Formula!$C$34)/(Formula!$C$35-Formula!$C$34)*(Formula!$C$32-Formula!$C$33),Formula!$C$33),Formula!$C$32)),1)</f>
        <v>1</v>
      </c>
      <c r="W318" s="17">
        <f t="shared" si="5"/>
        <v>12.31</v>
      </c>
    </row>
    <row r="319" ht="15.75" customHeight="1">
      <c r="A319" s="8" t="s">
        <v>781</v>
      </c>
      <c r="B319" s="7" t="s">
        <v>776</v>
      </c>
      <c r="C319" s="13" t="s">
        <v>777</v>
      </c>
      <c r="D319" s="7" t="s">
        <v>73</v>
      </c>
      <c r="E319" s="8" t="s">
        <v>61</v>
      </c>
      <c r="F319" s="8" t="s">
        <v>318</v>
      </c>
      <c r="G319" s="7" t="s">
        <v>778</v>
      </c>
      <c r="H319" s="7" t="s">
        <v>779</v>
      </c>
      <c r="I319" s="8">
        <v>5329.0</v>
      </c>
      <c r="J319" s="8">
        <v>2.0</v>
      </c>
      <c r="K319" s="8" t="s">
        <v>467</v>
      </c>
      <c r="L319" s="8" t="s">
        <v>322</v>
      </c>
      <c r="M319" s="8" t="s">
        <v>329</v>
      </c>
      <c r="N319" s="8">
        <v>7.66</v>
      </c>
      <c r="O319" s="14">
        <f t="shared" si="1"/>
        <v>45352</v>
      </c>
      <c r="P319" s="15">
        <f>IFERROR(VLOOKUP(K319,Formula!$A$11:$B$20,2,FALSE),Formula!$C$26)</f>
        <v>1</v>
      </c>
      <c r="Q319" s="15">
        <f>IF(AND(ISNUMBER(J319),J319&gt;0),1/J319,IF(AND(ISNUMBER(I319),I319&gt;0),SQRT(MIN(I319,Formula!$C$27))/Formula!$C$24,1/Formula!$C$25))</f>
        <v>0.5</v>
      </c>
      <c r="R319" s="15">
        <f t="shared" si="2"/>
        <v>0.5</v>
      </c>
      <c r="S319" s="15">
        <f>IF(H319&lt;&gt;"",EXP(-Formula!$C$28*(EOMONTH(H319,0)-H319)),EXP(-Formula!$C$28*(EOMONTH(D319,0)-D319)))</f>
        <v>0.7046880897</v>
      </c>
      <c r="T319" s="15">
        <f t="shared" si="3"/>
        <v>0.3015113446</v>
      </c>
      <c r="U319" s="15">
        <f t="shared" si="4"/>
        <v>0.1062357267</v>
      </c>
      <c r="V319" s="16">
        <f>IF(AND(L319="Among all respondents",NOT(OR(K319="Online poll in Telegram channel",K319="Website online poll",K319="CAWI (Computer Assisted Web Interviewing)"))),1/(1-MIN(MAX(Formula!$C$33+(YEAR(D319)-Formula!$C$34)/(Formula!$C$35-Formula!$C$34)*(Formula!$C$32-Formula!$C$33),Formula!$C$33),Formula!$C$32)),1)</f>
        <v>1</v>
      </c>
      <c r="W319" s="17">
        <f t="shared" si="5"/>
        <v>7.66</v>
      </c>
    </row>
    <row r="320" ht="15.75" customHeight="1">
      <c r="A320" s="8" t="s">
        <v>782</v>
      </c>
      <c r="B320" s="7" t="s">
        <v>776</v>
      </c>
      <c r="C320" s="13" t="s">
        <v>777</v>
      </c>
      <c r="D320" s="7" t="s">
        <v>73</v>
      </c>
      <c r="E320" s="8" t="s">
        <v>61</v>
      </c>
      <c r="F320" s="8" t="s">
        <v>318</v>
      </c>
      <c r="G320" s="7" t="s">
        <v>778</v>
      </c>
      <c r="H320" s="7" t="s">
        <v>779</v>
      </c>
      <c r="I320" s="8">
        <v>5329.0</v>
      </c>
      <c r="J320" s="8">
        <v>2.0</v>
      </c>
      <c r="K320" s="8" t="s">
        <v>467</v>
      </c>
      <c r="L320" s="8" t="s">
        <v>322</v>
      </c>
      <c r="M320" s="8" t="s">
        <v>343</v>
      </c>
      <c r="N320" s="8">
        <v>2.54</v>
      </c>
      <c r="O320" s="14">
        <f t="shared" si="1"/>
        <v>45352</v>
      </c>
      <c r="P320" s="15">
        <f>IFERROR(VLOOKUP(K320,Formula!$A$11:$B$20,2,FALSE),Formula!$C$26)</f>
        <v>1</v>
      </c>
      <c r="Q320" s="15">
        <f>IF(AND(ISNUMBER(J320),J320&gt;0),1/J320,IF(AND(ISNUMBER(I320),I320&gt;0),SQRT(MIN(I320,Formula!$C$27))/Formula!$C$24,1/Formula!$C$25))</f>
        <v>0.5</v>
      </c>
      <c r="R320" s="15">
        <f t="shared" si="2"/>
        <v>0.5</v>
      </c>
      <c r="S320" s="15">
        <f>IF(H320&lt;&gt;"",EXP(-Formula!$C$28*(EOMONTH(H320,0)-H320)),EXP(-Formula!$C$28*(EOMONTH(D320,0)-D320)))</f>
        <v>0.7046880897</v>
      </c>
      <c r="T320" s="15">
        <f t="shared" si="3"/>
        <v>0.3015113446</v>
      </c>
      <c r="U320" s="15">
        <f t="shared" si="4"/>
        <v>0.1062357267</v>
      </c>
      <c r="V320" s="16">
        <f>IF(AND(L320="Among all respondents",NOT(OR(K320="Online poll in Telegram channel",K320="Website online poll",K320="CAWI (Computer Assisted Web Interviewing)"))),1/(1-MIN(MAX(Formula!$C$33+(YEAR(D320)-Formula!$C$34)/(Formula!$C$35-Formula!$C$34)*(Formula!$C$32-Formula!$C$33),Formula!$C$33),Formula!$C$32)),1)</f>
        <v>1</v>
      </c>
      <c r="W320" s="17">
        <f t="shared" si="5"/>
        <v>2.54</v>
      </c>
    </row>
    <row r="321" ht="15.75" customHeight="1">
      <c r="A321" s="8" t="s">
        <v>783</v>
      </c>
      <c r="B321" s="7" t="s">
        <v>776</v>
      </c>
      <c r="C321" s="13" t="s">
        <v>777</v>
      </c>
      <c r="D321" s="7" t="s">
        <v>73</v>
      </c>
      <c r="E321" s="8" t="s">
        <v>61</v>
      </c>
      <c r="F321" s="8" t="s">
        <v>318</v>
      </c>
      <c r="G321" s="7" t="s">
        <v>778</v>
      </c>
      <c r="H321" s="7" t="s">
        <v>779</v>
      </c>
      <c r="I321" s="8">
        <v>5329.0</v>
      </c>
      <c r="J321" s="8">
        <v>2.0</v>
      </c>
      <c r="K321" s="8" t="s">
        <v>467</v>
      </c>
      <c r="L321" s="8" t="s">
        <v>322</v>
      </c>
      <c r="M321" s="8" t="s">
        <v>339</v>
      </c>
      <c r="N321" s="8">
        <v>1.05</v>
      </c>
      <c r="O321" s="14">
        <f t="shared" si="1"/>
        <v>45352</v>
      </c>
      <c r="P321" s="15">
        <f>IFERROR(VLOOKUP(K321,Formula!$A$11:$B$20,2,FALSE),Formula!$C$26)</f>
        <v>1</v>
      </c>
      <c r="Q321" s="15">
        <f>IF(AND(ISNUMBER(J321),J321&gt;0),1/J321,IF(AND(ISNUMBER(I321),I321&gt;0),SQRT(MIN(I321,Formula!$C$27))/Formula!$C$24,1/Formula!$C$25))</f>
        <v>0.5</v>
      </c>
      <c r="R321" s="15">
        <f t="shared" si="2"/>
        <v>0.5</v>
      </c>
      <c r="S321" s="15">
        <f>IF(H321&lt;&gt;"",EXP(-Formula!$C$28*(EOMONTH(H321,0)-H321)),EXP(-Formula!$C$28*(EOMONTH(D321,0)-D321)))</f>
        <v>0.7046880897</v>
      </c>
      <c r="T321" s="15">
        <f t="shared" si="3"/>
        <v>0.3015113446</v>
      </c>
      <c r="U321" s="15">
        <f t="shared" si="4"/>
        <v>0.1062357267</v>
      </c>
      <c r="V321" s="16">
        <f>IF(AND(L321="Among all respondents",NOT(OR(K321="Online poll in Telegram channel",K321="Website online poll",K321="CAWI (Computer Assisted Web Interviewing)"))),1/(1-MIN(MAX(Formula!$C$33+(YEAR(D321)-Formula!$C$34)/(Formula!$C$35-Formula!$C$34)*(Formula!$C$32-Formula!$C$33),Formula!$C$33),Formula!$C$32)),1)</f>
        <v>1</v>
      </c>
      <c r="W321" s="17">
        <f t="shared" si="5"/>
        <v>1.05</v>
      </c>
    </row>
    <row r="322" ht="15.75" customHeight="1">
      <c r="A322" s="8" t="s">
        <v>784</v>
      </c>
      <c r="B322" s="7" t="s">
        <v>776</v>
      </c>
      <c r="C322" s="13" t="s">
        <v>777</v>
      </c>
      <c r="D322" s="7" t="s">
        <v>73</v>
      </c>
      <c r="E322" s="8" t="s">
        <v>61</v>
      </c>
      <c r="F322" s="8" t="s">
        <v>318</v>
      </c>
      <c r="G322" s="7" t="s">
        <v>778</v>
      </c>
      <c r="H322" s="7" t="s">
        <v>779</v>
      </c>
      <c r="I322" s="8">
        <v>5329.0</v>
      </c>
      <c r="J322" s="8">
        <v>2.0</v>
      </c>
      <c r="K322" s="8" t="s">
        <v>467</v>
      </c>
      <c r="L322" s="8" t="s">
        <v>322</v>
      </c>
      <c r="M322" s="8" t="s">
        <v>333</v>
      </c>
      <c r="N322" s="8">
        <v>0.55</v>
      </c>
      <c r="O322" s="14">
        <f t="shared" si="1"/>
        <v>45352</v>
      </c>
      <c r="P322" s="15">
        <f>IFERROR(VLOOKUP(K322,Formula!$A$11:$B$20,2,FALSE),Formula!$C$26)</f>
        <v>1</v>
      </c>
      <c r="Q322" s="15">
        <f>IF(AND(ISNUMBER(J322),J322&gt;0),1/J322,IF(AND(ISNUMBER(I322),I322&gt;0),SQRT(MIN(I322,Formula!$C$27))/Formula!$C$24,1/Formula!$C$25))</f>
        <v>0.5</v>
      </c>
      <c r="R322" s="15">
        <f t="shared" si="2"/>
        <v>0.5</v>
      </c>
      <c r="S322" s="15">
        <f>IF(H322&lt;&gt;"",EXP(-Formula!$C$28*(EOMONTH(H322,0)-H322)),EXP(-Formula!$C$28*(EOMONTH(D322,0)-D322)))</f>
        <v>0.7046880897</v>
      </c>
      <c r="T322" s="15">
        <f t="shared" si="3"/>
        <v>0.3015113446</v>
      </c>
      <c r="U322" s="15">
        <f t="shared" si="4"/>
        <v>0.1062357267</v>
      </c>
      <c r="V322" s="16">
        <f>IF(AND(L322="Among all respondents",NOT(OR(K322="Online poll in Telegram channel",K322="Website online poll",K322="CAWI (Computer Assisted Web Interviewing)"))),1/(1-MIN(MAX(Formula!$C$33+(YEAR(D322)-Formula!$C$34)/(Formula!$C$35-Formula!$C$34)*(Formula!$C$32-Formula!$C$33),Formula!$C$33),Formula!$C$32)),1)</f>
        <v>1</v>
      </c>
      <c r="W322" s="17">
        <f t="shared" si="5"/>
        <v>0.55</v>
      </c>
    </row>
    <row r="323" ht="15.75" customHeight="1">
      <c r="A323" s="8" t="s">
        <v>785</v>
      </c>
      <c r="B323" s="7" t="s">
        <v>776</v>
      </c>
      <c r="C323" s="13" t="s">
        <v>777</v>
      </c>
      <c r="D323" s="7" t="s">
        <v>73</v>
      </c>
      <c r="E323" s="8" t="s">
        <v>61</v>
      </c>
      <c r="F323" s="8" t="s">
        <v>318</v>
      </c>
      <c r="G323" s="7" t="s">
        <v>778</v>
      </c>
      <c r="H323" s="7" t="s">
        <v>779</v>
      </c>
      <c r="I323" s="8">
        <v>5329.0</v>
      </c>
      <c r="J323" s="8">
        <v>2.0</v>
      </c>
      <c r="K323" s="8" t="s">
        <v>467</v>
      </c>
      <c r="L323" s="8" t="s">
        <v>322</v>
      </c>
      <c r="M323" s="8" t="s">
        <v>335</v>
      </c>
      <c r="N323" s="8">
        <v>0.28</v>
      </c>
      <c r="O323" s="14">
        <f t="shared" si="1"/>
        <v>45352</v>
      </c>
      <c r="P323" s="15">
        <f>IFERROR(VLOOKUP(K323,Formula!$A$11:$B$20,2,FALSE),Formula!$C$26)</f>
        <v>1</v>
      </c>
      <c r="Q323" s="15">
        <f>IF(AND(ISNUMBER(J323),J323&gt;0),1/J323,IF(AND(ISNUMBER(I323),I323&gt;0),SQRT(MIN(I323,Formula!$C$27))/Formula!$C$24,1/Formula!$C$25))</f>
        <v>0.5</v>
      </c>
      <c r="R323" s="15">
        <f t="shared" si="2"/>
        <v>0.5</v>
      </c>
      <c r="S323" s="15">
        <f>IF(H323&lt;&gt;"",EXP(-Formula!$C$28*(EOMONTH(H323,0)-H323)),EXP(-Formula!$C$28*(EOMONTH(D323,0)-D323)))</f>
        <v>0.7046880897</v>
      </c>
      <c r="T323" s="15">
        <f t="shared" si="3"/>
        <v>0.3015113446</v>
      </c>
      <c r="U323" s="15">
        <f t="shared" si="4"/>
        <v>0.1062357267</v>
      </c>
      <c r="V323" s="16">
        <f>IF(AND(L323="Among all respondents",NOT(OR(K323="Online poll in Telegram channel",K323="Website online poll",K323="CAWI (Computer Assisted Web Interviewing)"))),1/(1-MIN(MAX(Formula!$C$33+(YEAR(D323)-Formula!$C$34)/(Formula!$C$35-Formula!$C$34)*(Formula!$C$32-Formula!$C$33),Formula!$C$33),Formula!$C$32)),1)</f>
        <v>1</v>
      </c>
      <c r="W323" s="17">
        <f t="shared" si="5"/>
        <v>0.28</v>
      </c>
    </row>
    <row r="324" ht="15.75" customHeight="1">
      <c r="A324" s="8" t="s">
        <v>786</v>
      </c>
      <c r="B324" s="7" t="s">
        <v>776</v>
      </c>
      <c r="C324" s="13" t="s">
        <v>777</v>
      </c>
      <c r="D324" s="7" t="s">
        <v>73</v>
      </c>
      <c r="E324" s="8" t="s">
        <v>61</v>
      </c>
      <c r="F324" s="8" t="s">
        <v>318</v>
      </c>
      <c r="G324" s="7" t="s">
        <v>778</v>
      </c>
      <c r="H324" s="7" t="s">
        <v>779</v>
      </c>
      <c r="I324" s="8">
        <v>5329.0</v>
      </c>
      <c r="J324" s="8">
        <v>2.0</v>
      </c>
      <c r="K324" s="8" t="s">
        <v>467</v>
      </c>
      <c r="L324" s="8" t="s">
        <v>322</v>
      </c>
      <c r="M324" s="8" t="s">
        <v>327</v>
      </c>
      <c r="N324" s="8">
        <v>0.14</v>
      </c>
      <c r="O324" s="14">
        <f t="shared" si="1"/>
        <v>45352</v>
      </c>
      <c r="P324" s="15">
        <f>IFERROR(VLOOKUP(K324,Formula!$A$11:$B$20,2,FALSE),Formula!$C$26)</f>
        <v>1</v>
      </c>
      <c r="Q324" s="15">
        <f>IF(AND(ISNUMBER(J324),J324&gt;0),1/J324,IF(AND(ISNUMBER(I324),I324&gt;0),SQRT(MIN(I324,Formula!$C$27))/Formula!$C$24,1/Formula!$C$25))</f>
        <v>0.5</v>
      </c>
      <c r="R324" s="15">
        <f t="shared" si="2"/>
        <v>0.5</v>
      </c>
      <c r="S324" s="15">
        <f>IF(H324&lt;&gt;"",EXP(-Formula!$C$28*(EOMONTH(H324,0)-H324)),EXP(-Formula!$C$28*(EOMONTH(D324,0)-D324)))</f>
        <v>0.7046880897</v>
      </c>
      <c r="T324" s="15">
        <f t="shared" si="3"/>
        <v>0.3015113446</v>
      </c>
      <c r="U324" s="15">
        <f t="shared" si="4"/>
        <v>0.1062357267</v>
      </c>
      <c r="V324" s="16">
        <f>IF(AND(L324="Among all respondents",NOT(OR(K324="Online poll in Telegram channel",K324="Website online poll",K324="CAWI (Computer Assisted Web Interviewing)"))),1/(1-MIN(MAX(Formula!$C$33+(YEAR(D324)-Formula!$C$34)/(Formula!$C$35-Formula!$C$34)*(Formula!$C$32-Formula!$C$33),Formula!$C$33),Formula!$C$32)),1)</f>
        <v>1</v>
      </c>
      <c r="W324" s="17">
        <f t="shared" si="5"/>
        <v>0.14</v>
      </c>
    </row>
    <row r="325" ht="15.75" customHeight="1">
      <c r="A325" s="8" t="s">
        <v>787</v>
      </c>
      <c r="B325" s="7" t="s">
        <v>776</v>
      </c>
      <c r="C325" s="13" t="s">
        <v>777</v>
      </c>
      <c r="D325" s="7" t="s">
        <v>73</v>
      </c>
      <c r="E325" s="8" t="s">
        <v>61</v>
      </c>
      <c r="F325" s="8" t="s">
        <v>318</v>
      </c>
      <c r="G325" s="7" t="s">
        <v>778</v>
      </c>
      <c r="H325" s="7" t="s">
        <v>779</v>
      </c>
      <c r="I325" s="8">
        <v>5329.0</v>
      </c>
      <c r="J325" s="8">
        <v>2.0</v>
      </c>
      <c r="K325" s="8" t="s">
        <v>467</v>
      </c>
      <c r="L325" s="8" t="s">
        <v>322</v>
      </c>
      <c r="M325" s="8" t="s">
        <v>740</v>
      </c>
      <c r="N325" s="8">
        <v>0.03</v>
      </c>
      <c r="O325" s="14">
        <f t="shared" si="1"/>
        <v>45352</v>
      </c>
      <c r="P325" s="15">
        <f>IFERROR(VLOOKUP(K325,Formula!$A$11:$B$20,2,FALSE),Formula!$C$26)</f>
        <v>1</v>
      </c>
      <c r="Q325" s="15">
        <f>IF(AND(ISNUMBER(J325),J325&gt;0),1/J325,IF(AND(ISNUMBER(I325),I325&gt;0),SQRT(MIN(I325,Formula!$C$27))/Formula!$C$24,1/Formula!$C$25))</f>
        <v>0.5</v>
      </c>
      <c r="R325" s="15">
        <f t="shared" si="2"/>
        <v>0.5</v>
      </c>
      <c r="S325" s="15">
        <f>IF(H325&lt;&gt;"",EXP(-Formula!$C$28*(EOMONTH(H325,0)-H325)),EXP(-Formula!$C$28*(EOMONTH(D325,0)-D325)))</f>
        <v>0.7046880897</v>
      </c>
      <c r="T325" s="15">
        <f t="shared" si="3"/>
        <v>0.3015113446</v>
      </c>
      <c r="U325" s="15">
        <f t="shared" si="4"/>
        <v>0.1062357267</v>
      </c>
      <c r="V325" s="16">
        <f>IF(AND(L325="Among all respondents",NOT(OR(K325="Online poll in Telegram channel",K325="Website online poll",K325="CAWI (Computer Assisted Web Interviewing)"))),1/(1-MIN(MAX(Formula!$C$33+(YEAR(D325)-Formula!$C$34)/(Formula!$C$35-Formula!$C$34)*(Formula!$C$32-Formula!$C$33),Formula!$C$33),Formula!$C$32)),1)</f>
        <v>1</v>
      </c>
      <c r="W325" s="17">
        <f t="shared" si="5"/>
        <v>0.03</v>
      </c>
    </row>
    <row r="326" ht="15.75" customHeight="1">
      <c r="A326" s="8" t="s">
        <v>788</v>
      </c>
      <c r="B326" s="7" t="s">
        <v>776</v>
      </c>
      <c r="C326" s="13" t="s">
        <v>777</v>
      </c>
      <c r="D326" s="7" t="s">
        <v>73</v>
      </c>
      <c r="E326" s="8" t="s">
        <v>61</v>
      </c>
      <c r="F326" s="8" t="s">
        <v>318</v>
      </c>
      <c r="G326" s="7" t="s">
        <v>778</v>
      </c>
      <c r="H326" s="7" t="s">
        <v>779</v>
      </c>
      <c r="I326" s="8">
        <v>5329.0</v>
      </c>
      <c r="J326" s="8">
        <v>2.0</v>
      </c>
      <c r="K326" s="8" t="s">
        <v>467</v>
      </c>
      <c r="L326" s="8" t="s">
        <v>322</v>
      </c>
      <c r="M326" s="8" t="s">
        <v>743</v>
      </c>
      <c r="N326" s="8">
        <v>0.03</v>
      </c>
      <c r="O326" s="14">
        <f t="shared" si="1"/>
        <v>45352</v>
      </c>
      <c r="P326" s="15">
        <f>IFERROR(VLOOKUP(K326,Formula!$A$11:$B$20,2,FALSE),Formula!$C$26)</f>
        <v>1</v>
      </c>
      <c r="Q326" s="15">
        <f>IF(AND(ISNUMBER(J326),J326&gt;0),1/J326,IF(AND(ISNUMBER(I326),I326&gt;0),SQRT(MIN(I326,Formula!$C$27))/Formula!$C$24,1/Formula!$C$25))</f>
        <v>0.5</v>
      </c>
      <c r="R326" s="15">
        <f t="shared" si="2"/>
        <v>0.5</v>
      </c>
      <c r="S326" s="15">
        <f>IF(H326&lt;&gt;"",EXP(-Formula!$C$28*(EOMONTH(H326,0)-H326)),EXP(-Formula!$C$28*(EOMONTH(D326,0)-D326)))</f>
        <v>0.7046880897</v>
      </c>
      <c r="T326" s="15">
        <f t="shared" si="3"/>
        <v>0.3015113446</v>
      </c>
      <c r="U326" s="15">
        <f t="shared" si="4"/>
        <v>0.1062357267</v>
      </c>
      <c r="V326" s="16">
        <f>IF(AND(L326="Among all respondents",NOT(OR(K326="Online poll in Telegram channel",K326="Website online poll",K326="CAWI (Computer Assisted Web Interviewing)"))),1/(1-MIN(MAX(Formula!$C$33+(YEAR(D326)-Formula!$C$34)/(Formula!$C$35-Formula!$C$34)*(Formula!$C$32-Formula!$C$33),Formula!$C$33),Formula!$C$32)),1)</f>
        <v>1</v>
      </c>
      <c r="W326" s="17">
        <f t="shared" si="5"/>
        <v>0.03</v>
      </c>
    </row>
    <row r="327" ht="15.75" customHeight="1">
      <c r="A327" s="8" t="s">
        <v>789</v>
      </c>
      <c r="B327" s="7" t="s">
        <v>776</v>
      </c>
      <c r="C327" s="13" t="s">
        <v>777</v>
      </c>
      <c r="D327" s="7" t="s">
        <v>73</v>
      </c>
      <c r="E327" s="8" t="s">
        <v>61</v>
      </c>
      <c r="F327" s="8" t="s">
        <v>318</v>
      </c>
      <c r="G327" s="7" t="s">
        <v>778</v>
      </c>
      <c r="H327" s="7" t="s">
        <v>779</v>
      </c>
      <c r="I327" s="8">
        <v>5329.0</v>
      </c>
      <c r="J327" s="8">
        <v>2.0</v>
      </c>
      <c r="K327" s="8" t="s">
        <v>467</v>
      </c>
      <c r="L327" s="8" t="s">
        <v>322</v>
      </c>
      <c r="M327" s="8" t="s">
        <v>386</v>
      </c>
      <c r="N327" s="8">
        <v>0.03</v>
      </c>
      <c r="O327" s="14">
        <f t="shared" si="1"/>
        <v>45352</v>
      </c>
      <c r="P327" s="15">
        <f>IFERROR(VLOOKUP(K327,Formula!$A$11:$B$20,2,FALSE),Formula!$C$26)</f>
        <v>1</v>
      </c>
      <c r="Q327" s="15">
        <f>IF(AND(ISNUMBER(J327),J327&gt;0),1/J327,IF(AND(ISNUMBER(I327),I327&gt;0),SQRT(MIN(I327,Formula!$C$27))/Formula!$C$24,1/Formula!$C$25))</f>
        <v>0.5</v>
      </c>
      <c r="R327" s="15">
        <f t="shared" si="2"/>
        <v>0.5</v>
      </c>
      <c r="S327" s="15">
        <f>IF(H327&lt;&gt;"",EXP(-Formula!$C$28*(EOMONTH(H327,0)-H327)),EXP(-Formula!$C$28*(EOMONTH(D327,0)-D327)))</f>
        <v>0.7046880897</v>
      </c>
      <c r="T327" s="15">
        <f t="shared" si="3"/>
        <v>0.3015113446</v>
      </c>
      <c r="U327" s="15">
        <f t="shared" si="4"/>
        <v>0.1062357267</v>
      </c>
      <c r="V327" s="16">
        <f>IF(AND(L327="Among all respondents",NOT(OR(K327="Online poll in Telegram channel",K327="Website online poll",K327="CAWI (Computer Assisted Web Interviewing)"))),1/(1-MIN(MAX(Formula!$C$33+(YEAR(D327)-Formula!$C$34)/(Formula!$C$35-Formula!$C$34)*(Formula!$C$32-Formula!$C$33),Formula!$C$33),Formula!$C$32)),1)</f>
        <v>1</v>
      </c>
      <c r="W327" s="17">
        <f t="shared" si="5"/>
        <v>0.03</v>
      </c>
    </row>
    <row r="328" ht="15.75" customHeight="1">
      <c r="A328" s="8" t="s">
        <v>790</v>
      </c>
      <c r="B328" s="7" t="s">
        <v>791</v>
      </c>
      <c r="C328" s="13" t="s">
        <v>792</v>
      </c>
      <c r="D328" s="7" t="s">
        <v>76</v>
      </c>
      <c r="E328" s="8" t="s">
        <v>17</v>
      </c>
      <c r="F328" s="8" t="s">
        <v>318</v>
      </c>
      <c r="G328" s="7" t="s">
        <v>793</v>
      </c>
      <c r="H328" s="7" t="s">
        <v>74</v>
      </c>
      <c r="I328" s="8">
        <v>3000.0</v>
      </c>
      <c r="J328" s="8">
        <v>2.1</v>
      </c>
      <c r="K328" s="8" t="s">
        <v>321</v>
      </c>
      <c r="L328" s="8" t="s">
        <v>322</v>
      </c>
      <c r="M328" s="8" t="s">
        <v>325</v>
      </c>
      <c r="N328" s="8">
        <v>41.4</v>
      </c>
      <c r="O328" s="14">
        <f t="shared" si="1"/>
        <v>45352</v>
      </c>
      <c r="P328" s="15">
        <f>IFERROR(VLOOKUP(K328,Formula!$A$11:$B$20,2,FALSE),Formula!$C$26)</f>
        <v>0.9</v>
      </c>
      <c r="Q328" s="15">
        <f>IF(AND(ISNUMBER(J328),J328&gt;0),1/J328,IF(AND(ISNUMBER(I328),I328&gt;0),SQRT(MIN(I328,Formula!$C$27))/Formula!$C$24,1/Formula!$C$25))</f>
        <v>0.4761904762</v>
      </c>
      <c r="R328" s="15">
        <f t="shared" si="2"/>
        <v>0.4285714286</v>
      </c>
      <c r="S328" s="15">
        <f>IF(H328&lt;&gt;"",EXP(-Formula!$C$28*(EOMONTH(H328,0)-H328)),EXP(-Formula!$C$28*(EOMONTH(D328,0)-D328)))</f>
        <v>0.2231301601</v>
      </c>
      <c r="T328" s="15">
        <f t="shared" si="3"/>
        <v>0.316227766</v>
      </c>
      <c r="U328" s="15">
        <f t="shared" si="4"/>
        <v>0.03023997946</v>
      </c>
      <c r="V328" s="16">
        <f>IF(AND(L328="Among all respondents",NOT(OR(K328="Online poll in Telegram channel",K328="Website online poll",K328="CAWI (Computer Assisted Web Interviewing)"))),1/(1-MIN(MAX(Formula!$C$33+(YEAR(D328)-Formula!$C$34)/(Formula!$C$35-Formula!$C$34)*(Formula!$C$32-Formula!$C$33),Formula!$C$33),Formula!$C$32)),1)</f>
        <v>1</v>
      </c>
      <c r="W328" s="17">
        <f t="shared" si="5"/>
        <v>41.4</v>
      </c>
    </row>
    <row r="329" ht="15.75" customHeight="1">
      <c r="A329" s="8" t="s">
        <v>794</v>
      </c>
      <c r="B329" s="7" t="s">
        <v>791</v>
      </c>
      <c r="C329" s="13" t="s">
        <v>792</v>
      </c>
      <c r="D329" s="7" t="s">
        <v>76</v>
      </c>
      <c r="E329" s="8" t="s">
        <v>17</v>
      </c>
      <c r="F329" s="8" t="s">
        <v>318</v>
      </c>
      <c r="G329" s="7" t="s">
        <v>793</v>
      </c>
      <c r="H329" s="7" t="s">
        <v>74</v>
      </c>
      <c r="I329" s="8">
        <v>3000.0</v>
      </c>
      <c r="J329" s="8">
        <v>2.1</v>
      </c>
      <c r="K329" s="8" t="s">
        <v>321</v>
      </c>
      <c r="L329" s="8" t="s">
        <v>322</v>
      </c>
      <c r="M329" s="8" t="s">
        <v>323</v>
      </c>
      <c r="N329" s="8">
        <v>23.7</v>
      </c>
      <c r="O329" s="14">
        <f t="shared" si="1"/>
        <v>45352</v>
      </c>
      <c r="P329" s="15">
        <f>IFERROR(VLOOKUP(K329,Formula!$A$11:$B$20,2,FALSE),Formula!$C$26)</f>
        <v>0.9</v>
      </c>
      <c r="Q329" s="15">
        <f>IF(AND(ISNUMBER(J329),J329&gt;0),1/J329,IF(AND(ISNUMBER(I329),I329&gt;0),SQRT(MIN(I329,Formula!$C$27))/Formula!$C$24,1/Formula!$C$25))</f>
        <v>0.4761904762</v>
      </c>
      <c r="R329" s="15">
        <f t="shared" si="2"/>
        <v>0.4285714286</v>
      </c>
      <c r="S329" s="15">
        <f>IF(H329&lt;&gt;"",EXP(-Formula!$C$28*(EOMONTH(H329,0)-H329)),EXP(-Formula!$C$28*(EOMONTH(D329,0)-D329)))</f>
        <v>0.2231301601</v>
      </c>
      <c r="T329" s="15">
        <f t="shared" si="3"/>
        <v>0.316227766</v>
      </c>
      <c r="U329" s="15">
        <f t="shared" si="4"/>
        <v>0.03023997946</v>
      </c>
      <c r="V329" s="16">
        <f>IF(AND(L329="Among all respondents",NOT(OR(K329="Online poll in Telegram channel",K329="Website online poll",K329="CAWI (Computer Assisted Web Interviewing)"))),1/(1-MIN(MAX(Formula!$C$33+(YEAR(D329)-Formula!$C$34)/(Formula!$C$35-Formula!$C$34)*(Formula!$C$32-Formula!$C$33),Formula!$C$33),Formula!$C$32)),1)</f>
        <v>1</v>
      </c>
      <c r="W329" s="17">
        <f t="shared" si="5"/>
        <v>23.7</v>
      </c>
    </row>
    <row r="330" ht="15.75" customHeight="1">
      <c r="A330" s="8" t="s">
        <v>795</v>
      </c>
      <c r="B330" s="7" t="s">
        <v>791</v>
      </c>
      <c r="C330" s="13" t="s">
        <v>792</v>
      </c>
      <c r="D330" s="7" t="s">
        <v>76</v>
      </c>
      <c r="E330" s="8" t="s">
        <v>17</v>
      </c>
      <c r="F330" s="8" t="s">
        <v>318</v>
      </c>
      <c r="G330" s="7" t="s">
        <v>793</v>
      </c>
      <c r="H330" s="7" t="s">
        <v>74</v>
      </c>
      <c r="I330" s="8">
        <v>3000.0</v>
      </c>
      <c r="J330" s="8">
        <v>2.1</v>
      </c>
      <c r="K330" s="8" t="s">
        <v>321</v>
      </c>
      <c r="L330" s="8" t="s">
        <v>322</v>
      </c>
      <c r="M330" s="8" t="s">
        <v>329</v>
      </c>
      <c r="N330" s="8">
        <v>6.4</v>
      </c>
      <c r="O330" s="14">
        <f t="shared" si="1"/>
        <v>45352</v>
      </c>
      <c r="P330" s="15">
        <f>IFERROR(VLOOKUP(K330,Formula!$A$11:$B$20,2,FALSE),Formula!$C$26)</f>
        <v>0.9</v>
      </c>
      <c r="Q330" s="15">
        <f>IF(AND(ISNUMBER(J330),J330&gt;0),1/J330,IF(AND(ISNUMBER(I330),I330&gt;0),SQRT(MIN(I330,Formula!$C$27))/Formula!$C$24,1/Formula!$C$25))</f>
        <v>0.4761904762</v>
      </c>
      <c r="R330" s="15">
        <f t="shared" si="2"/>
        <v>0.4285714286</v>
      </c>
      <c r="S330" s="15">
        <f>IF(H330&lt;&gt;"",EXP(-Formula!$C$28*(EOMONTH(H330,0)-H330)),EXP(-Formula!$C$28*(EOMONTH(D330,0)-D330)))</f>
        <v>0.2231301601</v>
      </c>
      <c r="T330" s="15">
        <f t="shared" si="3"/>
        <v>0.316227766</v>
      </c>
      <c r="U330" s="15">
        <f t="shared" si="4"/>
        <v>0.03023997946</v>
      </c>
      <c r="V330" s="16">
        <f>IF(AND(L330="Among all respondents",NOT(OR(K330="Online poll in Telegram channel",K330="Website online poll",K330="CAWI (Computer Assisted Web Interviewing)"))),1/(1-MIN(MAX(Formula!$C$33+(YEAR(D330)-Formula!$C$34)/(Formula!$C$35-Formula!$C$34)*(Formula!$C$32-Formula!$C$33),Formula!$C$33),Formula!$C$32)),1)</f>
        <v>1</v>
      </c>
      <c r="W330" s="17">
        <f t="shared" si="5"/>
        <v>6.4</v>
      </c>
    </row>
    <row r="331" ht="15.75" customHeight="1">
      <c r="A331" s="8" t="s">
        <v>796</v>
      </c>
      <c r="B331" s="7" t="s">
        <v>791</v>
      </c>
      <c r="C331" s="13" t="s">
        <v>792</v>
      </c>
      <c r="D331" s="7" t="s">
        <v>76</v>
      </c>
      <c r="E331" s="8" t="s">
        <v>17</v>
      </c>
      <c r="F331" s="8" t="s">
        <v>318</v>
      </c>
      <c r="G331" s="7" t="s">
        <v>793</v>
      </c>
      <c r="H331" s="7" t="s">
        <v>74</v>
      </c>
      <c r="I331" s="8">
        <v>3000.0</v>
      </c>
      <c r="J331" s="8">
        <v>2.1</v>
      </c>
      <c r="K331" s="8" t="s">
        <v>321</v>
      </c>
      <c r="L331" s="8" t="s">
        <v>322</v>
      </c>
      <c r="M331" s="8" t="s">
        <v>333</v>
      </c>
      <c r="N331" s="8">
        <v>5.6</v>
      </c>
      <c r="O331" s="14">
        <f t="shared" si="1"/>
        <v>45352</v>
      </c>
      <c r="P331" s="15">
        <f>IFERROR(VLOOKUP(K331,Formula!$A$11:$B$20,2,FALSE),Formula!$C$26)</f>
        <v>0.9</v>
      </c>
      <c r="Q331" s="15">
        <f>IF(AND(ISNUMBER(J331),J331&gt;0),1/J331,IF(AND(ISNUMBER(I331),I331&gt;0),SQRT(MIN(I331,Formula!$C$27))/Formula!$C$24,1/Formula!$C$25))</f>
        <v>0.4761904762</v>
      </c>
      <c r="R331" s="15">
        <f t="shared" si="2"/>
        <v>0.4285714286</v>
      </c>
      <c r="S331" s="15">
        <f>IF(H331&lt;&gt;"",EXP(-Formula!$C$28*(EOMONTH(H331,0)-H331)),EXP(-Formula!$C$28*(EOMONTH(D331,0)-D331)))</f>
        <v>0.2231301601</v>
      </c>
      <c r="T331" s="15">
        <f t="shared" si="3"/>
        <v>0.316227766</v>
      </c>
      <c r="U331" s="15">
        <f t="shared" si="4"/>
        <v>0.03023997946</v>
      </c>
      <c r="V331" s="16">
        <f>IF(AND(L331="Among all respondents",NOT(OR(K331="Online poll in Telegram channel",K331="Website online poll",K331="CAWI (Computer Assisted Web Interviewing)"))),1/(1-MIN(MAX(Formula!$C$33+(YEAR(D331)-Formula!$C$34)/(Formula!$C$35-Formula!$C$34)*(Formula!$C$32-Formula!$C$33),Formula!$C$33),Formula!$C$32)),1)</f>
        <v>1</v>
      </c>
      <c r="W331" s="17">
        <f t="shared" si="5"/>
        <v>5.6</v>
      </c>
    </row>
    <row r="332" ht="15.75" customHeight="1">
      <c r="A332" s="8" t="s">
        <v>797</v>
      </c>
      <c r="B332" s="7" t="s">
        <v>791</v>
      </c>
      <c r="C332" s="13" t="s">
        <v>792</v>
      </c>
      <c r="D332" s="7" t="s">
        <v>76</v>
      </c>
      <c r="E332" s="8" t="s">
        <v>17</v>
      </c>
      <c r="F332" s="8" t="s">
        <v>318</v>
      </c>
      <c r="G332" s="7" t="s">
        <v>793</v>
      </c>
      <c r="H332" s="7" t="s">
        <v>74</v>
      </c>
      <c r="I332" s="8">
        <v>3000.0</v>
      </c>
      <c r="J332" s="8">
        <v>2.1</v>
      </c>
      <c r="K332" s="8" t="s">
        <v>321</v>
      </c>
      <c r="L332" s="8" t="s">
        <v>322</v>
      </c>
      <c r="M332" s="8" t="s">
        <v>339</v>
      </c>
      <c r="N332" s="8">
        <v>4.1</v>
      </c>
      <c r="O332" s="14">
        <f t="shared" si="1"/>
        <v>45352</v>
      </c>
      <c r="P332" s="15">
        <f>IFERROR(VLOOKUP(K332,Formula!$A$11:$B$20,2,FALSE),Formula!$C$26)</f>
        <v>0.9</v>
      </c>
      <c r="Q332" s="15">
        <f>IF(AND(ISNUMBER(J332),J332&gt;0),1/J332,IF(AND(ISNUMBER(I332),I332&gt;0),SQRT(MIN(I332,Formula!$C$27))/Formula!$C$24,1/Formula!$C$25))</f>
        <v>0.4761904762</v>
      </c>
      <c r="R332" s="15">
        <f t="shared" si="2"/>
        <v>0.4285714286</v>
      </c>
      <c r="S332" s="15">
        <f>IF(H332&lt;&gt;"",EXP(-Formula!$C$28*(EOMONTH(H332,0)-H332)),EXP(-Formula!$C$28*(EOMONTH(D332,0)-D332)))</f>
        <v>0.2231301601</v>
      </c>
      <c r="T332" s="15">
        <f t="shared" si="3"/>
        <v>0.316227766</v>
      </c>
      <c r="U332" s="15">
        <f t="shared" si="4"/>
        <v>0.03023997946</v>
      </c>
      <c r="V332" s="16">
        <f>IF(AND(L332="Among all respondents",NOT(OR(K332="Online poll in Telegram channel",K332="Website online poll",K332="CAWI (Computer Assisted Web Interviewing)"))),1/(1-MIN(MAX(Formula!$C$33+(YEAR(D332)-Formula!$C$34)/(Formula!$C$35-Formula!$C$34)*(Formula!$C$32-Formula!$C$33),Formula!$C$33),Formula!$C$32)),1)</f>
        <v>1</v>
      </c>
      <c r="W332" s="17">
        <f t="shared" si="5"/>
        <v>4.1</v>
      </c>
    </row>
    <row r="333" ht="15.75" customHeight="1">
      <c r="A333" s="8" t="s">
        <v>798</v>
      </c>
      <c r="B333" s="7" t="s">
        <v>791</v>
      </c>
      <c r="C333" s="13" t="s">
        <v>792</v>
      </c>
      <c r="D333" s="7" t="s">
        <v>76</v>
      </c>
      <c r="E333" s="8" t="s">
        <v>17</v>
      </c>
      <c r="F333" s="8" t="s">
        <v>318</v>
      </c>
      <c r="G333" s="7" t="s">
        <v>793</v>
      </c>
      <c r="H333" s="7" t="s">
        <v>74</v>
      </c>
      <c r="I333" s="8">
        <v>3000.0</v>
      </c>
      <c r="J333" s="8">
        <v>2.1</v>
      </c>
      <c r="K333" s="8" t="s">
        <v>321</v>
      </c>
      <c r="L333" s="8" t="s">
        <v>322</v>
      </c>
      <c r="M333" s="8" t="s">
        <v>327</v>
      </c>
      <c r="N333" s="8">
        <v>3.2</v>
      </c>
      <c r="O333" s="14">
        <f t="shared" si="1"/>
        <v>45352</v>
      </c>
      <c r="P333" s="15">
        <f>IFERROR(VLOOKUP(K333,Formula!$A$11:$B$20,2,FALSE),Formula!$C$26)</f>
        <v>0.9</v>
      </c>
      <c r="Q333" s="15">
        <f>IF(AND(ISNUMBER(J333),J333&gt;0),1/J333,IF(AND(ISNUMBER(I333),I333&gt;0),SQRT(MIN(I333,Formula!$C$27))/Formula!$C$24,1/Formula!$C$25))</f>
        <v>0.4761904762</v>
      </c>
      <c r="R333" s="15">
        <f t="shared" si="2"/>
        <v>0.4285714286</v>
      </c>
      <c r="S333" s="15">
        <f>IF(H333&lt;&gt;"",EXP(-Formula!$C$28*(EOMONTH(H333,0)-H333)),EXP(-Formula!$C$28*(EOMONTH(D333,0)-D333)))</f>
        <v>0.2231301601</v>
      </c>
      <c r="T333" s="15">
        <f t="shared" si="3"/>
        <v>0.316227766</v>
      </c>
      <c r="U333" s="15">
        <f t="shared" si="4"/>
        <v>0.03023997946</v>
      </c>
      <c r="V333" s="16">
        <f>IF(AND(L333="Among all respondents",NOT(OR(K333="Online poll in Telegram channel",K333="Website online poll",K333="CAWI (Computer Assisted Web Interviewing)"))),1/(1-MIN(MAX(Formula!$C$33+(YEAR(D333)-Formula!$C$34)/(Formula!$C$35-Formula!$C$34)*(Formula!$C$32-Formula!$C$33),Formula!$C$33),Formula!$C$32)),1)</f>
        <v>1</v>
      </c>
      <c r="W333" s="17">
        <f t="shared" si="5"/>
        <v>3.2</v>
      </c>
    </row>
    <row r="334" ht="15.75" customHeight="1">
      <c r="A334" s="8" t="s">
        <v>799</v>
      </c>
      <c r="B334" s="7" t="s">
        <v>791</v>
      </c>
      <c r="C334" s="13" t="s">
        <v>792</v>
      </c>
      <c r="D334" s="7" t="s">
        <v>76</v>
      </c>
      <c r="E334" s="8" t="s">
        <v>17</v>
      </c>
      <c r="F334" s="8" t="s">
        <v>318</v>
      </c>
      <c r="G334" s="7" t="s">
        <v>793</v>
      </c>
      <c r="H334" s="7" t="s">
        <v>74</v>
      </c>
      <c r="I334" s="8">
        <v>3000.0</v>
      </c>
      <c r="J334" s="8">
        <v>2.1</v>
      </c>
      <c r="K334" s="8" t="s">
        <v>321</v>
      </c>
      <c r="L334" s="8" t="s">
        <v>322</v>
      </c>
      <c r="M334" s="8" t="s">
        <v>337</v>
      </c>
      <c r="N334" s="8">
        <v>2.8</v>
      </c>
      <c r="O334" s="14">
        <f t="shared" si="1"/>
        <v>45352</v>
      </c>
      <c r="P334" s="15">
        <f>IFERROR(VLOOKUP(K334,Formula!$A$11:$B$20,2,FALSE),Formula!$C$26)</f>
        <v>0.9</v>
      </c>
      <c r="Q334" s="15">
        <f>IF(AND(ISNUMBER(J334),J334&gt;0),1/J334,IF(AND(ISNUMBER(I334),I334&gt;0),SQRT(MIN(I334,Formula!$C$27))/Formula!$C$24,1/Formula!$C$25))</f>
        <v>0.4761904762</v>
      </c>
      <c r="R334" s="15">
        <f t="shared" si="2"/>
        <v>0.4285714286</v>
      </c>
      <c r="S334" s="15">
        <f>IF(H334&lt;&gt;"",EXP(-Formula!$C$28*(EOMONTH(H334,0)-H334)),EXP(-Formula!$C$28*(EOMONTH(D334,0)-D334)))</f>
        <v>0.2231301601</v>
      </c>
      <c r="T334" s="15">
        <f t="shared" si="3"/>
        <v>0.316227766</v>
      </c>
      <c r="U334" s="15">
        <f t="shared" si="4"/>
        <v>0.03023997946</v>
      </c>
      <c r="V334" s="16">
        <f>IF(AND(L334="Among all respondents",NOT(OR(K334="Online poll in Telegram channel",K334="Website online poll",K334="CAWI (Computer Assisted Web Interviewing)"))),1/(1-MIN(MAX(Formula!$C$33+(YEAR(D334)-Formula!$C$34)/(Formula!$C$35-Formula!$C$34)*(Formula!$C$32-Formula!$C$33),Formula!$C$33),Formula!$C$32)),1)</f>
        <v>1</v>
      </c>
      <c r="W334" s="17">
        <f t="shared" si="5"/>
        <v>2.8</v>
      </c>
    </row>
    <row r="335" ht="15.75" customHeight="1">
      <c r="A335" s="8" t="s">
        <v>800</v>
      </c>
      <c r="B335" s="7" t="s">
        <v>791</v>
      </c>
      <c r="C335" s="13" t="s">
        <v>792</v>
      </c>
      <c r="D335" s="7" t="s">
        <v>76</v>
      </c>
      <c r="E335" s="8" t="s">
        <v>17</v>
      </c>
      <c r="F335" s="8" t="s">
        <v>318</v>
      </c>
      <c r="G335" s="7" t="s">
        <v>793</v>
      </c>
      <c r="H335" s="7" t="s">
        <v>74</v>
      </c>
      <c r="I335" s="8">
        <v>3000.0</v>
      </c>
      <c r="J335" s="8">
        <v>2.1</v>
      </c>
      <c r="K335" s="8" t="s">
        <v>321</v>
      </c>
      <c r="L335" s="8" t="s">
        <v>322</v>
      </c>
      <c r="M335" s="8" t="s">
        <v>362</v>
      </c>
      <c r="N335" s="8">
        <v>1.5</v>
      </c>
      <c r="O335" s="14">
        <f t="shared" si="1"/>
        <v>45352</v>
      </c>
      <c r="P335" s="15">
        <f>IFERROR(VLOOKUP(K335,Formula!$A$11:$B$20,2,FALSE),Formula!$C$26)</f>
        <v>0.9</v>
      </c>
      <c r="Q335" s="15">
        <f>IF(AND(ISNUMBER(J335),J335&gt;0),1/J335,IF(AND(ISNUMBER(I335),I335&gt;0),SQRT(MIN(I335,Formula!$C$27))/Formula!$C$24,1/Formula!$C$25))</f>
        <v>0.4761904762</v>
      </c>
      <c r="R335" s="15">
        <f t="shared" si="2"/>
        <v>0.4285714286</v>
      </c>
      <c r="S335" s="15">
        <f>IF(H335&lt;&gt;"",EXP(-Formula!$C$28*(EOMONTH(H335,0)-H335)),EXP(-Formula!$C$28*(EOMONTH(D335,0)-D335)))</f>
        <v>0.2231301601</v>
      </c>
      <c r="T335" s="15">
        <f t="shared" si="3"/>
        <v>0.316227766</v>
      </c>
      <c r="U335" s="15">
        <f t="shared" si="4"/>
        <v>0.03023997946</v>
      </c>
      <c r="V335" s="16">
        <f>IF(AND(L335="Among all respondents",NOT(OR(K335="Online poll in Telegram channel",K335="Website online poll",K335="CAWI (Computer Assisted Web Interviewing)"))),1/(1-MIN(MAX(Formula!$C$33+(YEAR(D335)-Formula!$C$34)/(Formula!$C$35-Formula!$C$34)*(Formula!$C$32-Formula!$C$33),Formula!$C$33),Formula!$C$32)),1)</f>
        <v>1</v>
      </c>
      <c r="W335" s="17">
        <f t="shared" si="5"/>
        <v>1.5</v>
      </c>
    </row>
    <row r="336" ht="15.75" customHeight="1">
      <c r="A336" s="8" t="s">
        <v>801</v>
      </c>
      <c r="B336" s="7" t="s">
        <v>791</v>
      </c>
      <c r="C336" s="13" t="s">
        <v>792</v>
      </c>
      <c r="D336" s="7" t="s">
        <v>76</v>
      </c>
      <c r="E336" s="8" t="s">
        <v>17</v>
      </c>
      <c r="F336" s="8" t="s">
        <v>318</v>
      </c>
      <c r="G336" s="7" t="s">
        <v>793</v>
      </c>
      <c r="H336" s="7" t="s">
        <v>74</v>
      </c>
      <c r="I336" s="8">
        <v>3000.0</v>
      </c>
      <c r="J336" s="8">
        <v>2.1</v>
      </c>
      <c r="K336" s="8" t="s">
        <v>321</v>
      </c>
      <c r="L336" s="8" t="s">
        <v>322</v>
      </c>
      <c r="M336" s="8" t="s">
        <v>365</v>
      </c>
      <c r="N336" s="8">
        <v>1.1</v>
      </c>
      <c r="O336" s="14">
        <f t="shared" si="1"/>
        <v>45352</v>
      </c>
      <c r="P336" s="15">
        <f>IFERROR(VLOOKUP(K336,Formula!$A$11:$B$20,2,FALSE),Formula!$C$26)</f>
        <v>0.9</v>
      </c>
      <c r="Q336" s="15">
        <f>IF(AND(ISNUMBER(J336),J336&gt;0),1/J336,IF(AND(ISNUMBER(I336),I336&gt;0),SQRT(MIN(I336,Formula!$C$27))/Formula!$C$24,1/Formula!$C$25))</f>
        <v>0.4761904762</v>
      </c>
      <c r="R336" s="15">
        <f t="shared" si="2"/>
        <v>0.4285714286</v>
      </c>
      <c r="S336" s="15">
        <f>IF(H336&lt;&gt;"",EXP(-Formula!$C$28*(EOMONTH(H336,0)-H336)),EXP(-Formula!$C$28*(EOMONTH(D336,0)-D336)))</f>
        <v>0.2231301601</v>
      </c>
      <c r="T336" s="15">
        <f t="shared" si="3"/>
        <v>0.316227766</v>
      </c>
      <c r="U336" s="15">
        <f t="shared" si="4"/>
        <v>0.03023997946</v>
      </c>
      <c r="V336" s="16">
        <f>IF(AND(L336="Among all respondents",NOT(OR(K336="Online poll in Telegram channel",K336="Website online poll",K336="CAWI (Computer Assisted Web Interviewing)"))),1/(1-MIN(MAX(Formula!$C$33+(YEAR(D336)-Formula!$C$34)/(Formula!$C$35-Formula!$C$34)*(Formula!$C$32-Formula!$C$33),Formula!$C$33),Formula!$C$32)),1)</f>
        <v>1</v>
      </c>
      <c r="W336" s="17">
        <f t="shared" si="5"/>
        <v>1.1</v>
      </c>
    </row>
    <row r="337" ht="15.75" customHeight="1">
      <c r="A337" s="8" t="s">
        <v>802</v>
      </c>
      <c r="B337" s="7" t="s">
        <v>791</v>
      </c>
      <c r="C337" s="13" t="s">
        <v>792</v>
      </c>
      <c r="D337" s="7" t="s">
        <v>76</v>
      </c>
      <c r="E337" s="8" t="s">
        <v>17</v>
      </c>
      <c r="F337" s="8" t="s">
        <v>318</v>
      </c>
      <c r="G337" s="7" t="s">
        <v>793</v>
      </c>
      <c r="H337" s="7" t="s">
        <v>74</v>
      </c>
      <c r="I337" s="8">
        <v>3000.0</v>
      </c>
      <c r="J337" s="8">
        <v>2.1</v>
      </c>
      <c r="K337" s="8" t="s">
        <v>321</v>
      </c>
      <c r="L337" s="8" t="s">
        <v>322</v>
      </c>
      <c r="M337" s="8" t="s">
        <v>343</v>
      </c>
      <c r="N337" s="8">
        <v>0.9</v>
      </c>
      <c r="O337" s="14">
        <f t="shared" si="1"/>
        <v>45352</v>
      </c>
      <c r="P337" s="15">
        <f>IFERROR(VLOOKUP(K337,Formula!$A$11:$B$20,2,FALSE),Formula!$C$26)</f>
        <v>0.9</v>
      </c>
      <c r="Q337" s="15">
        <f>IF(AND(ISNUMBER(J337),J337&gt;0),1/J337,IF(AND(ISNUMBER(I337),I337&gt;0),SQRT(MIN(I337,Formula!$C$27))/Formula!$C$24,1/Formula!$C$25))</f>
        <v>0.4761904762</v>
      </c>
      <c r="R337" s="15">
        <f t="shared" si="2"/>
        <v>0.4285714286</v>
      </c>
      <c r="S337" s="15">
        <f>IF(H337&lt;&gt;"",EXP(-Formula!$C$28*(EOMONTH(H337,0)-H337)),EXP(-Formula!$C$28*(EOMONTH(D337,0)-D337)))</f>
        <v>0.2231301601</v>
      </c>
      <c r="T337" s="15">
        <f t="shared" si="3"/>
        <v>0.316227766</v>
      </c>
      <c r="U337" s="15">
        <f t="shared" si="4"/>
        <v>0.03023997946</v>
      </c>
      <c r="V337" s="16">
        <f>IF(AND(L337="Among all respondents",NOT(OR(K337="Online poll in Telegram channel",K337="Website online poll",K337="CAWI (Computer Assisted Web Interviewing)"))),1/(1-MIN(MAX(Formula!$C$33+(YEAR(D337)-Formula!$C$34)/(Formula!$C$35-Formula!$C$34)*(Formula!$C$32-Formula!$C$33),Formula!$C$33),Formula!$C$32)),1)</f>
        <v>1</v>
      </c>
      <c r="W337" s="17">
        <f t="shared" si="5"/>
        <v>0.9</v>
      </c>
    </row>
    <row r="338" ht="15.75" customHeight="1">
      <c r="A338" s="8" t="s">
        <v>803</v>
      </c>
      <c r="B338" s="7" t="s">
        <v>804</v>
      </c>
      <c r="C338" s="13" t="s">
        <v>805</v>
      </c>
      <c r="D338" s="7" t="s">
        <v>78</v>
      </c>
      <c r="E338" s="8" t="s">
        <v>61</v>
      </c>
      <c r="F338" s="8" t="s">
        <v>318</v>
      </c>
      <c r="G338" s="7" t="s">
        <v>806</v>
      </c>
      <c r="H338" s="7" t="s">
        <v>807</v>
      </c>
      <c r="I338" s="8">
        <v>5105.0</v>
      </c>
      <c r="J338" s="8">
        <v>2.0</v>
      </c>
      <c r="K338" s="8" t="s">
        <v>467</v>
      </c>
      <c r="L338" s="8" t="s">
        <v>322</v>
      </c>
      <c r="M338" s="8" t="s">
        <v>323</v>
      </c>
      <c r="N338" s="8">
        <v>21.01</v>
      </c>
      <c r="O338" s="14">
        <f t="shared" si="1"/>
        <v>45323</v>
      </c>
      <c r="P338" s="15">
        <f>IFERROR(VLOOKUP(K338,Formula!$A$11:$B$20,2,FALSE),Formula!$C$26)</f>
        <v>1</v>
      </c>
      <c r="Q338" s="15">
        <f>IF(AND(ISNUMBER(J338),J338&gt;0),1/J338,IF(AND(ISNUMBER(I338),I338&gt;0),SQRT(MIN(I338,Formula!$C$27))/Formula!$C$24,1/Formula!$C$25))</f>
        <v>0.5</v>
      </c>
      <c r="R338" s="15">
        <f t="shared" si="2"/>
        <v>0.5</v>
      </c>
      <c r="S338" s="15">
        <f>IF(H338&lt;&gt;"",EXP(-Formula!$C$28*(EOMONTH(H338,0)-H338)),EXP(-Formula!$C$28*(EOMONTH(D338,0)-D338)))</f>
        <v>0.4065696597</v>
      </c>
      <c r="T338" s="15">
        <f t="shared" si="3"/>
        <v>0.3015113446</v>
      </c>
      <c r="U338" s="15">
        <f t="shared" si="4"/>
        <v>0.06129268239</v>
      </c>
      <c r="V338" s="16">
        <f>IF(AND(L338="Among all respondents",NOT(OR(K338="Online poll in Telegram channel",K338="Website online poll",K338="CAWI (Computer Assisted Web Interviewing)"))),1/(1-MIN(MAX(Formula!$C$33+(YEAR(D338)-Formula!$C$34)/(Formula!$C$35-Formula!$C$34)*(Formula!$C$32-Formula!$C$33),Formula!$C$33),Formula!$C$32)),1)</f>
        <v>1</v>
      </c>
      <c r="W338" s="17">
        <f t="shared" si="5"/>
        <v>21.01</v>
      </c>
    </row>
    <row r="339" ht="15.75" customHeight="1">
      <c r="A339" s="8" t="s">
        <v>808</v>
      </c>
      <c r="B339" s="7" t="s">
        <v>804</v>
      </c>
      <c r="C339" s="13" t="s">
        <v>805</v>
      </c>
      <c r="D339" s="7" t="s">
        <v>78</v>
      </c>
      <c r="E339" s="8" t="s">
        <v>61</v>
      </c>
      <c r="F339" s="8" t="s">
        <v>318</v>
      </c>
      <c r="G339" s="7" t="s">
        <v>806</v>
      </c>
      <c r="H339" s="7" t="s">
        <v>807</v>
      </c>
      <c r="I339" s="8">
        <v>5105.0</v>
      </c>
      <c r="J339" s="8">
        <v>2.0</v>
      </c>
      <c r="K339" s="8" t="s">
        <v>467</v>
      </c>
      <c r="L339" s="8" t="s">
        <v>322</v>
      </c>
      <c r="M339" s="8" t="s">
        <v>337</v>
      </c>
      <c r="N339" s="8">
        <v>18.83</v>
      </c>
      <c r="O339" s="14">
        <f t="shared" si="1"/>
        <v>45323</v>
      </c>
      <c r="P339" s="15">
        <f>IFERROR(VLOOKUP(K339,Formula!$A$11:$B$20,2,FALSE),Formula!$C$26)</f>
        <v>1</v>
      </c>
      <c r="Q339" s="15">
        <f>IF(AND(ISNUMBER(J339),J339&gt;0),1/J339,IF(AND(ISNUMBER(I339),I339&gt;0),SQRT(MIN(I339,Formula!$C$27))/Formula!$C$24,1/Formula!$C$25))</f>
        <v>0.5</v>
      </c>
      <c r="R339" s="15">
        <f t="shared" si="2"/>
        <v>0.5</v>
      </c>
      <c r="S339" s="15">
        <f>IF(H339&lt;&gt;"",EXP(-Formula!$C$28*(EOMONTH(H339,0)-H339)),EXP(-Formula!$C$28*(EOMONTH(D339,0)-D339)))</f>
        <v>0.4065696597</v>
      </c>
      <c r="T339" s="15">
        <f t="shared" si="3"/>
        <v>0.3015113446</v>
      </c>
      <c r="U339" s="15">
        <f t="shared" si="4"/>
        <v>0.06129268239</v>
      </c>
      <c r="V339" s="16">
        <f>IF(AND(L339="Among all respondents",NOT(OR(K339="Online poll in Telegram channel",K339="Website online poll",K339="CAWI (Computer Assisted Web Interviewing)"))),1/(1-MIN(MAX(Formula!$C$33+(YEAR(D339)-Formula!$C$34)/(Formula!$C$35-Formula!$C$34)*(Formula!$C$32-Formula!$C$33),Formula!$C$33),Formula!$C$32)),1)</f>
        <v>1</v>
      </c>
      <c r="W339" s="17">
        <f t="shared" si="5"/>
        <v>18.83</v>
      </c>
    </row>
    <row r="340" ht="15.75" customHeight="1">
      <c r="A340" s="8" t="s">
        <v>809</v>
      </c>
      <c r="B340" s="7" t="s">
        <v>804</v>
      </c>
      <c r="C340" s="13" t="s">
        <v>805</v>
      </c>
      <c r="D340" s="7" t="s">
        <v>78</v>
      </c>
      <c r="E340" s="8" t="s">
        <v>61</v>
      </c>
      <c r="F340" s="8" t="s">
        <v>318</v>
      </c>
      <c r="G340" s="7" t="s">
        <v>806</v>
      </c>
      <c r="H340" s="7" t="s">
        <v>807</v>
      </c>
      <c r="I340" s="8">
        <v>5105.0</v>
      </c>
      <c r="J340" s="8">
        <v>2.0</v>
      </c>
      <c r="K340" s="8" t="s">
        <v>467</v>
      </c>
      <c r="L340" s="8" t="s">
        <v>322</v>
      </c>
      <c r="M340" s="8" t="s">
        <v>329</v>
      </c>
      <c r="N340" s="8">
        <v>14.14</v>
      </c>
      <c r="O340" s="14">
        <f t="shared" si="1"/>
        <v>45323</v>
      </c>
      <c r="P340" s="15">
        <f>IFERROR(VLOOKUP(K340,Formula!$A$11:$B$20,2,FALSE),Formula!$C$26)</f>
        <v>1</v>
      </c>
      <c r="Q340" s="15">
        <f>IF(AND(ISNUMBER(J340),J340&gt;0),1/J340,IF(AND(ISNUMBER(I340),I340&gt;0),SQRT(MIN(I340,Formula!$C$27))/Formula!$C$24,1/Formula!$C$25))</f>
        <v>0.5</v>
      </c>
      <c r="R340" s="15">
        <f t="shared" si="2"/>
        <v>0.5</v>
      </c>
      <c r="S340" s="15">
        <f>IF(H340&lt;&gt;"",EXP(-Formula!$C$28*(EOMONTH(H340,0)-H340)),EXP(-Formula!$C$28*(EOMONTH(D340,0)-D340)))</f>
        <v>0.4065696597</v>
      </c>
      <c r="T340" s="15">
        <f t="shared" si="3"/>
        <v>0.3015113446</v>
      </c>
      <c r="U340" s="15">
        <f t="shared" si="4"/>
        <v>0.06129268239</v>
      </c>
      <c r="V340" s="16">
        <f>IF(AND(L340="Among all respondents",NOT(OR(K340="Online poll in Telegram channel",K340="Website online poll",K340="CAWI (Computer Assisted Web Interviewing)"))),1/(1-MIN(MAX(Formula!$C$33+(YEAR(D340)-Formula!$C$34)/(Formula!$C$35-Formula!$C$34)*(Formula!$C$32-Formula!$C$33),Formula!$C$33),Formula!$C$32)),1)</f>
        <v>1</v>
      </c>
      <c r="W340" s="17">
        <f t="shared" si="5"/>
        <v>14.14</v>
      </c>
    </row>
    <row r="341" ht="15.75" customHeight="1">
      <c r="A341" s="8" t="s">
        <v>810</v>
      </c>
      <c r="B341" s="7" t="s">
        <v>804</v>
      </c>
      <c r="C341" s="13" t="s">
        <v>805</v>
      </c>
      <c r="D341" s="7" t="s">
        <v>78</v>
      </c>
      <c r="E341" s="8" t="s">
        <v>61</v>
      </c>
      <c r="F341" s="8" t="s">
        <v>318</v>
      </c>
      <c r="G341" s="7" t="s">
        <v>806</v>
      </c>
      <c r="H341" s="7" t="s">
        <v>807</v>
      </c>
      <c r="I341" s="8">
        <v>5105.0</v>
      </c>
      <c r="J341" s="8">
        <v>2.0</v>
      </c>
      <c r="K341" s="8" t="s">
        <v>467</v>
      </c>
      <c r="L341" s="8" t="s">
        <v>322</v>
      </c>
      <c r="M341" s="8" t="s">
        <v>343</v>
      </c>
      <c r="N341" s="8">
        <v>6.64</v>
      </c>
      <c r="O341" s="14">
        <f t="shared" si="1"/>
        <v>45323</v>
      </c>
      <c r="P341" s="15">
        <f>IFERROR(VLOOKUP(K341,Formula!$A$11:$B$20,2,FALSE),Formula!$C$26)</f>
        <v>1</v>
      </c>
      <c r="Q341" s="15">
        <f>IF(AND(ISNUMBER(J341),J341&gt;0),1/J341,IF(AND(ISNUMBER(I341),I341&gt;0),SQRT(MIN(I341,Formula!$C$27))/Formula!$C$24,1/Formula!$C$25))</f>
        <v>0.5</v>
      </c>
      <c r="R341" s="15">
        <f t="shared" si="2"/>
        <v>0.5</v>
      </c>
      <c r="S341" s="15">
        <f>IF(H341&lt;&gt;"",EXP(-Formula!$C$28*(EOMONTH(H341,0)-H341)),EXP(-Formula!$C$28*(EOMONTH(D341,0)-D341)))</f>
        <v>0.4065696597</v>
      </c>
      <c r="T341" s="15">
        <f t="shared" si="3"/>
        <v>0.3015113446</v>
      </c>
      <c r="U341" s="15">
        <f t="shared" si="4"/>
        <v>0.06129268239</v>
      </c>
      <c r="V341" s="16">
        <f>IF(AND(L341="Among all respondents",NOT(OR(K341="Online poll in Telegram channel",K341="Website online poll",K341="CAWI (Computer Assisted Web Interviewing)"))),1/(1-MIN(MAX(Formula!$C$33+(YEAR(D341)-Formula!$C$34)/(Formula!$C$35-Formula!$C$34)*(Formula!$C$32-Formula!$C$33),Formula!$C$33),Formula!$C$32)),1)</f>
        <v>1</v>
      </c>
      <c r="W341" s="17">
        <f t="shared" si="5"/>
        <v>6.64</v>
      </c>
    </row>
    <row r="342" ht="15.75" customHeight="1">
      <c r="A342" s="8" t="s">
        <v>811</v>
      </c>
      <c r="B342" s="7" t="s">
        <v>804</v>
      </c>
      <c r="C342" s="13" t="s">
        <v>805</v>
      </c>
      <c r="D342" s="7" t="s">
        <v>78</v>
      </c>
      <c r="E342" s="8" t="s">
        <v>61</v>
      </c>
      <c r="F342" s="8" t="s">
        <v>318</v>
      </c>
      <c r="G342" s="7" t="s">
        <v>806</v>
      </c>
      <c r="H342" s="7" t="s">
        <v>807</v>
      </c>
      <c r="I342" s="8">
        <v>5105.0</v>
      </c>
      <c r="J342" s="8">
        <v>2.0</v>
      </c>
      <c r="K342" s="8" t="s">
        <v>467</v>
      </c>
      <c r="L342" s="8" t="s">
        <v>322</v>
      </c>
      <c r="M342" s="8" t="s">
        <v>339</v>
      </c>
      <c r="N342" s="8">
        <v>4.72</v>
      </c>
      <c r="O342" s="14">
        <f t="shared" si="1"/>
        <v>45323</v>
      </c>
      <c r="P342" s="15">
        <f>IFERROR(VLOOKUP(K342,Formula!$A$11:$B$20,2,FALSE),Formula!$C$26)</f>
        <v>1</v>
      </c>
      <c r="Q342" s="15">
        <f>IF(AND(ISNUMBER(J342),J342&gt;0),1/J342,IF(AND(ISNUMBER(I342),I342&gt;0),SQRT(MIN(I342,Formula!$C$27))/Formula!$C$24,1/Formula!$C$25))</f>
        <v>0.5</v>
      </c>
      <c r="R342" s="15">
        <f t="shared" si="2"/>
        <v>0.5</v>
      </c>
      <c r="S342" s="15">
        <f>IF(H342&lt;&gt;"",EXP(-Formula!$C$28*(EOMONTH(H342,0)-H342)),EXP(-Formula!$C$28*(EOMONTH(D342,0)-D342)))</f>
        <v>0.4065696597</v>
      </c>
      <c r="T342" s="15">
        <f t="shared" si="3"/>
        <v>0.3015113446</v>
      </c>
      <c r="U342" s="15">
        <f t="shared" si="4"/>
        <v>0.06129268239</v>
      </c>
      <c r="V342" s="16">
        <f>IF(AND(L342="Among all respondents",NOT(OR(K342="Online poll in Telegram channel",K342="Website online poll",K342="CAWI (Computer Assisted Web Interviewing)"))),1/(1-MIN(MAX(Formula!$C$33+(YEAR(D342)-Formula!$C$34)/(Formula!$C$35-Formula!$C$34)*(Formula!$C$32-Formula!$C$33),Formula!$C$33),Formula!$C$32)),1)</f>
        <v>1</v>
      </c>
      <c r="W342" s="17">
        <f t="shared" si="5"/>
        <v>4.72</v>
      </c>
    </row>
    <row r="343" ht="15.75" customHeight="1">
      <c r="A343" s="8" t="s">
        <v>812</v>
      </c>
      <c r="B343" s="7" t="s">
        <v>804</v>
      </c>
      <c r="C343" s="13" t="s">
        <v>805</v>
      </c>
      <c r="D343" s="7" t="s">
        <v>78</v>
      </c>
      <c r="E343" s="8" t="s">
        <v>61</v>
      </c>
      <c r="F343" s="8" t="s">
        <v>318</v>
      </c>
      <c r="G343" s="7" t="s">
        <v>806</v>
      </c>
      <c r="H343" s="7" t="s">
        <v>807</v>
      </c>
      <c r="I343" s="8">
        <v>5105.0</v>
      </c>
      <c r="J343" s="8">
        <v>2.0</v>
      </c>
      <c r="K343" s="8" t="s">
        <v>467</v>
      </c>
      <c r="L343" s="8" t="s">
        <v>322</v>
      </c>
      <c r="M343" s="8" t="s">
        <v>325</v>
      </c>
      <c r="N343" s="8">
        <v>38.16</v>
      </c>
      <c r="O343" s="14">
        <f t="shared" si="1"/>
        <v>45323</v>
      </c>
      <c r="P343" s="15">
        <f>IFERROR(VLOOKUP(K343,Formula!$A$11:$B$20,2,FALSE),Formula!$C$26)</f>
        <v>1</v>
      </c>
      <c r="Q343" s="15">
        <f>IF(AND(ISNUMBER(J343),J343&gt;0),1/J343,IF(AND(ISNUMBER(I343),I343&gt;0),SQRT(MIN(I343,Formula!$C$27))/Formula!$C$24,1/Formula!$C$25))</f>
        <v>0.5</v>
      </c>
      <c r="R343" s="15">
        <f t="shared" si="2"/>
        <v>0.5</v>
      </c>
      <c r="S343" s="15">
        <f>IF(H343&lt;&gt;"",EXP(-Formula!$C$28*(EOMONTH(H343,0)-H343)),EXP(-Formula!$C$28*(EOMONTH(D343,0)-D343)))</f>
        <v>0.4065696597</v>
      </c>
      <c r="T343" s="15">
        <f t="shared" si="3"/>
        <v>0.3015113446</v>
      </c>
      <c r="U343" s="15">
        <f t="shared" si="4"/>
        <v>0.06129268239</v>
      </c>
      <c r="V343" s="16">
        <f>IF(AND(L343="Among all respondents",NOT(OR(K343="Online poll in Telegram channel",K343="Website online poll",K343="CAWI (Computer Assisted Web Interviewing)"))),1/(1-MIN(MAX(Formula!$C$33+(YEAR(D343)-Formula!$C$34)/(Formula!$C$35-Formula!$C$34)*(Formula!$C$32-Formula!$C$33),Formula!$C$33),Formula!$C$32)),1)</f>
        <v>1</v>
      </c>
      <c r="W343" s="17">
        <f t="shared" si="5"/>
        <v>38.16</v>
      </c>
    </row>
    <row r="344" ht="15.75" customHeight="1">
      <c r="A344" s="8" t="s">
        <v>803</v>
      </c>
      <c r="B344" s="7" t="s">
        <v>804</v>
      </c>
      <c r="C344" s="13" t="s">
        <v>805</v>
      </c>
      <c r="D344" s="7" t="s">
        <v>78</v>
      </c>
      <c r="E344" s="8" t="s">
        <v>61</v>
      </c>
      <c r="F344" s="8" t="s">
        <v>318</v>
      </c>
      <c r="G344" s="7" t="s">
        <v>806</v>
      </c>
      <c r="H344" s="7" t="s">
        <v>807</v>
      </c>
      <c r="I344" s="8">
        <v>5105.0</v>
      </c>
      <c r="J344" s="8">
        <v>2.0</v>
      </c>
      <c r="K344" s="8" t="s">
        <v>467</v>
      </c>
      <c r="L344" s="8" t="s">
        <v>322</v>
      </c>
      <c r="M344" s="8" t="s">
        <v>323</v>
      </c>
      <c r="N344" s="8">
        <v>16.17</v>
      </c>
      <c r="O344" s="14">
        <f t="shared" si="1"/>
        <v>45323</v>
      </c>
      <c r="P344" s="15">
        <f>IFERROR(VLOOKUP(K344,Formula!$A$11:$B$20,2,FALSE),Formula!$C$26)</f>
        <v>1</v>
      </c>
      <c r="Q344" s="15">
        <f>IF(AND(ISNUMBER(J344),J344&gt;0),1/J344,IF(AND(ISNUMBER(I344),I344&gt;0),SQRT(MIN(I344,Formula!$C$27))/Formula!$C$24,1/Formula!$C$25))</f>
        <v>0.5</v>
      </c>
      <c r="R344" s="15">
        <f t="shared" si="2"/>
        <v>0.5</v>
      </c>
      <c r="S344" s="15">
        <f>IF(H344&lt;&gt;"",EXP(-Formula!$C$28*(EOMONTH(H344,0)-H344)),EXP(-Formula!$C$28*(EOMONTH(D344,0)-D344)))</f>
        <v>0.4065696597</v>
      </c>
      <c r="T344" s="15">
        <f t="shared" si="3"/>
        <v>0.3015113446</v>
      </c>
      <c r="U344" s="15">
        <f t="shared" si="4"/>
        <v>0.06129268239</v>
      </c>
      <c r="V344" s="16">
        <f>IF(AND(L344="Among all respondents",NOT(OR(K344="Online poll in Telegram channel",K344="Website online poll",K344="CAWI (Computer Assisted Web Interviewing)"))),1/(1-MIN(MAX(Formula!$C$33+(YEAR(D344)-Formula!$C$34)/(Formula!$C$35-Formula!$C$34)*(Formula!$C$32-Formula!$C$33),Formula!$C$33),Formula!$C$32)),1)</f>
        <v>1</v>
      </c>
      <c r="W344" s="17">
        <f t="shared" si="5"/>
        <v>16.17</v>
      </c>
    </row>
    <row r="345" ht="15.75" customHeight="1">
      <c r="A345" s="8" t="s">
        <v>808</v>
      </c>
      <c r="B345" s="7" t="s">
        <v>804</v>
      </c>
      <c r="C345" s="13" t="s">
        <v>805</v>
      </c>
      <c r="D345" s="7" t="s">
        <v>78</v>
      </c>
      <c r="E345" s="8" t="s">
        <v>61</v>
      </c>
      <c r="F345" s="8" t="s">
        <v>318</v>
      </c>
      <c r="G345" s="7" t="s">
        <v>806</v>
      </c>
      <c r="H345" s="7" t="s">
        <v>807</v>
      </c>
      <c r="I345" s="8">
        <v>5105.0</v>
      </c>
      <c r="J345" s="8">
        <v>2.0</v>
      </c>
      <c r="K345" s="8" t="s">
        <v>467</v>
      </c>
      <c r="L345" s="8" t="s">
        <v>322</v>
      </c>
      <c r="M345" s="8" t="s">
        <v>337</v>
      </c>
      <c r="N345" s="8">
        <v>9.91</v>
      </c>
      <c r="O345" s="14">
        <f t="shared" si="1"/>
        <v>45323</v>
      </c>
      <c r="P345" s="15">
        <f>IFERROR(VLOOKUP(K345,Formula!$A$11:$B$20,2,FALSE),Formula!$C$26)</f>
        <v>1</v>
      </c>
      <c r="Q345" s="15">
        <f>IF(AND(ISNUMBER(J345),J345&gt;0),1/J345,IF(AND(ISNUMBER(I345),I345&gt;0),SQRT(MIN(I345,Formula!$C$27))/Formula!$C$24,1/Formula!$C$25))</f>
        <v>0.5</v>
      </c>
      <c r="R345" s="15">
        <f t="shared" si="2"/>
        <v>0.5</v>
      </c>
      <c r="S345" s="15">
        <f>IF(H345&lt;&gt;"",EXP(-Formula!$C$28*(EOMONTH(H345,0)-H345)),EXP(-Formula!$C$28*(EOMONTH(D345,0)-D345)))</f>
        <v>0.4065696597</v>
      </c>
      <c r="T345" s="15">
        <f t="shared" si="3"/>
        <v>0.3015113446</v>
      </c>
      <c r="U345" s="15">
        <f t="shared" si="4"/>
        <v>0.06129268239</v>
      </c>
      <c r="V345" s="16">
        <f>IF(AND(L345="Among all respondents",NOT(OR(K345="Online poll in Telegram channel",K345="Website online poll",K345="CAWI (Computer Assisted Web Interviewing)"))),1/(1-MIN(MAX(Formula!$C$33+(YEAR(D345)-Formula!$C$34)/(Formula!$C$35-Formula!$C$34)*(Formula!$C$32-Formula!$C$33),Formula!$C$33),Formula!$C$32)),1)</f>
        <v>1</v>
      </c>
      <c r="W345" s="17">
        <f t="shared" si="5"/>
        <v>9.91</v>
      </c>
    </row>
    <row r="346" ht="15.75" customHeight="1">
      <c r="A346" s="8" t="s">
        <v>809</v>
      </c>
      <c r="B346" s="7" t="s">
        <v>804</v>
      </c>
      <c r="C346" s="13" t="s">
        <v>805</v>
      </c>
      <c r="D346" s="7" t="s">
        <v>78</v>
      </c>
      <c r="E346" s="8" t="s">
        <v>61</v>
      </c>
      <c r="F346" s="8" t="s">
        <v>318</v>
      </c>
      <c r="G346" s="7" t="s">
        <v>806</v>
      </c>
      <c r="H346" s="7" t="s">
        <v>807</v>
      </c>
      <c r="I346" s="8">
        <v>5105.0</v>
      </c>
      <c r="J346" s="8">
        <v>2.0</v>
      </c>
      <c r="K346" s="8" t="s">
        <v>467</v>
      </c>
      <c r="L346" s="8" t="s">
        <v>322</v>
      </c>
      <c r="M346" s="8" t="s">
        <v>329</v>
      </c>
      <c r="N346" s="8">
        <v>8.08</v>
      </c>
      <c r="O346" s="14">
        <f t="shared" si="1"/>
        <v>45323</v>
      </c>
      <c r="P346" s="15">
        <f>IFERROR(VLOOKUP(K346,Formula!$A$11:$B$20,2,FALSE),Formula!$C$26)</f>
        <v>1</v>
      </c>
      <c r="Q346" s="15">
        <f>IF(AND(ISNUMBER(J346),J346&gt;0),1/J346,IF(AND(ISNUMBER(I346),I346&gt;0),SQRT(MIN(I346,Formula!$C$27))/Formula!$C$24,1/Formula!$C$25))</f>
        <v>0.5</v>
      </c>
      <c r="R346" s="15">
        <f t="shared" si="2"/>
        <v>0.5</v>
      </c>
      <c r="S346" s="15">
        <f>IF(H346&lt;&gt;"",EXP(-Formula!$C$28*(EOMONTH(H346,0)-H346)),EXP(-Formula!$C$28*(EOMONTH(D346,0)-D346)))</f>
        <v>0.4065696597</v>
      </c>
      <c r="T346" s="15">
        <f t="shared" si="3"/>
        <v>0.3015113446</v>
      </c>
      <c r="U346" s="15">
        <f t="shared" si="4"/>
        <v>0.06129268239</v>
      </c>
      <c r="V346" s="16">
        <f>IF(AND(L346="Among all respondents",NOT(OR(K346="Online poll in Telegram channel",K346="Website online poll",K346="CAWI (Computer Assisted Web Interviewing)"))),1/(1-MIN(MAX(Formula!$C$33+(YEAR(D346)-Formula!$C$34)/(Formula!$C$35-Formula!$C$34)*(Formula!$C$32-Formula!$C$33),Formula!$C$33),Formula!$C$32)),1)</f>
        <v>1</v>
      </c>
      <c r="W346" s="17">
        <f t="shared" si="5"/>
        <v>8.08</v>
      </c>
    </row>
    <row r="347" ht="15.75" customHeight="1">
      <c r="A347" s="8" t="s">
        <v>810</v>
      </c>
      <c r="B347" s="7" t="s">
        <v>804</v>
      </c>
      <c r="C347" s="13" t="s">
        <v>805</v>
      </c>
      <c r="D347" s="7" t="s">
        <v>78</v>
      </c>
      <c r="E347" s="8" t="s">
        <v>61</v>
      </c>
      <c r="F347" s="8" t="s">
        <v>318</v>
      </c>
      <c r="G347" s="7" t="s">
        <v>806</v>
      </c>
      <c r="H347" s="7" t="s">
        <v>807</v>
      </c>
      <c r="I347" s="8">
        <v>5105.0</v>
      </c>
      <c r="J347" s="8">
        <v>2.0</v>
      </c>
      <c r="K347" s="8" t="s">
        <v>467</v>
      </c>
      <c r="L347" s="8" t="s">
        <v>322</v>
      </c>
      <c r="M347" s="8" t="s">
        <v>343</v>
      </c>
      <c r="N347" s="8">
        <v>2.2</v>
      </c>
      <c r="O347" s="14">
        <f t="shared" si="1"/>
        <v>45323</v>
      </c>
      <c r="P347" s="15">
        <f>IFERROR(VLOOKUP(K347,Formula!$A$11:$B$20,2,FALSE),Formula!$C$26)</f>
        <v>1</v>
      </c>
      <c r="Q347" s="15">
        <f>IF(AND(ISNUMBER(J347),J347&gt;0),1/J347,IF(AND(ISNUMBER(I347),I347&gt;0),SQRT(MIN(I347,Formula!$C$27))/Formula!$C$24,1/Formula!$C$25))</f>
        <v>0.5</v>
      </c>
      <c r="R347" s="15">
        <f t="shared" si="2"/>
        <v>0.5</v>
      </c>
      <c r="S347" s="15">
        <f>IF(H347&lt;&gt;"",EXP(-Formula!$C$28*(EOMONTH(H347,0)-H347)),EXP(-Formula!$C$28*(EOMONTH(D347,0)-D347)))</f>
        <v>0.4065696597</v>
      </c>
      <c r="T347" s="15">
        <f t="shared" si="3"/>
        <v>0.3015113446</v>
      </c>
      <c r="U347" s="15">
        <f t="shared" si="4"/>
        <v>0.06129268239</v>
      </c>
      <c r="V347" s="16">
        <f>IF(AND(L347="Among all respondents",NOT(OR(K347="Online poll in Telegram channel",K347="Website online poll",K347="CAWI (Computer Assisted Web Interviewing)"))),1/(1-MIN(MAX(Formula!$C$33+(YEAR(D347)-Formula!$C$34)/(Formula!$C$35-Formula!$C$34)*(Formula!$C$32-Formula!$C$33),Formula!$C$33),Formula!$C$32)),1)</f>
        <v>1</v>
      </c>
      <c r="W347" s="17">
        <f t="shared" si="5"/>
        <v>2.2</v>
      </c>
    </row>
    <row r="348" ht="15.75" customHeight="1">
      <c r="A348" s="8" t="s">
        <v>811</v>
      </c>
      <c r="B348" s="7" t="s">
        <v>804</v>
      </c>
      <c r="C348" s="13" t="s">
        <v>805</v>
      </c>
      <c r="D348" s="7" t="s">
        <v>78</v>
      </c>
      <c r="E348" s="8" t="s">
        <v>61</v>
      </c>
      <c r="F348" s="8" t="s">
        <v>318</v>
      </c>
      <c r="G348" s="7" t="s">
        <v>806</v>
      </c>
      <c r="H348" s="7" t="s">
        <v>807</v>
      </c>
      <c r="I348" s="8">
        <v>5105.0</v>
      </c>
      <c r="J348" s="8">
        <v>2.0</v>
      </c>
      <c r="K348" s="8" t="s">
        <v>467</v>
      </c>
      <c r="L348" s="8" t="s">
        <v>322</v>
      </c>
      <c r="M348" s="8" t="s">
        <v>339</v>
      </c>
      <c r="N348" s="8">
        <v>0.66</v>
      </c>
      <c r="O348" s="14">
        <f t="shared" si="1"/>
        <v>45323</v>
      </c>
      <c r="P348" s="15">
        <f>IFERROR(VLOOKUP(K348,Formula!$A$11:$B$20,2,FALSE),Formula!$C$26)</f>
        <v>1</v>
      </c>
      <c r="Q348" s="15">
        <f>IF(AND(ISNUMBER(J348),J348&gt;0),1/J348,IF(AND(ISNUMBER(I348),I348&gt;0),SQRT(MIN(I348,Formula!$C$27))/Formula!$C$24,1/Formula!$C$25))</f>
        <v>0.5</v>
      </c>
      <c r="R348" s="15">
        <f t="shared" si="2"/>
        <v>0.5</v>
      </c>
      <c r="S348" s="15">
        <f>IF(H348&lt;&gt;"",EXP(-Formula!$C$28*(EOMONTH(H348,0)-H348)),EXP(-Formula!$C$28*(EOMONTH(D348,0)-D348)))</f>
        <v>0.4065696597</v>
      </c>
      <c r="T348" s="15">
        <f t="shared" si="3"/>
        <v>0.3015113446</v>
      </c>
      <c r="U348" s="15">
        <f t="shared" si="4"/>
        <v>0.06129268239</v>
      </c>
      <c r="V348" s="16">
        <f>IF(AND(L348="Among all respondents",NOT(OR(K348="Online poll in Telegram channel",K348="Website online poll",K348="CAWI (Computer Assisted Web Interviewing)"))),1/(1-MIN(MAX(Formula!$C$33+(YEAR(D348)-Formula!$C$34)/(Formula!$C$35-Formula!$C$34)*(Formula!$C$32-Formula!$C$33),Formula!$C$33),Formula!$C$32)),1)</f>
        <v>1</v>
      </c>
      <c r="W348" s="17">
        <f t="shared" si="5"/>
        <v>0.66</v>
      </c>
    </row>
    <row r="349" ht="15.75" customHeight="1">
      <c r="A349" s="8" t="s">
        <v>813</v>
      </c>
      <c r="B349" s="7" t="s">
        <v>814</v>
      </c>
      <c r="C349" s="13" t="s">
        <v>815</v>
      </c>
      <c r="D349" s="7" t="s">
        <v>79</v>
      </c>
      <c r="E349" s="8" t="s">
        <v>61</v>
      </c>
      <c r="F349" s="8" t="s">
        <v>318</v>
      </c>
      <c r="G349" s="7" t="s">
        <v>816</v>
      </c>
      <c r="H349" s="7" t="s">
        <v>817</v>
      </c>
      <c r="I349" s="8">
        <v>10842.0</v>
      </c>
      <c r="J349" s="8">
        <v>1.5</v>
      </c>
      <c r="K349" s="8" t="s">
        <v>467</v>
      </c>
      <c r="L349" s="8" t="s">
        <v>322</v>
      </c>
      <c r="M349" s="8" t="s">
        <v>325</v>
      </c>
      <c r="N349" s="8">
        <v>32.44</v>
      </c>
      <c r="O349" s="14">
        <f t="shared" si="1"/>
        <v>45292</v>
      </c>
      <c r="P349" s="15">
        <f>IFERROR(VLOOKUP(K349,Formula!$A$11:$B$20,2,FALSE),Formula!$C$26)</f>
        <v>1</v>
      </c>
      <c r="Q349" s="15">
        <f>IF(AND(ISNUMBER(J349),J349&gt;0),1/J349,IF(AND(ISNUMBER(I349),I349&gt;0),SQRT(MIN(I349,Formula!$C$27))/Formula!$C$24,1/Formula!$C$25))</f>
        <v>0.6666666667</v>
      </c>
      <c r="R349" s="15">
        <f t="shared" si="2"/>
        <v>0.6666666667</v>
      </c>
      <c r="S349" s="15">
        <f>IF(H349&lt;&gt;"",EXP(-Formula!$C$28*(EOMONTH(H349,0)-H349)),EXP(-Formula!$C$28*(EOMONTH(D349,0)-D349)))</f>
        <v>0.7046880897</v>
      </c>
      <c r="T349" s="15">
        <f t="shared" si="3"/>
        <v>0.2236067977</v>
      </c>
      <c r="U349" s="15">
        <f t="shared" si="4"/>
        <v>0.1050486981</v>
      </c>
      <c r="V349" s="16">
        <f>IF(AND(L349="Among all respondents",NOT(OR(K349="Online poll in Telegram channel",K349="Website online poll",K349="CAWI (Computer Assisted Web Interviewing)"))),1/(1-MIN(MAX(Formula!$C$33+(YEAR(D349)-Formula!$C$34)/(Formula!$C$35-Formula!$C$34)*(Formula!$C$32-Formula!$C$33),Formula!$C$33),Formula!$C$32)),1)</f>
        <v>1</v>
      </c>
      <c r="W349" s="17">
        <f t="shared" si="5"/>
        <v>32.44</v>
      </c>
    </row>
    <row r="350" ht="15.75" customHeight="1">
      <c r="A350" s="8" t="s">
        <v>818</v>
      </c>
      <c r="B350" s="7" t="s">
        <v>814</v>
      </c>
      <c r="C350" s="13" t="s">
        <v>815</v>
      </c>
      <c r="D350" s="7" t="s">
        <v>79</v>
      </c>
      <c r="E350" s="8" t="s">
        <v>61</v>
      </c>
      <c r="F350" s="8" t="s">
        <v>318</v>
      </c>
      <c r="G350" s="7" t="s">
        <v>816</v>
      </c>
      <c r="H350" s="7" t="s">
        <v>817</v>
      </c>
      <c r="I350" s="8">
        <v>10842.0</v>
      </c>
      <c r="J350" s="8">
        <v>1.5</v>
      </c>
      <c r="K350" s="8" t="s">
        <v>467</v>
      </c>
      <c r="L350" s="8" t="s">
        <v>322</v>
      </c>
      <c r="M350" s="8" t="s">
        <v>323</v>
      </c>
      <c r="N350" s="8">
        <v>22.74</v>
      </c>
      <c r="O350" s="14">
        <f t="shared" si="1"/>
        <v>45292</v>
      </c>
      <c r="P350" s="15">
        <f>IFERROR(VLOOKUP(K350,Formula!$A$11:$B$20,2,FALSE),Formula!$C$26)</f>
        <v>1</v>
      </c>
      <c r="Q350" s="15">
        <f>IF(AND(ISNUMBER(J350),J350&gt;0),1/J350,IF(AND(ISNUMBER(I350),I350&gt;0),SQRT(MIN(I350,Formula!$C$27))/Formula!$C$24,1/Formula!$C$25))</f>
        <v>0.6666666667</v>
      </c>
      <c r="R350" s="15">
        <f t="shared" si="2"/>
        <v>0.6666666667</v>
      </c>
      <c r="S350" s="15">
        <f>IF(H350&lt;&gt;"",EXP(-Formula!$C$28*(EOMONTH(H350,0)-H350)),EXP(-Formula!$C$28*(EOMONTH(D350,0)-D350)))</f>
        <v>0.7046880897</v>
      </c>
      <c r="T350" s="15">
        <f t="shared" si="3"/>
        <v>0.2236067977</v>
      </c>
      <c r="U350" s="15">
        <f t="shared" si="4"/>
        <v>0.1050486981</v>
      </c>
      <c r="V350" s="16">
        <f>IF(AND(L350="Among all respondents",NOT(OR(K350="Online poll in Telegram channel",K350="Website online poll",K350="CAWI (Computer Assisted Web Interviewing)"))),1/(1-MIN(MAX(Formula!$C$33+(YEAR(D350)-Formula!$C$34)/(Formula!$C$35-Formula!$C$34)*(Formula!$C$32-Formula!$C$33),Formula!$C$33),Formula!$C$32)),1)</f>
        <v>1</v>
      </c>
      <c r="W350" s="17">
        <f t="shared" si="5"/>
        <v>22.74</v>
      </c>
    </row>
    <row r="351" ht="15.75" customHeight="1">
      <c r="A351" s="8" t="s">
        <v>819</v>
      </c>
      <c r="B351" s="7" t="s">
        <v>814</v>
      </c>
      <c r="C351" s="13" t="s">
        <v>815</v>
      </c>
      <c r="D351" s="7" t="s">
        <v>79</v>
      </c>
      <c r="E351" s="8" t="s">
        <v>61</v>
      </c>
      <c r="F351" s="8" t="s">
        <v>318</v>
      </c>
      <c r="G351" s="7" t="s">
        <v>816</v>
      </c>
      <c r="H351" s="7" t="s">
        <v>817</v>
      </c>
      <c r="I351" s="8">
        <v>10842.0</v>
      </c>
      <c r="J351" s="8">
        <v>1.5</v>
      </c>
      <c r="K351" s="8" t="s">
        <v>467</v>
      </c>
      <c r="L351" s="8" t="s">
        <v>322</v>
      </c>
      <c r="M351" s="8" t="s">
        <v>365</v>
      </c>
      <c r="N351" s="8">
        <v>13.05</v>
      </c>
      <c r="O351" s="14">
        <f t="shared" si="1"/>
        <v>45292</v>
      </c>
      <c r="P351" s="15">
        <f>IFERROR(VLOOKUP(K351,Formula!$A$11:$B$20,2,FALSE),Formula!$C$26)</f>
        <v>1</v>
      </c>
      <c r="Q351" s="15">
        <f>IF(AND(ISNUMBER(J351),J351&gt;0),1/J351,IF(AND(ISNUMBER(I351),I351&gt;0),SQRT(MIN(I351,Formula!$C$27))/Formula!$C$24,1/Formula!$C$25))</f>
        <v>0.6666666667</v>
      </c>
      <c r="R351" s="15">
        <f t="shared" si="2"/>
        <v>0.6666666667</v>
      </c>
      <c r="S351" s="15">
        <f>IF(H351&lt;&gt;"",EXP(-Formula!$C$28*(EOMONTH(H351,0)-H351)),EXP(-Formula!$C$28*(EOMONTH(D351,0)-D351)))</f>
        <v>0.7046880897</v>
      </c>
      <c r="T351" s="15">
        <f t="shared" si="3"/>
        <v>0.2236067977</v>
      </c>
      <c r="U351" s="15">
        <f t="shared" si="4"/>
        <v>0.1050486981</v>
      </c>
      <c r="V351" s="16">
        <f>IF(AND(L351="Among all respondents",NOT(OR(K351="Online poll in Telegram channel",K351="Website online poll",K351="CAWI (Computer Assisted Web Interviewing)"))),1/(1-MIN(MAX(Formula!$C$33+(YEAR(D351)-Formula!$C$34)/(Formula!$C$35-Formula!$C$34)*(Formula!$C$32-Formula!$C$33),Formula!$C$33),Formula!$C$32)),1)</f>
        <v>1</v>
      </c>
      <c r="W351" s="17">
        <f t="shared" si="5"/>
        <v>13.05</v>
      </c>
    </row>
    <row r="352" ht="15.75" customHeight="1">
      <c r="A352" s="8" t="s">
        <v>820</v>
      </c>
      <c r="B352" s="7" t="s">
        <v>814</v>
      </c>
      <c r="C352" s="13" t="s">
        <v>815</v>
      </c>
      <c r="D352" s="7" t="s">
        <v>79</v>
      </c>
      <c r="E352" s="8" t="s">
        <v>61</v>
      </c>
      <c r="F352" s="8" t="s">
        <v>318</v>
      </c>
      <c r="G352" s="7" t="s">
        <v>816</v>
      </c>
      <c r="H352" s="7" t="s">
        <v>817</v>
      </c>
      <c r="I352" s="8">
        <v>10842.0</v>
      </c>
      <c r="J352" s="8">
        <v>1.5</v>
      </c>
      <c r="K352" s="8" t="s">
        <v>467</v>
      </c>
      <c r="L352" s="8" t="s">
        <v>322</v>
      </c>
      <c r="M352" s="8" t="s">
        <v>329</v>
      </c>
      <c r="N352" s="8">
        <v>9.63</v>
      </c>
      <c r="O352" s="14">
        <f t="shared" si="1"/>
        <v>45292</v>
      </c>
      <c r="P352" s="15">
        <f>IFERROR(VLOOKUP(K352,Formula!$A$11:$B$20,2,FALSE),Formula!$C$26)</f>
        <v>1</v>
      </c>
      <c r="Q352" s="15">
        <f>IF(AND(ISNUMBER(J352),J352&gt;0),1/J352,IF(AND(ISNUMBER(I352),I352&gt;0),SQRT(MIN(I352,Formula!$C$27))/Formula!$C$24,1/Formula!$C$25))</f>
        <v>0.6666666667</v>
      </c>
      <c r="R352" s="15">
        <f t="shared" si="2"/>
        <v>0.6666666667</v>
      </c>
      <c r="S352" s="15">
        <f>IF(H352&lt;&gt;"",EXP(-Formula!$C$28*(EOMONTH(H352,0)-H352)),EXP(-Formula!$C$28*(EOMONTH(D352,0)-D352)))</f>
        <v>0.7046880897</v>
      </c>
      <c r="T352" s="15">
        <f t="shared" si="3"/>
        <v>0.2236067977</v>
      </c>
      <c r="U352" s="15">
        <f t="shared" si="4"/>
        <v>0.1050486981</v>
      </c>
      <c r="V352" s="16">
        <f>IF(AND(L352="Among all respondents",NOT(OR(K352="Online poll in Telegram channel",K352="Website online poll",K352="CAWI (Computer Assisted Web Interviewing)"))),1/(1-MIN(MAX(Formula!$C$33+(YEAR(D352)-Formula!$C$34)/(Formula!$C$35-Formula!$C$34)*(Formula!$C$32-Formula!$C$33),Formula!$C$33),Formula!$C$32)),1)</f>
        <v>1</v>
      </c>
      <c r="W352" s="17">
        <f t="shared" si="5"/>
        <v>9.63</v>
      </c>
    </row>
    <row r="353" ht="15.75" customHeight="1">
      <c r="A353" s="8" t="s">
        <v>821</v>
      </c>
      <c r="B353" s="7" t="s">
        <v>814</v>
      </c>
      <c r="C353" s="13" t="s">
        <v>815</v>
      </c>
      <c r="D353" s="7" t="s">
        <v>79</v>
      </c>
      <c r="E353" s="8" t="s">
        <v>61</v>
      </c>
      <c r="F353" s="8" t="s">
        <v>318</v>
      </c>
      <c r="G353" s="7" t="s">
        <v>816</v>
      </c>
      <c r="H353" s="7" t="s">
        <v>817</v>
      </c>
      <c r="I353" s="8">
        <v>10842.0</v>
      </c>
      <c r="J353" s="8">
        <v>1.5</v>
      </c>
      <c r="K353" s="8" t="s">
        <v>467</v>
      </c>
      <c r="L353" s="8" t="s">
        <v>322</v>
      </c>
      <c r="M353" s="8" t="s">
        <v>337</v>
      </c>
      <c r="N353" s="8">
        <v>7.42</v>
      </c>
      <c r="O353" s="14">
        <f t="shared" si="1"/>
        <v>45292</v>
      </c>
      <c r="P353" s="15">
        <f>IFERROR(VLOOKUP(K353,Formula!$A$11:$B$20,2,FALSE),Formula!$C$26)</f>
        <v>1</v>
      </c>
      <c r="Q353" s="15">
        <f>IF(AND(ISNUMBER(J353),J353&gt;0),1/J353,IF(AND(ISNUMBER(I353),I353&gt;0),SQRT(MIN(I353,Formula!$C$27))/Formula!$C$24,1/Formula!$C$25))</f>
        <v>0.6666666667</v>
      </c>
      <c r="R353" s="15">
        <f t="shared" si="2"/>
        <v>0.6666666667</v>
      </c>
      <c r="S353" s="15">
        <f>IF(H353&lt;&gt;"",EXP(-Formula!$C$28*(EOMONTH(H353,0)-H353)),EXP(-Formula!$C$28*(EOMONTH(D353,0)-D353)))</f>
        <v>0.7046880897</v>
      </c>
      <c r="T353" s="15">
        <f t="shared" si="3"/>
        <v>0.2236067977</v>
      </c>
      <c r="U353" s="15">
        <f t="shared" si="4"/>
        <v>0.1050486981</v>
      </c>
      <c r="V353" s="16">
        <f>IF(AND(L353="Among all respondents",NOT(OR(K353="Online poll in Telegram channel",K353="Website online poll",K353="CAWI (Computer Assisted Web Interviewing)"))),1/(1-MIN(MAX(Formula!$C$33+(YEAR(D353)-Formula!$C$34)/(Formula!$C$35-Formula!$C$34)*(Formula!$C$32-Formula!$C$33),Formula!$C$33),Formula!$C$32)),1)</f>
        <v>1</v>
      </c>
      <c r="W353" s="17">
        <f t="shared" si="5"/>
        <v>7.42</v>
      </c>
    </row>
    <row r="354" ht="15.75" customHeight="1">
      <c r="A354" s="8" t="s">
        <v>822</v>
      </c>
      <c r="B354" s="7" t="s">
        <v>814</v>
      </c>
      <c r="C354" s="13" t="s">
        <v>815</v>
      </c>
      <c r="D354" s="7" t="s">
        <v>79</v>
      </c>
      <c r="E354" s="8" t="s">
        <v>61</v>
      </c>
      <c r="F354" s="8" t="s">
        <v>318</v>
      </c>
      <c r="G354" s="7" t="s">
        <v>816</v>
      </c>
      <c r="H354" s="7" t="s">
        <v>817</v>
      </c>
      <c r="I354" s="8">
        <v>10842.0</v>
      </c>
      <c r="J354" s="8">
        <v>1.5</v>
      </c>
      <c r="K354" s="8" t="s">
        <v>467</v>
      </c>
      <c r="L354" s="8" t="s">
        <v>322</v>
      </c>
      <c r="M354" s="8" t="s">
        <v>339</v>
      </c>
      <c r="N354" s="8">
        <v>1.58</v>
      </c>
      <c r="O354" s="14">
        <f t="shared" si="1"/>
        <v>45292</v>
      </c>
      <c r="P354" s="15">
        <f>IFERROR(VLOOKUP(K354,Formula!$A$11:$B$20,2,FALSE),Formula!$C$26)</f>
        <v>1</v>
      </c>
      <c r="Q354" s="15">
        <f>IF(AND(ISNUMBER(J354),J354&gt;0),1/J354,IF(AND(ISNUMBER(I354),I354&gt;0),SQRT(MIN(I354,Formula!$C$27))/Formula!$C$24,1/Formula!$C$25))</f>
        <v>0.6666666667</v>
      </c>
      <c r="R354" s="15">
        <f t="shared" si="2"/>
        <v>0.6666666667</v>
      </c>
      <c r="S354" s="15">
        <f>IF(H354&lt;&gt;"",EXP(-Formula!$C$28*(EOMONTH(H354,0)-H354)),EXP(-Formula!$C$28*(EOMONTH(D354,0)-D354)))</f>
        <v>0.7046880897</v>
      </c>
      <c r="T354" s="15">
        <f t="shared" si="3"/>
        <v>0.2236067977</v>
      </c>
      <c r="U354" s="15">
        <f t="shared" si="4"/>
        <v>0.1050486981</v>
      </c>
      <c r="V354" s="16">
        <f>IF(AND(L354="Among all respondents",NOT(OR(K354="Online poll in Telegram channel",K354="Website online poll",K354="CAWI (Computer Assisted Web Interviewing)"))),1/(1-MIN(MAX(Formula!$C$33+(YEAR(D354)-Formula!$C$34)/(Formula!$C$35-Formula!$C$34)*(Formula!$C$32-Formula!$C$33),Formula!$C$33),Formula!$C$32)),1)</f>
        <v>1</v>
      </c>
      <c r="W354" s="17">
        <f t="shared" si="5"/>
        <v>1.58</v>
      </c>
    </row>
    <row r="355" ht="15.75" customHeight="1">
      <c r="A355" s="8" t="s">
        <v>823</v>
      </c>
      <c r="B355" s="7" t="s">
        <v>814</v>
      </c>
      <c r="C355" s="13" t="s">
        <v>815</v>
      </c>
      <c r="D355" s="7" t="s">
        <v>79</v>
      </c>
      <c r="E355" s="8" t="s">
        <v>61</v>
      </c>
      <c r="F355" s="8" t="s">
        <v>318</v>
      </c>
      <c r="G355" s="7" t="s">
        <v>816</v>
      </c>
      <c r="H355" s="7" t="s">
        <v>817</v>
      </c>
      <c r="I355" s="8">
        <v>10842.0</v>
      </c>
      <c r="J355" s="8">
        <v>1.5</v>
      </c>
      <c r="K355" s="8" t="s">
        <v>467</v>
      </c>
      <c r="L355" s="8" t="s">
        <v>322</v>
      </c>
      <c r="M355" s="8" t="s">
        <v>333</v>
      </c>
      <c r="N355" s="8">
        <v>1.51</v>
      </c>
      <c r="O355" s="14">
        <f t="shared" si="1"/>
        <v>45292</v>
      </c>
      <c r="P355" s="15">
        <f>IFERROR(VLOOKUP(K355,Formula!$A$11:$B$20,2,FALSE),Formula!$C$26)</f>
        <v>1</v>
      </c>
      <c r="Q355" s="15">
        <f>IF(AND(ISNUMBER(J355),J355&gt;0),1/J355,IF(AND(ISNUMBER(I355),I355&gt;0),SQRT(MIN(I355,Formula!$C$27))/Formula!$C$24,1/Formula!$C$25))</f>
        <v>0.6666666667</v>
      </c>
      <c r="R355" s="15">
        <f t="shared" si="2"/>
        <v>0.6666666667</v>
      </c>
      <c r="S355" s="15">
        <f>IF(H355&lt;&gt;"",EXP(-Formula!$C$28*(EOMONTH(H355,0)-H355)),EXP(-Formula!$C$28*(EOMONTH(D355,0)-D355)))</f>
        <v>0.7046880897</v>
      </c>
      <c r="T355" s="15">
        <f t="shared" si="3"/>
        <v>0.2236067977</v>
      </c>
      <c r="U355" s="15">
        <f t="shared" si="4"/>
        <v>0.1050486981</v>
      </c>
      <c r="V355" s="16">
        <f>IF(AND(L355="Among all respondents",NOT(OR(K355="Online poll in Telegram channel",K355="Website online poll",K355="CAWI (Computer Assisted Web Interviewing)"))),1/(1-MIN(MAX(Formula!$C$33+(YEAR(D355)-Formula!$C$34)/(Formula!$C$35-Formula!$C$34)*(Formula!$C$32-Formula!$C$33),Formula!$C$33),Formula!$C$32)),1)</f>
        <v>1</v>
      </c>
      <c r="W355" s="17">
        <f t="shared" si="5"/>
        <v>1.51</v>
      </c>
    </row>
    <row r="356" ht="15.75" customHeight="1">
      <c r="A356" s="8" t="s">
        <v>824</v>
      </c>
      <c r="B356" s="7" t="s">
        <v>814</v>
      </c>
      <c r="C356" s="13" t="s">
        <v>815</v>
      </c>
      <c r="D356" s="7" t="s">
        <v>79</v>
      </c>
      <c r="E356" s="8" t="s">
        <v>61</v>
      </c>
      <c r="F356" s="8" t="s">
        <v>318</v>
      </c>
      <c r="G356" s="7" t="s">
        <v>816</v>
      </c>
      <c r="H356" s="7" t="s">
        <v>817</v>
      </c>
      <c r="I356" s="8">
        <v>10842.0</v>
      </c>
      <c r="J356" s="8">
        <v>1.5</v>
      </c>
      <c r="K356" s="8" t="s">
        <v>467</v>
      </c>
      <c r="L356" s="8" t="s">
        <v>322</v>
      </c>
      <c r="M356" s="8" t="s">
        <v>343</v>
      </c>
      <c r="N356" s="8">
        <v>1.45</v>
      </c>
      <c r="O356" s="14">
        <f t="shared" si="1"/>
        <v>45292</v>
      </c>
      <c r="P356" s="15">
        <f>IFERROR(VLOOKUP(K356,Formula!$A$11:$B$20,2,FALSE),Formula!$C$26)</f>
        <v>1</v>
      </c>
      <c r="Q356" s="15">
        <f>IF(AND(ISNUMBER(J356),J356&gt;0),1/J356,IF(AND(ISNUMBER(I356),I356&gt;0),SQRT(MIN(I356,Formula!$C$27))/Formula!$C$24,1/Formula!$C$25))</f>
        <v>0.6666666667</v>
      </c>
      <c r="R356" s="15">
        <f t="shared" si="2"/>
        <v>0.6666666667</v>
      </c>
      <c r="S356" s="15">
        <f>IF(H356&lt;&gt;"",EXP(-Formula!$C$28*(EOMONTH(H356,0)-H356)),EXP(-Formula!$C$28*(EOMONTH(D356,0)-D356)))</f>
        <v>0.7046880897</v>
      </c>
      <c r="T356" s="15">
        <f t="shared" si="3"/>
        <v>0.2236067977</v>
      </c>
      <c r="U356" s="15">
        <f t="shared" si="4"/>
        <v>0.1050486981</v>
      </c>
      <c r="V356" s="16">
        <f>IF(AND(L356="Among all respondents",NOT(OR(K356="Online poll in Telegram channel",K356="Website online poll",K356="CAWI (Computer Assisted Web Interviewing)"))),1/(1-MIN(MAX(Formula!$C$33+(YEAR(D356)-Formula!$C$34)/(Formula!$C$35-Formula!$C$34)*(Formula!$C$32-Formula!$C$33),Formula!$C$33),Formula!$C$32)),1)</f>
        <v>1</v>
      </c>
      <c r="W356" s="17">
        <f t="shared" si="5"/>
        <v>1.45</v>
      </c>
    </row>
    <row r="357" ht="15.75" customHeight="1">
      <c r="A357" s="8" t="s">
        <v>825</v>
      </c>
      <c r="B357" s="7" t="s">
        <v>814</v>
      </c>
      <c r="C357" s="13" t="s">
        <v>815</v>
      </c>
      <c r="D357" s="7" t="s">
        <v>79</v>
      </c>
      <c r="E357" s="8" t="s">
        <v>61</v>
      </c>
      <c r="F357" s="8" t="s">
        <v>318</v>
      </c>
      <c r="G357" s="7" t="s">
        <v>816</v>
      </c>
      <c r="H357" s="7" t="s">
        <v>817</v>
      </c>
      <c r="I357" s="8">
        <v>10842.0</v>
      </c>
      <c r="J357" s="8">
        <v>1.5</v>
      </c>
      <c r="K357" s="8" t="s">
        <v>467</v>
      </c>
      <c r="L357" s="8" t="s">
        <v>322</v>
      </c>
      <c r="M357" s="8" t="s">
        <v>743</v>
      </c>
      <c r="N357" s="8">
        <v>0.43</v>
      </c>
      <c r="O357" s="14">
        <f t="shared" si="1"/>
        <v>45292</v>
      </c>
      <c r="P357" s="15">
        <f>IFERROR(VLOOKUP(K357,Formula!$A$11:$B$20,2,FALSE),Formula!$C$26)</f>
        <v>1</v>
      </c>
      <c r="Q357" s="15">
        <f>IF(AND(ISNUMBER(J357),J357&gt;0),1/J357,IF(AND(ISNUMBER(I357),I357&gt;0),SQRT(MIN(I357,Formula!$C$27))/Formula!$C$24,1/Formula!$C$25))</f>
        <v>0.6666666667</v>
      </c>
      <c r="R357" s="15">
        <f t="shared" si="2"/>
        <v>0.6666666667</v>
      </c>
      <c r="S357" s="15">
        <f>IF(H357&lt;&gt;"",EXP(-Formula!$C$28*(EOMONTH(H357,0)-H357)),EXP(-Formula!$C$28*(EOMONTH(D357,0)-D357)))</f>
        <v>0.7046880897</v>
      </c>
      <c r="T357" s="15">
        <f t="shared" si="3"/>
        <v>0.2236067977</v>
      </c>
      <c r="U357" s="15">
        <f t="shared" si="4"/>
        <v>0.1050486981</v>
      </c>
      <c r="V357" s="16">
        <f>IF(AND(L357="Among all respondents",NOT(OR(K357="Online poll in Telegram channel",K357="Website online poll",K357="CAWI (Computer Assisted Web Interviewing)"))),1/(1-MIN(MAX(Formula!$C$33+(YEAR(D357)-Formula!$C$34)/(Formula!$C$35-Formula!$C$34)*(Formula!$C$32-Formula!$C$33),Formula!$C$33),Formula!$C$32)),1)</f>
        <v>1</v>
      </c>
      <c r="W357" s="17">
        <f t="shared" si="5"/>
        <v>0.43</v>
      </c>
    </row>
    <row r="358" ht="15.75" customHeight="1">
      <c r="A358" s="8" t="s">
        <v>826</v>
      </c>
      <c r="B358" s="7" t="s">
        <v>814</v>
      </c>
      <c r="C358" s="13" t="s">
        <v>815</v>
      </c>
      <c r="D358" s="7" t="s">
        <v>79</v>
      </c>
      <c r="E358" s="8" t="s">
        <v>61</v>
      </c>
      <c r="F358" s="8" t="s">
        <v>318</v>
      </c>
      <c r="G358" s="7" t="s">
        <v>816</v>
      </c>
      <c r="H358" s="7" t="s">
        <v>817</v>
      </c>
      <c r="I358" s="8">
        <v>10842.0</v>
      </c>
      <c r="J358" s="8">
        <v>1.5</v>
      </c>
      <c r="K358" s="8" t="s">
        <v>467</v>
      </c>
      <c r="L358" s="8" t="s">
        <v>322</v>
      </c>
      <c r="M358" s="8" t="s">
        <v>362</v>
      </c>
      <c r="N358" s="8">
        <v>0.42</v>
      </c>
      <c r="O358" s="14">
        <f t="shared" si="1"/>
        <v>45292</v>
      </c>
      <c r="P358" s="15">
        <f>IFERROR(VLOOKUP(K358,Formula!$A$11:$B$20,2,FALSE),Formula!$C$26)</f>
        <v>1</v>
      </c>
      <c r="Q358" s="15">
        <f>IF(AND(ISNUMBER(J358),J358&gt;0),1/J358,IF(AND(ISNUMBER(I358),I358&gt;0),SQRT(MIN(I358,Formula!$C$27))/Formula!$C$24,1/Formula!$C$25))</f>
        <v>0.6666666667</v>
      </c>
      <c r="R358" s="15">
        <f t="shared" si="2"/>
        <v>0.6666666667</v>
      </c>
      <c r="S358" s="15">
        <f>IF(H358&lt;&gt;"",EXP(-Formula!$C$28*(EOMONTH(H358,0)-H358)),EXP(-Formula!$C$28*(EOMONTH(D358,0)-D358)))</f>
        <v>0.7046880897</v>
      </c>
      <c r="T358" s="15">
        <f t="shared" si="3"/>
        <v>0.2236067977</v>
      </c>
      <c r="U358" s="15">
        <f t="shared" si="4"/>
        <v>0.1050486981</v>
      </c>
      <c r="V358" s="16">
        <f>IF(AND(L358="Among all respondents",NOT(OR(K358="Online poll in Telegram channel",K358="Website online poll",K358="CAWI (Computer Assisted Web Interviewing)"))),1/(1-MIN(MAX(Formula!$C$33+(YEAR(D358)-Formula!$C$34)/(Formula!$C$35-Formula!$C$34)*(Formula!$C$32-Formula!$C$33),Formula!$C$33),Formula!$C$32)),1)</f>
        <v>1</v>
      </c>
      <c r="W358" s="17">
        <f t="shared" si="5"/>
        <v>0.42</v>
      </c>
    </row>
    <row r="359" ht="15.75" customHeight="1">
      <c r="A359" s="8" t="s">
        <v>827</v>
      </c>
      <c r="B359" s="7" t="s">
        <v>814</v>
      </c>
      <c r="C359" s="13" t="s">
        <v>815</v>
      </c>
      <c r="D359" s="7" t="s">
        <v>79</v>
      </c>
      <c r="E359" s="8" t="s">
        <v>61</v>
      </c>
      <c r="F359" s="8" t="s">
        <v>318</v>
      </c>
      <c r="G359" s="7" t="s">
        <v>816</v>
      </c>
      <c r="H359" s="7" t="s">
        <v>817</v>
      </c>
      <c r="I359" s="8">
        <v>10842.0</v>
      </c>
      <c r="J359" s="8">
        <v>1.5</v>
      </c>
      <c r="K359" s="8" t="s">
        <v>467</v>
      </c>
      <c r="L359" s="8" t="s">
        <v>322</v>
      </c>
      <c r="M359" s="8" t="s">
        <v>828</v>
      </c>
      <c r="N359" s="8">
        <v>0.25</v>
      </c>
      <c r="O359" s="14">
        <f t="shared" si="1"/>
        <v>45292</v>
      </c>
      <c r="P359" s="15">
        <f>IFERROR(VLOOKUP(K359,Formula!$A$11:$B$20,2,FALSE),Formula!$C$26)</f>
        <v>1</v>
      </c>
      <c r="Q359" s="15">
        <f>IF(AND(ISNUMBER(J359),J359&gt;0),1/J359,IF(AND(ISNUMBER(I359),I359&gt;0),SQRT(MIN(I359,Formula!$C$27))/Formula!$C$24,1/Formula!$C$25))</f>
        <v>0.6666666667</v>
      </c>
      <c r="R359" s="15">
        <f t="shared" si="2"/>
        <v>0.6666666667</v>
      </c>
      <c r="S359" s="15">
        <f>IF(H359&lt;&gt;"",EXP(-Formula!$C$28*(EOMONTH(H359,0)-H359)),EXP(-Formula!$C$28*(EOMONTH(D359,0)-D359)))</f>
        <v>0.7046880897</v>
      </c>
      <c r="T359" s="15">
        <f t="shared" si="3"/>
        <v>0.2236067977</v>
      </c>
      <c r="U359" s="15">
        <f t="shared" si="4"/>
        <v>0.1050486981</v>
      </c>
      <c r="V359" s="16">
        <f>IF(AND(L359="Among all respondents",NOT(OR(K359="Online poll in Telegram channel",K359="Website online poll",K359="CAWI (Computer Assisted Web Interviewing)"))),1/(1-MIN(MAX(Formula!$C$33+(YEAR(D359)-Formula!$C$34)/(Formula!$C$35-Formula!$C$34)*(Formula!$C$32-Formula!$C$33),Formula!$C$33),Formula!$C$32)),1)</f>
        <v>1</v>
      </c>
      <c r="W359" s="17">
        <f t="shared" si="5"/>
        <v>0.25</v>
      </c>
    </row>
    <row r="360" ht="15.75" customHeight="1">
      <c r="A360" s="8" t="s">
        <v>829</v>
      </c>
      <c r="B360" s="7" t="s">
        <v>814</v>
      </c>
      <c r="C360" s="13" t="s">
        <v>815</v>
      </c>
      <c r="D360" s="7" t="s">
        <v>79</v>
      </c>
      <c r="E360" s="8" t="s">
        <v>61</v>
      </c>
      <c r="F360" s="8" t="s">
        <v>318</v>
      </c>
      <c r="G360" s="7" t="s">
        <v>816</v>
      </c>
      <c r="H360" s="7" t="s">
        <v>817</v>
      </c>
      <c r="I360" s="8">
        <v>10842.0</v>
      </c>
      <c r="J360" s="8">
        <v>1.5</v>
      </c>
      <c r="K360" s="8" t="s">
        <v>467</v>
      </c>
      <c r="L360" s="8" t="s">
        <v>322</v>
      </c>
      <c r="M360" s="8" t="s">
        <v>388</v>
      </c>
      <c r="N360" s="8">
        <v>0.22</v>
      </c>
      <c r="O360" s="14">
        <f t="shared" si="1"/>
        <v>45292</v>
      </c>
      <c r="P360" s="15">
        <f>IFERROR(VLOOKUP(K360,Formula!$A$11:$B$20,2,FALSE),Formula!$C$26)</f>
        <v>1</v>
      </c>
      <c r="Q360" s="15">
        <f>IF(AND(ISNUMBER(J360),J360&gt;0),1/J360,IF(AND(ISNUMBER(I360),I360&gt;0),SQRT(MIN(I360,Formula!$C$27))/Formula!$C$24,1/Formula!$C$25))</f>
        <v>0.6666666667</v>
      </c>
      <c r="R360" s="15">
        <f t="shared" si="2"/>
        <v>0.6666666667</v>
      </c>
      <c r="S360" s="15">
        <f>IF(H360&lt;&gt;"",EXP(-Formula!$C$28*(EOMONTH(H360,0)-H360)),EXP(-Formula!$C$28*(EOMONTH(D360,0)-D360)))</f>
        <v>0.7046880897</v>
      </c>
      <c r="T360" s="15">
        <f t="shared" si="3"/>
        <v>0.2236067977</v>
      </c>
      <c r="U360" s="15">
        <f t="shared" si="4"/>
        <v>0.1050486981</v>
      </c>
      <c r="V360" s="16">
        <f>IF(AND(L360="Among all respondents",NOT(OR(K360="Online poll in Telegram channel",K360="Website online poll",K360="CAWI (Computer Assisted Web Interviewing)"))),1/(1-MIN(MAX(Formula!$C$33+(YEAR(D360)-Formula!$C$34)/(Formula!$C$35-Formula!$C$34)*(Formula!$C$32-Formula!$C$33),Formula!$C$33),Formula!$C$32)),1)</f>
        <v>1</v>
      </c>
      <c r="W360" s="17">
        <f t="shared" si="5"/>
        <v>0.22</v>
      </c>
    </row>
    <row r="361" ht="15.75" customHeight="1">
      <c r="A361" s="8" t="s">
        <v>830</v>
      </c>
      <c r="B361" s="7" t="s">
        <v>814</v>
      </c>
      <c r="C361" s="13" t="s">
        <v>815</v>
      </c>
      <c r="D361" s="7" t="s">
        <v>79</v>
      </c>
      <c r="E361" s="8" t="s">
        <v>61</v>
      </c>
      <c r="F361" s="8" t="s">
        <v>318</v>
      </c>
      <c r="G361" s="7" t="s">
        <v>816</v>
      </c>
      <c r="H361" s="7" t="s">
        <v>817</v>
      </c>
      <c r="I361" s="8">
        <v>10842.0</v>
      </c>
      <c r="J361" s="8">
        <v>1.5</v>
      </c>
      <c r="K361" s="8" t="s">
        <v>467</v>
      </c>
      <c r="L361" s="8" t="s">
        <v>322</v>
      </c>
      <c r="M361" s="8" t="s">
        <v>327</v>
      </c>
      <c r="N361" s="8">
        <v>0.22</v>
      </c>
      <c r="O361" s="14">
        <f t="shared" si="1"/>
        <v>45292</v>
      </c>
      <c r="P361" s="15">
        <f>IFERROR(VLOOKUP(K361,Formula!$A$11:$B$20,2,FALSE),Formula!$C$26)</f>
        <v>1</v>
      </c>
      <c r="Q361" s="15">
        <f>IF(AND(ISNUMBER(J361),J361&gt;0),1/J361,IF(AND(ISNUMBER(I361),I361&gt;0),SQRT(MIN(I361,Formula!$C$27))/Formula!$C$24,1/Formula!$C$25))</f>
        <v>0.6666666667</v>
      </c>
      <c r="R361" s="15">
        <f t="shared" si="2"/>
        <v>0.6666666667</v>
      </c>
      <c r="S361" s="15">
        <f>IF(H361&lt;&gt;"",EXP(-Formula!$C$28*(EOMONTH(H361,0)-H361)),EXP(-Formula!$C$28*(EOMONTH(D361,0)-D361)))</f>
        <v>0.7046880897</v>
      </c>
      <c r="T361" s="15">
        <f t="shared" si="3"/>
        <v>0.2236067977</v>
      </c>
      <c r="U361" s="15">
        <f t="shared" si="4"/>
        <v>0.1050486981</v>
      </c>
      <c r="V361" s="16">
        <f>IF(AND(L361="Among all respondents",NOT(OR(K361="Online poll in Telegram channel",K361="Website online poll",K361="CAWI (Computer Assisted Web Interviewing)"))),1/(1-MIN(MAX(Formula!$C$33+(YEAR(D361)-Formula!$C$34)/(Formula!$C$35-Formula!$C$34)*(Formula!$C$32-Formula!$C$33),Formula!$C$33),Formula!$C$32)),1)</f>
        <v>1</v>
      </c>
      <c r="W361" s="17">
        <f t="shared" si="5"/>
        <v>0.22</v>
      </c>
    </row>
    <row r="362" ht="15.75" customHeight="1">
      <c r="A362" s="8" t="s">
        <v>831</v>
      </c>
      <c r="B362" s="7" t="s">
        <v>814</v>
      </c>
      <c r="C362" s="13" t="s">
        <v>815</v>
      </c>
      <c r="D362" s="7" t="s">
        <v>79</v>
      </c>
      <c r="E362" s="8" t="s">
        <v>61</v>
      </c>
      <c r="F362" s="8" t="s">
        <v>318</v>
      </c>
      <c r="G362" s="7" t="s">
        <v>816</v>
      </c>
      <c r="H362" s="7" t="s">
        <v>817</v>
      </c>
      <c r="I362" s="8">
        <v>10842.0</v>
      </c>
      <c r="J362" s="8">
        <v>1.5</v>
      </c>
      <c r="K362" s="8" t="s">
        <v>467</v>
      </c>
      <c r="L362" s="8" t="s">
        <v>322</v>
      </c>
      <c r="M362" s="8" t="s">
        <v>740</v>
      </c>
      <c r="N362" s="8">
        <v>0.15</v>
      </c>
      <c r="O362" s="14">
        <f t="shared" si="1"/>
        <v>45292</v>
      </c>
      <c r="P362" s="15">
        <f>IFERROR(VLOOKUP(K362,Formula!$A$11:$B$20,2,FALSE),Formula!$C$26)</f>
        <v>1</v>
      </c>
      <c r="Q362" s="15">
        <f>IF(AND(ISNUMBER(J362),J362&gt;0),1/J362,IF(AND(ISNUMBER(I362),I362&gt;0),SQRT(MIN(I362,Formula!$C$27))/Formula!$C$24,1/Formula!$C$25))</f>
        <v>0.6666666667</v>
      </c>
      <c r="R362" s="15">
        <f t="shared" si="2"/>
        <v>0.6666666667</v>
      </c>
      <c r="S362" s="15">
        <f>IF(H362&lt;&gt;"",EXP(-Formula!$C$28*(EOMONTH(H362,0)-H362)),EXP(-Formula!$C$28*(EOMONTH(D362,0)-D362)))</f>
        <v>0.7046880897</v>
      </c>
      <c r="T362" s="15">
        <f t="shared" si="3"/>
        <v>0.2236067977</v>
      </c>
      <c r="U362" s="15">
        <f t="shared" si="4"/>
        <v>0.1050486981</v>
      </c>
      <c r="V362" s="16">
        <f>IF(AND(L362="Among all respondents",NOT(OR(K362="Online poll in Telegram channel",K362="Website online poll",K362="CAWI (Computer Assisted Web Interviewing)"))),1/(1-MIN(MAX(Formula!$C$33+(YEAR(D362)-Formula!$C$34)/(Formula!$C$35-Formula!$C$34)*(Formula!$C$32-Formula!$C$33),Formula!$C$33),Formula!$C$32)),1)</f>
        <v>1</v>
      </c>
      <c r="W362" s="17">
        <f t="shared" si="5"/>
        <v>0.15</v>
      </c>
    </row>
    <row r="363" ht="15.75" customHeight="1">
      <c r="A363" s="8" t="s">
        <v>832</v>
      </c>
      <c r="B363" s="7" t="s">
        <v>814</v>
      </c>
      <c r="C363" s="13" t="s">
        <v>815</v>
      </c>
      <c r="D363" s="7" t="s">
        <v>79</v>
      </c>
      <c r="E363" s="8" t="s">
        <v>61</v>
      </c>
      <c r="F363" s="8" t="s">
        <v>318</v>
      </c>
      <c r="G363" s="7" t="s">
        <v>816</v>
      </c>
      <c r="H363" s="7" t="s">
        <v>817</v>
      </c>
      <c r="I363" s="8">
        <v>10842.0</v>
      </c>
      <c r="J363" s="8">
        <v>1.5</v>
      </c>
      <c r="K363" s="8" t="s">
        <v>467</v>
      </c>
      <c r="L363" s="8" t="s">
        <v>322</v>
      </c>
      <c r="M363" s="8" t="s">
        <v>833</v>
      </c>
      <c r="N363" s="8">
        <v>0.13</v>
      </c>
      <c r="O363" s="14">
        <f t="shared" si="1"/>
        <v>45292</v>
      </c>
      <c r="P363" s="15">
        <f>IFERROR(VLOOKUP(K363,Formula!$A$11:$B$20,2,FALSE),Formula!$C$26)</f>
        <v>1</v>
      </c>
      <c r="Q363" s="15">
        <f>IF(AND(ISNUMBER(J363),J363&gt;0),1/J363,IF(AND(ISNUMBER(I363),I363&gt;0),SQRT(MIN(I363,Formula!$C$27))/Formula!$C$24,1/Formula!$C$25))</f>
        <v>0.6666666667</v>
      </c>
      <c r="R363" s="15">
        <f t="shared" si="2"/>
        <v>0.6666666667</v>
      </c>
      <c r="S363" s="15">
        <f>IF(H363&lt;&gt;"",EXP(-Formula!$C$28*(EOMONTH(H363,0)-H363)),EXP(-Formula!$C$28*(EOMONTH(D363,0)-D363)))</f>
        <v>0.7046880897</v>
      </c>
      <c r="T363" s="15">
        <f t="shared" si="3"/>
        <v>0.2236067977</v>
      </c>
      <c r="U363" s="15">
        <f t="shared" si="4"/>
        <v>0.1050486981</v>
      </c>
      <c r="V363" s="16">
        <f>IF(AND(L363="Among all respondents",NOT(OR(K363="Online poll in Telegram channel",K363="Website online poll",K363="CAWI (Computer Assisted Web Interviewing)"))),1/(1-MIN(MAX(Formula!$C$33+(YEAR(D363)-Formula!$C$34)/(Formula!$C$35-Formula!$C$34)*(Formula!$C$32-Formula!$C$33),Formula!$C$33),Formula!$C$32)),1)</f>
        <v>1</v>
      </c>
      <c r="W363" s="17">
        <f t="shared" si="5"/>
        <v>0.13</v>
      </c>
    </row>
    <row r="364" ht="15.75" customHeight="1">
      <c r="A364" s="8" t="s">
        <v>834</v>
      </c>
      <c r="B364" s="7" t="s">
        <v>814</v>
      </c>
      <c r="C364" s="13" t="s">
        <v>815</v>
      </c>
      <c r="D364" s="7" t="s">
        <v>79</v>
      </c>
      <c r="E364" s="8" t="s">
        <v>61</v>
      </c>
      <c r="F364" s="8" t="s">
        <v>318</v>
      </c>
      <c r="G364" s="7" t="s">
        <v>816</v>
      </c>
      <c r="H364" s="7" t="s">
        <v>817</v>
      </c>
      <c r="I364" s="8">
        <v>10842.0</v>
      </c>
      <c r="J364" s="8">
        <v>1.5</v>
      </c>
      <c r="K364" s="8" t="s">
        <v>467</v>
      </c>
      <c r="L364" s="8" t="s">
        <v>322</v>
      </c>
      <c r="M364" s="8" t="s">
        <v>386</v>
      </c>
      <c r="N364" s="8">
        <v>0.12</v>
      </c>
      <c r="O364" s="14">
        <f t="shared" si="1"/>
        <v>45292</v>
      </c>
      <c r="P364" s="15">
        <f>IFERROR(VLOOKUP(K364,Formula!$A$11:$B$20,2,FALSE),Formula!$C$26)</f>
        <v>1</v>
      </c>
      <c r="Q364" s="15">
        <f>IF(AND(ISNUMBER(J364),J364&gt;0),1/J364,IF(AND(ISNUMBER(I364),I364&gt;0),SQRT(MIN(I364,Formula!$C$27))/Formula!$C$24,1/Formula!$C$25))</f>
        <v>0.6666666667</v>
      </c>
      <c r="R364" s="15">
        <f t="shared" si="2"/>
        <v>0.6666666667</v>
      </c>
      <c r="S364" s="15">
        <f>IF(H364&lt;&gt;"",EXP(-Formula!$C$28*(EOMONTH(H364,0)-H364)),EXP(-Formula!$C$28*(EOMONTH(D364,0)-D364)))</f>
        <v>0.7046880897</v>
      </c>
      <c r="T364" s="15">
        <f t="shared" si="3"/>
        <v>0.2236067977</v>
      </c>
      <c r="U364" s="15">
        <f t="shared" si="4"/>
        <v>0.1050486981</v>
      </c>
      <c r="V364" s="16">
        <f>IF(AND(L364="Among all respondents",NOT(OR(K364="Online poll in Telegram channel",K364="Website online poll",K364="CAWI (Computer Assisted Web Interviewing)"))),1/(1-MIN(MAX(Formula!$C$33+(YEAR(D364)-Formula!$C$34)/(Formula!$C$35-Formula!$C$34)*(Formula!$C$32-Formula!$C$33),Formula!$C$33),Formula!$C$32)),1)</f>
        <v>1</v>
      </c>
      <c r="W364" s="17">
        <f t="shared" si="5"/>
        <v>0.12</v>
      </c>
    </row>
    <row r="365" ht="15.75" customHeight="1">
      <c r="A365" s="8" t="s">
        <v>835</v>
      </c>
      <c r="B365" s="7" t="s">
        <v>814</v>
      </c>
      <c r="C365" s="13" t="s">
        <v>815</v>
      </c>
      <c r="D365" s="7" t="s">
        <v>79</v>
      </c>
      <c r="E365" s="8" t="s">
        <v>61</v>
      </c>
      <c r="F365" s="8" t="s">
        <v>318</v>
      </c>
      <c r="G365" s="7" t="s">
        <v>816</v>
      </c>
      <c r="H365" s="7" t="s">
        <v>817</v>
      </c>
      <c r="I365" s="8">
        <v>10842.0</v>
      </c>
      <c r="J365" s="8">
        <v>1.5</v>
      </c>
      <c r="K365" s="8" t="s">
        <v>467</v>
      </c>
      <c r="L365" s="8" t="s">
        <v>322</v>
      </c>
      <c r="M365" s="8" t="s">
        <v>836</v>
      </c>
      <c r="N365" s="8">
        <v>0.1</v>
      </c>
      <c r="O365" s="14">
        <f t="shared" si="1"/>
        <v>45292</v>
      </c>
      <c r="P365" s="15">
        <f>IFERROR(VLOOKUP(K365,Formula!$A$11:$B$20,2,FALSE),Formula!$C$26)</f>
        <v>1</v>
      </c>
      <c r="Q365" s="15">
        <f>IF(AND(ISNUMBER(J365),J365&gt;0),1/J365,IF(AND(ISNUMBER(I365),I365&gt;0),SQRT(MIN(I365,Formula!$C$27))/Formula!$C$24,1/Formula!$C$25))</f>
        <v>0.6666666667</v>
      </c>
      <c r="R365" s="15">
        <f t="shared" si="2"/>
        <v>0.6666666667</v>
      </c>
      <c r="S365" s="15">
        <f>IF(H365&lt;&gt;"",EXP(-Formula!$C$28*(EOMONTH(H365,0)-H365)),EXP(-Formula!$C$28*(EOMONTH(D365,0)-D365)))</f>
        <v>0.7046880897</v>
      </c>
      <c r="T365" s="15">
        <f t="shared" si="3"/>
        <v>0.2236067977</v>
      </c>
      <c r="U365" s="15">
        <f t="shared" si="4"/>
        <v>0.1050486981</v>
      </c>
      <c r="V365" s="16">
        <f>IF(AND(L365="Among all respondents",NOT(OR(K365="Online poll in Telegram channel",K365="Website online poll",K365="CAWI (Computer Assisted Web Interviewing)"))),1/(1-MIN(MAX(Formula!$C$33+(YEAR(D365)-Formula!$C$34)/(Formula!$C$35-Formula!$C$34)*(Formula!$C$32-Formula!$C$33),Formula!$C$33),Formula!$C$32)),1)</f>
        <v>1</v>
      </c>
      <c r="W365" s="17">
        <f t="shared" si="5"/>
        <v>0.1</v>
      </c>
    </row>
    <row r="366" ht="15.75" customHeight="1">
      <c r="A366" s="8" t="s">
        <v>837</v>
      </c>
      <c r="B366" s="7" t="s">
        <v>814</v>
      </c>
      <c r="C366" s="13" t="s">
        <v>815</v>
      </c>
      <c r="D366" s="7" t="s">
        <v>79</v>
      </c>
      <c r="E366" s="8" t="s">
        <v>61</v>
      </c>
      <c r="F366" s="8" t="s">
        <v>318</v>
      </c>
      <c r="G366" s="7" t="s">
        <v>816</v>
      </c>
      <c r="H366" s="7" t="s">
        <v>817</v>
      </c>
      <c r="I366" s="8">
        <v>10842.0</v>
      </c>
      <c r="J366" s="8">
        <v>1.5</v>
      </c>
      <c r="K366" s="8" t="s">
        <v>467</v>
      </c>
      <c r="L366" s="8" t="s">
        <v>322</v>
      </c>
      <c r="M366" s="8" t="s">
        <v>838</v>
      </c>
      <c r="N366" s="8">
        <v>0.04</v>
      </c>
      <c r="O366" s="14">
        <f t="shared" si="1"/>
        <v>45292</v>
      </c>
      <c r="P366" s="15">
        <f>IFERROR(VLOOKUP(K366,Formula!$A$11:$B$20,2,FALSE),Formula!$C$26)</f>
        <v>1</v>
      </c>
      <c r="Q366" s="15">
        <f>IF(AND(ISNUMBER(J366),J366&gt;0),1/J366,IF(AND(ISNUMBER(I366),I366&gt;0),SQRT(MIN(I366,Formula!$C$27))/Formula!$C$24,1/Formula!$C$25))</f>
        <v>0.6666666667</v>
      </c>
      <c r="R366" s="15">
        <f t="shared" si="2"/>
        <v>0.6666666667</v>
      </c>
      <c r="S366" s="15">
        <f>IF(H366&lt;&gt;"",EXP(-Formula!$C$28*(EOMONTH(H366,0)-H366)),EXP(-Formula!$C$28*(EOMONTH(D366,0)-D366)))</f>
        <v>0.7046880897</v>
      </c>
      <c r="T366" s="15">
        <f t="shared" si="3"/>
        <v>0.2236067977</v>
      </c>
      <c r="U366" s="15">
        <f t="shared" si="4"/>
        <v>0.1050486981</v>
      </c>
      <c r="V366" s="16">
        <f>IF(AND(L366="Among all respondents",NOT(OR(K366="Online poll in Telegram channel",K366="Website online poll",K366="CAWI (Computer Assisted Web Interviewing)"))),1/(1-MIN(MAX(Formula!$C$33+(YEAR(D366)-Formula!$C$34)/(Formula!$C$35-Formula!$C$34)*(Formula!$C$32-Formula!$C$33),Formula!$C$33),Formula!$C$32)),1)</f>
        <v>1</v>
      </c>
      <c r="W366" s="17">
        <f t="shared" si="5"/>
        <v>0.04</v>
      </c>
    </row>
    <row r="367" ht="15.75" customHeight="1">
      <c r="A367" s="8" t="s">
        <v>839</v>
      </c>
      <c r="B367" s="7" t="s">
        <v>814</v>
      </c>
      <c r="C367" s="13" t="s">
        <v>815</v>
      </c>
      <c r="D367" s="7" t="s">
        <v>79</v>
      </c>
      <c r="E367" s="8" t="s">
        <v>61</v>
      </c>
      <c r="F367" s="8" t="s">
        <v>318</v>
      </c>
      <c r="G367" s="7" t="s">
        <v>816</v>
      </c>
      <c r="H367" s="7" t="s">
        <v>817</v>
      </c>
      <c r="I367" s="8">
        <v>10842.0</v>
      </c>
      <c r="J367" s="8">
        <v>1.5</v>
      </c>
      <c r="K367" s="8" t="s">
        <v>467</v>
      </c>
      <c r="L367" s="8" t="s">
        <v>322</v>
      </c>
      <c r="M367" s="8" t="s">
        <v>840</v>
      </c>
      <c r="N367" s="8">
        <v>0.03</v>
      </c>
      <c r="O367" s="14">
        <f t="shared" si="1"/>
        <v>45292</v>
      </c>
      <c r="P367" s="15">
        <f>IFERROR(VLOOKUP(K367,Formula!$A$11:$B$20,2,FALSE),Formula!$C$26)</f>
        <v>1</v>
      </c>
      <c r="Q367" s="15">
        <f>IF(AND(ISNUMBER(J367),J367&gt;0),1/J367,IF(AND(ISNUMBER(I367),I367&gt;0),SQRT(MIN(I367,Formula!$C$27))/Formula!$C$24,1/Formula!$C$25))</f>
        <v>0.6666666667</v>
      </c>
      <c r="R367" s="15">
        <f t="shared" si="2"/>
        <v>0.6666666667</v>
      </c>
      <c r="S367" s="15">
        <f>IF(H367&lt;&gt;"",EXP(-Formula!$C$28*(EOMONTH(H367,0)-H367)),EXP(-Formula!$C$28*(EOMONTH(D367,0)-D367)))</f>
        <v>0.7046880897</v>
      </c>
      <c r="T367" s="15">
        <f t="shared" si="3"/>
        <v>0.2236067977</v>
      </c>
      <c r="U367" s="15">
        <f t="shared" si="4"/>
        <v>0.1050486981</v>
      </c>
      <c r="V367" s="16">
        <f>IF(AND(L367="Among all respondents",NOT(OR(K367="Online poll in Telegram channel",K367="Website online poll",K367="CAWI (Computer Assisted Web Interviewing)"))),1/(1-MIN(MAX(Formula!$C$33+(YEAR(D367)-Formula!$C$34)/(Formula!$C$35-Formula!$C$34)*(Formula!$C$32-Formula!$C$33),Formula!$C$33),Formula!$C$32)),1)</f>
        <v>1</v>
      </c>
      <c r="W367" s="17">
        <f t="shared" si="5"/>
        <v>0.03</v>
      </c>
    </row>
    <row r="368" ht="15.75" customHeight="1">
      <c r="A368" s="8" t="s">
        <v>841</v>
      </c>
      <c r="B368" s="7" t="s">
        <v>814</v>
      </c>
      <c r="C368" s="13" t="s">
        <v>815</v>
      </c>
      <c r="D368" s="7" t="s">
        <v>79</v>
      </c>
      <c r="E368" s="8" t="s">
        <v>61</v>
      </c>
      <c r="F368" s="8" t="s">
        <v>318</v>
      </c>
      <c r="G368" s="7" t="s">
        <v>816</v>
      </c>
      <c r="H368" s="7" t="s">
        <v>817</v>
      </c>
      <c r="I368" s="8">
        <v>10842.0</v>
      </c>
      <c r="J368" s="8">
        <v>1.5</v>
      </c>
      <c r="K368" s="8" t="s">
        <v>467</v>
      </c>
      <c r="L368" s="8" t="s">
        <v>322</v>
      </c>
      <c r="M368" s="8" t="s">
        <v>335</v>
      </c>
      <c r="N368" s="8">
        <v>0.01</v>
      </c>
      <c r="O368" s="14">
        <f t="shared" si="1"/>
        <v>45292</v>
      </c>
      <c r="P368" s="15">
        <f>IFERROR(VLOOKUP(K368,Formula!$A$11:$B$20,2,FALSE),Formula!$C$26)</f>
        <v>1</v>
      </c>
      <c r="Q368" s="15">
        <f>IF(AND(ISNUMBER(J368),J368&gt;0),1/J368,IF(AND(ISNUMBER(I368),I368&gt;0),SQRT(MIN(I368,Formula!$C$27))/Formula!$C$24,1/Formula!$C$25))</f>
        <v>0.6666666667</v>
      </c>
      <c r="R368" s="15">
        <f t="shared" si="2"/>
        <v>0.6666666667</v>
      </c>
      <c r="S368" s="15">
        <f>IF(H368&lt;&gt;"",EXP(-Formula!$C$28*(EOMONTH(H368,0)-H368)),EXP(-Formula!$C$28*(EOMONTH(D368,0)-D368)))</f>
        <v>0.7046880897</v>
      </c>
      <c r="T368" s="15">
        <f t="shared" si="3"/>
        <v>0.2236067977</v>
      </c>
      <c r="U368" s="15">
        <f t="shared" si="4"/>
        <v>0.1050486981</v>
      </c>
      <c r="V368" s="16">
        <f>IF(AND(L368="Among all respondents",NOT(OR(K368="Online poll in Telegram channel",K368="Website online poll",K368="CAWI (Computer Assisted Web Interviewing)"))),1/(1-MIN(MAX(Formula!$C$33+(YEAR(D368)-Formula!$C$34)/(Formula!$C$35-Formula!$C$34)*(Formula!$C$32-Formula!$C$33),Formula!$C$33),Formula!$C$32)),1)</f>
        <v>1</v>
      </c>
      <c r="W368" s="17">
        <f t="shared" si="5"/>
        <v>0.01</v>
      </c>
    </row>
    <row r="369" ht="15.75" customHeight="1">
      <c r="A369" s="8" t="s">
        <v>842</v>
      </c>
      <c r="B369" s="7" t="s">
        <v>843</v>
      </c>
      <c r="C369" s="13" t="s">
        <v>844</v>
      </c>
      <c r="D369" s="7" t="s">
        <v>81</v>
      </c>
      <c r="E369" s="8" t="s">
        <v>30</v>
      </c>
      <c r="F369" s="8" t="s">
        <v>318</v>
      </c>
      <c r="G369" s="7" t="s">
        <v>845</v>
      </c>
      <c r="H369" s="7" t="s">
        <v>846</v>
      </c>
      <c r="I369" s="8">
        <v>1200.0</v>
      </c>
      <c r="J369" s="8">
        <v>2.9</v>
      </c>
      <c r="K369" s="8" t="s">
        <v>351</v>
      </c>
      <c r="L369" s="8" t="s">
        <v>322</v>
      </c>
      <c r="M369" s="8" t="s">
        <v>323</v>
      </c>
      <c r="N369" s="8">
        <v>53.7</v>
      </c>
      <c r="O369" s="14">
        <f t="shared" si="1"/>
        <v>45261</v>
      </c>
      <c r="P369" s="15">
        <f>IFERROR(VLOOKUP(K369,Formula!$A$11:$B$20,2,FALSE),Formula!$C$26)</f>
        <v>0.6</v>
      </c>
      <c r="Q369" s="15">
        <f>IF(AND(ISNUMBER(J369),J369&gt;0),1/J369,IF(AND(ISNUMBER(I369),I369&gt;0),SQRT(MIN(I369,Formula!$C$27))/Formula!$C$24,1/Formula!$C$25))</f>
        <v>0.3448275862</v>
      </c>
      <c r="R369" s="15">
        <f t="shared" si="2"/>
        <v>0.2068965517</v>
      </c>
      <c r="S369" s="15">
        <f>IF(H369&lt;&gt;"",EXP(-Formula!$C$28*(EOMONTH(H369,0)-H369)),EXP(-Formula!$C$28*(EOMONTH(D369,0)-D369)))</f>
        <v>0.904837418</v>
      </c>
      <c r="T369" s="15">
        <f t="shared" si="3"/>
        <v>0.2886751346</v>
      </c>
      <c r="U369" s="15">
        <f t="shared" si="4"/>
        <v>0.05404222002</v>
      </c>
      <c r="V369" s="16">
        <f>IF(AND(L369="Among all respondents",NOT(OR(K369="Online poll in Telegram channel",K369="Website online poll",K369="CAWI (Computer Assisted Web Interviewing)"))),1/(1-MIN(MAX(Formula!$C$33+(YEAR(D369)-Formula!$C$34)/(Formula!$C$35-Formula!$C$34)*(Formula!$C$32-Formula!$C$33),Formula!$C$33),Formula!$C$32)),1)</f>
        <v>1</v>
      </c>
      <c r="W369" s="17">
        <f t="shared" si="5"/>
        <v>53.7</v>
      </c>
    </row>
    <row r="370" ht="15.75" customHeight="1">
      <c r="A370" s="8" t="s">
        <v>847</v>
      </c>
      <c r="B370" s="7" t="s">
        <v>843</v>
      </c>
      <c r="C370" s="13" t="s">
        <v>844</v>
      </c>
      <c r="D370" s="7" t="s">
        <v>81</v>
      </c>
      <c r="E370" s="8" t="s">
        <v>30</v>
      </c>
      <c r="F370" s="8" t="s">
        <v>318</v>
      </c>
      <c r="G370" s="7" t="s">
        <v>845</v>
      </c>
      <c r="H370" s="7" t="s">
        <v>846</v>
      </c>
      <c r="I370" s="8">
        <v>1200.0</v>
      </c>
      <c r="J370" s="8">
        <v>2.9</v>
      </c>
      <c r="K370" s="8" t="s">
        <v>351</v>
      </c>
      <c r="L370" s="8" t="s">
        <v>322</v>
      </c>
      <c r="M370" s="8" t="s">
        <v>325</v>
      </c>
      <c r="N370" s="8">
        <v>17.1</v>
      </c>
      <c r="O370" s="14">
        <f t="shared" si="1"/>
        <v>45261</v>
      </c>
      <c r="P370" s="15">
        <f>IFERROR(VLOOKUP(K370,Formula!$A$11:$B$20,2,FALSE),Formula!$C$26)</f>
        <v>0.6</v>
      </c>
      <c r="Q370" s="15">
        <f>IF(AND(ISNUMBER(J370),J370&gt;0),1/J370,IF(AND(ISNUMBER(I370),I370&gt;0),SQRT(MIN(I370,Formula!$C$27))/Formula!$C$24,1/Formula!$C$25))</f>
        <v>0.3448275862</v>
      </c>
      <c r="R370" s="15">
        <f t="shared" si="2"/>
        <v>0.2068965517</v>
      </c>
      <c r="S370" s="15">
        <f>IF(H370&lt;&gt;"",EXP(-Formula!$C$28*(EOMONTH(H370,0)-H370)),EXP(-Formula!$C$28*(EOMONTH(D370,0)-D370)))</f>
        <v>0.904837418</v>
      </c>
      <c r="T370" s="15">
        <f t="shared" si="3"/>
        <v>0.2886751346</v>
      </c>
      <c r="U370" s="15">
        <f t="shared" si="4"/>
        <v>0.05404222002</v>
      </c>
      <c r="V370" s="16">
        <f>IF(AND(L370="Among all respondents",NOT(OR(K370="Online poll in Telegram channel",K370="Website online poll",K370="CAWI (Computer Assisted Web Interviewing)"))),1/(1-MIN(MAX(Formula!$C$33+(YEAR(D370)-Formula!$C$34)/(Formula!$C$35-Formula!$C$34)*(Formula!$C$32-Formula!$C$33),Formula!$C$33),Formula!$C$32)),1)</f>
        <v>1</v>
      </c>
      <c r="W370" s="17">
        <f t="shared" si="5"/>
        <v>17.1</v>
      </c>
    </row>
    <row r="371" ht="15.75" customHeight="1">
      <c r="A371" s="8" t="s">
        <v>848</v>
      </c>
      <c r="B371" s="7" t="s">
        <v>843</v>
      </c>
      <c r="C371" s="13" t="s">
        <v>844</v>
      </c>
      <c r="D371" s="7" t="s">
        <v>81</v>
      </c>
      <c r="E371" s="8" t="s">
        <v>30</v>
      </c>
      <c r="F371" s="8" t="s">
        <v>318</v>
      </c>
      <c r="G371" s="7" t="s">
        <v>845</v>
      </c>
      <c r="H371" s="7" t="s">
        <v>846</v>
      </c>
      <c r="I371" s="8">
        <v>1200.0</v>
      </c>
      <c r="J371" s="8">
        <v>2.9</v>
      </c>
      <c r="K371" s="8" t="s">
        <v>351</v>
      </c>
      <c r="L371" s="8" t="s">
        <v>322</v>
      </c>
      <c r="M371" s="8" t="s">
        <v>329</v>
      </c>
      <c r="N371" s="8">
        <v>7.4</v>
      </c>
      <c r="O371" s="14">
        <f t="shared" si="1"/>
        <v>45261</v>
      </c>
      <c r="P371" s="15">
        <f>IFERROR(VLOOKUP(K371,Formula!$A$11:$B$20,2,FALSE),Formula!$C$26)</f>
        <v>0.6</v>
      </c>
      <c r="Q371" s="15">
        <f>IF(AND(ISNUMBER(J371),J371&gt;0),1/J371,IF(AND(ISNUMBER(I371),I371&gt;0),SQRT(MIN(I371,Formula!$C$27))/Formula!$C$24,1/Formula!$C$25))</f>
        <v>0.3448275862</v>
      </c>
      <c r="R371" s="15">
        <f t="shared" si="2"/>
        <v>0.2068965517</v>
      </c>
      <c r="S371" s="15">
        <f>IF(H371&lt;&gt;"",EXP(-Formula!$C$28*(EOMONTH(H371,0)-H371)),EXP(-Formula!$C$28*(EOMONTH(D371,0)-D371)))</f>
        <v>0.904837418</v>
      </c>
      <c r="T371" s="15">
        <f t="shared" si="3"/>
        <v>0.2886751346</v>
      </c>
      <c r="U371" s="15">
        <f t="shared" si="4"/>
        <v>0.05404222002</v>
      </c>
      <c r="V371" s="16">
        <f>IF(AND(L371="Among all respondents",NOT(OR(K371="Online poll in Telegram channel",K371="Website online poll",K371="CAWI (Computer Assisted Web Interviewing)"))),1/(1-MIN(MAX(Formula!$C$33+(YEAR(D371)-Formula!$C$34)/(Formula!$C$35-Formula!$C$34)*(Formula!$C$32-Formula!$C$33),Formula!$C$33),Formula!$C$32)),1)</f>
        <v>1</v>
      </c>
      <c r="W371" s="17">
        <f t="shared" si="5"/>
        <v>7.4</v>
      </c>
    </row>
    <row r="372" ht="15.75" customHeight="1">
      <c r="A372" s="8" t="s">
        <v>849</v>
      </c>
      <c r="B372" s="7" t="s">
        <v>843</v>
      </c>
      <c r="C372" s="13" t="s">
        <v>844</v>
      </c>
      <c r="D372" s="7" t="s">
        <v>81</v>
      </c>
      <c r="E372" s="8" t="s">
        <v>30</v>
      </c>
      <c r="F372" s="8" t="s">
        <v>318</v>
      </c>
      <c r="G372" s="7" t="s">
        <v>845</v>
      </c>
      <c r="H372" s="7" t="s">
        <v>846</v>
      </c>
      <c r="I372" s="8">
        <v>1200.0</v>
      </c>
      <c r="J372" s="8">
        <v>2.9</v>
      </c>
      <c r="K372" s="8" t="s">
        <v>351</v>
      </c>
      <c r="L372" s="8" t="s">
        <v>322</v>
      </c>
      <c r="M372" s="8" t="s">
        <v>339</v>
      </c>
      <c r="N372" s="8">
        <v>6.2</v>
      </c>
      <c r="O372" s="14">
        <f t="shared" si="1"/>
        <v>45261</v>
      </c>
      <c r="P372" s="15">
        <f>IFERROR(VLOOKUP(K372,Formula!$A$11:$B$20,2,FALSE),Formula!$C$26)</f>
        <v>0.6</v>
      </c>
      <c r="Q372" s="15">
        <f>IF(AND(ISNUMBER(J372),J372&gt;0),1/J372,IF(AND(ISNUMBER(I372),I372&gt;0),SQRT(MIN(I372,Formula!$C$27))/Formula!$C$24,1/Formula!$C$25))</f>
        <v>0.3448275862</v>
      </c>
      <c r="R372" s="15">
        <f t="shared" si="2"/>
        <v>0.2068965517</v>
      </c>
      <c r="S372" s="15">
        <f>IF(H372&lt;&gt;"",EXP(-Formula!$C$28*(EOMONTH(H372,0)-H372)),EXP(-Formula!$C$28*(EOMONTH(D372,0)-D372)))</f>
        <v>0.904837418</v>
      </c>
      <c r="T372" s="15">
        <f t="shared" si="3"/>
        <v>0.2886751346</v>
      </c>
      <c r="U372" s="15">
        <f t="shared" si="4"/>
        <v>0.05404222002</v>
      </c>
      <c r="V372" s="16">
        <f>IF(AND(L372="Among all respondents",NOT(OR(K372="Online poll in Telegram channel",K372="Website online poll",K372="CAWI (Computer Assisted Web Interviewing)"))),1/(1-MIN(MAX(Formula!$C$33+(YEAR(D372)-Formula!$C$34)/(Formula!$C$35-Formula!$C$34)*(Formula!$C$32-Formula!$C$33),Formula!$C$33),Formula!$C$32)),1)</f>
        <v>1</v>
      </c>
      <c r="W372" s="17">
        <f t="shared" si="5"/>
        <v>6.2</v>
      </c>
    </row>
    <row r="373" ht="15.75" customHeight="1">
      <c r="A373" s="8" t="s">
        <v>850</v>
      </c>
      <c r="B373" s="7" t="s">
        <v>843</v>
      </c>
      <c r="C373" s="13" t="s">
        <v>844</v>
      </c>
      <c r="D373" s="7" t="s">
        <v>81</v>
      </c>
      <c r="E373" s="8" t="s">
        <v>30</v>
      </c>
      <c r="F373" s="8" t="s">
        <v>318</v>
      </c>
      <c r="G373" s="7" t="s">
        <v>845</v>
      </c>
      <c r="H373" s="7" t="s">
        <v>846</v>
      </c>
      <c r="I373" s="8">
        <v>1200.0</v>
      </c>
      <c r="J373" s="8">
        <v>2.9</v>
      </c>
      <c r="K373" s="8" t="s">
        <v>351</v>
      </c>
      <c r="L373" s="8" t="s">
        <v>322</v>
      </c>
      <c r="M373" s="8" t="s">
        <v>382</v>
      </c>
      <c r="N373" s="8">
        <v>3.9</v>
      </c>
      <c r="O373" s="14">
        <f t="shared" si="1"/>
        <v>45261</v>
      </c>
      <c r="P373" s="15">
        <f>IFERROR(VLOOKUP(K373,Formula!$A$11:$B$20,2,FALSE),Formula!$C$26)</f>
        <v>0.6</v>
      </c>
      <c r="Q373" s="15">
        <f>IF(AND(ISNUMBER(J373),J373&gt;0),1/J373,IF(AND(ISNUMBER(I373),I373&gt;0),SQRT(MIN(I373,Formula!$C$27))/Formula!$C$24,1/Formula!$C$25))</f>
        <v>0.3448275862</v>
      </c>
      <c r="R373" s="15">
        <f t="shared" si="2"/>
        <v>0.2068965517</v>
      </c>
      <c r="S373" s="15">
        <f>IF(H373&lt;&gt;"",EXP(-Formula!$C$28*(EOMONTH(H373,0)-H373)),EXP(-Formula!$C$28*(EOMONTH(D373,0)-D373)))</f>
        <v>0.904837418</v>
      </c>
      <c r="T373" s="15">
        <f t="shared" si="3"/>
        <v>0.2886751346</v>
      </c>
      <c r="U373" s="15">
        <f t="shared" si="4"/>
        <v>0.05404222002</v>
      </c>
      <c r="V373" s="16">
        <f>IF(AND(L373="Among all respondents",NOT(OR(K373="Online poll in Telegram channel",K373="Website online poll",K373="CAWI (Computer Assisted Web Interviewing)"))),1/(1-MIN(MAX(Formula!$C$33+(YEAR(D373)-Formula!$C$34)/(Formula!$C$35-Formula!$C$34)*(Formula!$C$32-Formula!$C$33),Formula!$C$33),Formula!$C$32)),1)</f>
        <v>1</v>
      </c>
      <c r="W373" s="17">
        <f t="shared" si="5"/>
        <v>3.9</v>
      </c>
    </row>
    <row r="374" ht="15.75" customHeight="1">
      <c r="A374" s="8" t="s">
        <v>851</v>
      </c>
      <c r="B374" s="7" t="s">
        <v>843</v>
      </c>
      <c r="C374" s="13" t="s">
        <v>844</v>
      </c>
      <c r="D374" s="7" t="s">
        <v>81</v>
      </c>
      <c r="E374" s="8" t="s">
        <v>30</v>
      </c>
      <c r="F374" s="8" t="s">
        <v>318</v>
      </c>
      <c r="G374" s="7" t="s">
        <v>845</v>
      </c>
      <c r="H374" s="7" t="s">
        <v>846</v>
      </c>
      <c r="I374" s="8">
        <v>1200.0</v>
      </c>
      <c r="J374" s="8">
        <v>2.9</v>
      </c>
      <c r="K374" s="8" t="s">
        <v>351</v>
      </c>
      <c r="L374" s="8" t="s">
        <v>322</v>
      </c>
      <c r="M374" s="8" t="s">
        <v>335</v>
      </c>
      <c r="N374" s="8">
        <v>2.5</v>
      </c>
      <c r="O374" s="14">
        <f t="shared" si="1"/>
        <v>45261</v>
      </c>
      <c r="P374" s="15">
        <f>IFERROR(VLOOKUP(K374,Formula!$A$11:$B$20,2,FALSE),Formula!$C$26)</f>
        <v>0.6</v>
      </c>
      <c r="Q374" s="15">
        <f>IF(AND(ISNUMBER(J374),J374&gt;0),1/J374,IF(AND(ISNUMBER(I374),I374&gt;0),SQRT(MIN(I374,Formula!$C$27))/Formula!$C$24,1/Formula!$C$25))</f>
        <v>0.3448275862</v>
      </c>
      <c r="R374" s="15">
        <f t="shared" si="2"/>
        <v>0.2068965517</v>
      </c>
      <c r="S374" s="15">
        <f>IF(H374&lt;&gt;"",EXP(-Formula!$C$28*(EOMONTH(H374,0)-H374)),EXP(-Formula!$C$28*(EOMONTH(D374,0)-D374)))</f>
        <v>0.904837418</v>
      </c>
      <c r="T374" s="15">
        <f t="shared" si="3"/>
        <v>0.2886751346</v>
      </c>
      <c r="U374" s="15">
        <f t="shared" si="4"/>
        <v>0.05404222002</v>
      </c>
      <c r="V374" s="16">
        <f>IF(AND(L374="Among all respondents",NOT(OR(K374="Online poll in Telegram channel",K374="Website online poll",K374="CAWI (Computer Assisted Web Interviewing)"))),1/(1-MIN(MAX(Formula!$C$33+(YEAR(D374)-Formula!$C$34)/(Formula!$C$35-Formula!$C$34)*(Formula!$C$32-Formula!$C$33),Formula!$C$33),Formula!$C$32)),1)</f>
        <v>1</v>
      </c>
      <c r="W374" s="17">
        <f t="shared" si="5"/>
        <v>2.5</v>
      </c>
    </row>
    <row r="375" ht="15.75" customHeight="1">
      <c r="A375" s="8" t="s">
        <v>852</v>
      </c>
      <c r="B375" s="7" t="s">
        <v>843</v>
      </c>
      <c r="C375" s="13" t="s">
        <v>844</v>
      </c>
      <c r="D375" s="7" t="s">
        <v>81</v>
      </c>
      <c r="E375" s="8" t="s">
        <v>30</v>
      </c>
      <c r="F375" s="8" t="s">
        <v>318</v>
      </c>
      <c r="G375" s="7" t="s">
        <v>845</v>
      </c>
      <c r="H375" s="7" t="s">
        <v>846</v>
      </c>
      <c r="I375" s="8">
        <v>1200.0</v>
      </c>
      <c r="J375" s="8">
        <v>2.9</v>
      </c>
      <c r="K375" s="8" t="s">
        <v>351</v>
      </c>
      <c r="L375" s="8" t="s">
        <v>322</v>
      </c>
      <c r="M375" s="8" t="s">
        <v>337</v>
      </c>
      <c r="N375" s="8">
        <v>1.5</v>
      </c>
      <c r="O375" s="14">
        <f t="shared" si="1"/>
        <v>45261</v>
      </c>
      <c r="P375" s="15">
        <f>IFERROR(VLOOKUP(K375,Formula!$A$11:$B$20,2,FALSE),Formula!$C$26)</f>
        <v>0.6</v>
      </c>
      <c r="Q375" s="15">
        <f>IF(AND(ISNUMBER(J375),J375&gt;0),1/J375,IF(AND(ISNUMBER(I375),I375&gt;0),SQRT(MIN(I375,Formula!$C$27))/Formula!$C$24,1/Formula!$C$25))</f>
        <v>0.3448275862</v>
      </c>
      <c r="R375" s="15">
        <f t="shared" si="2"/>
        <v>0.2068965517</v>
      </c>
      <c r="S375" s="15">
        <f>IF(H375&lt;&gt;"",EXP(-Formula!$C$28*(EOMONTH(H375,0)-H375)),EXP(-Formula!$C$28*(EOMONTH(D375,0)-D375)))</f>
        <v>0.904837418</v>
      </c>
      <c r="T375" s="15">
        <f t="shared" si="3"/>
        <v>0.2886751346</v>
      </c>
      <c r="U375" s="15">
        <f t="shared" si="4"/>
        <v>0.05404222002</v>
      </c>
      <c r="V375" s="16">
        <f>IF(AND(L375="Among all respondents",NOT(OR(K375="Online poll in Telegram channel",K375="Website online poll",K375="CAWI (Computer Assisted Web Interviewing)"))),1/(1-MIN(MAX(Formula!$C$33+(YEAR(D375)-Formula!$C$34)/(Formula!$C$35-Formula!$C$34)*(Formula!$C$32-Formula!$C$33),Formula!$C$33),Formula!$C$32)),1)</f>
        <v>1</v>
      </c>
      <c r="W375" s="17">
        <f t="shared" si="5"/>
        <v>1.5</v>
      </c>
    </row>
    <row r="376" ht="15.75" customHeight="1">
      <c r="A376" s="8" t="s">
        <v>853</v>
      </c>
      <c r="B376" s="7" t="s">
        <v>843</v>
      </c>
      <c r="C376" s="13" t="s">
        <v>844</v>
      </c>
      <c r="D376" s="7" t="s">
        <v>81</v>
      </c>
      <c r="E376" s="8" t="s">
        <v>30</v>
      </c>
      <c r="F376" s="8" t="s">
        <v>318</v>
      </c>
      <c r="G376" s="7" t="s">
        <v>845</v>
      </c>
      <c r="H376" s="7" t="s">
        <v>846</v>
      </c>
      <c r="I376" s="8">
        <v>1200.0</v>
      </c>
      <c r="J376" s="8">
        <v>2.9</v>
      </c>
      <c r="K376" s="8" t="s">
        <v>351</v>
      </c>
      <c r="L376" s="8" t="s">
        <v>322</v>
      </c>
      <c r="M376" s="8" t="s">
        <v>333</v>
      </c>
      <c r="N376" s="8">
        <v>1.5</v>
      </c>
      <c r="O376" s="14">
        <f t="shared" si="1"/>
        <v>45261</v>
      </c>
      <c r="P376" s="15">
        <f>IFERROR(VLOOKUP(K376,Formula!$A$11:$B$20,2,FALSE),Formula!$C$26)</f>
        <v>0.6</v>
      </c>
      <c r="Q376" s="15">
        <f>IF(AND(ISNUMBER(J376),J376&gt;0),1/J376,IF(AND(ISNUMBER(I376),I376&gt;0),SQRT(MIN(I376,Formula!$C$27))/Formula!$C$24,1/Formula!$C$25))</f>
        <v>0.3448275862</v>
      </c>
      <c r="R376" s="15">
        <f t="shared" si="2"/>
        <v>0.2068965517</v>
      </c>
      <c r="S376" s="15">
        <f>IF(H376&lt;&gt;"",EXP(-Formula!$C$28*(EOMONTH(H376,0)-H376)),EXP(-Formula!$C$28*(EOMONTH(D376,0)-D376)))</f>
        <v>0.904837418</v>
      </c>
      <c r="T376" s="15">
        <f t="shared" si="3"/>
        <v>0.2886751346</v>
      </c>
      <c r="U376" s="15">
        <f t="shared" si="4"/>
        <v>0.05404222002</v>
      </c>
      <c r="V376" s="16">
        <f>IF(AND(L376="Among all respondents",NOT(OR(K376="Online poll in Telegram channel",K376="Website online poll",K376="CAWI (Computer Assisted Web Interviewing)"))),1/(1-MIN(MAX(Formula!$C$33+(YEAR(D376)-Formula!$C$34)/(Formula!$C$35-Formula!$C$34)*(Formula!$C$32-Formula!$C$33),Formula!$C$33),Formula!$C$32)),1)</f>
        <v>1</v>
      </c>
      <c r="W376" s="17">
        <f t="shared" si="5"/>
        <v>1.5</v>
      </c>
    </row>
    <row r="377" ht="15.75" customHeight="1">
      <c r="A377" s="8" t="s">
        <v>854</v>
      </c>
      <c r="B377" s="7" t="s">
        <v>843</v>
      </c>
      <c r="C377" s="13" t="s">
        <v>844</v>
      </c>
      <c r="D377" s="7" t="s">
        <v>81</v>
      </c>
      <c r="E377" s="8" t="s">
        <v>30</v>
      </c>
      <c r="F377" s="8" t="s">
        <v>318</v>
      </c>
      <c r="G377" s="7" t="s">
        <v>845</v>
      </c>
      <c r="H377" s="7" t="s">
        <v>846</v>
      </c>
      <c r="I377" s="8">
        <v>1200.0</v>
      </c>
      <c r="J377" s="8">
        <v>2.9</v>
      </c>
      <c r="K377" s="8" t="s">
        <v>351</v>
      </c>
      <c r="L377" s="8" t="s">
        <v>322</v>
      </c>
      <c r="M377" s="8" t="s">
        <v>362</v>
      </c>
      <c r="N377" s="8">
        <v>1.2</v>
      </c>
      <c r="O377" s="14">
        <f t="shared" si="1"/>
        <v>45261</v>
      </c>
      <c r="P377" s="15">
        <f>IFERROR(VLOOKUP(K377,Formula!$A$11:$B$20,2,FALSE),Formula!$C$26)</f>
        <v>0.6</v>
      </c>
      <c r="Q377" s="15">
        <f>IF(AND(ISNUMBER(J377),J377&gt;0),1/J377,IF(AND(ISNUMBER(I377),I377&gt;0),SQRT(MIN(I377,Formula!$C$27))/Formula!$C$24,1/Formula!$C$25))</f>
        <v>0.3448275862</v>
      </c>
      <c r="R377" s="15">
        <f t="shared" si="2"/>
        <v>0.2068965517</v>
      </c>
      <c r="S377" s="15">
        <f>IF(H377&lt;&gt;"",EXP(-Formula!$C$28*(EOMONTH(H377,0)-H377)),EXP(-Formula!$C$28*(EOMONTH(D377,0)-D377)))</f>
        <v>0.904837418</v>
      </c>
      <c r="T377" s="15">
        <f t="shared" si="3"/>
        <v>0.2886751346</v>
      </c>
      <c r="U377" s="15">
        <f t="shared" si="4"/>
        <v>0.05404222002</v>
      </c>
      <c r="V377" s="16">
        <f>IF(AND(L377="Among all respondents",NOT(OR(K377="Online poll in Telegram channel",K377="Website online poll",K377="CAWI (Computer Assisted Web Interviewing)"))),1/(1-MIN(MAX(Formula!$C$33+(YEAR(D377)-Formula!$C$34)/(Formula!$C$35-Formula!$C$34)*(Formula!$C$32-Formula!$C$33),Formula!$C$33),Formula!$C$32)),1)</f>
        <v>1</v>
      </c>
      <c r="W377" s="17">
        <f t="shared" si="5"/>
        <v>1.2</v>
      </c>
    </row>
    <row r="378" ht="15.75" customHeight="1">
      <c r="A378" s="8" t="s">
        <v>855</v>
      </c>
      <c r="B378" s="7" t="s">
        <v>843</v>
      </c>
      <c r="C378" s="13" t="s">
        <v>844</v>
      </c>
      <c r="D378" s="7" t="s">
        <v>81</v>
      </c>
      <c r="E378" s="8" t="s">
        <v>30</v>
      </c>
      <c r="F378" s="8" t="s">
        <v>318</v>
      </c>
      <c r="G378" s="7" t="s">
        <v>845</v>
      </c>
      <c r="H378" s="7" t="s">
        <v>846</v>
      </c>
      <c r="I378" s="8">
        <v>1200.0</v>
      </c>
      <c r="J378" s="8">
        <v>2.9</v>
      </c>
      <c r="K378" s="8" t="s">
        <v>351</v>
      </c>
      <c r="L378" s="8" t="s">
        <v>322</v>
      </c>
      <c r="M378" s="8" t="s">
        <v>343</v>
      </c>
      <c r="N378" s="8">
        <v>1.1</v>
      </c>
      <c r="O378" s="14">
        <f t="shared" si="1"/>
        <v>45261</v>
      </c>
      <c r="P378" s="15">
        <f>IFERROR(VLOOKUP(K378,Formula!$A$11:$B$20,2,FALSE),Formula!$C$26)</f>
        <v>0.6</v>
      </c>
      <c r="Q378" s="15">
        <f>IF(AND(ISNUMBER(J378),J378&gt;0),1/J378,IF(AND(ISNUMBER(I378),I378&gt;0),SQRT(MIN(I378,Formula!$C$27))/Formula!$C$24,1/Formula!$C$25))</f>
        <v>0.3448275862</v>
      </c>
      <c r="R378" s="15">
        <f t="shared" si="2"/>
        <v>0.2068965517</v>
      </c>
      <c r="S378" s="15">
        <f>IF(H378&lt;&gt;"",EXP(-Formula!$C$28*(EOMONTH(H378,0)-H378)),EXP(-Formula!$C$28*(EOMONTH(D378,0)-D378)))</f>
        <v>0.904837418</v>
      </c>
      <c r="T378" s="15">
        <f t="shared" si="3"/>
        <v>0.2886751346</v>
      </c>
      <c r="U378" s="15">
        <f t="shared" si="4"/>
        <v>0.05404222002</v>
      </c>
      <c r="V378" s="16">
        <f>IF(AND(L378="Among all respondents",NOT(OR(K378="Online poll in Telegram channel",K378="Website online poll",K378="CAWI (Computer Assisted Web Interviewing)"))),1/(1-MIN(MAX(Formula!$C$33+(YEAR(D378)-Formula!$C$34)/(Formula!$C$35-Formula!$C$34)*(Formula!$C$32-Formula!$C$33),Formula!$C$33),Formula!$C$32)),1)</f>
        <v>1</v>
      </c>
      <c r="W378" s="17">
        <f t="shared" si="5"/>
        <v>1.1</v>
      </c>
    </row>
    <row r="379" ht="15.75" customHeight="1">
      <c r="A379" s="8" t="s">
        <v>856</v>
      </c>
      <c r="B379" s="7" t="s">
        <v>843</v>
      </c>
      <c r="C379" s="13" t="s">
        <v>844</v>
      </c>
      <c r="D379" s="7" t="s">
        <v>81</v>
      </c>
      <c r="E379" s="8" t="s">
        <v>30</v>
      </c>
      <c r="F379" s="8" t="s">
        <v>318</v>
      </c>
      <c r="G379" s="7" t="s">
        <v>845</v>
      </c>
      <c r="H379" s="7" t="s">
        <v>846</v>
      </c>
      <c r="I379" s="8">
        <v>1200.0</v>
      </c>
      <c r="J379" s="8">
        <v>2.9</v>
      </c>
      <c r="K379" s="8" t="s">
        <v>351</v>
      </c>
      <c r="L379" s="8" t="s">
        <v>322</v>
      </c>
      <c r="M379" s="8" t="s">
        <v>359</v>
      </c>
      <c r="N379" s="8">
        <v>0.8</v>
      </c>
      <c r="O379" s="14">
        <f t="shared" si="1"/>
        <v>45261</v>
      </c>
      <c r="P379" s="15">
        <f>IFERROR(VLOOKUP(K379,Formula!$A$11:$B$20,2,FALSE),Formula!$C$26)</f>
        <v>0.6</v>
      </c>
      <c r="Q379" s="15">
        <f>IF(AND(ISNUMBER(J379),J379&gt;0),1/J379,IF(AND(ISNUMBER(I379),I379&gt;0),SQRT(MIN(I379,Formula!$C$27))/Formula!$C$24,1/Formula!$C$25))</f>
        <v>0.3448275862</v>
      </c>
      <c r="R379" s="15">
        <f t="shared" si="2"/>
        <v>0.2068965517</v>
      </c>
      <c r="S379" s="15">
        <f>IF(H379&lt;&gt;"",EXP(-Formula!$C$28*(EOMONTH(H379,0)-H379)),EXP(-Formula!$C$28*(EOMONTH(D379,0)-D379)))</f>
        <v>0.904837418</v>
      </c>
      <c r="T379" s="15">
        <f t="shared" si="3"/>
        <v>0.2886751346</v>
      </c>
      <c r="U379" s="15">
        <f t="shared" si="4"/>
        <v>0.05404222002</v>
      </c>
      <c r="V379" s="16">
        <f>IF(AND(L379="Among all respondents",NOT(OR(K379="Online poll in Telegram channel",K379="Website online poll",K379="CAWI (Computer Assisted Web Interviewing)"))),1/(1-MIN(MAX(Formula!$C$33+(YEAR(D379)-Formula!$C$34)/(Formula!$C$35-Formula!$C$34)*(Formula!$C$32-Formula!$C$33),Formula!$C$33),Formula!$C$32)),1)</f>
        <v>1</v>
      </c>
      <c r="W379" s="17">
        <f t="shared" si="5"/>
        <v>0.8</v>
      </c>
    </row>
    <row r="380" ht="15.75" customHeight="1">
      <c r="A380" s="8" t="s">
        <v>857</v>
      </c>
      <c r="B380" s="7" t="s">
        <v>843</v>
      </c>
      <c r="C380" s="13" t="s">
        <v>844</v>
      </c>
      <c r="D380" s="7" t="s">
        <v>81</v>
      </c>
      <c r="E380" s="8" t="s">
        <v>30</v>
      </c>
      <c r="F380" s="8" t="s">
        <v>318</v>
      </c>
      <c r="G380" s="7" t="s">
        <v>845</v>
      </c>
      <c r="H380" s="7" t="s">
        <v>846</v>
      </c>
      <c r="I380" s="8">
        <v>1200.0</v>
      </c>
      <c r="J380" s="8">
        <v>2.9</v>
      </c>
      <c r="K380" s="8" t="s">
        <v>351</v>
      </c>
      <c r="L380" s="8" t="s">
        <v>322</v>
      </c>
      <c r="M380" s="8" t="s">
        <v>858</v>
      </c>
      <c r="N380" s="8">
        <v>0.3</v>
      </c>
      <c r="O380" s="14">
        <f t="shared" si="1"/>
        <v>45261</v>
      </c>
      <c r="P380" s="15">
        <f>IFERROR(VLOOKUP(K380,Formula!$A$11:$B$20,2,FALSE),Formula!$C$26)</f>
        <v>0.6</v>
      </c>
      <c r="Q380" s="15">
        <f>IF(AND(ISNUMBER(J380),J380&gt;0),1/J380,IF(AND(ISNUMBER(I380),I380&gt;0),SQRT(MIN(I380,Formula!$C$27))/Formula!$C$24,1/Formula!$C$25))</f>
        <v>0.3448275862</v>
      </c>
      <c r="R380" s="15">
        <f t="shared" si="2"/>
        <v>0.2068965517</v>
      </c>
      <c r="S380" s="15">
        <f>IF(H380&lt;&gt;"",EXP(-Formula!$C$28*(EOMONTH(H380,0)-H380)),EXP(-Formula!$C$28*(EOMONTH(D380,0)-D380)))</f>
        <v>0.904837418</v>
      </c>
      <c r="T380" s="15">
        <f t="shared" si="3"/>
        <v>0.2886751346</v>
      </c>
      <c r="U380" s="15">
        <f t="shared" si="4"/>
        <v>0.05404222002</v>
      </c>
      <c r="V380" s="16">
        <f>IF(AND(L380="Among all respondents",NOT(OR(K380="Online poll in Telegram channel",K380="Website online poll",K380="CAWI (Computer Assisted Web Interviewing)"))),1/(1-MIN(MAX(Formula!$C$33+(YEAR(D380)-Formula!$C$34)/(Formula!$C$35-Formula!$C$34)*(Formula!$C$32-Formula!$C$33),Formula!$C$33),Formula!$C$32)),1)</f>
        <v>1</v>
      </c>
      <c r="W380" s="17">
        <f t="shared" si="5"/>
        <v>0.3</v>
      </c>
    </row>
    <row r="381" ht="15.75" customHeight="1">
      <c r="A381" s="8" t="s">
        <v>859</v>
      </c>
      <c r="B381" s="7" t="s">
        <v>860</v>
      </c>
      <c r="C381" s="13" t="s">
        <v>861</v>
      </c>
      <c r="D381" s="7" t="s">
        <v>80</v>
      </c>
      <c r="E381" s="8" t="s">
        <v>40</v>
      </c>
      <c r="F381" s="8" t="s">
        <v>318</v>
      </c>
      <c r="G381" s="7" t="s">
        <v>83</v>
      </c>
      <c r="H381" s="7" t="s">
        <v>862</v>
      </c>
      <c r="I381" s="8">
        <v>2000.0</v>
      </c>
      <c r="J381" s="8">
        <v>2.2</v>
      </c>
      <c r="K381" s="8" t="s">
        <v>467</v>
      </c>
      <c r="L381" s="8" t="s">
        <v>322</v>
      </c>
      <c r="M381" s="8" t="s">
        <v>323</v>
      </c>
      <c r="N381" s="8">
        <v>47.4</v>
      </c>
      <c r="O381" s="14">
        <f t="shared" si="1"/>
        <v>45261</v>
      </c>
      <c r="P381" s="15">
        <f>IFERROR(VLOOKUP(K381,Formula!$A$11:$B$20,2,FALSE),Formula!$C$26)</f>
        <v>1</v>
      </c>
      <c r="Q381" s="15">
        <f>IF(AND(ISNUMBER(J381),J381&gt;0),1/J381,IF(AND(ISNUMBER(I381),I381&gt;0),SQRT(MIN(I381,Formula!$C$27))/Formula!$C$24,1/Formula!$C$25))</f>
        <v>0.4545454545</v>
      </c>
      <c r="R381" s="15">
        <f t="shared" si="2"/>
        <v>0.4545454545</v>
      </c>
      <c r="S381" s="15">
        <f>IF(H381&lt;&gt;"",EXP(-Formula!$C$28*(EOMONTH(H381,0)-H381)),EXP(-Formula!$C$28*(EOMONTH(D381,0)-D381)))</f>
        <v>0.3166367694</v>
      </c>
      <c r="T381" s="15">
        <f t="shared" si="3"/>
        <v>0.3015113446</v>
      </c>
      <c r="U381" s="15">
        <f t="shared" si="4"/>
        <v>0.04339526276</v>
      </c>
      <c r="V381" s="16">
        <f>IF(AND(L381="Among all respondents",NOT(OR(K381="Online poll in Telegram channel",K381="Website online poll",K381="CAWI (Computer Assisted Web Interviewing)"))),1/(1-MIN(MAX(Formula!$C$33+(YEAR(D381)-Formula!$C$34)/(Formula!$C$35-Formula!$C$34)*(Formula!$C$32-Formula!$C$33),Formula!$C$33),Formula!$C$32)),1)</f>
        <v>1</v>
      </c>
      <c r="W381" s="17">
        <f t="shared" si="5"/>
        <v>47.4</v>
      </c>
    </row>
    <row r="382" ht="15.75" customHeight="1">
      <c r="A382" s="8" t="s">
        <v>863</v>
      </c>
      <c r="B382" s="7" t="s">
        <v>860</v>
      </c>
      <c r="C382" s="13" t="s">
        <v>861</v>
      </c>
      <c r="D382" s="7" t="s">
        <v>80</v>
      </c>
      <c r="E382" s="8" t="s">
        <v>40</v>
      </c>
      <c r="F382" s="8" t="s">
        <v>318</v>
      </c>
      <c r="G382" s="7" t="s">
        <v>83</v>
      </c>
      <c r="H382" s="7" t="s">
        <v>862</v>
      </c>
      <c r="I382" s="8">
        <v>2000.0</v>
      </c>
      <c r="J382" s="8">
        <v>2.2</v>
      </c>
      <c r="K382" s="8" t="s">
        <v>467</v>
      </c>
      <c r="L382" s="8" t="s">
        <v>322</v>
      </c>
      <c r="M382" s="8" t="s">
        <v>325</v>
      </c>
      <c r="N382" s="8">
        <v>30.7</v>
      </c>
      <c r="O382" s="14">
        <f t="shared" si="1"/>
        <v>45261</v>
      </c>
      <c r="P382" s="15">
        <f>IFERROR(VLOOKUP(K382,Formula!$A$11:$B$20,2,FALSE),Formula!$C$26)</f>
        <v>1</v>
      </c>
      <c r="Q382" s="15">
        <f>IF(AND(ISNUMBER(J382),J382&gt;0),1/J382,IF(AND(ISNUMBER(I382),I382&gt;0),SQRT(MIN(I382,Formula!$C$27))/Formula!$C$24,1/Formula!$C$25))</f>
        <v>0.4545454545</v>
      </c>
      <c r="R382" s="15">
        <f t="shared" si="2"/>
        <v>0.4545454545</v>
      </c>
      <c r="S382" s="15">
        <f>IF(H382&lt;&gt;"",EXP(-Formula!$C$28*(EOMONTH(H382,0)-H382)),EXP(-Formula!$C$28*(EOMONTH(D382,0)-D382)))</f>
        <v>0.3166367694</v>
      </c>
      <c r="T382" s="15">
        <f t="shared" si="3"/>
        <v>0.3015113446</v>
      </c>
      <c r="U382" s="15">
        <f t="shared" si="4"/>
        <v>0.04339526276</v>
      </c>
      <c r="V382" s="16">
        <f>IF(AND(L382="Among all respondents",NOT(OR(K382="Online poll in Telegram channel",K382="Website online poll",K382="CAWI (Computer Assisted Web Interviewing)"))),1/(1-MIN(MAX(Formula!$C$33+(YEAR(D382)-Formula!$C$34)/(Formula!$C$35-Formula!$C$34)*(Formula!$C$32-Formula!$C$33),Formula!$C$33),Formula!$C$32)),1)</f>
        <v>1</v>
      </c>
      <c r="W382" s="17">
        <f t="shared" si="5"/>
        <v>30.7</v>
      </c>
    </row>
    <row r="383" ht="15.75" customHeight="1">
      <c r="A383" s="8" t="s">
        <v>864</v>
      </c>
      <c r="B383" s="7" t="s">
        <v>860</v>
      </c>
      <c r="C383" s="13" t="s">
        <v>861</v>
      </c>
      <c r="D383" s="7" t="s">
        <v>80</v>
      </c>
      <c r="E383" s="8" t="s">
        <v>40</v>
      </c>
      <c r="F383" s="8" t="s">
        <v>318</v>
      </c>
      <c r="G383" s="7" t="s">
        <v>83</v>
      </c>
      <c r="H383" s="7" t="s">
        <v>862</v>
      </c>
      <c r="I383" s="8">
        <v>2000.0</v>
      </c>
      <c r="J383" s="8">
        <v>2.2</v>
      </c>
      <c r="K383" s="8" t="s">
        <v>467</v>
      </c>
      <c r="L383" s="8" t="s">
        <v>322</v>
      </c>
      <c r="M383" s="8" t="s">
        <v>339</v>
      </c>
      <c r="N383" s="8">
        <v>4.9</v>
      </c>
      <c r="O383" s="14">
        <f t="shared" si="1"/>
        <v>45261</v>
      </c>
      <c r="P383" s="15">
        <f>IFERROR(VLOOKUP(K383,Formula!$A$11:$B$20,2,FALSE),Formula!$C$26)</f>
        <v>1</v>
      </c>
      <c r="Q383" s="15">
        <f>IF(AND(ISNUMBER(J383),J383&gt;0),1/J383,IF(AND(ISNUMBER(I383),I383&gt;0),SQRT(MIN(I383,Formula!$C$27))/Formula!$C$24,1/Formula!$C$25))</f>
        <v>0.4545454545</v>
      </c>
      <c r="R383" s="15">
        <f t="shared" si="2"/>
        <v>0.4545454545</v>
      </c>
      <c r="S383" s="15">
        <f>IF(H383&lt;&gt;"",EXP(-Formula!$C$28*(EOMONTH(H383,0)-H383)),EXP(-Formula!$C$28*(EOMONTH(D383,0)-D383)))</f>
        <v>0.3166367694</v>
      </c>
      <c r="T383" s="15">
        <f t="shared" si="3"/>
        <v>0.3015113446</v>
      </c>
      <c r="U383" s="15">
        <f t="shared" si="4"/>
        <v>0.04339526276</v>
      </c>
      <c r="V383" s="16">
        <f>IF(AND(L383="Among all respondents",NOT(OR(K383="Online poll in Telegram channel",K383="Website online poll",K383="CAWI (Computer Assisted Web Interviewing)"))),1/(1-MIN(MAX(Formula!$C$33+(YEAR(D383)-Formula!$C$34)/(Formula!$C$35-Formula!$C$34)*(Formula!$C$32-Formula!$C$33),Formula!$C$33),Formula!$C$32)),1)</f>
        <v>1</v>
      </c>
      <c r="W383" s="17">
        <f t="shared" si="5"/>
        <v>4.9</v>
      </c>
    </row>
    <row r="384" ht="15.75" customHeight="1">
      <c r="A384" s="8" t="s">
        <v>865</v>
      </c>
      <c r="B384" s="7" t="s">
        <v>860</v>
      </c>
      <c r="C384" s="13" t="s">
        <v>861</v>
      </c>
      <c r="D384" s="7" t="s">
        <v>80</v>
      </c>
      <c r="E384" s="8" t="s">
        <v>40</v>
      </c>
      <c r="F384" s="8" t="s">
        <v>318</v>
      </c>
      <c r="G384" s="7" t="s">
        <v>83</v>
      </c>
      <c r="H384" s="7" t="s">
        <v>862</v>
      </c>
      <c r="I384" s="8">
        <v>2000.0</v>
      </c>
      <c r="J384" s="8">
        <v>2.2</v>
      </c>
      <c r="K384" s="8" t="s">
        <v>467</v>
      </c>
      <c r="L384" s="8" t="s">
        <v>322</v>
      </c>
      <c r="M384" s="8" t="s">
        <v>329</v>
      </c>
      <c r="N384" s="8">
        <v>4.6</v>
      </c>
      <c r="O384" s="14">
        <f t="shared" si="1"/>
        <v>45261</v>
      </c>
      <c r="P384" s="15">
        <f>IFERROR(VLOOKUP(K384,Formula!$A$11:$B$20,2,FALSE),Formula!$C$26)</f>
        <v>1</v>
      </c>
      <c r="Q384" s="15">
        <f>IF(AND(ISNUMBER(J384),J384&gt;0),1/J384,IF(AND(ISNUMBER(I384),I384&gt;0),SQRT(MIN(I384,Formula!$C$27))/Formula!$C$24,1/Formula!$C$25))</f>
        <v>0.4545454545</v>
      </c>
      <c r="R384" s="15">
        <f t="shared" si="2"/>
        <v>0.4545454545</v>
      </c>
      <c r="S384" s="15">
        <f>IF(H384&lt;&gt;"",EXP(-Formula!$C$28*(EOMONTH(H384,0)-H384)),EXP(-Formula!$C$28*(EOMONTH(D384,0)-D384)))</f>
        <v>0.3166367694</v>
      </c>
      <c r="T384" s="15">
        <f t="shared" si="3"/>
        <v>0.3015113446</v>
      </c>
      <c r="U384" s="15">
        <f t="shared" si="4"/>
        <v>0.04339526276</v>
      </c>
      <c r="V384" s="16">
        <f>IF(AND(L384="Among all respondents",NOT(OR(K384="Online poll in Telegram channel",K384="Website online poll",K384="CAWI (Computer Assisted Web Interviewing)"))),1/(1-MIN(MAX(Formula!$C$33+(YEAR(D384)-Formula!$C$34)/(Formula!$C$35-Formula!$C$34)*(Formula!$C$32-Formula!$C$33),Formula!$C$33),Formula!$C$32)),1)</f>
        <v>1</v>
      </c>
      <c r="W384" s="17">
        <f t="shared" si="5"/>
        <v>4.6</v>
      </c>
    </row>
    <row r="385" ht="15.75" customHeight="1">
      <c r="A385" s="8" t="s">
        <v>866</v>
      </c>
      <c r="B385" s="7" t="s">
        <v>860</v>
      </c>
      <c r="C385" s="13" t="s">
        <v>861</v>
      </c>
      <c r="D385" s="7" t="s">
        <v>80</v>
      </c>
      <c r="E385" s="8" t="s">
        <v>40</v>
      </c>
      <c r="F385" s="8" t="s">
        <v>318</v>
      </c>
      <c r="G385" s="7" t="s">
        <v>83</v>
      </c>
      <c r="H385" s="7" t="s">
        <v>862</v>
      </c>
      <c r="I385" s="8">
        <v>2000.0</v>
      </c>
      <c r="J385" s="8">
        <v>2.2</v>
      </c>
      <c r="K385" s="8" t="s">
        <v>467</v>
      </c>
      <c r="L385" s="8" t="s">
        <v>322</v>
      </c>
      <c r="M385" s="8" t="s">
        <v>333</v>
      </c>
      <c r="N385" s="8">
        <v>1.9</v>
      </c>
      <c r="O385" s="14">
        <f t="shared" si="1"/>
        <v>45261</v>
      </c>
      <c r="P385" s="15">
        <f>IFERROR(VLOOKUP(K385,Formula!$A$11:$B$20,2,FALSE),Formula!$C$26)</f>
        <v>1</v>
      </c>
      <c r="Q385" s="15">
        <f>IF(AND(ISNUMBER(J385),J385&gt;0),1/J385,IF(AND(ISNUMBER(I385),I385&gt;0),SQRT(MIN(I385,Formula!$C$27))/Formula!$C$24,1/Formula!$C$25))</f>
        <v>0.4545454545</v>
      </c>
      <c r="R385" s="15">
        <f t="shared" si="2"/>
        <v>0.4545454545</v>
      </c>
      <c r="S385" s="15">
        <f>IF(H385&lt;&gt;"",EXP(-Formula!$C$28*(EOMONTH(H385,0)-H385)),EXP(-Formula!$C$28*(EOMONTH(D385,0)-D385)))</f>
        <v>0.3166367694</v>
      </c>
      <c r="T385" s="15">
        <f t="shared" si="3"/>
        <v>0.3015113446</v>
      </c>
      <c r="U385" s="15">
        <f t="shared" si="4"/>
        <v>0.04339526276</v>
      </c>
      <c r="V385" s="16">
        <f>IF(AND(L385="Among all respondents",NOT(OR(K385="Online poll in Telegram channel",K385="Website online poll",K385="CAWI (Computer Assisted Web Interviewing)"))),1/(1-MIN(MAX(Formula!$C$33+(YEAR(D385)-Formula!$C$34)/(Formula!$C$35-Formula!$C$34)*(Formula!$C$32-Formula!$C$33),Formula!$C$33),Formula!$C$32)),1)</f>
        <v>1</v>
      </c>
      <c r="W385" s="17">
        <f t="shared" si="5"/>
        <v>1.9</v>
      </c>
    </row>
    <row r="386" ht="15.75" customHeight="1">
      <c r="A386" s="8" t="s">
        <v>867</v>
      </c>
      <c r="B386" s="7" t="s">
        <v>860</v>
      </c>
      <c r="C386" s="13" t="s">
        <v>861</v>
      </c>
      <c r="D386" s="7" t="s">
        <v>80</v>
      </c>
      <c r="E386" s="8" t="s">
        <v>40</v>
      </c>
      <c r="F386" s="8" t="s">
        <v>318</v>
      </c>
      <c r="G386" s="7" t="s">
        <v>83</v>
      </c>
      <c r="H386" s="7" t="s">
        <v>862</v>
      </c>
      <c r="I386" s="8">
        <v>2000.0</v>
      </c>
      <c r="J386" s="8">
        <v>2.2</v>
      </c>
      <c r="K386" s="8" t="s">
        <v>467</v>
      </c>
      <c r="L386" s="8" t="s">
        <v>322</v>
      </c>
      <c r="M386" s="8" t="s">
        <v>337</v>
      </c>
      <c r="N386" s="8">
        <v>1.6</v>
      </c>
      <c r="O386" s="14">
        <f t="shared" si="1"/>
        <v>45261</v>
      </c>
      <c r="P386" s="15">
        <f>IFERROR(VLOOKUP(K386,Formula!$A$11:$B$20,2,FALSE),Formula!$C$26)</f>
        <v>1</v>
      </c>
      <c r="Q386" s="15">
        <f>IF(AND(ISNUMBER(J386),J386&gt;0),1/J386,IF(AND(ISNUMBER(I386),I386&gt;0),SQRT(MIN(I386,Formula!$C$27))/Formula!$C$24,1/Formula!$C$25))</f>
        <v>0.4545454545</v>
      </c>
      <c r="R386" s="15">
        <f t="shared" si="2"/>
        <v>0.4545454545</v>
      </c>
      <c r="S386" s="15">
        <f>IF(H386&lt;&gt;"",EXP(-Formula!$C$28*(EOMONTH(H386,0)-H386)),EXP(-Formula!$C$28*(EOMONTH(D386,0)-D386)))</f>
        <v>0.3166367694</v>
      </c>
      <c r="T386" s="15">
        <f t="shared" si="3"/>
        <v>0.3015113446</v>
      </c>
      <c r="U386" s="15">
        <f t="shared" si="4"/>
        <v>0.04339526276</v>
      </c>
      <c r="V386" s="16">
        <f>IF(AND(L386="Among all respondents",NOT(OR(K386="Online poll in Telegram channel",K386="Website online poll",K386="CAWI (Computer Assisted Web Interviewing)"))),1/(1-MIN(MAX(Formula!$C$33+(YEAR(D386)-Formula!$C$34)/(Formula!$C$35-Formula!$C$34)*(Formula!$C$32-Formula!$C$33),Formula!$C$33),Formula!$C$32)),1)</f>
        <v>1</v>
      </c>
      <c r="W386" s="17">
        <f t="shared" si="5"/>
        <v>1.6</v>
      </c>
    </row>
    <row r="387" ht="15.75" customHeight="1">
      <c r="A387" s="8" t="s">
        <v>868</v>
      </c>
      <c r="B387" s="7" t="s">
        <v>860</v>
      </c>
      <c r="C387" s="13" t="s">
        <v>861</v>
      </c>
      <c r="D387" s="7" t="s">
        <v>80</v>
      </c>
      <c r="E387" s="8" t="s">
        <v>40</v>
      </c>
      <c r="F387" s="8" t="s">
        <v>318</v>
      </c>
      <c r="G387" s="7" t="s">
        <v>83</v>
      </c>
      <c r="H387" s="7" t="s">
        <v>862</v>
      </c>
      <c r="I387" s="8">
        <v>2000.0</v>
      </c>
      <c r="J387" s="8">
        <v>2.2</v>
      </c>
      <c r="K387" s="8" t="s">
        <v>467</v>
      </c>
      <c r="L387" s="8" t="s">
        <v>322</v>
      </c>
      <c r="M387" s="8" t="s">
        <v>386</v>
      </c>
      <c r="N387" s="8">
        <v>1.2</v>
      </c>
      <c r="O387" s="14">
        <f t="shared" si="1"/>
        <v>45261</v>
      </c>
      <c r="P387" s="15">
        <f>IFERROR(VLOOKUP(K387,Formula!$A$11:$B$20,2,FALSE),Formula!$C$26)</f>
        <v>1</v>
      </c>
      <c r="Q387" s="15">
        <f>IF(AND(ISNUMBER(J387),J387&gt;0),1/J387,IF(AND(ISNUMBER(I387),I387&gt;0),SQRT(MIN(I387,Formula!$C$27))/Formula!$C$24,1/Formula!$C$25))</f>
        <v>0.4545454545</v>
      </c>
      <c r="R387" s="15">
        <f t="shared" si="2"/>
        <v>0.4545454545</v>
      </c>
      <c r="S387" s="15">
        <f>IF(H387&lt;&gt;"",EXP(-Formula!$C$28*(EOMONTH(H387,0)-H387)),EXP(-Formula!$C$28*(EOMONTH(D387,0)-D387)))</f>
        <v>0.3166367694</v>
      </c>
      <c r="T387" s="15">
        <f t="shared" si="3"/>
        <v>0.3015113446</v>
      </c>
      <c r="U387" s="15">
        <f t="shared" si="4"/>
        <v>0.04339526276</v>
      </c>
      <c r="V387" s="16">
        <f>IF(AND(L387="Among all respondents",NOT(OR(K387="Online poll in Telegram channel",K387="Website online poll",K387="CAWI (Computer Assisted Web Interviewing)"))),1/(1-MIN(MAX(Formula!$C$33+(YEAR(D387)-Formula!$C$34)/(Formula!$C$35-Formula!$C$34)*(Formula!$C$32-Formula!$C$33),Formula!$C$33),Formula!$C$32)),1)</f>
        <v>1</v>
      </c>
      <c r="W387" s="17">
        <f t="shared" si="5"/>
        <v>1.2</v>
      </c>
    </row>
    <row r="388" ht="15.75" customHeight="1">
      <c r="A388" s="8" t="s">
        <v>869</v>
      </c>
      <c r="B388" s="7" t="s">
        <v>860</v>
      </c>
      <c r="C388" s="13" t="s">
        <v>861</v>
      </c>
      <c r="D388" s="7" t="s">
        <v>80</v>
      </c>
      <c r="E388" s="8" t="s">
        <v>40</v>
      </c>
      <c r="F388" s="8" t="s">
        <v>318</v>
      </c>
      <c r="G388" s="7" t="s">
        <v>83</v>
      </c>
      <c r="H388" s="7" t="s">
        <v>862</v>
      </c>
      <c r="I388" s="8">
        <v>2000.0</v>
      </c>
      <c r="J388" s="8">
        <v>2.2</v>
      </c>
      <c r="K388" s="8" t="s">
        <v>467</v>
      </c>
      <c r="L388" s="8" t="s">
        <v>322</v>
      </c>
      <c r="M388" s="8" t="s">
        <v>343</v>
      </c>
      <c r="N388" s="8">
        <v>1.2</v>
      </c>
      <c r="O388" s="14">
        <f t="shared" si="1"/>
        <v>45261</v>
      </c>
      <c r="P388" s="15">
        <f>IFERROR(VLOOKUP(K388,Formula!$A$11:$B$20,2,FALSE),Formula!$C$26)</f>
        <v>1</v>
      </c>
      <c r="Q388" s="15">
        <f>IF(AND(ISNUMBER(J388),J388&gt;0),1/J388,IF(AND(ISNUMBER(I388),I388&gt;0),SQRT(MIN(I388,Formula!$C$27))/Formula!$C$24,1/Formula!$C$25))</f>
        <v>0.4545454545</v>
      </c>
      <c r="R388" s="15">
        <f t="shared" si="2"/>
        <v>0.4545454545</v>
      </c>
      <c r="S388" s="15">
        <f>IF(H388&lt;&gt;"",EXP(-Formula!$C$28*(EOMONTH(H388,0)-H388)),EXP(-Formula!$C$28*(EOMONTH(D388,0)-D388)))</f>
        <v>0.3166367694</v>
      </c>
      <c r="T388" s="15">
        <f t="shared" si="3"/>
        <v>0.3015113446</v>
      </c>
      <c r="U388" s="15">
        <f t="shared" si="4"/>
        <v>0.04339526276</v>
      </c>
      <c r="V388" s="16">
        <f>IF(AND(L388="Among all respondents",NOT(OR(K388="Online poll in Telegram channel",K388="Website online poll",K388="CAWI (Computer Assisted Web Interviewing)"))),1/(1-MIN(MAX(Formula!$C$33+(YEAR(D388)-Formula!$C$34)/(Formula!$C$35-Formula!$C$34)*(Formula!$C$32-Formula!$C$33),Formula!$C$33),Formula!$C$32)),1)</f>
        <v>1</v>
      </c>
      <c r="W388" s="17">
        <f t="shared" si="5"/>
        <v>1.2</v>
      </c>
    </row>
    <row r="389" ht="15.75" customHeight="1">
      <c r="A389" s="8" t="s">
        <v>870</v>
      </c>
      <c r="B389" s="7" t="s">
        <v>860</v>
      </c>
      <c r="C389" s="13" t="s">
        <v>861</v>
      </c>
      <c r="D389" s="7" t="s">
        <v>80</v>
      </c>
      <c r="E389" s="8" t="s">
        <v>40</v>
      </c>
      <c r="F389" s="8" t="s">
        <v>318</v>
      </c>
      <c r="G389" s="7" t="s">
        <v>83</v>
      </c>
      <c r="H389" s="7" t="s">
        <v>862</v>
      </c>
      <c r="I389" s="8">
        <v>2000.0</v>
      </c>
      <c r="J389" s="8">
        <v>2.2</v>
      </c>
      <c r="K389" s="8" t="s">
        <v>467</v>
      </c>
      <c r="L389" s="8" t="s">
        <v>322</v>
      </c>
      <c r="M389" s="8" t="s">
        <v>359</v>
      </c>
      <c r="N389" s="8">
        <v>1.1</v>
      </c>
      <c r="O389" s="14">
        <f t="shared" si="1"/>
        <v>45261</v>
      </c>
      <c r="P389" s="15">
        <f>IFERROR(VLOOKUP(K389,Formula!$A$11:$B$20,2,FALSE),Formula!$C$26)</f>
        <v>1</v>
      </c>
      <c r="Q389" s="15">
        <f>IF(AND(ISNUMBER(J389),J389&gt;0),1/J389,IF(AND(ISNUMBER(I389),I389&gt;0),SQRT(MIN(I389,Formula!$C$27))/Formula!$C$24,1/Formula!$C$25))</f>
        <v>0.4545454545</v>
      </c>
      <c r="R389" s="15">
        <f t="shared" si="2"/>
        <v>0.4545454545</v>
      </c>
      <c r="S389" s="15">
        <f>IF(H389&lt;&gt;"",EXP(-Formula!$C$28*(EOMONTH(H389,0)-H389)),EXP(-Formula!$C$28*(EOMONTH(D389,0)-D389)))</f>
        <v>0.3166367694</v>
      </c>
      <c r="T389" s="15">
        <f t="shared" si="3"/>
        <v>0.3015113446</v>
      </c>
      <c r="U389" s="15">
        <f t="shared" si="4"/>
        <v>0.04339526276</v>
      </c>
      <c r="V389" s="16">
        <f>IF(AND(L389="Among all respondents",NOT(OR(K389="Online poll in Telegram channel",K389="Website online poll",K389="CAWI (Computer Assisted Web Interviewing)"))),1/(1-MIN(MAX(Formula!$C$33+(YEAR(D389)-Formula!$C$34)/(Formula!$C$35-Formula!$C$34)*(Formula!$C$32-Formula!$C$33),Formula!$C$33),Formula!$C$32)),1)</f>
        <v>1</v>
      </c>
      <c r="W389" s="17">
        <f t="shared" si="5"/>
        <v>1.1</v>
      </c>
    </row>
    <row r="390" ht="15.75" customHeight="1">
      <c r="A390" s="8" t="s">
        <v>871</v>
      </c>
      <c r="B390" s="7" t="s">
        <v>860</v>
      </c>
      <c r="C390" s="13" t="s">
        <v>861</v>
      </c>
      <c r="D390" s="7" t="s">
        <v>80</v>
      </c>
      <c r="E390" s="8" t="s">
        <v>40</v>
      </c>
      <c r="F390" s="8" t="s">
        <v>318</v>
      </c>
      <c r="G390" s="7" t="s">
        <v>83</v>
      </c>
      <c r="H390" s="7" t="s">
        <v>862</v>
      </c>
      <c r="I390" s="8">
        <v>2000.0</v>
      </c>
      <c r="J390" s="8">
        <v>2.2</v>
      </c>
      <c r="K390" s="8" t="s">
        <v>467</v>
      </c>
      <c r="L390" s="8" t="s">
        <v>322</v>
      </c>
      <c r="M390" s="8" t="s">
        <v>362</v>
      </c>
      <c r="N390" s="8">
        <v>0.9</v>
      </c>
      <c r="O390" s="14">
        <f t="shared" si="1"/>
        <v>45261</v>
      </c>
      <c r="P390" s="15">
        <f>IFERROR(VLOOKUP(K390,Formula!$A$11:$B$20,2,FALSE),Formula!$C$26)</f>
        <v>1</v>
      </c>
      <c r="Q390" s="15">
        <f>IF(AND(ISNUMBER(J390),J390&gt;0),1/J390,IF(AND(ISNUMBER(I390),I390&gt;0),SQRT(MIN(I390,Formula!$C$27))/Formula!$C$24,1/Formula!$C$25))</f>
        <v>0.4545454545</v>
      </c>
      <c r="R390" s="15">
        <f t="shared" si="2"/>
        <v>0.4545454545</v>
      </c>
      <c r="S390" s="15">
        <f>IF(H390&lt;&gt;"",EXP(-Formula!$C$28*(EOMONTH(H390,0)-H390)),EXP(-Formula!$C$28*(EOMONTH(D390,0)-D390)))</f>
        <v>0.3166367694</v>
      </c>
      <c r="T390" s="15">
        <f t="shared" si="3"/>
        <v>0.3015113446</v>
      </c>
      <c r="U390" s="15">
        <f t="shared" si="4"/>
        <v>0.04339526276</v>
      </c>
      <c r="V390" s="16">
        <f>IF(AND(L390="Among all respondents",NOT(OR(K390="Online poll in Telegram channel",K390="Website online poll",K390="CAWI (Computer Assisted Web Interviewing)"))),1/(1-MIN(MAX(Formula!$C$33+(YEAR(D390)-Formula!$C$34)/(Formula!$C$35-Formula!$C$34)*(Formula!$C$32-Formula!$C$33),Formula!$C$33),Formula!$C$32)),1)</f>
        <v>1</v>
      </c>
      <c r="W390" s="17">
        <f t="shared" si="5"/>
        <v>0.9</v>
      </c>
    </row>
    <row r="391" ht="15.75" customHeight="1">
      <c r="A391" s="8" t="s">
        <v>872</v>
      </c>
      <c r="B391" s="7" t="s">
        <v>860</v>
      </c>
      <c r="C391" s="13" t="s">
        <v>861</v>
      </c>
      <c r="D391" s="7" t="s">
        <v>80</v>
      </c>
      <c r="E391" s="8" t="s">
        <v>40</v>
      </c>
      <c r="F391" s="8" t="s">
        <v>318</v>
      </c>
      <c r="G391" s="7" t="s">
        <v>83</v>
      </c>
      <c r="H391" s="7" t="s">
        <v>862</v>
      </c>
      <c r="I391" s="8">
        <v>2000.0</v>
      </c>
      <c r="J391" s="8">
        <v>2.2</v>
      </c>
      <c r="K391" s="8" t="s">
        <v>467</v>
      </c>
      <c r="L391" s="8" t="s">
        <v>322</v>
      </c>
      <c r="M391" s="8" t="s">
        <v>840</v>
      </c>
      <c r="N391" s="8">
        <v>0.9</v>
      </c>
      <c r="O391" s="14">
        <f t="shared" si="1"/>
        <v>45261</v>
      </c>
      <c r="P391" s="15">
        <f>IFERROR(VLOOKUP(K391,Formula!$A$11:$B$20,2,FALSE),Formula!$C$26)</f>
        <v>1</v>
      </c>
      <c r="Q391" s="15">
        <f>IF(AND(ISNUMBER(J391),J391&gt;0),1/J391,IF(AND(ISNUMBER(I391),I391&gt;0),SQRT(MIN(I391,Formula!$C$27))/Formula!$C$24,1/Formula!$C$25))</f>
        <v>0.4545454545</v>
      </c>
      <c r="R391" s="15">
        <f t="shared" si="2"/>
        <v>0.4545454545</v>
      </c>
      <c r="S391" s="15">
        <f>IF(H391&lt;&gt;"",EXP(-Formula!$C$28*(EOMONTH(H391,0)-H391)),EXP(-Formula!$C$28*(EOMONTH(D391,0)-D391)))</f>
        <v>0.3166367694</v>
      </c>
      <c r="T391" s="15">
        <f t="shared" si="3"/>
        <v>0.3015113446</v>
      </c>
      <c r="U391" s="15">
        <f t="shared" si="4"/>
        <v>0.04339526276</v>
      </c>
      <c r="V391" s="16">
        <f>IF(AND(L391="Among all respondents",NOT(OR(K391="Online poll in Telegram channel",K391="Website online poll",K391="CAWI (Computer Assisted Web Interviewing)"))),1/(1-MIN(MAX(Formula!$C$33+(YEAR(D391)-Formula!$C$34)/(Formula!$C$35-Formula!$C$34)*(Formula!$C$32-Formula!$C$33),Formula!$C$33),Formula!$C$32)),1)</f>
        <v>1</v>
      </c>
      <c r="W391" s="17">
        <f t="shared" si="5"/>
        <v>0.9</v>
      </c>
    </row>
    <row r="392" ht="15.75" customHeight="1">
      <c r="A392" s="8" t="s">
        <v>873</v>
      </c>
      <c r="B392" s="7" t="s">
        <v>874</v>
      </c>
      <c r="C392" s="13" t="s">
        <v>875</v>
      </c>
      <c r="D392" s="7" t="s">
        <v>83</v>
      </c>
      <c r="E392" s="8" t="s">
        <v>85</v>
      </c>
      <c r="F392" s="8" t="s">
        <v>318</v>
      </c>
      <c r="G392" s="7" t="s">
        <v>876</v>
      </c>
      <c r="H392" s="7" t="s">
        <v>83</v>
      </c>
      <c r="I392" s="8">
        <v>17200.0</v>
      </c>
      <c r="K392" s="8" t="s">
        <v>877</v>
      </c>
      <c r="L392" s="8" t="s">
        <v>373</v>
      </c>
      <c r="M392" s="8" t="s">
        <v>323</v>
      </c>
      <c r="N392" s="8">
        <v>45.0</v>
      </c>
      <c r="O392" s="14">
        <f t="shared" si="1"/>
        <v>45231</v>
      </c>
      <c r="P392" s="15">
        <f>IFERROR(VLOOKUP(K392,Formula!$A$11:$B$20,2,FALSE),Formula!$C$26)</f>
        <v>0.2</v>
      </c>
      <c r="Q392" s="15">
        <f>IF(AND(ISNUMBER(J392),J392&gt;0),1/J392,IF(AND(ISNUMBER(I392),I392&gt;0),SQRT(MIN(I392,Formula!$C$27))/Formula!$C$24,1/Formula!$C$25))</f>
        <v>0.7215375318</v>
      </c>
      <c r="R392" s="15">
        <f t="shared" si="2"/>
        <v>0.1443075064</v>
      </c>
      <c r="S392" s="15">
        <f>IF(H392&lt;&gt;"",EXP(-Formula!$C$28*(EOMONTH(H392,0)-H392)),EXP(-Formula!$C$28*(EOMONTH(D392,0)-D392)))</f>
        <v>0.2592402606</v>
      </c>
      <c r="T392" s="15">
        <f t="shared" si="3"/>
        <v>0.377964473</v>
      </c>
      <c r="U392" s="15">
        <f t="shared" si="4"/>
        <v>0.01413977021</v>
      </c>
      <c r="V392" s="16">
        <f>IF(AND(L392="Among all respondents",NOT(OR(K392="Online poll in Telegram channel",K392="Website online poll",K392="CAWI (Computer Assisted Web Interviewing)"))),1/(1-MIN(MAX(Formula!$C$33+(YEAR(D392)-Formula!$C$34)/(Formula!$C$35-Formula!$C$34)*(Formula!$C$32-Formula!$C$33),Formula!$C$33),Formula!$C$32)),1)</f>
        <v>1</v>
      </c>
      <c r="W392" s="17">
        <f t="shared" si="5"/>
        <v>45</v>
      </c>
    </row>
    <row r="393" ht="15.75" customHeight="1">
      <c r="A393" s="8" t="s">
        <v>878</v>
      </c>
      <c r="B393" s="7" t="s">
        <v>874</v>
      </c>
      <c r="C393" s="13" t="s">
        <v>875</v>
      </c>
      <c r="D393" s="7" t="s">
        <v>83</v>
      </c>
      <c r="E393" s="8" t="s">
        <v>85</v>
      </c>
      <c r="F393" s="8" t="s">
        <v>318</v>
      </c>
      <c r="G393" s="7" t="s">
        <v>876</v>
      </c>
      <c r="H393" s="7" t="s">
        <v>83</v>
      </c>
      <c r="I393" s="8">
        <v>17200.0</v>
      </c>
      <c r="K393" s="8" t="s">
        <v>877</v>
      </c>
      <c r="L393" s="8" t="s">
        <v>373</v>
      </c>
      <c r="M393" s="8" t="s">
        <v>329</v>
      </c>
      <c r="N393" s="8">
        <v>19.0</v>
      </c>
      <c r="O393" s="14">
        <f t="shared" si="1"/>
        <v>45231</v>
      </c>
      <c r="P393" s="15">
        <f>IFERROR(VLOOKUP(K393,Formula!$A$11:$B$20,2,FALSE),Formula!$C$26)</f>
        <v>0.2</v>
      </c>
      <c r="Q393" s="15">
        <f>IF(AND(ISNUMBER(J393),J393&gt;0),1/J393,IF(AND(ISNUMBER(I393),I393&gt;0),SQRT(MIN(I393,Formula!$C$27))/Formula!$C$24,1/Formula!$C$25))</f>
        <v>0.7215375318</v>
      </c>
      <c r="R393" s="15">
        <f t="shared" si="2"/>
        <v>0.1443075064</v>
      </c>
      <c r="S393" s="15">
        <f>IF(H393&lt;&gt;"",EXP(-Formula!$C$28*(EOMONTH(H393,0)-H393)),EXP(-Formula!$C$28*(EOMONTH(D393,0)-D393)))</f>
        <v>0.2592402606</v>
      </c>
      <c r="T393" s="15">
        <f t="shared" si="3"/>
        <v>0.377964473</v>
      </c>
      <c r="U393" s="15">
        <f t="shared" si="4"/>
        <v>0.01413977021</v>
      </c>
      <c r="V393" s="16">
        <f>IF(AND(L393="Among all respondents",NOT(OR(K393="Online poll in Telegram channel",K393="Website online poll",K393="CAWI (Computer Assisted Web Interviewing)"))),1/(1-MIN(MAX(Formula!$C$33+(YEAR(D393)-Formula!$C$34)/(Formula!$C$35-Formula!$C$34)*(Formula!$C$32-Formula!$C$33),Formula!$C$33),Formula!$C$32)),1)</f>
        <v>1</v>
      </c>
      <c r="W393" s="17">
        <f t="shared" si="5"/>
        <v>19</v>
      </c>
    </row>
    <row r="394" ht="15.75" customHeight="1">
      <c r="A394" s="8" t="s">
        <v>879</v>
      </c>
      <c r="B394" s="7" t="s">
        <v>874</v>
      </c>
      <c r="C394" s="13" t="s">
        <v>875</v>
      </c>
      <c r="D394" s="7" t="s">
        <v>83</v>
      </c>
      <c r="E394" s="8" t="s">
        <v>85</v>
      </c>
      <c r="F394" s="8" t="s">
        <v>318</v>
      </c>
      <c r="G394" s="7" t="s">
        <v>876</v>
      </c>
      <c r="H394" s="7" t="s">
        <v>83</v>
      </c>
      <c r="I394" s="8">
        <v>17200.0</v>
      </c>
      <c r="K394" s="8" t="s">
        <v>877</v>
      </c>
      <c r="L394" s="8" t="s">
        <v>373</v>
      </c>
      <c r="M394" s="8" t="s">
        <v>325</v>
      </c>
      <c r="N394" s="8">
        <v>15.0</v>
      </c>
      <c r="O394" s="14">
        <f t="shared" si="1"/>
        <v>45231</v>
      </c>
      <c r="P394" s="15">
        <f>IFERROR(VLOOKUP(K394,Formula!$A$11:$B$20,2,FALSE),Formula!$C$26)</f>
        <v>0.2</v>
      </c>
      <c r="Q394" s="15">
        <f>IF(AND(ISNUMBER(J394),J394&gt;0),1/J394,IF(AND(ISNUMBER(I394),I394&gt;0),SQRT(MIN(I394,Formula!$C$27))/Formula!$C$24,1/Formula!$C$25))</f>
        <v>0.7215375318</v>
      </c>
      <c r="R394" s="15">
        <f t="shared" si="2"/>
        <v>0.1443075064</v>
      </c>
      <c r="S394" s="15">
        <f>IF(H394&lt;&gt;"",EXP(-Formula!$C$28*(EOMONTH(H394,0)-H394)),EXP(-Formula!$C$28*(EOMONTH(D394,0)-D394)))</f>
        <v>0.2592402606</v>
      </c>
      <c r="T394" s="15">
        <f t="shared" si="3"/>
        <v>0.377964473</v>
      </c>
      <c r="U394" s="15">
        <f t="shared" si="4"/>
        <v>0.01413977021</v>
      </c>
      <c r="V394" s="16">
        <f>IF(AND(L394="Among all respondents",NOT(OR(K394="Online poll in Telegram channel",K394="Website online poll",K394="CAWI (Computer Assisted Web Interviewing)"))),1/(1-MIN(MAX(Formula!$C$33+(YEAR(D394)-Formula!$C$34)/(Formula!$C$35-Formula!$C$34)*(Formula!$C$32-Formula!$C$33),Formula!$C$33),Formula!$C$32)),1)</f>
        <v>1</v>
      </c>
      <c r="W394" s="17">
        <f t="shared" si="5"/>
        <v>15</v>
      </c>
    </row>
    <row r="395" ht="15.75" customHeight="1">
      <c r="A395" s="8" t="s">
        <v>880</v>
      </c>
      <c r="B395" s="7" t="s">
        <v>874</v>
      </c>
      <c r="C395" s="13" t="s">
        <v>875</v>
      </c>
      <c r="D395" s="7" t="s">
        <v>83</v>
      </c>
      <c r="E395" s="8" t="s">
        <v>85</v>
      </c>
      <c r="F395" s="8" t="s">
        <v>318</v>
      </c>
      <c r="G395" s="7" t="s">
        <v>876</v>
      </c>
      <c r="H395" s="7" t="s">
        <v>83</v>
      </c>
      <c r="I395" s="8">
        <v>17200.0</v>
      </c>
      <c r="K395" s="8" t="s">
        <v>877</v>
      </c>
      <c r="L395" s="8" t="s">
        <v>373</v>
      </c>
      <c r="M395" s="8" t="s">
        <v>337</v>
      </c>
      <c r="N395" s="8">
        <v>2.0</v>
      </c>
      <c r="O395" s="14">
        <f t="shared" si="1"/>
        <v>45231</v>
      </c>
      <c r="P395" s="15">
        <f>IFERROR(VLOOKUP(K395,Formula!$A$11:$B$20,2,FALSE),Formula!$C$26)</f>
        <v>0.2</v>
      </c>
      <c r="Q395" s="15">
        <f>IF(AND(ISNUMBER(J395),J395&gt;0),1/J395,IF(AND(ISNUMBER(I395),I395&gt;0),SQRT(MIN(I395,Formula!$C$27))/Formula!$C$24,1/Formula!$C$25))</f>
        <v>0.7215375318</v>
      </c>
      <c r="R395" s="15">
        <f t="shared" si="2"/>
        <v>0.1443075064</v>
      </c>
      <c r="S395" s="15">
        <f>IF(H395&lt;&gt;"",EXP(-Formula!$C$28*(EOMONTH(H395,0)-H395)),EXP(-Formula!$C$28*(EOMONTH(D395,0)-D395)))</f>
        <v>0.2592402606</v>
      </c>
      <c r="T395" s="15">
        <f t="shared" si="3"/>
        <v>0.377964473</v>
      </c>
      <c r="U395" s="15">
        <f t="shared" si="4"/>
        <v>0.01413977021</v>
      </c>
      <c r="V395" s="16">
        <f>IF(AND(L395="Among all respondents",NOT(OR(K395="Online poll in Telegram channel",K395="Website online poll",K395="CAWI (Computer Assisted Web Interviewing)"))),1/(1-MIN(MAX(Formula!$C$33+(YEAR(D395)-Formula!$C$34)/(Formula!$C$35-Formula!$C$34)*(Formula!$C$32-Formula!$C$33),Formula!$C$33),Formula!$C$32)),1)</f>
        <v>1</v>
      </c>
      <c r="W395" s="17">
        <f t="shared" si="5"/>
        <v>2</v>
      </c>
    </row>
    <row r="396" ht="15.75" customHeight="1">
      <c r="A396" s="8" t="s">
        <v>881</v>
      </c>
      <c r="B396" s="7" t="s">
        <v>874</v>
      </c>
      <c r="C396" s="13" t="s">
        <v>875</v>
      </c>
      <c r="D396" s="7" t="s">
        <v>83</v>
      </c>
      <c r="E396" s="8" t="s">
        <v>85</v>
      </c>
      <c r="F396" s="8" t="s">
        <v>318</v>
      </c>
      <c r="G396" s="7" t="s">
        <v>876</v>
      </c>
      <c r="H396" s="7" t="s">
        <v>83</v>
      </c>
      <c r="I396" s="8">
        <v>17200.0</v>
      </c>
      <c r="K396" s="8" t="s">
        <v>877</v>
      </c>
      <c r="L396" s="8" t="s">
        <v>373</v>
      </c>
      <c r="M396" s="8" t="s">
        <v>339</v>
      </c>
      <c r="N396" s="8">
        <v>1.0</v>
      </c>
      <c r="O396" s="14">
        <f t="shared" si="1"/>
        <v>45231</v>
      </c>
      <c r="P396" s="15">
        <f>IFERROR(VLOOKUP(K396,Formula!$A$11:$B$20,2,FALSE),Formula!$C$26)</f>
        <v>0.2</v>
      </c>
      <c r="Q396" s="15">
        <f>IF(AND(ISNUMBER(J396),J396&gt;0),1/J396,IF(AND(ISNUMBER(I396),I396&gt;0),SQRT(MIN(I396,Formula!$C$27))/Formula!$C$24,1/Formula!$C$25))</f>
        <v>0.7215375318</v>
      </c>
      <c r="R396" s="15">
        <f t="shared" si="2"/>
        <v>0.1443075064</v>
      </c>
      <c r="S396" s="15">
        <f>IF(H396&lt;&gt;"",EXP(-Formula!$C$28*(EOMONTH(H396,0)-H396)),EXP(-Formula!$C$28*(EOMONTH(D396,0)-D396)))</f>
        <v>0.2592402606</v>
      </c>
      <c r="T396" s="15">
        <f t="shared" si="3"/>
        <v>0.377964473</v>
      </c>
      <c r="U396" s="15">
        <f t="shared" si="4"/>
        <v>0.01413977021</v>
      </c>
      <c r="V396" s="16">
        <f>IF(AND(L396="Among all respondents",NOT(OR(K396="Online poll in Telegram channel",K396="Website online poll",K396="CAWI (Computer Assisted Web Interviewing)"))),1/(1-MIN(MAX(Formula!$C$33+(YEAR(D396)-Formula!$C$34)/(Formula!$C$35-Formula!$C$34)*(Formula!$C$32-Formula!$C$33),Formula!$C$33),Formula!$C$32)),1)</f>
        <v>1</v>
      </c>
      <c r="W396" s="17">
        <f t="shared" si="5"/>
        <v>1</v>
      </c>
    </row>
    <row r="397" ht="15.75" customHeight="1">
      <c r="A397" s="8" t="s">
        <v>882</v>
      </c>
      <c r="B397" s="7" t="s">
        <v>874</v>
      </c>
      <c r="C397" s="13" t="s">
        <v>875</v>
      </c>
      <c r="D397" s="7" t="s">
        <v>83</v>
      </c>
      <c r="E397" s="8" t="s">
        <v>85</v>
      </c>
      <c r="F397" s="8" t="s">
        <v>318</v>
      </c>
      <c r="G397" s="7" t="s">
        <v>876</v>
      </c>
      <c r="H397" s="7" t="s">
        <v>83</v>
      </c>
      <c r="I397" s="8">
        <v>17200.0</v>
      </c>
      <c r="K397" s="8" t="s">
        <v>877</v>
      </c>
      <c r="L397" s="8" t="s">
        <v>373</v>
      </c>
      <c r="M397" s="8" t="s">
        <v>333</v>
      </c>
      <c r="N397" s="8">
        <v>1.0</v>
      </c>
      <c r="O397" s="14">
        <f t="shared" si="1"/>
        <v>45231</v>
      </c>
      <c r="P397" s="15">
        <f>IFERROR(VLOOKUP(K397,Formula!$A$11:$B$20,2,FALSE),Formula!$C$26)</f>
        <v>0.2</v>
      </c>
      <c r="Q397" s="15">
        <f>IF(AND(ISNUMBER(J397),J397&gt;0),1/J397,IF(AND(ISNUMBER(I397),I397&gt;0),SQRT(MIN(I397,Formula!$C$27))/Formula!$C$24,1/Formula!$C$25))</f>
        <v>0.7215375318</v>
      </c>
      <c r="R397" s="15">
        <f t="shared" si="2"/>
        <v>0.1443075064</v>
      </c>
      <c r="S397" s="15">
        <f>IF(H397&lt;&gt;"",EXP(-Formula!$C$28*(EOMONTH(H397,0)-H397)),EXP(-Formula!$C$28*(EOMONTH(D397,0)-D397)))</f>
        <v>0.2592402606</v>
      </c>
      <c r="T397" s="15">
        <f t="shared" si="3"/>
        <v>0.377964473</v>
      </c>
      <c r="U397" s="15">
        <f t="shared" si="4"/>
        <v>0.01413977021</v>
      </c>
      <c r="V397" s="16">
        <f>IF(AND(L397="Among all respondents",NOT(OR(K397="Online poll in Telegram channel",K397="Website online poll",K397="CAWI (Computer Assisted Web Interviewing)"))),1/(1-MIN(MAX(Formula!$C$33+(YEAR(D397)-Formula!$C$34)/(Formula!$C$35-Formula!$C$34)*(Formula!$C$32-Formula!$C$33),Formula!$C$33),Formula!$C$32)),1)</f>
        <v>1</v>
      </c>
      <c r="W397" s="17">
        <f t="shared" si="5"/>
        <v>1</v>
      </c>
    </row>
    <row r="398" ht="15.75" customHeight="1">
      <c r="A398" s="8" t="s">
        <v>883</v>
      </c>
      <c r="B398" s="7" t="s">
        <v>874</v>
      </c>
      <c r="C398" s="13" t="s">
        <v>875</v>
      </c>
      <c r="D398" s="7" t="s">
        <v>83</v>
      </c>
      <c r="E398" s="8" t="s">
        <v>85</v>
      </c>
      <c r="F398" s="8" t="s">
        <v>318</v>
      </c>
      <c r="G398" s="7" t="s">
        <v>876</v>
      </c>
      <c r="H398" s="7" t="s">
        <v>83</v>
      </c>
      <c r="I398" s="8">
        <v>17200.0</v>
      </c>
      <c r="K398" s="8" t="s">
        <v>877</v>
      </c>
      <c r="L398" s="8" t="s">
        <v>373</v>
      </c>
      <c r="M398" s="8" t="s">
        <v>343</v>
      </c>
      <c r="N398" s="8">
        <v>1.0</v>
      </c>
      <c r="O398" s="14">
        <f t="shared" si="1"/>
        <v>45231</v>
      </c>
      <c r="P398" s="15">
        <f>IFERROR(VLOOKUP(K398,Formula!$A$11:$B$20,2,FALSE),Formula!$C$26)</f>
        <v>0.2</v>
      </c>
      <c r="Q398" s="15">
        <f>IF(AND(ISNUMBER(J398),J398&gt;0),1/J398,IF(AND(ISNUMBER(I398),I398&gt;0),SQRT(MIN(I398,Formula!$C$27))/Formula!$C$24,1/Formula!$C$25))</f>
        <v>0.7215375318</v>
      </c>
      <c r="R398" s="15">
        <f t="shared" si="2"/>
        <v>0.1443075064</v>
      </c>
      <c r="S398" s="15">
        <f>IF(H398&lt;&gt;"",EXP(-Formula!$C$28*(EOMONTH(H398,0)-H398)),EXP(-Formula!$C$28*(EOMONTH(D398,0)-D398)))</f>
        <v>0.2592402606</v>
      </c>
      <c r="T398" s="15">
        <f t="shared" si="3"/>
        <v>0.377964473</v>
      </c>
      <c r="U398" s="15">
        <f t="shared" si="4"/>
        <v>0.01413977021</v>
      </c>
      <c r="V398" s="16">
        <f>IF(AND(L398="Among all respondents",NOT(OR(K398="Online poll in Telegram channel",K398="Website online poll",K398="CAWI (Computer Assisted Web Interviewing)"))),1/(1-MIN(MAX(Formula!$C$33+(YEAR(D398)-Formula!$C$34)/(Formula!$C$35-Formula!$C$34)*(Formula!$C$32-Formula!$C$33),Formula!$C$33),Formula!$C$32)),1)</f>
        <v>1</v>
      </c>
      <c r="W398" s="17">
        <f t="shared" si="5"/>
        <v>1</v>
      </c>
    </row>
    <row r="399" ht="15.75" customHeight="1">
      <c r="A399" s="8" t="s">
        <v>884</v>
      </c>
      <c r="B399" s="7" t="s">
        <v>885</v>
      </c>
      <c r="C399" s="13" t="s">
        <v>886</v>
      </c>
      <c r="D399" s="7" t="s">
        <v>86</v>
      </c>
      <c r="E399" s="8" t="s">
        <v>85</v>
      </c>
      <c r="F399" s="8" t="s">
        <v>318</v>
      </c>
      <c r="G399" s="7" t="s">
        <v>887</v>
      </c>
      <c r="H399" s="7" t="s">
        <v>86</v>
      </c>
      <c r="I399" s="8">
        <v>23800.0</v>
      </c>
      <c r="K399" s="8" t="s">
        <v>877</v>
      </c>
      <c r="L399" s="8" t="s">
        <v>373</v>
      </c>
      <c r="M399" s="8" t="s">
        <v>323</v>
      </c>
      <c r="N399" s="8">
        <v>54.0</v>
      </c>
      <c r="O399" s="14">
        <f t="shared" si="1"/>
        <v>45170</v>
      </c>
      <c r="P399" s="15">
        <f>IFERROR(VLOOKUP(K399,Formula!$A$11:$B$20,2,FALSE),Formula!$C$26)</f>
        <v>0.2</v>
      </c>
      <c r="Q399" s="15">
        <f>IF(AND(ISNUMBER(J399),J399&gt;0),1/J399,IF(AND(ISNUMBER(I399),I399&gt;0),SQRT(MIN(I399,Formula!$C$27))/Formula!$C$24,1/Formula!$C$25))</f>
        <v>0.7215375318</v>
      </c>
      <c r="R399" s="15">
        <f t="shared" si="2"/>
        <v>0.1443075064</v>
      </c>
      <c r="S399" s="15">
        <f>IF(H399&lt;&gt;"",EXP(-Formula!$C$28*(EOMONTH(H399,0)-H399)),EXP(-Formula!$C$28*(EOMONTH(D399,0)-D399)))</f>
        <v>0.4274149319</v>
      </c>
      <c r="T399" s="15">
        <f t="shared" si="3"/>
        <v>0.377964473</v>
      </c>
      <c r="U399" s="15">
        <f t="shared" si="4"/>
        <v>0.0233125399</v>
      </c>
      <c r="V399" s="16">
        <f>IF(AND(L399="Among all respondents",NOT(OR(K399="Online poll in Telegram channel",K399="Website online poll",K399="CAWI (Computer Assisted Web Interviewing)"))),1/(1-MIN(MAX(Formula!$C$33+(YEAR(D399)-Formula!$C$34)/(Formula!$C$35-Formula!$C$34)*(Formula!$C$32-Formula!$C$33),Formula!$C$33),Formula!$C$32)),1)</f>
        <v>1</v>
      </c>
      <c r="W399" s="17">
        <f t="shared" si="5"/>
        <v>54</v>
      </c>
    </row>
    <row r="400" ht="15.75" customHeight="1">
      <c r="A400" s="8" t="s">
        <v>888</v>
      </c>
      <c r="B400" s="7" t="s">
        <v>885</v>
      </c>
      <c r="C400" s="13" t="s">
        <v>886</v>
      </c>
      <c r="D400" s="7" t="s">
        <v>86</v>
      </c>
      <c r="E400" s="8" t="s">
        <v>85</v>
      </c>
      <c r="F400" s="8" t="s">
        <v>318</v>
      </c>
      <c r="G400" s="7" t="s">
        <v>887</v>
      </c>
      <c r="H400" s="7" t="s">
        <v>86</v>
      </c>
      <c r="I400" s="8">
        <v>23800.0</v>
      </c>
      <c r="K400" s="8" t="s">
        <v>877</v>
      </c>
      <c r="L400" s="8" t="s">
        <v>373</v>
      </c>
      <c r="M400" s="8" t="s">
        <v>325</v>
      </c>
      <c r="N400" s="8">
        <v>17.0</v>
      </c>
      <c r="O400" s="14">
        <f t="shared" si="1"/>
        <v>45170</v>
      </c>
      <c r="P400" s="15">
        <f>IFERROR(VLOOKUP(K400,Formula!$A$11:$B$20,2,FALSE),Formula!$C$26)</f>
        <v>0.2</v>
      </c>
      <c r="Q400" s="15">
        <f>IF(AND(ISNUMBER(J400),J400&gt;0),1/J400,IF(AND(ISNUMBER(I400),I400&gt;0),SQRT(MIN(I400,Formula!$C$27))/Formula!$C$24,1/Formula!$C$25))</f>
        <v>0.7215375318</v>
      </c>
      <c r="R400" s="15">
        <f t="shared" si="2"/>
        <v>0.1443075064</v>
      </c>
      <c r="S400" s="15">
        <f>IF(H400&lt;&gt;"",EXP(-Formula!$C$28*(EOMONTH(H400,0)-H400)),EXP(-Formula!$C$28*(EOMONTH(D400,0)-D400)))</f>
        <v>0.4274149319</v>
      </c>
      <c r="T400" s="15">
        <f t="shared" si="3"/>
        <v>0.377964473</v>
      </c>
      <c r="U400" s="15">
        <f t="shared" si="4"/>
        <v>0.0233125399</v>
      </c>
      <c r="V400" s="16">
        <f>IF(AND(L400="Among all respondents",NOT(OR(K400="Online poll in Telegram channel",K400="Website online poll",K400="CAWI (Computer Assisted Web Interviewing)"))),1/(1-MIN(MAX(Formula!$C$33+(YEAR(D400)-Formula!$C$34)/(Formula!$C$35-Formula!$C$34)*(Formula!$C$32-Formula!$C$33),Formula!$C$33),Formula!$C$32)),1)</f>
        <v>1</v>
      </c>
      <c r="W400" s="17">
        <f t="shared" si="5"/>
        <v>17</v>
      </c>
    </row>
    <row r="401" ht="15.75" customHeight="1">
      <c r="A401" s="8" t="s">
        <v>889</v>
      </c>
      <c r="B401" s="7" t="s">
        <v>885</v>
      </c>
      <c r="C401" s="13" t="s">
        <v>886</v>
      </c>
      <c r="D401" s="7" t="s">
        <v>86</v>
      </c>
      <c r="E401" s="8" t="s">
        <v>85</v>
      </c>
      <c r="F401" s="8" t="s">
        <v>318</v>
      </c>
      <c r="G401" s="7" t="s">
        <v>887</v>
      </c>
      <c r="H401" s="7" t="s">
        <v>86</v>
      </c>
      <c r="I401" s="8">
        <v>23800.0</v>
      </c>
      <c r="K401" s="8" t="s">
        <v>877</v>
      </c>
      <c r="L401" s="8" t="s">
        <v>373</v>
      </c>
      <c r="M401" s="8" t="s">
        <v>329</v>
      </c>
      <c r="N401" s="8">
        <v>7.0</v>
      </c>
      <c r="O401" s="14">
        <f t="shared" si="1"/>
        <v>45170</v>
      </c>
      <c r="P401" s="15">
        <f>IFERROR(VLOOKUP(K401,Formula!$A$11:$B$20,2,FALSE),Formula!$C$26)</f>
        <v>0.2</v>
      </c>
      <c r="Q401" s="15">
        <f>IF(AND(ISNUMBER(J401),J401&gt;0),1/J401,IF(AND(ISNUMBER(I401),I401&gt;0),SQRT(MIN(I401,Formula!$C$27))/Formula!$C$24,1/Formula!$C$25))</f>
        <v>0.7215375318</v>
      </c>
      <c r="R401" s="15">
        <f t="shared" si="2"/>
        <v>0.1443075064</v>
      </c>
      <c r="S401" s="15">
        <f>IF(H401&lt;&gt;"",EXP(-Formula!$C$28*(EOMONTH(H401,0)-H401)),EXP(-Formula!$C$28*(EOMONTH(D401,0)-D401)))</f>
        <v>0.4274149319</v>
      </c>
      <c r="T401" s="15">
        <f t="shared" si="3"/>
        <v>0.377964473</v>
      </c>
      <c r="U401" s="15">
        <f t="shared" si="4"/>
        <v>0.0233125399</v>
      </c>
      <c r="V401" s="16">
        <f>IF(AND(L401="Among all respondents",NOT(OR(K401="Online poll in Telegram channel",K401="Website online poll",K401="CAWI (Computer Assisted Web Interviewing)"))),1/(1-MIN(MAX(Formula!$C$33+(YEAR(D401)-Formula!$C$34)/(Formula!$C$35-Formula!$C$34)*(Formula!$C$32-Formula!$C$33),Formula!$C$33),Formula!$C$32)),1)</f>
        <v>1</v>
      </c>
      <c r="W401" s="17">
        <f t="shared" si="5"/>
        <v>7</v>
      </c>
    </row>
    <row r="402" ht="15.75" customHeight="1">
      <c r="A402" s="8" t="s">
        <v>890</v>
      </c>
      <c r="B402" s="7" t="s">
        <v>885</v>
      </c>
      <c r="C402" s="13" t="s">
        <v>886</v>
      </c>
      <c r="D402" s="7" t="s">
        <v>86</v>
      </c>
      <c r="E402" s="8" t="s">
        <v>85</v>
      </c>
      <c r="F402" s="8" t="s">
        <v>318</v>
      </c>
      <c r="G402" s="7" t="s">
        <v>887</v>
      </c>
      <c r="H402" s="7" t="s">
        <v>86</v>
      </c>
      <c r="I402" s="8">
        <v>23800.0</v>
      </c>
      <c r="K402" s="8" t="s">
        <v>877</v>
      </c>
      <c r="L402" s="8" t="s">
        <v>373</v>
      </c>
      <c r="M402" s="8" t="s">
        <v>337</v>
      </c>
      <c r="N402" s="8">
        <v>2.0</v>
      </c>
      <c r="O402" s="14">
        <f t="shared" si="1"/>
        <v>45170</v>
      </c>
      <c r="P402" s="15">
        <f>IFERROR(VLOOKUP(K402,Formula!$A$11:$B$20,2,FALSE),Formula!$C$26)</f>
        <v>0.2</v>
      </c>
      <c r="Q402" s="15">
        <f>IF(AND(ISNUMBER(J402),J402&gt;0),1/J402,IF(AND(ISNUMBER(I402),I402&gt;0),SQRT(MIN(I402,Formula!$C$27))/Formula!$C$24,1/Formula!$C$25))</f>
        <v>0.7215375318</v>
      </c>
      <c r="R402" s="15">
        <f t="shared" si="2"/>
        <v>0.1443075064</v>
      </c>
      <c r="S402" s="15">
        <f>IF(H402&lt;&gt;"",EXP(-Formula!$C$28*(EOMONTH(H402,0)-H402)),EXP(-Formula!$C$28*(EOMONTH(D402,0)-D402)))</f>
        <v>0.4274149319</v>
      </c>
      <c r="T402" s="15">
        <f t="shared" si="3"/>
        <v>0.377964473</v>
      </c>
      <c r="U402" s="15">
        <f t="shared" si="4"/>
        <v>0.0233125399</v>
      </c>
      <c r="V402" s="16">
        <f>IF(AND(L402="Among all respondents",NOT(OR(K402="Online poll in Telegram channel",K402="Website online poll",K402="CAWI (Computer Assisted Web Interviewing)"))),1/(1-MIN(MAX(Formula!$C$33+(YEAR(D402)-Formula!$C$34)/(Formula!$C$35-Formula!$C$34)*(Formula!$C$32-Formula!$C$33),Formula!$C$33),Formula!$C$32)),1)</f>
        <v>1</v>
      </c>
      <c r="W402" s="17">
        <f t="shared" si="5"/>
        <v>2</v>
      </c>
    </row>
    <row r="403" ht="15.75" customHeight="1">
      <c r="A403" s="8" t="s">
        <v>891</v>
      </c>
      <c r="B403" s="7" t="s">
        <v>885</v>
      </c>
      <c r="C403" s="13" t="s">
        <v>886</v>
      </c>
      <c r="D403" s="7" t="s">
        <v>86</v>
      </c>
      <c r="E403" s="8" t="s">
        <v>85</v>
      </c>
      <c r="F403" s="8" t="s">
        <v>318</v>
      </c>
      <c r="G403" s="7" t="s">
        <v>887</v>
      </c>
      <c r="H403" s="7" t="s">
        <v>86</v>
      </c>
      <c r="I403" s="8">
        <v>23800.0</v>
      </c>
      <c r="K403" s="8" t="s">
        <v>877</v>
      </c>
      <c r="L403" s="8" t="s">
        <v>373</v>
      </c>
      <c r="M403" s="8" t="s">
        <v>339</v>
      </c>
      <c r="N403" s="8">
        <v>1.0</v>
      </c>
      <c r="O403" s="14">
        <f t="shared" si="1"/>
        <v>45170</v>
      </c>
      <c r="P403" s="15">
        <f>IFERROR(VLOOKUP(K403,Formula!$A$11:$B$20,2,FALSE),Formula!$C$26)</f>
        <v>0.2</v>
      </c>
      <c r="Q403" s="15">
        <f>IF(AND(ISNUMBER(J403),J403&gt;0),1/J403,IF(AND(ISNUMBER(I403),I403&gt;0),SQRT(MIN(I403,Formula!$C$27))/Formula!$C$24,1/Formula!$C$25))</f>
        <v>0.7215375318</v>
      </c>
      <c r="R403" s="15">
        <f t="shared" si="2"/>
        <v>0.1443075064</v>
      </c>
      <c r="S403" s="15">
        <f>IF(H403&lt;&gt;"",EXP(-Formula!$C$28*(EOMONTH(H403,0)-H403)),EXP(-Formula!$C$28*(EOMONTH(D403,0)-D403)))</f>
        <v>0.4274149319</v>
      </c>
      <c r="T403" s="15">
        <f t="shared" si="3"/>
        <v>0.377964473</v>
      </c>
      <c r="U403" s="15">
        <f t="shared" si="4"/>
        <v>0.0233125399</v>
      </c>
      <c r="V403" s="16">
        <f>IF(AND(L403="Among all respondents",NOT(OR(K403="Online poll in Telegram channel",K403="Website online poll",K403="CAWI (Computer Assisted Web Interviewing)"))),1/(1-MIN(MAX(Formula!$C$33+(YEAR(D403)-Formula!$C$34)/(Formula!$C$35-Formula!$C$34)*(Formula!$C$32-Formula!$C$33),Formula!$C$33),Formula!$C$32)),1)</f>
        <v>1</v>
      </c>
      <c r="W403" s="17">
        <f t="shared" si="5"/>
        <v>1</v>
      </c>
    </row>
    <row r="404" ht="15.75" customHeight="1">
      <c r="A404" s="8" t="s">
        <v>892</v>
      </c>
      <c r="B404" s="7" t="s">
        <v>885</v>
      </c>
      <c r="C404" s="13" t="s">
        <v>886</v>
      </c>
      <c r="D404" s="7" t="s">
        <v>86</v>
      </c>
      <c r="E404" s="8" t="s">
        <v>85</v>
      </c>
      <c r="F404" s="8" t="s">
        <v>318</v>
      </c>
      <c r="G404" s="7" t="s">
        <v>887</v>
      </c>
      <c r="H404" s="7" t="s">
        <v>86</v>
      </c>
      <c r="I404" s="8">
        <v>23800.0</v>
      </c>
      <c r="K404" s="8" t="s">
        <v>877</v>
      </c>
      <c r="L404" s="8" t="s">
        <v>373</v>
      </c>
      <c r="M404" s="8" t="s">
        <v>327</v>
      </c>
      <c r="N404" s="8">
        <v>1.0</v>
      </c>
      <c r="O404" s="14">
        <f t="shared" si="1"/>
        <v>45170</v>
      </c>
      <c r="P404" s="15">
        <f>IFERROR(VLOOKUP(K404,Formula!$A$11:$B$20,2,FALSE),Formula!$C$26)</f>
        <v>0.2</v>
      </c>
      <c r="Q404" s="15">
        <f>IF(AND(ISNUMBER(J404),J404&gt;0),1/J404,IF(AND(ISNUMBER(I404),I404&gt;0),SQRT(MIN(I404,Formula!$C$27))/Formula!$C$24,1/Formula!$C$25))</f>
        <v>0.7215375318</v>
      </c>
      <c r="R404" s="15">
        <f t="shared" si="2"/>
        <v>0.1443075064</v>
      </c>
      <c r="S404" s="15">
        <f>IF(H404&lt;&gt;"",EXP(-Formula!$C$28*(EOMONTH(H404,0)-H404)),EXP(-Formula!$C$28*(EOMONTH(D404,0)-D404)))</f>
        <v>0.4274149319</v>
      </c>
      <c r="T404" s="15">
        <f t="shared" si="3"/>
        <v>0.377964473</v>
      </c>
      <c r="U404" s="15">
        <f t="shared" si="4"/>
        <v>0.0233125399</v>
      </c>
      <c r="V404" s="16">
        <f>IF(AND(L404="Among all respondents",NOT(OR(K404="Online poll in Telegram channel",K404="Website online poll",K404="CAWI (Computer Assisted Web Interviewing)"))),1/(1-MIN(MAX(Formula!$C$33+(YEAR(D404)-Formula!$C$34)/(Formula!$C$35-Formula!$C$34)*(Formula!$C$32-Formula!$C$33),Formula!$C$33),Formula!$C$32)),1)</f>
        <v>1</v>
      </c>
      <c r="W404" s="17">
        <f t="shared" si="5"/>
        <v>1</v>
      </c>
    </row>
    <row r="405" ht="15.75" customHeight="1">
      <c r="A405" s="8" t="s">
        <v>893</v>
      </c>
      <c r="B405" s="7" t="s">
        <v>885</v>
      </c>
      <c r="C405" s="13" t="s">
        <v>886</v>
      </c>
      <c r="D405" s="7" t="s">
        <v>86</v>
      </c>
      <c r="E405" s="8" t="s">
        <v>85</v>
      </c>
      <c r="F405" s="8" t="s">
        <v>318</v>
      </c>
      <c r="G405" s="7" t="s">
        <v>887</v>
      </c>
      <c r="H405" s="7" t="s">
        <v>86</v>
      </c>
      <c r="I405" s="8">
        <v>23800.0</v>
      </c>
      <c r="K405" s="8" t="s">
        <v>877</v>
      </c>
      <c r="L405" s="8" t="s">
        <v>373</v>
      </c>
      <c r="M405" s="8" t="s">
        <v>343</v>
      </c>
      <c r="N405" s="8">
        <v>1.0</v>
      </c>
      <c r="O405" s="14">
        <f t="shared" si="1"/>
        <v>45170</v>
      </c>
      <c r="P405" s="15">
        <f>IFERROR(VLOOKUP(K405,Formula!$A$11:$B$20,2,FALSE),Formula!$C$26)</f>
        <v>0.2</v>
      </c>
      <c r="Q405" s="15">
        <f>IF(AND(ISNUMBER(J405),J405&gt;0),1/J405,IF(AND(ISNUMBER(I405),I405&gt;0),SQRT(MIN(I405,Formula!$C$27))/Formula!$C$24,1/Formula!$C$25))</f>
        <v>0.7215375318</v>
      </c>
      <c r="R405" s="15">
        <f t="shared" si="2"/>
        <v>0.1443075064</v>
      </c>
      <c r="S405" s="15">
        <f>IF(H405&lt;&gt;"",EXP(-Formula!$C$28*(EOMONTH(H405,0)-H405)),EXP(-Formula!$C$28*(EOMONTH(D405,0)-D405)))</f>
        <v>0.4274149319</v>
      </c>
      <c r="T405" s="15">
        <f t="shared" si="3"/>
        <v>0.377964473</v>
      </c>
      <c r="U405" s="15">
        <f t="shared" si="4"/>
        <v>0.0233125399</v>
      </c>
      <c r="V405" s="16">
        <f>IF(AND(L405="Among all respondents",NOT(OR(K405="Online poll in Telegram channel",K405="Website online poll",K405="CAWI (Computer Assisted Web Interviewing)"))),1/(1-MIN(MAX(Formula!$C$33+(YEAR(D405)-Formula!$C$34)/(Formula!$C$35-Formula!$C$34)*(Formula!$C$32-Formula!$C$33),Formula!$C$33),Formula!$C$32)),1)</f>
        <v>1</v>
      </c>
      <c r="W405" s="17">
        <f t="shared" si="5"/>
        <v>1</v>
      </c>
    </row>
    <row r="406" ht="15.75" customHeight="1">
      <c r="A406" s="8" t="s">
        <v>894</v>
      </c>
      <c r="B406" s="7" t="s">
        <v>895</v>
      </c>
      <c r="C406" s="13" t="s">
        <v>896</v>
      </c>
      <c r="D406" s="7" t="s">
        <v>88</v>
      </c>
      <c r="E406" s="8" t="s">
        <v>85</v>
      </c>
      <c r="F406" s="8" t="s">
        <v>318</v>
      </c>
      <c r="G406" s="7" t="s">
        <v>897</v>
      </c>
      <c r="H406" s="7" t="s">
        <v>88</v>
      </c>
      <c r="I406" s="8">
        <v>24300.0</v>
      </c>
      <c r="K406" s="8" t="s">
        <v>877</v>
      </c>
      <c r="L406" s="8" t="s">
        <v>373</v>
      </c>
      <c r="M406" s="8" t="s">
        <v>323</v>
      </c>
      <c r="N406" s="8">
        <v>55.0</v>
      </c>
      <c r="O406" s="14">
        <f t="shared" si="1"/>
        <v>45139</v>
      </c>
      <c r="P406" s="15">
        <f>IFERROR(VLOOKUP(K406,Formula!$A$11:$B$20,2,FALSE),Formula!$C$26)</f>
        <v>0.2</v>
      </c>
      <c r="Q406" s="15">
        <f>IF(AND(ISNUMBER(J406),J406&gt;0),1/J406,IF(AND(ISNUMBER(I406),I406&gt;0),SQRT(MIN(I406,Formula!$C$27))/Formula!$C$24,1/Formula!$C$25))</f>
        <v>0.7215375318</v>
      </c>
      <c r="R406" s="15">
        <f t="shared" si="2"/>
        <v>0.1443075064</v>
      </c>
      <c r="S406" s="15">
        <f>IF(H406&lt;&gt;"",EXP(-Formula!$C$28*(EOMONTH(H406,0)-H406)),EXP(-Formula!$C$28*(EOMONTH(D406,0)-D406)))</f>
        <v>0.3499377491</v>
      </c>
      <c r="T406" s="15">
        <f t="shared" si="3"/>
        <v>0.377964473</v>
      </c>
      <c r="U406" s="15">
        <f t="shared" si="4"/>
        <v>0.01908669335</v>
      </c>
      <c r="V406" s="16">
        <f>IF(AND(L406="Among all respondents",NOT(OR(K406="Online poll in Telegram channel",K406="Website online poll",K406="CAWI (Computer Assisted Web Interviewing)"))),1/(1-MIN(MAX(Formula!$C$33+(YEAR(D406)-Formula!$C$34)/(Formula!$C$35-Formula!$C$34)*(Formula!$C$32-Formula!$C$33),Formula!$C$33),Formula!$C$32)),1)</f>
        <v>1</v>
      </c>
      <c r="W406" s="17">
        <f t="shared" si="5"/>
        <v>55</v>
      </c>
    </row>
    <row r="407" ht="15.75" customHeight="1">
      <c r="A407" s="8" t="s">
        <v>898</v>
      </c>
      <c r="B407" s="7" t="s">
        <v>895</v>
      </c>
      <c r="C407" s="13" t="s">
        <v>896</v>
      </c>
      <c r="D407" s="7" t="s">
        <v>88</v>
      </c>
      <c r="E407" s="8" t="s">
        <v>85</v>
      </c>
      <c r="F407" s="8" t="s">
        <v>318</v>
      </c>
      <c r="G407" s="7" t="s">
        <v>897</v>
      </c>
      <c r="H407" s="7" t="s">
        <v>88</v>
      </c>
      <c r="I407" s="8">
        <v>24300.0</v>
      </c>
      <c r="K407" s="8" t="s">
        <v>877</v>
      </c>
      <c r="L407" s="8" t="s">
        <v>373</v>
      </c>
      <c r="M407" s="8" t="s">
        <v>325</v>
      </c>
      <c r="N407" s="8">
        <v>18.0</v>
      </c>
      <c r="O407" s="14">
        <f t="shared" si="1"/>
        <v>45139</v>
      </c>
      <c r="P407" s="15">
        <f>IFERROR(VLOOKUP(K407,Formula!$A$11:$B$20,2,FALSE),Formula!$C$26)</f>
        <v>0.2</v>
      </c>
      <c r="Q407" s="15">
        <f>IF(AND(ISNUMBER(J407),J407&gt;0),1/J407,IF(AND(ISNUMBER(I407),I407&gt;0),SQRT(MIN(I407,Formula!$C$27))/Formula!$C$24,1/Formula!$C$25))</f>
        <v>0.7215375318</v>
      </c>
      <c r="R407" s="15">
        <f t="shared" si="2"/>
        <v>0.1443075064</v>
      </c>
      <c r="S407" s="15">
        <f>IF(H407&lt;&gt;"",EXP(-Formula!$C$28*(EOMONTH(H407,0)-H407)),EXP(-Formula!$C$28*(EOMONTH(D407,0)-D407)))</f>
        <v>0.3499377491</v>
      </c>
      <c r="T407" s="15">
        <f t="shared" si="3"/>
        <v>0.377964473</v>
      </c>
      <c r="U407" s="15">
        <f t="shared" si="4"/>
        <v>0.01908669335</v>
      </c>
      <c r="V407" s="16">
        <f>IF(AND(L407="Among all respondents",NOT(OR(K407="Online poll in Telegram channel",K407="Website online poll",K407="CAWI (Computer Assisted Web Interviewing)"))),1/(1-MIN(MAX(Formula!$C$33+(YEAR(D407)-Formula!$C$34)/(Formula!$C$35-Formula!$C$34)*(Formula!$C$32-Formula!$C$33),Formula!$C$33),Formula!$C$32)),1)</f>
        <v>1</v>
      </c>
      <c r="W407" s="17">
        <f t="shared" si="5"/>
        <v>18</v>
      </c>
    </row>
    <row r="408" ht="15.75" customHeight="1">
      <c r="A408" s="8" t="s">
        <v>899</v>
      </c>
      <c r="B408" s="7" t="s">
        <v>895</v>
      </c>
      <c r="C408" s="13" t="s">
        <v>896</v>
      </c>
      <c r="D408" s="7" t="s">
        <v>88</v>
      </c>
      <c r="E408" s="8" t="s">
        <v>85</v>
      </c>
      <c r="F408" s="8" t="s">
        <v>318</v>
      </c>
      <c r="G408" s="7" t="s">
        <v>897</v>
      </c>
      <c r="H408" s="7" t="s">
        <v>88</v>
      </c>
      <c r="I408" s="8">
        <v>24300.0</v>
      </c>
      <c r="K408" s="8" t="s">
        <v>877</v>
      </c>
      <c r="L408" s="8" t="s">
        <v>373</v>
      </c>
      <c r="M408" s="8" t="s">
        <v>329</v>
      </c>
      <c r="N408" s="8">
        <v>7.0</v>
      </c>
      <c r="O408" s="14">
        <f t="shared" si="1"/>
        <v>45139</v>
      </c>
      <c r="P408" s="15">
        <f>IFERROR(VLOOKUP(K408,Formula!$A$11:$B$20,2,FALSE),Formula!$C$26)</f>
        <v>0.2</v>
      </c>
      <c r="Q408" s="15">
        <f>IF(AND(ISNUMBER(J408),J408&gt;0),1/J408,IF(AND(ISNUMBER(I408),I408&gt;0),SQRT(MIN(I408,Formula!$C$27))/Formula!$C$24,1/Formula!$C$25))</f>
        <v>0.7215375318</v>
      </c>
      <c r="R408" s="15">
        <f t="shared" si="2"/>
        <v>0.1443075064</v>
      </c>
      <c r="S408" s="15">
        <f>IF(H408&lt;&gt;"",EXP(-Formula!$C$28*(EOMONTH(H408,0)-H408)),EXP(-Formula!$C$28*(EOMONTH(D408,0)-D408)))</f>
        <v>0.3499377491</v>
      </c>
      <c r="T408" s="15">
        <f t="shared" si="3"/>
        <v>0.377964473</v>
      </c>
      <c r="U408" s="15">
        <f t="shared" si="4"/>
        <v>0.01908669335</v>
      </c>
      <c r="V408" s="16">
        <f>IF(AND(L408="Among all respondents",NOT(OR(K408="Online poll in Telegram channel",K408="Website online poll",K408="CAWI (Computer Assisted Web Interviewing)"))),1/(1-MIN(MAX(Formula!$C$33+(YEAR(D408)-Formula!$C$34)/(Formula!$C$35-Formula!$C$34)*(Formula!$C$32-Formula!$C$33),Formula!$C$33),Formula!$C$32)),1)</f>
        <v>1</v>
      </c>
      <c r="W408" s="17">
        <f t="shared" si="5"/>
        <v>7</v>
      </c>
    </row>
    <row r="409" ht="15.75" customHeight="1">
      <c r="A409" s="8" t="s">
        <v>900</v>
      </c>
      <c r="B409" s="7" t="s">
        <v>895</v>
      </c>
      <c r="C409" s="13" t="s">
        <v>896</v>
      </c>
      <c r="D409" s="7" t="s">
        <v>88</v>
      </c>
      <c r="E409" s="8" t="s">
        <v>85</v>
      </c>
      <c r="F409" s="8" t="s">
        <v>318</v>
      </c>
      <c r="G409" s="7" t="s">
        <v>897</v>
      </c>
      <c r="H409" s="7" t="s">
        <v>88</v>
      </c>
      <c r="I409" s="8">
        <v>24300.0</v>
      </c>
      <c r="K409" s="8" t="s">
        <v>877</v>
      </c>
      <c r="L409" s="8" t="s">
        <v>373</v>
      </c>
      <c r="M409" s="8" t="s">
        <v>362</v>
      </c>
      <c r="N409" s="8">
        <v>2.0</v>
      </c>
      <c r="O409" s="14">
        <f t="shared" si="1"/>
        <v>45139</v>
      </c>
      <c r="P409" s="15">
        <f>IFERROR(VLOOKUP(K409,Formula!$A$11:$B$20,2,FALSE),Formula!$C$26)</f>
        <v>0.2</v>
      </c>
      <c r="Q409" s="15">
        <f>IF(AND(ISNUMBER(J409),J409&gt;0),1/J409,IF(AND(ISNUMBER(I409),I409&gt;0),SQRT(MIN(I409,Formula!$C$27))/Formula!$C$24,1/Formula!$C$25))</f>
        <v>0.7215375318</v>
      </c>
      <c r="R409" s="15">
        <f t="shared" si="2"/>
        <v>0.1443075064</v>
      </c>
      <c r="S409" s="15">
        <f>IF(H409&lt;&gt;"",EXP(-Formula!$C$28*(EOMONTH(H409,0)-H409)),EXP(-Formula!$C$28*(EOMONTH(D409,0)-D409)))</f>
        <v>0.3499377491</v>
      </c>
      <c r="T409" s="15">
        <f t="shared" si="3"/>
        <v>0.377964473</v>
      </c>
      <c r="U409" s="15">
        <f t="shared" si="4"/>
        <v>0.01908669335</v>
      </c>
      <c r="V409" s="16">
        <f>IF(AND(L409="Among all respondents",NOT(OR(K409="Online poll in Telegram channel",K409="Website online poll",K409="CAWI (Computer Assisted Web Interviewing)"))),1/(1-MIN(MAX(Formula!$C$33+(YEAR(D409)-Formula!$C$34)/(Formula!$C$35-Formula!$C$34)*(Formula!$C$32-Formula!$C$33),Formula!$C$33),Formula!$C$32)),1)</f>
        <v>1</v>
      </c>
      <c r="W409" s="17">
        <f t="shared" si="5"/>
        <v>2</v>
      </c>
    </row>
    <row r="410" ht="15.75" customHeight="1">
      <c r="A410" s="8" t="s">
        <v>901</v>
      </c>
      <c r="B410" s="7" t="s">
        <v>895</v>
      </c>
      <c r="C410" s="13" t="s">
        <v>896</v>
      </c>
      <c r="D410" s="7" t="s">
        <v>88</v>
      </c>
      <c r="E410" s="8" t="s">
        <v>85</v>
      </c>
      <c r="F410" s="8" t="s">
        <v>318</v>
      </c>
      <c r="G410" s="7" t="s">
        <v>897</v>
      </c>
      <c r="H410" s="7" t="s">
        <v>88</v>
      </c>
      <c r="I410" s="8">
        <v>24300.0</v>
      </c>
      <c r="K410" s="8" t="s">
        <v>877</v>
      </c>
      <c r="L410" s="8" t="s">
        <v>373</v>
      </c>
      <c r="M410" s="8" t="s">
        <v>339</v>
      </c>
      <c r="N410" s="8">
        <v>2.0</v>
      </c>
      <c r="O410" s="14">
        <f t="shared" si="1"/>
        <v>45139</v>
      </c>
      <c r="P410" s="15">
        <f>IFERROR(VLOOKUP(K410,Formula!$A$11:$B$20,2,FALSE),Formula!$C$26)</f>
        <v>0.2</v>
      </c>
      <c r="Q410" s="15">
        <f>IF(AND(ISNUMBER(J410),J410&gt;0),1/J410,IF(AND(ISNUMBER(I410),I410&gt;0),SQRT(MIN(I410,Formula!$C$27))/Formula!$C$24,1/Formula!$C$25))</f>
        <v>0.7215375318</v>
      </c>
      <c r="R410" s="15">
        <f t="shared" si="2"/>
        <v>0.1443075064</v>
      </c>
      <c r="S410" s="15">
        <f>IF(H410&lt;&gt;"",EXP(-Formula!$C$28*(EOMONTH(H410,0)-H410)),EXP(-Formula!$C$28*(EOMONTH(D410,0)-D410)))</f>
        <v>0.3499377491</v>
      </c>
      <c r="T410" s="15">
        <f t="shared" si="3"/>
        <v>0.377964473</v>
      </c>
      <c r="U410" s="15">
        <f t="shared" si="4"/>
        <v>0.01908669335</v>
      </c>
      <c r="V410" s="16">
        <f>IF(AND(L410="Among all respondents",NOT(OR(K410="Online poll in Telegram channel",K410="Website online poll",K410="CAWI (Computer Assisted Web Interviewing)"))),1/(1-MIN(MAX(Formula!$C$33+(YEAR(D410)-Formula!$C$34)/(Formula!$C$35-Formula!$C$34)*(Formula!$C$32-Formula!$C$33),Formula!$C$33),Formula!$C$32)),1)</f>
        <v>1</v>
      </c>
      <c r="W410" s="17">
        <f t="shared" si="5"/>
        <v>2</v>
      </c>
    </row>
    <row r="411" ht="15.75" customHeight="1">
      <c r="A411" s="8" t="s">
        <v>902</v>
      </c>
      <c r="B411" s="7" t="s">
        <v>895</v>
      </c>
      <c r="C411" s="13" t="s">
        <v>896</v>
      </c>
      <c r="D411" s="7" t="s">
        <v>88</v>
      </c>
      <c r="E411" s="8" t="s">
        <v>85</v>
      </c>
      <c r="F411" s="8" t="s">
        <v>318</v>
      </c>
      <c r="G411" s="7" t="s">
        <v>897</v>
      </c>
      <c r="H411" s="7" t="s">
        <v>88</v>
      </c>
      <c r="I411" s="8">
        <v>24300.0</v>
      </c>
      <c r="K411" s="8" t="s">
        <v>877</v>
      </c>
      <c r="L411" s="8" t="s">
        <v>373</v>
      </c>
      <c r="M411" s="8" t="s">
        <v>333</v>
      </c>
      <c r="N411" s="8">
        <v>1.0</v>
      </c>
      <c r="O411" s="14">
        <f t="shared" si="1"/>
        <v>45139</v>
      </c>
      <c r="P411" s="15">
        <f>IFERROR(VLOOKUP(K411,Formula!$A$11:$B$20,2,FALSE),Formula!$C$26)</f>
        <v>0.2</v>
      </c>
      <c r="Q411" s="15">
        <f>IF(AND(ISNUMBER(J411),J411&gt;0),1/J411,IF(AND(ISNUMBER(I411),I411&gt;0),SQRT(MIN(I411,Formula!$C$27))/Formula!$C$24,1/Formula!$C$25))</f>
        <v>0.7215375318</v>
      </c>
      <c r="R411" s="15">
        <f t="shared" si="2"/>
        <v>0.1443075064</v>
      </c>
      <c r="S411" s="15">
        <f>IF(H411&lt;&gt;"",EXP(-Formula!$C$28*(EOMONTH(H411,0)-H411)),EXP(-Formula!$C$28*(EOMONTH(D411,0)-D411)))</f>
        <v>0.3499377491</v>
      </c>
      <c r="T411" s="15">
        <f t="shared" si="3"/>
        <v>0.377964473</v>
      </c>
      <c r="U411" s="15">
        <f t="shared" si="4"/>
        <v>0.01908669335</v>
      </c>
      <c r="V411" s="16">
        <f>IF(AND(L411="Among all respondents",NOT(OR(K411="Online poll in Telegram channel",K411="Website online poll",K411="CAWI (Computer Assisted Web Interviewing)"))),1/(1-MIN(MAX(Formula!$C$33+(YEAR(D411)-Formula!$C$34)/(Formula!$C$35-Formula!$C$34)*(Formula!$C$32-Formula!$C$33),Formula!$C$33),Formula!$C$32)),1)</f>
        <v>1</v>
      </c>
      <c r="W411" s="17">
        <f t="shared" si="5"/>
        <v>1</v>
      </c>
    </row>
    <row r="412" ht="15.75" customHeight="1">
      <c r="A412" s="8" t="s">
        <v>903</v>
      </c>
      <c r="B412" s="7" t="s">
        <v>895</v>
      </c>
      <c r="C412" s="13" t="s">
        <v>896</v>
      </c>
      <c r="D412" s="7" t="s">
        <v>88</v>
      </c>
      <c r="E412" s="8" t="s">
        <v>85</v>
      </c>
      <c r="F412" s="8" t="s">
        <v>318</v>
      </c>
      <c r="G412" s="7" t="s">
        <v>897</v>
      </c>
      <c r="H412" s="7" t="s">
        <v>88</v>
      </c>
      <c r="I412" s="8">
        <v>24300.0</v>
      </c>
      <c r="K412" s="8" t="s">
        <v>877</v>
      </c>
      <c r="L412" s="8" t="s">
        <v>373</v>
      </c>
      <c r="M412" s="8" t="s">
        <v>337</v>
      </c>
      <c r="N412" s="8">
        <v>1.0</v>
      </c>
      <c r="O412" s="14">
        <f t="shared" si="1"/>
        <v>45139</v>
      </c>
      <c r="P412" s="15">
        <f>IFERROR(VLOOKUP(K412,Formula!$A$11:$B$20,2,FALSE),Formula!$C$26)</f>
        <v>0.2</v>
      </c>
      <c r="Q412" s="15">
        <f>IF(AND(ISNUMBER(J412),J412&gt;0),1/J412,IF(AND(ISNUMBER(I412),I412&gt;0),SQRT(MIN(I412,Formula!$C$27))/Formula!$C$24,1/Formula!$C$25))</f>
        <v>0.7215375318</v>
      </c>
      <c r="R412" s="15">
        <f t="shared" si="2"/>
        <v>0.1443075064</v>
      </c>
      <c r="S412" s="15">
        <f>IF(H412&lt;&gt;"",EXP(-Formula!$C$28*(EOMONTH(H412,0)-H412)),EXP(-Formula!$C$28*(EOMONTH(D412,0)-D412)))</f>
        <v>0.3499377491</v>
      </c>
      <c r="T412" s="15">
        <f t="shared" si="3"/>
        <v>0.377964473</v>
      </c>
      <c r="U412" s="15">
        <f t="shared" si="4"/>
        <v>0.01908669335</v>
      </c>
      <c r="V412" s="16">
        <f>IF(AND(L412="Among all respondents",NOT(OR(K412="Online poll in Telegram channel",K412="Website online poll",K412="CAWI (Computer Assisted Web Interviewing)"))),1/(1-MIN(MAX(Formula!$C$33+(YEAR(D412)-Formula!$C$34)/(Formula!$C$35-Formula!$C$34)*(Formula!$C$32-Formula!$C$33),Formula!$C$33),Formula!$C$32)),1)</f>
        <v>1</v>
      </c>
      <c r="W412" s="17">
        <f t="shared" si="5"/>
        <v>1</v>
      </c>
    </row>
    <row r="413" ht="15.75" customHeight="1">
      <c r="A413" s="8" t="s">
        <v>904</v>
      </c>
      <c r="B413" s="7" t="s">
        <v>905</v>
      </c>
      <c r="C413" s="13" t="s">
        <v>906</v>
      </c>
      <c r="D413" s="7" t="s">
        <v>89</v>
      </c>
      <c r="E413" s="8" t="s">
        <v>91</v>
      </c>
      <c r="F413" s="8" t="s">
        <v>318</v>
      </c>
      <c r="G413" s="7" t="s">
        <v>907</v>
      </c>
      <c r="H413" s="7" t="s">
        <v>908</v>
      </c>
      <c r="I413" s="8">
        <v>1047.0</v>
      </c>
      <c r="J413" s="8">
        <v>3.1</v>
      </c>
      <c r="K413" s="8" t="s">
        <v>321</v>
      </c>
      <c r="L413" s="8" t="s">
        <v>322</v>
      </c>
      <c r="M413" s="8" t="s">
        <v>323</v>
      </c>
      <c r="N413" s="8">
        <v>78.0</v>
      </c>
      <c r="O413" s="14">
        <f t="shared" si="1"/>
        <v>45108</v>
      </c>
      <c r="P413" s="15">
        <f>IFERROR(VLOOKUP(K413,Formula!$A$11:$B$20,2,FALSE),Formula!$C$26)</f>
        <v>0.9</v>
      </c>
      <c r="Q413" s="15">
        <f>IF(AND(ISNUMBER(J413),J413&gt;0),1/J413,IF(AND(ISNUMBER(I413),I413&gt;0),SQRT(MIN(I413,Formula!$C$27))/Formula!$C$24,1/Formula!$C$25))</f>
        <v>0.3225806452</v>
      </c>
      <c r="R413" s="15">
        <f t="shared" si="2"/>
        <v>0.2903225806</v>
      </c>
      <c r="S413" s="15">
        <f>IF(H413&lt;&gt;"",EXP(-Formula!$C$28*(EOMONTH(H413,0)-H413)),EXP(-Formula!$C$28*(EOMONTH(D413,0)-D413)))</f>
        <v>0.4493289641</v>
      </c>
      <c r="T413" s="15">
        <f t="shared" si="3"/>
        <v>0.377964473</v>
      </c>
      <c r="U413" s="15">
        <f t="shared" si="4"/>
        <v>0.04930559568</v>
      </c>
      <c r="V413" s="16">
        <f>IF(AND(L413="Among all respondents",NOT(OR(K413="Online poll in Telegram channel",K413="Website online poll",K413="CAWI (Computer Assisted Web Interviewing)"))),1/(1-MIN(MAX(Formula!$C$33+(YEAR(D413)-Formula!$C$34)/(Formula!$C$35-Formula!$C$34)*(Formula!$C$32-Formula!$C$33),Formula!$C$33),Formula!$C$32)),1)</f>
        <v>1</v>
      </c>
      <c r="W413" s="17">
        <f t="shared" si="5"/>
        <v>78</v>
      </c>
    </row>
    <row r="414" ht="15.75" customHeight="1">
      <c r="A414" s="8" t="s">
        <v>909</v>
      </c>
      <c r="B414" s="7" t="s">
        <v>905</v>
      </c>
      <c r="C414" s="13" t="s">
        <v>906</v>
      </c>
      <c r="D414" s="7" t="s">
        <v>89</v>
      </c>
      <c r="E414" s="8" t="s">
        <v>91</v>
      </c>
      <c r="F414" s="8" t="s">
        <v>318</v>
      </c>
      <c r="G414" s="7" t="s">
        <v>907</v>
      </c>
      <c r="H414" s="7" t="s">
        <v>908</v>
      </c>
      <c r="I414" s="8">
        <v>1047.0</v>
      </c>
      <c r="J414" s="8">
        <v>3.1</v>
      </c>
      <c r="K414" s="8" t="s">
        <v>321</v>
      </c>
      <c r="L414" s="8" t="s">
        <v>322</v>
      </c>
      <c r="M414" s="8" t="s">
        <v>329</v>
      </c>
      <c r="N414" s="8">
        <v>9.7</v>
      </c>
      <c r="O414" s="14">
        <f t="shared" si="1"/>
        <v>45108</v>
      </c>
      <c r="P414" s="15">
        <f>IFERROR(VLOOKUP(K414,Formula!$A$11:$B$20,2,FALSE),Formula!$C$26)</f>
        <v>0.9</v>
      </c>
      <c r="Q414" s="15">
        <f>IF(AND(ISNUMBER(J414),J414&gt;0),1/J414,IF(AND(ISNUMBER(I414),I414&gt;0),SQRT(MIN(I414,Formula!$C$27))/Formula!$C$24,1/Formula!$C$25))</f>
        <v>0.3225806452</v>
      </c>
      <c r="R414" s="15">
        <f t="shared" si="2"/>
        <v>0.2903225806</v>
      </c>
      <c r="S414" s="15">
        <f>IF(H414&lt;&gt;"",EXP(-Formula!$C$28*(EOMONTH(H414,0)-H414)),EXP(-Formula!$C$28*(EOMONTH(D414,0)-D414)))</f>
        <v>0.4493289641</v>
      </c>
      <c r="T414" s="15">
        <f t="shared" si="3"/>
        <v>0.377964473</v>
      </c>
      <c r="U414" s="15">
        <f t="shared" si="4"/>
        <v>0.04930559568</v>
      </c>
      <c r="V414" s="16">
        <f>IF(AND(L414="Among all respondents",NOT(OR(K414="Online poll in Telegram channel",K414="Website online poll",K414="CAWI (Computer Assisted Web Interviewing)"))),1/(1-MIN(MAX(Formula!$C$33+(YEAR(D414)-Formula!$C$34)/(Formula!$C$35-Formula!$C$34)*(Formula!$C$32-Formula!$C$33),Formula!$C$33),Formula!$C$32)),1)</f>
        <v>1</v>
      </c>
      <c r="W414" s="17">
        <f t="shared" si="5"/>
        <v>9.7</v>
      </c>
    </row>
    <row r="415" ht="15.75" customHeight="1">
      <c r="A415" s="8" t="s">
        <v>910</v>
      </c>
      <c r="B415" s="7" t="s">
        <v>905</v>
      </c>
      <c r="C415" s="13" t="s">
        <v>906</v>
      </c>
      <c r="D415" s="7" t="s">
        <v>89</v>
      </c>
      <c r="E415" s="8" t="s">
        <v>91</v>
      </c>
      <c r="F415" s="8" t="s">
        <v>318</v>
      </c>
      <c r="G415" s="7" t="s">
        <v>907</v>
      </c>
      <c r="H415" s="7" t="s">
        <v>908</v>
      </c>
      <c r="I415" s="8">
        <v>1047.0</v>
      </c>
      <c r="J415" s="8">
        <v>3.1</v>
      </c>
      <c r="K415" s="8" t="s">
        <v>321</v>
      </c>
      <c r="L415" s="8" t="s">
        <v>322</v>
      </c>
      <c r="M415" s="8" t="s">
        <v>339</v>
      </c>
      <c r="N415" s="8">
        <v>4.5</v>
      </c>
      <c r="O415" s="14">
        <f t="shared" si="1"/>
        <v>45108</v>
      </c>
      <c r="P415" s="15">
        <f>IFERROR(VLOOKUP(K415,Formula!$A$11:$B$20,2,FALSE),Formula!$C$26)</f>
        <v>0.9</v>
      </c>
      <c r="Q415" s="15">
        <f>IF(AND(ISNUMBER(J415),J415&gt;0),1/J415,IF(AND(ISNUMBER(I415),I415&gt;0),SQRT(MIN(I415,Formula!$C$27))/Formula!$C$24,1/Formula!$C$25))</f>
        <v>0.3225806452</v>
      </c>
      <c r="R415" s="15">
        <f t="shared" si="2"/>
        <v>0.2903225806</v>
      </c>
      <c r="S415" s="15">
        <f>IF(H415&lt;&gt;"",EXP(-Formula!$C$28*(EOMONTH(H415,0)-H415)),EXP(-Formula!$C$28*(EOMONTH(D415,0)-D415)))</f>
        <v>0.4493289641</v>
      </c>
      <c r="T415" s="15">
        <f t="shared" si="3"/>
        <v>0.377964473</v>
      </c>
      <c r="U415" s="15">
        <f t="shared" si="4"/>
        <v>0.04930559568</v>
      </c>
      <c r="V415" s="16">
        <f>IF(AND(L415="Among all respondents",NOT(OR(K415="Online poll in Telegram channel",K415="Website online poll",K415="CAWI (Computer Assisted Web Interviewing)"))),1/(1-MIN(MAX(Formula!$C$33+(YEAR(D415)-Formula!$C$34)/(Formula!$C$35-Formula!$C$34)*(Formula!$C$32-Formula!$C$33),Formula!$C$33),Formula!$C$32)),1)</f>
        <v>1</v>
      </c>
      <c r="W415" s="17">
        <f t="shared" si="5"/>
        <v>4.5</v>
      </c>
    </row>
    <row r="416" ht="15.75" customHeight="1">
      <c r="A416" s="8" t="s">
        <v>911</v>
      </c>
      <c r="B416" s="7" t="s">
        <v>905</v>
      </c>
      <c r="C416" s="13" t="s">
        <v>906</v>
      </c>
      <c r="D416" s="7" t="s">
        <v>89</v>
      </c>
      <c r="E416" s="8" t="s">
        <v>91</v>
      </c>
      <c r="F416" s="8" t="s">
        <v>318</v>
      </c>
      <c r="G416" s="7" t="s">
        <v>907</v>
      </c>
      <c r="H416" s="7" t="s">
        <v>908</v>
      </c>
      <c r="I416" s="8">
        <v>1047.0</v>
      </c>
      <c r="J416" s="8">
        <v>3.1</v>
      </c>
      <c r="K416" s="8" t="s">
        <v>321</v>
      </c>
      <c r="L416" s="8" t="s">
        <v>322</v>
      </c>
      <c r="M416" s="8" t="s">
        <v>337</v>
      </c>
      <c r="N416" s="8">
        <v>2.5</v>
      </c>
      <c r="O416" s="14">
        <f t="shared" si="1"/>
        <v>45108</v>
      </c>
      <c r="P416" s="15">
        <f>IFERROR(VLOOKUP(K416,Formula!$A$11:$B$20,2,FALSE),Formula!$C$26)</f>
        <v>0.9</v>
      </c>
      <c r="Q416" s="15">
        <f>IF(AND(ISNUMBER(J416),J416&gt;0),1/J416,IF(AND(ISNUMBER(I416),I416&gt;0),SQRT(MIN(I416,Formula!$C$27))/Formula!$C$24,1/Formula!$C$25))</f>
        <v>0.3225806452</v>
      </c>
      <c r="R416" s="15">
        <f t="shared" si="2"/>
        <v>0.2903225806</v>
      </c>
      <c r="S416" s="15">
        <f>IF(H416&lt;&gt;"",EXP(-Formula!$C$28*(EOMONTH(H416,0)-H416)),EXP(-Formula!$C$28*(EOMONTH(D416,0)-D416)))</f>
        <v>0.4493289641</v>
      </c>
      <c r="T416" s="15">
        <f t="shared" si="3"/>
        <v>0.377964473</v>
      </c>
      <c r="U416" s="15">
        <f t="shared" si="4"/>
        <v>0.04930559568</v>
      </c>
      <c r="V416" s="16">
        <f>IF(AND(L416="Among all respondents",NOT(OR(K416="Online poll in Telegram channel",K416="Website online poll",K416="CAWI (Computer Assisted Web Interviewing)"))),1/(1-MIN(MAX(Formula!$C$33+(YEAR(D416)-Formula!$C$34)/(Formula!$C$35-Formula!$C$34)*(Formula!$C$32-Formula!$C$33),Formula!$C$33),Formula!$C$32)),1)</f>
        <v>1</v>
      </c>
      <c r="W416" s="17">
        <f t="shared" si="5"/>
        <v>2.5</v>
      </c>
    </row>
    <row r="417" ht="15.75" customHeight="1">
      <c r="A417" s="8" t="s">
        <v>912</v>
      </c>
      <c r="B417" s="7" t="s">
        <v>905</v>
      </c>
      <c r="C417" s="13" t="s">
        <v>906</v>
      </c>
      <c r="D417" s="7" t="s">
        <v>89</v>
      </c>
      <c r="E417" s="8" t="s">
        <v>91</v>
      </c>
      <c r="F417" s="8" t="s">
        <v>318</v>
      </c>
      <c r="G417" s="7" t="s">
        <v>907</v>
      </c>
      <c r="H417" s="7" t="s">
        <v>908</v>
      </c>
      <c r="I417" s="8">
        <v>1047.0</v>
      </c>
      <c r="J417" s="8">
        <v>3.1</v>
      </c>
      <c r="K417" s="8" t="s">
        <v>321</v>
      </c>
      <c r="L417" s="8" t="s">
        <v>322</v>
      </c>
      <c r="M417" s="8" t="s">
        <v>333</v>
      </c>
      <c r="N417" s="8">
        <v>2.0</v>
      </c>
      <c r="O417" s="14">
        <f t="shared" si="1"/>
        <v>45108</v>
      </c>
      <c r="P417" s="15">
        <f>IFERROR(VLOOKUP(K417,Formula!$A$11:$B$20,2,FALSE),Formula!$C$26)</f>
        <v>0.9</v>
      </c>
      <c r="Q417" s="15">
        <f>IF(AND(ISNUMBER(J417),J417&gt;0),1/J417,IF(AND(ISNUMBER(I417),I417&gt;0),SQRT(MIN(I417,Formula!$C$27))/Formula!$C$24,1/Formula!$C$25))</f>
        <v>0.3225806452</v>
      </c>
      <c r="R417" s="15">
        <f t="shared" si="2"/>
        <v>0.2903225806</v>
      </c>
      <c r="S417" s="15">
        <f>IF(H417&lt;&gt;"",EXP(-Formula!$C$28*(EOMONTH(H417,0)-H417)),EXP(-Formula!$C$28*(EOMONTH(D417,0)-D417)))</f>
        <v>0.4493289641</v>
      </c>
      <c r="T417" s="15">
        <f t="shared" si="3"/>
        <v>0.377964473</v>
      </c>
      <c r="U417" s="15">
        <f t="shared" si="4"/>
        <v>0.04930559568</v>
      </c>
      <c r="V417" s="16">
        <f>IF(AND(L417="Among all respondents",NOT(OR(K417="Online poll in Telegram channel",K417="Website online poll",K417="CAWI (Computer Assisted Web Interviewing)"))),1/(1-MIN(MAX(Formula!$C$33+(YEAR(D417)-Formula!$C$34)/(Formula!$C$35-Formula!$C$34)*(Formula!$C$32-Formula!$C$33),Formula!$C$33),Formula!$C$32)),1)</f>
        <v>1</v>
      </c>
      <c r="W417" s="17">
        <f t="shared" si="5"/>
        <v>2</v>
      </c>
    </row>
    <row r="418" ht="15.75" customHeight="1">
      <c r="A418" s="8" t="s">
        <v>913</v>
      </c>
      <c r="B418" s="7" t="s">
        <v>905</v>
      </c>
      <c r="C418" s="13" t="s">
        <v>906</v>
      </c>
      <c r="D418" s="7" t="s">
        <v>89</v>
      </c>
      <c r="E418" s="8" t="s">
        <v>91</v>
      </c>
      <c r="F418" s="8" t="s">
        <v>318</v>
      </c>
      <c r="G418" s="7" t="s">
        <v>907</v>
      </c>
      <c r="H418" s="7" t="s">
        <v>908</v>
      </c>
      <c r="I418" s="8">
        <v>1047.0</v>
      </c>
      <c r="J418" s="8">
        <v>3.1</v>
      </c>
      <c r="K418" s="8" t="s">
        <v>321</v>
      </c>
      <c r="L418" s="8" t="s">
        <v>322</v>
      </c>
      <c r="M418" s="8" t="s">
        <v>828</v>
      </c>
      <c r="N418" s="8">
        <v>1.6</v>
      </c>
      <c r="O418" s="14">
        <f t="shared" si="1"/>
        <v>45108</v>
      </c>
      <c r="P418" s="15">
        <f>IFERROR(VLOOKUP(K418,Formula!$A$11:$B$20,2,FALSE),Formula!$C$26)</f>
        <v>0.9</v>
      </c>
      <c r="Q418" s="15">
        <f>IF(AND(ISNUMBER(J418),J418&gt;0),1/J418,IF(AND(ISNUMBER(I418),I418&gt;0),SQRT(MIN(I418,Formula!$C$27))/Formula!$C$24,1/Formula!$C$25))</f>
        <v>0.3225806452</v>
      </c>
      <c r="R418" s="15">
        <f t="shared" si="2"/>
        <v>0.2903225806</v>
      </c>
      <c r="S418" s="15">
        <f>IF(H418&lt;&gt;"",EXP(-Formula!$C$28*(EOMONTH(H418,0)-H418)),EXP(-Formula!$C$28*(EOMONTH(D418,0)-D418)))</f>
        <v>0.4493289641</v>
      </c>
      <c r="T418" s="15">
        <f t="shared" si="3"/>
        <v>0.377964473</v>
      </c>
      <c r="U418" s="15">
        <f t="shared" si="4"/>
        <v>0.04930559568</v>
      </c>
      <c r="V418" s="16">
        <f>IF(AND(L418="Among all respondents",NOT(OR(K418="Online poll in Telegram channel",K418="Website online poll",K418="CAWI (Computer Assisted Web Interviewing)"))),1/(1-MIN(MAX(Formula!$C$33+(YEAR(D418)-Formula!$C$34)/(Formula!$C$35-Formula!$C$34)*(Formula!$C$32-Formula!$C$33),Formula!$C$33),Formula!$C$32)),1)</f>
        <v>1</v>
      </c>
      <c r="W418" s="17">
        <f t="shared" si="5"/>
        <v>1.6</v>
      </c>
    </row>
    <row r="419" ht="15.75" customHeight="1">
      <c r="A419" s="8" t="s">
        <v>914</v>
      </c>
      <c r="B419" s="7" t="s">
        <v>905</v>
      </c>
      <c r="C419" s="13" t="s">
        <v>906</v>
      </c>
      <c r="D419" s="7" t="s">
        <v>89</v>
      </c>
      <c r="E419" s="8" t="s">
        <v>91</v>
      </c>
      <c r="F419" s="8" t="s">
        <v>318</v>
      </c>
      <c r="G419" s="7" t="s">
        <v>907</v>
      </c>
      <c r="H419" s="7" t="s">
        <v>908</v>
      </c>
      <c r="I419" s="8">
        <v>1047.0</v>
      </c>
      <c r="J419" s="8">
        <v>3.1</v>
      </c>
      <c r="K419" s="8" t="s">
        <v>321</v>
      </c>
      <c r="L419" s="8" t="s">
        <v>322</v>
      </c>
      <c r="M419" s="8" t="s">
        <v>359</v>
      </c>
      <c r="N419" s="8">
        <v>1.3</v>
      </c>
      <c r="O419" s="14">
        <f t="shared" si="1"/>
        <v>45108</v>
      </c>
      <c r="P419" s="15">
        <f>IFERROR(VLOOKUP(K419,Formula!$A$11:$B$20,2,FALSE),Formula!$C$26)</f>
        <v>0.9</v>
      </c>
      <c r="Q419" s="15">
        <f>IF(AND(ISNUMBER(J419),J419&gt;0),1/J419,IF(AND(ISNUMBER(I419),I419&gt;0),SQRT(MIN(I419,Formula!$C$27))/Formula!$C$24,1/Formula!$C$25))</f>
        <v>0.3225806452</v>
      </c>
      <c r="R419" s="15">
        <f t="shared" si="2"/>
        <v>0.2903225806</v>
      </c>
      <c r="S419" s="15">
        <f>IF(H419&lt;&gt;"",EXP(-Formula!$C$28*(EOMONTH(H419,0)-H419)),EXP(-Formula!$C$28*(EOMONTH(D419,0)-D419)))</f>
        <v>0.4493289641</v>
      </c>
      <c r="T419" s="15">
        <f t="shared" si="3"/>
        <v>0.377964473</v>
      </c>
      <c r="U419" s="15">
        <f t="shared" si="4"/>
        <v>0.04930559568</v>
      </c>
      <c r="V419" s="16">
        <f>IF(AND(L419="Among all respondents",NOT(OR(K419="Online poll in Telegram channel",K419="Website online poll",K419="CAWI (Computer Assisted Web Interviewing)"))),1/(1-MIN(MAX(Formula!$C$33+(YEAR(D419)-Formula!$C$34)/(Formula!$C$35-Formula!$C$34)*(Formula!$C$32-Formula!$C$33),Formula!$C$33),Formula!$C$32)),1)</f>
        <v>1</v>
      </c>
      <c r="W419" s="17">
        <f t="shared" si="5"/>
        <v>1.3</v>
      </c>
    </row>
    <row r="420" ht="15.75" customHeight="1">
      <c r="A420" s="8" t="s">
        <v>915</v>
      </c>
      <c r="B420" s="7" t="s">
        <v>916</v>
      </c>
      <c r="C420" s="13" t="s">
        <v>917</v>
      </c>
      <c r="D420" s="7" t="s">
        <v>92</v>
      </c>
      <c r="E420" s="8" t="s">
        <v>85</v>
      </c>
      <c r="F420" s="8" t="s">
        <v>318</v>
      </c>
      <c r="G420" s="7" t="s">
        <v>918</v>
      </c>
      <c r="H420" s="7" t="s">
        <v>92</v>
      </c>
      <c r="I420" s="8">
        <v>18100.0</v>
      </c>
      <c r="K420" s="8" t="s">
        <v>877</v>
      </c>
      <c r="L420" s="8" t="s">
        <v>322</v>
      </c>
      <c r="M420" s="8" t="s">
        <v>323</v>
      </c>
      <c r="N420" s="8">
        <v>61.0</v>
      </c>
      <c r="O420" s="14">
        <f t="shared" si="1"/>
        <v>45078</v>
      </c>
      <c r="P420" s="15">
        <f>IFERROR(VLOOKUP(K420,Formula!$A$11:$B$20,2,FALSE),Formula!$C$26)</f>
        <v>0.2</v>
      </c>
      <c r="Q420" s="15">
        <f>IF(AND(ISNUMBER(J420),J420&gt;0),1/J420,IF(AND(ISNUMBER(I420),I420&gt;0),SQRT(MIN(I420,Formula!$C$27))/Formula!$C$24,1/Formula!$C$25))</f>
        <v>0.7215375318</v>
      </c>
      <c r="R420" s="15">
        <f t="shared" si="2"/>
        <v>0.1443075064</v>
      </c>
      <c r="S420" s="15">
        <f>IF(H420&lt;&gt;"",EXP(-Formula!$C$28*(EOMONTH(H420,0)-H420)),EXP(-Formula!$C$28*(EOMONTH(D420,0)-D420)))</f>
        <v>0.5769498104</v>
      </c>
      <c r="T420" s="15">
        <f t="shared" si="3"/>
        <v>0.377964473</v>
      </c>
      <c r="U420" s="15">
        <f t="shared" si="4"/>
        <v>0.03146863731</v>
      </c>
      <c r="V420" s="16">
        <f>IF(AND(L420="Among all respondents",NOT(OR(K420="Online poll in Telegram channel",K420="Website online poll",K420="CAWI (Computer Assisted Web Interviewing)"))),1/(1-MIN(MAX(Formula!$C$33+(YEAR(D420)-Formula!$C$34)/(Formula!$C$35-Formula!$C$34)*(Formula!$C$32-Formula!$C$33),Formula!$C$33),Formula!$C$32)),1)</f>
        <v>1</v>
      </c>
      <c r="W420" s="17">
        <f t="shared" si="5"/>
        <v>61</v>
      </c>
    </row>
    <row r="421" ht="15.75" customHeight="1">
      <c r="A421" s="8" t="s">
        <v>919</v>
      </c>
      <c r="B421" s="7" t="s">
        <v>916</v>
      </c>
      <c r="C421" s="13" t="s">
        <v>917</v>
      </c>
      <c r="D421" s="7" t="s">
        <v>92</v>
      </c>
      <c r="E421" s="8" t="s">
        <v>85</v>
      </c>
      <c r="F421" s="8" t="s">
        <v>318</v>
      </c>
      <c r="G421" s="7" t="s">
        <v>918</v>
      </c>
      <c r="H421" s="7" t="s">
        <v>92</v>
      </c>
      <c r="I421" s="8">
        <v>18100.0</v>
      </c>
      <c r="K421" s="8" t="s">
        <v>877</v>
      </c>
      <c r="L421" s="8" t="s">
        <v>322</v>
      </c>
      <c r="M421" s="8" t="s">
        <v>325</v>
      </c>
      <c r="N421" s="8">
        <v>11.0</v>
      </c>
      <c r="O421" s="14">
        <f t="shared" si="1"/>
        <v>45078</v>
      </c>
      <c r="P421" s="15">
        <f>IFERROR(VLOOKUP(K421,Formula!$A$11:$B$20,2,FALSE),Formula!$C$26)</f>
        <v>0.2</v>
      </c>
      <c r="Q421" s="15">
        <f>IF(AND(ISNUMBER(J421),J421&gt;0),1/J421,IF(AND(ISNUMBER(I421),I421&gt;0),SQRT(MIN(I421,Formula!$C$27))/Formula!$C$24,1/Formula!$C$25))</f>
        <v>0.7215375318</v>
      </c>
      <c r="R421" s="15">
        <f t="shared" si="2"/>
        <v>0.1443075064</v>
      </c>
      <c r="S421" s="15">
        <f>IF(H421&lt;&gt;"",EXP(-Formula!$C$28*(EOMONTH(H421,0)-H421)),EXP(-Formula!$C$28*(EOMONTH(D421,0)-D421)))</f>
        <v>0.5769498104</v>
      </c>
      <c r="T421" s="15">
        <f t="shared" si="3"/>
        <v>0.377964473</v>
      </c>
      <c r="U421" s="15">
        <f t="shared" si="4"/>
        <v>0.03146863731</v>
      </c>
      <c r="V421" s="16">
        <f>IF(AND(L421="Among all respondents",NOT(OR(K421="Online poll in Telegram channel",K421="Website online poll",K421="CAWI (Computer Assisted Web Interviewing)"))),1/(1-MIN(MAX(Formula!$C$33+(YEAR(D421)-Formula!$C$34)/(Formula!$C$35-Formula!$C$34)*(Formula!$C$32-Formula!$C$33),Formula!$C$33),Formula!$C$32)),1)</f>
        <v>1</v>
      </c>
      <c r="W421" s="17">
        <f t="shared" si="5"/>
        <v>11</v>
      </c>
    </row>
    <row r="422" ht="15.75" customHeight="1">
      <c r="A422" s="8" t="s">
        <v>920</v>
      </c>
      <c r="B422" s="7" t="s">
        <v>916</v>
      </c>
      <c r="C422" s="13" t="s">
        <v>917</v>
      </c>
      <c r="D422" s="7" t="s">
        <v>92</v>
      </c>
      <c r="E422" s="8" t="s">
        <v>85</v>
      </c>
      <c r="F422" s="8" t="s">
        <v>318</v>
      </c>
      <c r="G422" s="7" t="s">
        <v>918</v>
      </c>
      <c r="H422" s="7" t="s">
        <v>92</v>
      </c>
      <c r="I422" s="8">
        <v>18100.0</v>
      </c>
      <c r="K422" s="8" t="s">
        <v>877</v>
      </c>
      <c r="L422" s="8" t="s">
        <v>322</v>
      </c>
      <c r="M422" s="8" t="s">
        <v>329</v>
      </c>
      <c r="N422" s="8">
        <v>8.0</v>
      </c>
      <c r="O422" s="14">
        <f t="shared" si="1"/>
        <v>45078</v>
      </c>
      <c r="P422" s="15">
        <f>IFERROR(VLOOKUP(K422,Formula!$A$11:$B$20,2,FALSE),Formula!$C$26)</f>
        <v>0.2</v>
      </c>
      <c r="Q422" s="15">
        <f>IF(AND(ISNUMBER(J422),J422&gt;0),1/J422,IF(AND(ISNUMBER(I422),I422&gt;0),SQRT(MIN(I422,Formula!$C$27))/Formula!$C$24,1/Formula!$C$25))</f>
        <v>0.7215375318</v>
      </c>
      <c r="R422" s="15">
        <f t="shared" si="2"/>
        <v>0.1443075064</v>
      </c>
      <c r="S422" s="15">
        <f>IF(H422&lt;&gt;"",EXP(-Formula!$C$28*(EOMONTH(H422,0)-H422)),EXP(-Formula!$C$28*(EOMONTH(D422,0)-D422)))</f>
        <v>0.5769498104</v>
      </c>
      <c r="T422" s="15">
        <f t="shared" si="3"/>
        <v>0.377964473</v>
      </c>
      <c r="U422" s="15">
        <f t="shared" si="4"/>
        <v>0.03146863731</v>
      </c>
      <c r="V422" s="16">
        <f>IF(AND(L422="Among all respondents",NOT(OR(K422="Online poll in Telegram channel",K422="Website online poll",K422="CAWI (Computer Assisted Web Interviewing)"))),1/(1-MIN(MAX(Formula!$C$33+(YEAR(D422)-Formula!$C$34)/(Formula!$C$35-Formula!$C$34)*(Formula!$C$32-Formula!$C$33),Formula!$C$33),Formula!$C$32)),1)</f>
        <v>1</v>
      </c>
      <c r="W422" s="17">
        <f t="shared" si="5"/>
        <v>8</v>
      </c>
    </row>
    <row r="423" ht="15.75" customHeight="1">
      <c r="A423" s="8" t="s">
        <v>921</v>
      </c>
      <c r="B423" s="7" t="s">
        <v>916</v>
      </c>
      <c r="C423" s="13" t="s">
        <v>917</v>
      </c>
      <c r="D423" s="7" t="s">
        <v>92</v>
      </c>
      <c r="E423" s="8" t="s">
        <v>85</v>
      </c>
      <c r="F423" s="8" t="s">
        <v>318</v>
      </c>
      <c r="G423" s="7" t="s">
        <v>918</v>
      </c>
      <c r="H423" s="7" t="s">
        <v>92</v>
      </c>
      <c r="I423" s="8">
        <v>18100.0</v>
      </c>
      <c r="K423" s="8" t="s">
        <v>877</v>
      </c>
      <c r="L423" s="8" t="s">
        <v>322</v>
      </c>
      <c r="M423" s="8" t="s">
        <v>339</v>
      </c>
      <c r="N423" s="8">
        <v>2.0</v>
      </c>
      <c r="O423" s="14">
        <f t="shared" si="1"/>
        <v>45078</v>
      </c>
      <c r="P423" s="15">
        <f>IFERROR(VLOOKUP(K423,Formula!$A$11:$B$20,2,FALSE),Formula!$C$26)</f>
        <v>0.2</v>
      </c>
      <c r="Q423" s="15">
        <f>IF(AND(ISNUMBER(J423),J423&gt;0),1/J423,IF(AND(ISNUMBER(I423),I423&gt;0),SQRT(MIN(I423,Formula!$C$27))/Formula!$C$24,1/Formula!$C$25))</f>
        <v>0.7215375318</v>
      </c>
      <c r="R423" s="15">
        <f t="shared" si="2"/>
        <v>0.1443075064</v>
      </c>
      <c r="S423" s="15">
        <f>IF(H423&lt;&gt;"",EXP(-Formula!$C$28*(EOMONTH(H423,0)-H423)),EXP(-Formula!$C$28*(EOMONTH(D423,0)-D423)))</f>
        <v>0.5769498104</v>
      </c>
      <c r="T423" s="15">
        <f t="shared" si="3"/>
        <v>0.377964473</v>
      </c>
      <c r="U423" s="15">
        <f t="shared" si="4"/>
        <v>0.03146863731</v>
      </c>
      <c r="V423" s="16">
        <f>IF(AND(L423="Among all respondents",NOT(OR(K423="Online poll in Telegram channel",K423="Website online poll",K423="CAWI (Computer Assisted Web Interviewing)"))),1/(1-MIN(MAX(Formula!$C$33+(YEAR(D423)-Formula!$C$34)/(Formula!$C$35-Formula!$C$34)*(Formula!$C$32-Formula!$C$33),Formula!$C$33),Formula!$C$32)),1)</f>
        <v>1</v>
      </c>
      <c r="W423" s="17">
        <f t="shared" si="5"/>
        <v>2</v>
      </c>
    </row>
    <row r="424" ht="15.75" customHeight="1">
      <c r="A424" s="8" t="s">
        <v>922</v>
      </c>
      <c r="B424" s="7" t="s">
        <v>916</v>
      </c>
      <c r="C424" s="13" t="s">
        <v>917</v>
      </c>
      <c r="D424" s="7" t="s">
        <v>92</v>
      </c>
      <c r="E424" s="8" t="s">
        <v>85</v>
      </c>
      <c r="F424" s="8" t="s">
        <v>318</v>
      </c>
      <c r="G424" s="7" t="s">
        <v>918</v>
      </c>
      <c r="H424" s="7" t="s">
        <v>92</v>
      </c>
      <c r="I424" s="8">
        <v>18100.0</v>
      </c>
      <c r="K424" s="8" t="s">
        <v>877</v>
      </c>
      <c r="L424" s="8" t="s">
        <v>322</v>
      </c>
      <c r="M424" s="8" t="s">
        <v>337</v>
      </c>
      <c r="N424" s="8">
        <v>1.0</v>
      </c>
      <c r="O424" s="14">
        <f t="shared" si="1"/>
        <v>45078</v>
      </c>
      <c r="P424" s="15">
        <f>IFERROR(VLOOKUP(K424,Formula!$A$11:$B$20,2,FALSE),Formula!$C$26)</f>
        <v>0.2</v>
      </c>
      <c r="Q424" s="15">
        <f>IF(AND(ISNUMBER(J424),J424&gt;0),1/J424,IF(AND(ISNUMBER(I424),I424&gt;0),SQRT(MIN(I424,Formula!$C$27))/Formula!$C$24,1/Formula!$C$25))</f>
        <v>0.7215375318</v>
      </c>
      <c r="R424" s="15">
        <f t="shared" si="2"/>
        <v>0.1443075064</v>
      </c>
      <c r="S424" s="15">
        <f>IF(H424&lt;&gt;"",EXP(-Formula!$C$28*(EOMONTH(H424,0)-H424)),EXP(-Formula!$C$28*(EOMONTH(D424,0)-D424)))</f>
        <v>0.5769498104</v>
      </c>
      <c r="T424" s="15">
        <f t="shared" si="3"/>
        <v>0.377964473</v>
      </c>
      <c r="U424" s="15">
        <f t="shared" si="4"/>
        <v>0.03146863731</v>
      </c>
      <c r="V424" s="16">
        <f>IF(AND(L424="Among all respondents",NOT(OR(K424="Online poll in Telegram channel",K424="Website online poll",K424="CAWI (Computer Assisted Web Interviewing)"))),1/(1-MIN(MAX(Formula!$C$33+(YEAR(D424)-Formula!$C$34)/(Formula!$C$35-Formula!$C$34)*(Formula!$C$32-Formula!$C$33),Formula!$C$33),Formula!$C$32)),1)</f>
        <v>1</v>
      </c>
      <c r="W424" s="17">
        <f t="shared" si="5"/>
        <v>1</v>
      </c>
    </row>
    <row r="425" ht="15.75" customHeight="1">
      <c r="A425" s="8" t="s">
        <v>923</v>
      </c>
      <c r="B425" s="7" t="s">
        <v>916</v>
      </c>
      <c r="C425" s="13" t="s">
        <v>917</v>
      </c>
      <c r="D425" s="7" t="s">
        <v>92</v>
      </c>
      <c r="E425" s="8" t="s">
        <v>85</v>
      </c>
      <c r="F425" s="8" t="s">
        <v>318</v>
      </c>
      <c r="G425" s="7" t="s">
        <v>918</v>
      </c>
      <c r="H425" s="7" t="s">
        <v>92</v>
      </c>
      <c r="I425" s="8">
        <v>18100.0</v>
      </c>
      <c r="K425" s="8" t="s">
        <v>877</v>
      </c>
      <c r="L425" s="8" t="s">
        <v>322</v>
      </c>
      <c r="M425" s="8" t="s">
        <v>333</v>
      </c>
      <c r="N425" s="8">
        <v>1.0</v>
      </c>
      <c r="O425" s="14">
        <f t="shared" si="1"/>
        <v>45078</v>
      </c>
      <c r="P425" s="15">
        <f>IFERROR(VLOOKUP(K425,Formula!$A$11:$B$20,2,FALSE),Formula!$C$26)</f>
        <v>0.2</v>
      </c>
      <c r="Q425" s="15">
        <f>IF(AND(ISNUMBER(J425),J425&gt;0),1/J425,IF(AND(ISNUMBER(I425),I425&gt;0),SQRT(MIN(I425,Formula!$C$27))/Formula!$C$24,1/Formula!$C$25))</f>
        <v>0.7215375318</v>
      </c>
      <c r="R425" s="15">
        <f t="shared" si="2"/>
        <v>0.1443075064</v>
      </c>
      <c r="S425" s="15">
        <f>IF(H425&lt;&gt;"",EXP(-Formula!$C$28*(EOMONTH(H425,0)-H425)),EXP(-Formula!$C$28*(EOMONTH(D425,0)-D425)))</f>
        <v>0.5769498104</v>
      </c>
      <c r="T425" s="15">
        <f t="shared" si="3"/>
        <v>0.377964473</v>
      </c>
      <c r="U425" s="15">
        <f t="shared" si="4"/>
        <v>0.03146863731</v>
      </c>
      <c r="V425" s="16">
        <f>IF(AND(L425="Among all respondents",NOT(OR(K425="Online poll in Telegram channel",K425="Website online poll",K425="CAWI (Computer Assisted Web Interviewing)"))),1/(1-MIN(MAX(Formula!$C$33+(YEAR(D425)-Formula!$C$34)/(Formula!$C$35-Formula!$C$34)*(Formula!$C$32-Formula!$C$33),Formula!$C$33),Formula!$C$32)),1)</f>
        <v>1</v>
      </c>
      <c r="W425" s="17">
        <f t="shared" si="5"/>
        <v>1</v>
      </c>
    </row>
    <row r="426" ht="15.75" customHeight="1">
      <c r="A426" s="8" t="s">
        <v>924</v>
      </c>
      <c r="B426" s="7" t="s">
        <v>916</v>
      </c>
      <c r="C426" s="13" t="s">
        <v>917</v>
      </c>
      <c r="D426" s="7" t="s">
        <v>92</v>
      </c>
      <c r="E426" s="8" t="s">
        <v>85</v>
      </c>
      <c r="F426" s="8" t="s">
        <v>318</v>
      </c>
      <c r="G426" s="7" t="s">
        <v>918</v>
      </c>
      <c r="H426" s="7" t="s">
        <v>92</v>
      </c>
      <c r="I426" s="8">
        <v>18100.0</v>
      </c>
      <c r="K426" s="8" t="s">
        <v>877</v>
      </c>
      <c r="L426" s="8" t="s">
        <v>322</v>
      </c>
      <c r="M426" s="8" t="s">
        <v>828</v>
      </c>
      <c r="N426" s="8">
        <v>1.0</v>
      </c>
      <c r="O426" s="14">
        <f t="shared" si="1"/>
        <v>45078</v>
      </c>
      <c r="P426" s="15">
        <f>IFERROR(VLOOKUP(K426,Formula!$A$11:$B$20,2,FALSE),Formula!$C$26)</f>
        <v>0.2</v>
      </c>
      <c r="Q426" s="15">
        <f>IF(AND(ISNUMBER(J426),J426&gt;0),1/J426,IF(AND(ISNUMBER(I426),I426&gt;0),SQRT(MIN(I426,Formula!$C$27))/Formula!$C$24,1/Formula!$C$25))</f>
        <v>0.7215375318</v>
      </c>
      <c r="R426" s="15">
        <f t="shared" si="2"/>
        <v>0.1443075064</v>
      </c>
      <c r="S426" s="15">
        <f>IF(H426&lt;&gt;"",EXP(-Formula!$C$28*(EOMONTH(H426,0)-H426)),EXP(-Formula!$C$28*(EOMONTH(D426,0)-D426)))</f>
        <v>0.5769498104</v>
      </c>
      <c r="T426" s="15">
        <f t="shared" si="3"/>
        <v>0.377964473</v>
      </c>
      <c r="U426" s="15">
        <f t="shared" si="4"/>
        <v>0.03146863731</v>
      </c>
      <c r="V426" s="16">
        <f>IF(AND(L426="Among all respondents",NOT(OR(K426="Online poll in Telegram channel",K426="Website online poll",K426="CAWI (Computer Assisted Web Interviewing)"))),1/(1-MIN(MAX(Formula!$C$33+(YEAR(D426)-Formula!$C$34)/(Formula!$C$35-Formula!$C$34)*(Formula!$C$32-Formula!$C$33),Formula!$C$33),Formula!$C$32)),1)</f>
        <v>1</v>
      </c>
      <c r="W426" s="17">
        <f t="shared" si="5"/>
        <v>1</v>
      </c>
    </row>
    <row r="427" ht="15.75" customHeight="1">
      <c r="A427" s="8" t="s">
        <v>925</v>
      </c>
      <c r="B427" s="7" t="s">
        <v>926</v>
      </c>
      <c r="C427" s="13" t="s">
        <v>927</v>
      </c>
      <c r="D427" s="7" t="s">
        <v>94</v>
      </c>
      <c r="E427" s="8" t="s">
        <v>97</v>
      </c>
      <c r="F427" s="8" t="s">
        <v>318</v>
      </c>
      <c r="G427" s="7" t="s">
        <v>928</v>
      </c>
      <c r="H427" s="7" t="s">
        <v>929</v>
      </c>
      <c r="I427" s="8">
        <v>2013.0</v>
      </c>
      <c r="J427" s="8">
        <v>2.3</v>
      </c>
      <c r="K427" s="8" t="s">
        <v>583</v>
      </c>
      <c r="L427" s="8" t="s">
        <v>373</v>
      </c>
      <c r="M427" s="8" t="s">
        <v>323</v>
      </c>
      <c r="N427" s="8">
        <v>65.0</v>
      </c>
      <c r="O427" s="14">
        <f t="shared" si="1"/>
        <v>45047</v>
      </c>
      <c r="P427" s="15">
        <f>IFERROR(VLOOKUP(K427,Formula!$A$11:$B$20,2,FALSE),Formula!$C$26)</f>
        <v>0.95</v>
      </c>
      <c r="Q427" s="15">
        <f>IF(AND(ISNUMBER(J427),J427&gt;0),1/J427,IF(AND(ISNUMBER(I427),I427&gt;0),SQRT(MIN(I427,Formula!$C$27))/Formula!$C$24,1/Formula!$C$25))</f>
        <v>0.4347826087</v>
      </c>
      <c r="R427" s="15">
        <f t="shared" si="2"/>
        <v>0.4130434783</v>
      </c>
      <c r="S427" s="15">
        <f>IF(H427&lt;&gt;"",EXP(-Formula!$C$28*(EOMONTH(H427,0)-H427)),EXP(-Formula!$C$28*(EOMONTH(D427,0)-D427)))</f>
        <v>0.9512294245</v>
      </c>
      <c r="T427" s="15">
        <f t="shared" si="3"/>
        <v>0.3015113446</v>
      </c>
      <c r="U427" s="15">
        <f t="shared" si="4"/>
        <v>0.118463539</v>
      </c>
      <c r="V427" s="16">
        <f>IF(AND(L427="Among all respondents",NOT(OR(K427="Online poll in Telegram channel",K427="Website online poll",K427="CAWI (Computer Assisted Web Interviewing)"))),1/(1-MIN(MAX(Formula!$C$33+(YEAR(D427)-Formula!$C$34)/(Formula!$C$35-Formula!$C$34)*(Formula!$C$32-Formula!$C$33),Formula!$C$33),Formula!$C$32)),1)</f>
        <v>1.119402985</v>
      </c>
      <c r="W427" s="17">
        <f t="shared" si="5"/>
        <v>72.76119403</v>
      </c>
    </row>
    <row r="428" ht="15.75" customHeight="1">
      <c r="A428" s="8" t="s">
        <v>930</v>
      </c>
      <c r="B428" s="7" t="s">
        <v>926</v>
      </c>
      <c r="C428" s="13" t="s">
        <v>927</v>
      </c>
      <c r="D428" s="7" t="s">
        <v>94</v>
      </c>
      <c r="E428" s="8" t="s">
        <v>97</v>
      </c>
      <c r="F428" s="8" t="s">
        <v>318</v>
      </c>
      <c r="G428" s="7" t="s">
        <v>928</v>
      </c>
      <c r="H428" s="7" t="s">
        <v>929</v>
      </c>
      <c r="I428" s="8">
        <v>2013.0</v>
      </c>
      <c r="J428" s="8">
        <v>2.3</v>
      </c>
      <c r="K428" s="8" t="s">
        <v>583</v>
      </c>
      <c r="L428" s="8" t="s">
        <v>373</v>
      </c>
      <c r="M428" s="8" t="s">
        <v>325</v>
      </c>
      <c r="N428" s="8">
        <v>47.0</v>
      </c>
      <c r="O428" s="14">
        <f t="shared" si="1"/>
        <v>45047</v>
      </c>
      <c r="P428" s="15">
        <f>IFERROR(VLOOKUP(K428,Formula!$A$11:$B$20,2,FALSE),Formula!$C$26)</f>
        <v>0.95</v>
      </c>
      <c r="Q428" s="15">
        <f>IF(AND(ISNUMBER(J428),J428&gt;0),1/J428,IF(AND(ISNUMBER(I428),I428&gt;0),SQRT(MIN(I428,Formula!$C$27))/Formula!$C$24,1/Formula!$C$25))</f>
        <v>0.4347826087</v>
      </c>
      <c r="R428" s="15">
        <f t="shared" si="2"/>
        <v>0.4130434783</v>
      </c>
      <c r="S428" s="15">
        <f>IF(H428&lt;&gt;"",EXP(-Formula!$C$28*(EOMONTH(H428,0)-H428)),EXP(-Formula!$C$28*(EOMONTH(D428,0)-D428)))</f>
        <v>0.9512294245</v>
      </c>
      <c r="T428" s="15">
        <f t="shared" si="3"/>
        <v>0.3015113446</v>
      </c>
      <c r="U428" s="15">
        <f t="shared" si="4"/>
        <v>0.118463539</v>
      </c>
      <c r="V428" s="16">
        <f>IF(AND(L428="Among all respondents",NOT(OR(K428="Online poll in Telegram channel",K428="Website online poll",K428="CAWI (Computer Assisted Web Interviewing)"))),1/(1-MIN(MAX(Formula!$C$33+(YEAR(D428)-Formula!$C$34)/(Formula!$C$35-Formula!$C$34)*(Formula!$C$32-Formula!$C$33),Formula!$C$33),Formula!$C$32)),1)</f>
        <v>1.119402985</v>
      </c>
      <c r="W428" s="17">
        <f t="shared" si="5"/>
        <v>52.6119403</v>
      </c>
    </row>
    <row r="429" ht="15.75" customHeight="1">
      <c r="A429" s="8" t="s">
        <v>931</v>
      </c>
      <c r="B429" s="7" t="s">
        <v>926</v>
      </c>
      <c r="C429" s="13" t="s">
        <v>927</v>
      </c>
      <c r="D429" s="7" t="s">
        <v>94</v>
      </c>
      <c r="E429" s="8" t="s">
        <v>97</v>
      </c>
      <c r="F429" s="8" t="s">
        <v>318</v>
      </c>
      <c r="G429" s="7" t="s">
        <v>928</v>
      </c>
      <c r="H429" s="7" t="s">
        <v>929</v>
      </c>
      <c r="I429" s="8">
        <v>2013.0</v>
      </c>
      <c r="J429" s="8">
        <v>2.3</v>
      </c>
      <c r="K429" s="8" t="s">
        <v>583</v>
      </c>
      <c r="L429" s="8" t="s">
        <v>373</v>
      </c>
      <c r="M429" s="8" t="s">
        <v>932</v>
      </c>
      <c r="N429" s="8">
        <v>9.0</v>
      </c>
      <c r="O429" s="14">
        <f t="shared" si="1"/>
        <v>45047</v>
      </c>
      <c r="P429" s="15">
        <f>IFERROR(VLOOKUP(K429,Formula!$A$11:$B$20,2,FALSE),Formula!$C$26)</f>
        <v>0.95</v>
      </c>
      <c r="Q429" s="15">
        <f>IF(AND(ISNUMBER(J429),J429&gt;0),1/J429,IF(AND(ISNUMBER(I429),I429&gt;0),SQRT(MIN(I429,Formula!$C$27))/Formula!$C$24,1/Formula!$C$25))</f>
        <v>0.4347826087</v>
      </c>
      <c r="R429" s="15">
        <f t="shared" si="2"/>
        <v>0.4130434783</v>
      </c>
      <c r="S429" s="15">
        <f>IF(H429&lt;&gt;"",EXP(-Formula!$C$28*(EOMONTH(H429,0)-H429)),EXP(-Formula!$C$28*(EOMONTH(D429,0)-D429)))</f>
        <v>0.9512294245</v>
      </c>
      <c r="T429" s="15">
        <f t="shared" si="3"/>
        <v>0.3015113446</v>
      </c>
      <c r="U429" s="15">
        <f t="shared" si="4"/>
        <v>0.118463539</v>
      </c>
      <c r="V429" s="16">
        <f>IF(AND(L429="Among all respondents",NOT(OR(K429="Online poll in Telegram channel",K429="Website online poll",K429="CAWI (Computer Assisted Web Interviewing)"))),1/(1-MIN(MAX(Formula!$C$33+(YEAR(D429)-Formula!$C$34)/(Formula!$C$35-Formula!$C$34)*(Formula!$C$32-Formula!$C$33),Formula!$C$33),Formula!$C$32)),1)</f>
        <v>1.119402985</v>
      </c>
      <c r="W429" s="17">
        <f t="shared" si="5"/>
        <v>10.07462687</v>
      </c>
    </row>
    <row r="430" ht="15.75" customHeight="1">
      <c r="A430" s="8" t="s">
        <v>933</v>
      </c>
      <c r="B430" s="7" t="s">
        <v>926</v>
      </c>
      <c r="C430" s="13" t="s">
        <v>927</v>
      </c>
      <c r="D430" s="7" t="s">
        <v>94</v>
      </c>
      <c r="E430" s="8" t="s">
        <v>97</v>
      </c>
      <c r="F430" s="8" t="s">
        <v>318</v>
      </c>
      <c r="G430" s="7" t="s">
        <v>928</v>
      </c>
      <c r="H430" s="7" t="s">
        <v>929</v>
      </c>
      <c r="I430" s="8">
        <v>2013.0</v>
      </c>
      <c r="J430" s="8">
        <v>2.3</v>
      </c>
      <c r="K430" s="8" t="s">
        <v>583</v>
      </c>
      <c r="L430" s="8" t="s">
        <v>373</v>
      </c>
      <c r="M430" s="8" t="s">
        <v>339</v>
      </c>
      <c r="N430" s="8">
        <v>9.0</v>
      </c>
      <c r="O430" s="14">
        <f t="shared" si="1"/>
        <v>45047</v>
      </c>
      <c r="P430" s="15">
        <f>IFERROR(VLOOKUP(K430,Formula!$A$11:$B$20,2,FALSE),Formula!$C$26)</f>
        <v>0.95</v>
      </c>
      <c r="Q430" s="15">
        <f>IF(AND(ISNUMBER(J430),J430&gt;0),1/J430,IF(AND(ISNUMBER(I430),I430&gt;0),SQRT(MIN(I430,Formula!$C$27))/Formula!$C$24,1/Formula!$C$25))</f>
        <v>0.4347826087</v>
      </c>
      <c r="R430" s="15">
        <f t="shared" si="2"/>
        <v>0.4130434783</v>
      </c>
      <c r="S430" s="15">
        <f>IF(H430&lt;&gt;"",EXP(-Formula!$C$28*(EOMONTH(H430,0)-H430)),EXP(-Formula!$C$28*(EOMONTH(D430,0)-D430)))</f>
        <v>0.9512294245</v>
      </c>
      <c r="T430" s="15">
        <f t="shared" si="3"/>
        <v>0.3015113446</v>
      </c>
      <c r="U430" s="15">
        <f t="shared" si="4"/>
        <v>0.118463539</v>
      </c>
      <c r="V430" s="16">
        <f>IF(AND(L430="Among all respondents",NOT(OR(K430="Online poll in Telegram channel",K430="Website online poll",K430="CAWI (Computer Assisted Web Interviewing)"))),1/(1-MIN(MAX(Formula!$C$33+(YEAR(D430)-Formula!$C$34)/(Formula!$C$35-Formula!$C$34)*(Formula!$C$32-Formula!$C$33),Formula!$C$33),Formula!$C$32)),1)</f>
        <v>1.119402985</v>
      </c>
      <c r="W430" s="17">
        <f t="shared" si="5"/>
        <v>10.07462687</v>
      </c>
    </row>
    <row r="431" ht="15.75" customHeight="1">
      <c r="A431" s="8" t="s">
        <v>934</v>
      </c>
      <c r="B431" s="7" t="s">
        <v>926</v>
      </c>
      <c r="C431" s="13" t="s">
        <v>927</v>
      </c>
      <c r="D431" s="7" t="s">
        <v>94</v>
      </c>
      <c r="E431" s="8" t="s">
        <v>97</v>
      </c>
      <c r="F431" s="8" t="s">
        <v>318</v>
      </c>
      <c r="G431" s="7" t="s">
        <v>928</v>
      </c>
      <c r="H431" s="7" t="s">
        <v>929</v>
      </c>
      <c r="I431" s="8">
        <v>2013.0</v>
      </c>
      <c r="J431" s="8">
        <v>2.3</v>
      </c>
      <c r="K431" s="8" t="s">
        <v>583</v>
      </c>
      <c r="L431" s="8" t="s">
        <v>373</v>
      </c>
      <c r="M431" s="8" t="s">
        <v>935</v>
      </c>
      <c r="N431" s="8">
        <v>6.0</v>
      </c>
      <c r="O431" s="14">
        <f t="shared" si="1"/>
        <v>45047</v>
      </c>
      <c r="P431" s="15">
        <f>IFERROR(VLOOKUP(K431,Formula!$A$11:$B$20,2,FALSE),Formula!$C$26)</f>
        <v>0.95</v>
      </c>
      <c r="Q431" s="15">
        <f>IF(AND(ISNUMBER(J431),J431&gt;0),1/J431,IF(AND(ISNUMBER(I431),I431&gt;0),SQRT(MIN(I431,Formula!$C$27))/Formula!$C$24,1/Formula!$C$25))</f>
        <v>0.4347826087</v>
      </c>
      <c r="R431" s="15">
        <f t="shared" si="2"/>
        <v>0.4130434783</v>
      </c>
      <c r="S431" s="15">
        <f>IF(H431&lt;&gt;"",EXP(-Formula!$C$28*(EOMONTH(H431,0)-H431)),EXP(-Formula!$C$28*(EOMONTH(D431,0)-D431)))</f>
        <v>0.9512294245</v>
      </c>
      <c r="T431" s="15">
        <f t="shared" si="3"/>
        <v>0.3015113446</v>
      </c>
      <c r="U431" s="15">
        <f t="shared" si="4"/>
        <v>0.118463539</v>
      </c>
      <c r="V431" s="16">
        <f>IF(AND(L431="Among all respondents",NOT(OR(K431="Online poll in Telegram channel",K431="Website online poll",K431="CAWI (Computer Assisted Web Interviewing)"))),1/(1-MIN(MAX(Formula!$C$33+(YEAR(D431)-Formula!$C$34)/(Formula!$C$35-Formula!$C$34)*(Formula!$C$32-Formula!$C$33),Formula!$C$33),Formula!$C$32)),1)</f>
        <v>1.119402985</v>
      </c>
      <c r="W431" s="17">
        <f t="shared" si="5"/>
        <v>6.71641791</v>
      </c>
    </row>
    <row r="432" ht="15.75" customHeight="1">
      <c r="A432" s="8" t="s">
        <v>936</v>
      </c>
      <c r="B432" s="7" t="s">
        <v>926</v>
      </c>
      <c r="C432" s="13" t="s">
        <v>927</v>
      </c>
      <c r="D432" s="7" t="s">
        <v>94</v>
      </c>
      <c r="E432" s="8" t="s">
        <v>97</v>
      </c>
      <c r="F432" s="8" t="s">
        <v>318</v>
      </c>
      <c r="G432" s="7" t="s">
        <v>928</v>
      </c>
      <c r="H432" s="7" t="s">
        <v>929</v>
      </c>
      <c r="I432" s="8">
        <v>2013.0</v>
      </c>
      <c r="J432" s="8">
        <v>2.3</v>
      </c>
      <c r="K432" s="8" t="s">
        <v>583</v>
      </c>
      <c r="L432" s="8" t="s">
        <v>373</v>
      </c>
      <c r="M432" s="8" t="s">
        <v>362</v>
      </c>
      <c r="N432" s="8">
        <v>5.0</v>
      </c>
      <c r="O432" s="14">
        <f t="shared" si="1"/>
        <v>45047</v>
      </c>
      <c r="P432" s="15">
        <f>IFERROR(VLOOKUP(K432,Formula!$A$11:$B$20,2,FALSE),Formula!$C$26)</f>
        <v>0.95</v>
      </c>
      <c r="Q432" s="15">
        <f>IF(AND(ISNUMBER(J432),J432&gt;0),1/J432,IF(AND(ISNUMBER(I432),I432&gt;0),SQRT(MIN(I432,Formula!$C$27))/Formula!$C$24,1/Formula!$C$25))</f>
        <v>0.4347826087</v>
      </c>
      <c r="R432" s="15">
        <f t="shared" si="2"/>
        <v>0.4130434783</v>
      </c>
      <c r="S432" s="15">
        <f>IF(H432&lt;&gt;"",EXP(-Formula!$C$28*(EOMONTH(H432,0)-H432)),EXP(-Formula!$C$28*(EOMONTH(D432,0)-D432)))</f>
        <v>0.9512294245</v>
      </c>
      <c r="T432" s="15">
        <f t="shared" si="3"/>
        <v>0.3015113446</v>
      </c>
      <c r="U432" s="15">
        <f t="shared" si="4"/>
        <v>0.118463539</v>
      </c>
      <c r="V432" s="16">
        <f>IF(AND(L432="Among all respondents",NOT(OR(K432="Online poll in Telegram channel",K432="Website online poll",K432="CAWI (Computer Assisted Web Interviewing)"))),1/(1-MIN(MAX(Formula!$C$33+(YEAR(D432)-Formula!$C$34)/(Formula!$C$35-Formula!$C$34)*(Formula!$C$32-Formula!$C$33),Formula!$C$33),Formula!$C$32)),1)</f>
        <v>1.119402985</v>
      </c>
      <c r="W432" s="17">
        <f t="shared" si="5"/>
        <v>5.597014925</v>
      </c>
    </row>
    <row r="433" ht="15.75" customHeight="1">
      <c r="A433" s="8" t="s">
        <v>937</v>
      </c>
      <c r="B433" s="7" t="s">
        <v>926</v>
      </c>
      <c r="C433" s="13" t="s">
        <v>927</v>
      </c>
      <c r="D433" s="7" t="s">
        <v>94</v>
      </c>
      <c r="E433" s="8" t="s">
        <v>97</v>
      </c>
      <c r="F433" s="8" t="s">
        <v>318</v>
      </c>
      <c r="G433" s="7" t="s">
        <v>928</v>
      </c>
      <c r="H433" s="7" t="s">
        <v>929</v>
      </c>
      <c r="I433" s="8">
        <v>2013.0</v>
      </c>
      <c r="J433" s="8">
        <v>2.3</v>
      </c>
      <c r="K433" s="8" t="s">
        <v>583</v>
      </c>
      <c r="L433" s="8" t="s">
        <v>373</v>
      </c>
      <c r="M433" s="8" t="s">
        <v>938</v>
      </c>
      <c r="N433" s="8">
        <v>5.0</v>
      </c>
      <c r="O433" s="14">
        <f t="shared" si="1"/>
        <v>45047</v>
      </c>
      <c r="P433" s="15">
        <f>IFERROR(VLOOKUP(K433,Formula!$A$11:$B$20,2,FALSE),Formula!$C$26)</f>
        <v>0.95</v>
      </c>
      <c r="Q433" s="15">
        <f>IF(AND(ISNUMBER(J433),J433&gt;0),1/J433,IF(AND(ISNUMBER(I433),I433&gt;0),SQRT(MIN(I433,Formula!$C$27))/Formula!$C$24,1/Formula!$C$25))</f>
        <v>0.4347826087</v>
      </c>
      <c r="R433" s="15">
        <f t="shared" si="2"/>
        <v>0.4130434783</v>
      </c>
      <c r="S433" s="15">
        <f>IF(H433&lt;&gt;"",EXP(-Formula!$C$28*(EOMONTH(H433,0)-H433)),EXP(-Formula!$C$28*(EOMONTH(D433,0)-D433)))</f>
        <v>0.9512294245</v>
      </c>
      <c r="T433" s="15">
        <f t="shared" si="3"/>
        <v>0.3015113446</v>
      </c>
      <c r="U433" s="15">
        <f t="shared" si="4"/>
        <v>0.118463539</v>
      </c>
      <c r="V433" s="16">
        <f>IF(AND(L433="Among all respondents",NOT(OR(K433="Online poll in Telegram channel",K433="Website online poll",K433="CAWI (Computer Assisted Web Interviewing)"))),1/(1-MIN(MAX(Formula!$C$33+(YEAR(D433)-Formula!$C$34)/(Formula!$C$35-Formula!$C$34)*(Formula!$C$32-Formula!$C$33),Formula!$C$33),Formula!$C$32)),1)</f>
        <v>1.119402985</v>
      </c>
      <c r="W433" s="17">
        <f t="shared" si="5"/>
        <v>5.597014925</v>
      </c>
    </row>
    <row r="434" ht="15.75" customHeight="1">
      <c r="A434" s="8" t="s">
        <v>939</v>
      </c>
      <c r="B434" s="7" t="s">
        <v>926</v>
      </c>
      <c r="C434" s="13" t="s">
        <v>927</v>
      </c>
      <c r="D434" s="7" t="s">
        <v>94</v>
      </c>
      <c r="E434" s="8" t="s">
        <v>97</v>
      </c>
      <c r="F434" s="8" t="s">
        <v>318</v>
      </c>
      <c r="G434" s="7" t="s">
        <v>928</v>
      </c>
      <c r="H434" s="7" t="s">
        <v>929</v>
      </c>
      <c r="I434" s="8">
        <v>2013.0</v>
      </c>
      <c r="J434" s="8">
        <v>2.3</v>
      </c>
      <c r="K434" s="8" t="s">
        <v>583</v>
      </c>
      <c r="L434" s="8" t="s">
        <v>373</v>
      </c>
      <c r="M434" s="8" t="s">
        <v>327</v>
      </c>
      <c r="N434" s="8">
        <v>5.0</v>
      </c>
      <c r="O434" s="14">
        <f t="shared" si="1"/>
        <v>45047</v>
      </c>
      <c r="P434" s="15">
        <f>IFERROR(VLOOKUP(K434,Formula!$A$11:$B$20,2,FALSE),Formula!$C$26)</f>
        <v>0.95</v>
      </c>
      <c r="Q434" s="15">
        <f>IF(AND(ISNUMBER(J434),J434&gt;0),1/J434,IF(AND(ISNUMBER(I434),I434&gt;0),SQRT(MIN(I434,Formula!$C$27))/Formula!$C$24,1/Formula!$C$25))</f>
        <v>0.4347826087</v>
      </c>
      <c r="R434" s="15">
        <f t="shared" si="2"/>
        <v>0.4130434783</v>
      </c>
      <c r="S434" s="15">
        <f>IF(H434&lt;&gt;"",EXP(-Formula!$C$28*(EOMONTH(H434,0)-H434)),EXP(-Formula!$C$28*(EOMONTH(D434,0)-D434)))</f>
        <v>0.9512294245</v>
      </c>
      <c r="T434" s="15">
        <f t="shared" si="3"/>
        <v>0.3015113446</v>
      </c>
      <c r="U434" s="15">
        <f t="shared" si="4"/>
        <v>0.118463539</v>
      </c>
      <c r="V434" s="16">
        <f>IF(AND(L434="Among all respondents",NOT(OR(K434="Online poll in Telegram channel",K434="Website online poll",K434="CAWI (Computer Assisted Web Interviewing)"))),1/(1-MIN(MAX(Formula!$C$33+(YEAR(D434)-Formula!$C$34)/(Formula!$C$35-Formula!$C$34)*(Formula!$C$32-Formula!$C$33),Formula!$C$33),Formula!$C$32)),1)</f>
        <v>1.119402985</v>
      </c>
      <c r="W434" s="17">
        <f t="shared" si="5"/>
        <v>5.597014925</v>
      </c>
    </row>
    <row r="435" ht="15.75" customHeight="1">
      <c r="A435" s="8" t="s">
        <v>940</v>
      </c>
      <c r="B435" s="7" t="s">
        <v>926</v>
      </c>
      <c r="C435" s="13" t="s">
        <v>927</v>
      </c>
      <c r="D435" s="7" t="s">
        <v>94</v>
      </c>
      <c r="E435" s="8" t="s">
        <v>97</v>
      </c>
      <c r="F435" s="8" t="s">
        <v>318</v>
      </c>
      <c r="G435" s="7" t="s">
        <v>928</v>
      </c>
      <c r="H435" s="7" t="s">
        <v>929</v>
      </c>
      <c r="I435" s="8">
        <v>2013.0</v>
      </c>
      <c r="J435" s="8">
        <v>2.3</v>
      </c>
      <c r="K435" s="8" t="s">
        <v>583</v>
      </c>
      <c r="L435" s="8" t="s">
        <v>373</v>
      </c>
      <c r="M435" s="8" t="s">
        <v>941</v>
      </c>
      <c r="N435" s="8">
        <v>5.0</v>
      </c>
      <c r="O435" s="14">
        <f t="shared" si="1"/>
        <v>45047</v>
      </c>
      <c r="P435" s="15">
        <f>IFERROR(VLOOKUP(K435,Formula!$A$11:$B$20,2,FALSE),Formula!$C$26)</f>
        <v>0.95</v>
      </c>
      <c r="Q435" s="15">
        <f>IF(AND(ISNUMBER(J435),J435&gt;0),1/J435,IF(AND(ISNUMBER(I435),I435&gt;0),SQRT(MIN(I435,Formula!$C$27))/Formula!$C$24,1/Formula!$C$25))</f>
        <v>0.4347826087</v>
      </c>
      <c r="R435" s="15">
        <f t="shared" si="2"/>
        <v>0.4130434783</v>
      </c>
      <c r="S435" s="15">
        <f>IF(H435&lt;&gt;"",EXP(-Formula!$C$28*(EOMONTH(H435,0)-H435)),EXP(-Formula!$C$28*(EOMONTH(D435,0)-D435)))</f>
        <v>0.9512294245</v>
      </c>
      <c r="T435" s="15">
        <f t="shared" si="3"/>
        <v>0.3015113446</v>
      </c>
      <c r="U435" s="15">
        <f t="shared" si="4"/>
        <v>0.118463539</v>
      </c>
      <c r="V435" s="16">
        <f>IF(AND(L435="Among all respondents",NOT(OR(K435="Online poll in Telegram channel",K435="Website online poll",K435="CAWI (Computer Assisted Web Interviewing)"))),1/(1-MIN(MAX(Formula!$C$33+(YEAR(D435)-Formula!$C$34)/(Formula!$C$35-Formula!$C$34)*(Formula!$C$32-Formula!$C$33),Formula!$C$33),Formula!$C$32)),1)</f>
        <v>1.119402985</v>
      </c>
      <c r="W435" s="17">
        <f t="shared" si="5"/>
        <v>5.597014925</v>
      </c>
    </row>
    <row r="436" ht="15.75" customHeight="1">
      <c r="A436" s="8" t="s">
        <v>942</v>
      </c>
      <c r="B436" s="7" t="s">
        <v>926</v>
      </c>
      <c r="C436" s="13" t="s">
        <v>927</v>
      </c>
      <c r="D436" s="7" t="s">
        <v>94</v>
      </c>
      <c r="E436" s="8" t="s">
        <v>97</v>
      </c>
      <c r="F436" s="8" t="s">
        <v>318</v>
      </c>
      <c r="G436" s="7" t="s">
        <v>928</v>
      </c>
      <c r="H436" s="7" t="s">
        <v>929</v>
      </c>
      <c r="I436" s="8">
        <v>2013.0</v>
      </c>
      <c r="J436" s="8">
        <v>2.3</v>
      </c>
      <c r="K436" s="8" t="s">
        <v>583</v>
      </c>
      <c r="L436" s="8" t="s">
        <v>373</v>
      </c>
      <c r="M436" s="8" t="s">
        <v>329</v>
      </c>
      <c r="N436" s="8">
        <v>4.0</v>
      </c>
      <c r="O436" s="14">
        <f t="shared" si="1"/>
        <v>45047</v>
      </c>
      <c r="P436" s="15">
        <f>IFERROR(VLOOKUP(K436,Formula!$A$11:$B$20,2,FALSE),Formula!$C$26)</f>
        <v>0.95</v>
      </c>
      <c r="Q436" s="15">
        <f>IF(AND(ISNUMBER(J436),J436&gt;0),1/J436,IF(AND(ISNUMBER(I436),I436&gt;0),SQRT(MIN(I436,Formula!$C$27))/Formula!$C$24,1/Formula!$C$25))</f>
        <v>0.4347826087</v>
      </c>
      <c r="R436" s="15">
        <f t="shared" si="2"/>
        <v>0.4130434783</v>
      </c>
      <c r="S436" s="15">
        <f>IF(H436&lt;&gt;"",EXP(-Formula!$C$28*(EOMONTH(H436,0)-H436)),EXP(-Formula!$C$28*(EOMONTH(D436,0)-D436)))</f>
        <v>0.9512294245</v>
      </c>
      <c r="T436" s="15">
        <f t="shared" si="3"/>
        <v>0.3015113446</v>
      </c>
      <c r="U436" s="15">
        <f t="shared" si="4"/>
        <v>0.118463539</v>
      </c>
      <c r="V436" s="16">
        <f>IF(AND(L436="Among all respondents",NOT(OR(K436="Online poll in Telegram channel",K436="Website online poll",K436="CAWI (Computer Assisted Web Interviewing)"))),1/(1-MIN(MAX(Formula!$C$33+(YEAR(D436)-Formula!$C$34)/(Formula!$C$35-Formula!$C$34)*(Formula!$C$32-Formula!$C$33),Formula!$C$33),Formula!$C$32)),1)</f>
        <v>1.119402985</v>
      </c>
      <c r="W436" s="17">
        <f t="shared" si="5"/>
        <v>4.47761194</v>
      </c>
    </row>
    <row r="437" ht="15.75" customHeight="1">
      <c r="A437" s="8" t="s">
        <v>943</v>
      </c>
      <c r="B437" s="7" t="s">
        <v>926</v>
      </c>
      <c r="C437" s="13" t="s">
        <v>927</v>
      </c>
      <c r="D437" s="7" t="s">
        <v>94</v>
      </c>
      <c r="E437" s="8" t="s">
        <v>97</v>
      </c>
      <c r="F437" s="8" t="s">
        <v>318</v>
      </c>
      <c r="G437" s="7" t="s">
        <v>928</v>
      </c>
      <c r="H437" s="7" t="s">
        <v>929</v>
      </c>
      <c r="I437" s="8">
        <v>2013.0</v>
      </c>
      <c r="J437" s="8">
        <v>2.3</v>
      </c>
      <c r="K437" s="8" t="s">
        <v>583</v>
      </c>
      <c r="L437" s="8" t="s">
        <v>373</v>
      </c>
      <c r="M437" s="8" t="s">
        <v>944</v>
      </c>
      <c r="N437" s="8">
        <v>4.0</v>
      </c>
      <c r="O437" s="14">
        <f t="shared" si="1"/>
        <v>45047</v>
      </c>
      <c r="P437" s="15">
        <f>IFERROR(VLOOKUP(K437,Formula!$A$11:$B$20,2,FALSE),Formula!$C$26)</f>
        <v>0.95</v>
      </c>
      <c r="Q437" s="15">
        <f>IF(AND(ISNUMBER(J437),J437&gt;0),1/J437,IF(AND(ISNUMBER(I437),I437&gt;0),SQRT(MIN(I437,Formula!$C$27))/Formula!$C$24,1/Formula!$C$25))</f>
        <v>0.4347826087</v>
      </c>
      <c r="R437" s="15">
        <f t="shared" si="2"/>
        <v>0.4130434783</v>
      </c>
      <c r="S437" s="15">
        <f>IF(H437&lt;&gt;"",EXP(-Formula!$C$28*(EOMONTH(H437,0)-H437)),EXP(-Formula!$C$28*(EOMONTH(D437,0)-D437)))</f>
        <v>0.9512294245</v>
      </c>
      <c r="T437" s="15">
        <f t="shared" si="3"/>
        <v>0.3015113446</v>
      </c>
      <c r="U437" s="15">
        <f t="shared" si="4"/>
        <v>0.118463539</v>
      </c>
      <c r="V437" s="16">
        <f>IF(AND(L437="Among all respondents",NOT(OR(K437="Online poll in Telegram channel",K437="Website online poll",K437="CAWI (Computer Assisted Web Interviewing)"))),1/(1-MIN(MAX(Formula!$C$33+(YEAR(D437)-Formula!$C$34)/(Formula!$C$35-Formula!$C$34)*(Formula!$C$32-Formula!$C$33),Formula!$C$33),Formula!$C$32)),1)</f>
        <v>1.119402985</v>
      </c>
      <c r="W437" s="17">
        <f t="shared" si="5"/>
        <v>4.47761194</v>
      </c>
    </row>
    <row r="438" ht="15.75" customHeight="1">
      <c r="A438" s="8" t="s">
        <v>945</v>
      </c>
      <c r="B438" s="7" t="s">
        <v>946</v>
      </c>
      <c r="C438" s="13" t="s">
        <v>947</v>
      </c>
      <c r="D438" s="7" t="s">
        <v>94</v>
      </c>
      <c r="E438" s="8" t="s">
        <v>85</v>
      </c>
      <c r="F438" s="8" t="s">
        <v>318</v>
      </c>
      <c r="G438" s="7" t="s">
        <v>948</v>
      </c>
      <c r="H438" s="7" t="s">
        <v>94</v>
      </c>
      <c r="I438" s="8">
        <v>28400.0</v>
      </c>
      <c r="K438" s="8" t="s">
        <v>877</v>
      </c>
      <c r="L438" s="8" t="s">
        <v>373</v>
      </c>
      <c r="M438" s="8" t="s">
        <v>323</v>
      </c>
      <c r="N438" s="8">
        <v>60.0</v>
      </c>
      <c r="O438" s="14">
        <f t="shared" si="1"/>
        <v>45047</v>
      </c>
      <c r="P438" s="15">
        <f>IFERROR(VLOOKUP(K438,Formula!$A$11:$B$20,2,FALSE),Formula!$C$26)</f>
        <v>0.2</v>
      </c>
      <c r="Q438" s="15">
        <f>IF(AND(ISNUMBER(J438),J438&gt;0),1/J438,IF(AND(ISNUMBER(I438),I438&gt;0),SQRT(MIN(I438,Formula!$C$27))/Formula!$C$24,1/Formula!$C$25))</f>
        <v>0.7215375318</v>
      </c>
      <c r="R438" s="15">
        <f t="shared" si="2"/>
        <v>0.1443075064</v>
      </c>
      <c r="S438" s="15">
        <f>IF(H438&lt;&gt;"",EXP(-Formula!$C$28*(EOMONTH(H438,0)-H438)),EXP(-Formula!$C$28*(EOMONTH(D438,0)-D438)))</f>
        <v>0.3166367694</v>
      </c>
      <c r="T438" s="15">
        <f t="shared" si="3"/>
        <v>0.3535533906</v>
      </c>
      <c r="U438" s="15">
        <f t="shared" si="4"/>
        <v>0.01615493721</v>
      </c>
      <c r="V438" s="16">
        <f>IF(AND(L438="Among all respondents",NOT(OR(K438="Online poll in Telegram channel",K438="Website online poll",K438="CAWI (Computer Assisted Web Interviewing)"))),1/(1-MIN(MAX(Formula!$C$33+(YEAR(D438)-Formula!$C$34)/(Formula!$C$35-Formula!$C$34)*(Formula!$C$32-Formula!$C$33),Formula!$C$33),Formula!$C$32)),1)</f>
        <v>1</v>
      </c>
      <c r="W438" s="17">
        <f t="shared" si="5"/>
        <v>60</v>
      </c>
    </row>
    <row r="439" ht="15.75" customHeight="1">
      <c r="A439" s="8" t="s">
        <v>949</v>
      </c>
      <c r="B439" s="7" t="s">
        <v>946</v>
      </c>
      <c r="C439" s="13" t="s">
        <v>947</v>
      </c>
      <c r="D439" s="7" t="s">
        <v>94</v>
      </c>
      <c r="E439" s="8" t="s">
        <v>85</v>
      </c>
      <c r="F439" s="8" t="s">
        <v>318</v>
      </c>
      <c r="G439" s="7" t="s">
        <v>948</v>
      </c>
      <c r="H439" s="7" t="s">
        <v>94</v>
      </c>
      <c r="I439" s="8">
        <v>28400.0</v>
      </c>
      <c r="K439" s="8" t="s">
        <v>877</v>
      </c>
      <c r="L439" s="8" t="s">
        <v>373</v>
      </c>
      <c r="M439" s="8" t="s">
        <v>325</v>
      </c>
      <c r="N439" s="8">
        <v>12.0</v>
      </c>
      <c r="O439" s="14">
        <f t="shared" si="1"/>
        <v>45047</v>
      </c>
      <c r="P439" s="15">
        <f>IFERROR(VLOOKUP(K439,Formula!$A$11:$B$20,2,FALSE),Formula!$C$26)</f>
        <v>0.2</v>
      </c>
      <c r="Q439" s="15">
        <f>IF(AND(ISNUMBER(J439),J439&gt;0),1/J439,IF(AND(ISNUMBER(I439),I439&gt;0),SQRT(MIN(I439,Formula!$C$27))/Formula!$C$24,1/Formula!$C$25))</f>
        <v>0.7215375318</v>
      </c>
      <c r="R439" s="15">
        <f t="shared" si="2"/>
        <v>0.1443075064</v>
      </c>
      <c r="S439" s="15">
        <f>IF(H439&lt;&gt;"",EXP(-Formula!$C$28*(EOMONTH(H439,0)-H439)),EXP(-Formula!$C$28*(EOMONTH(D439,0)-D439)))</f>
        <v>0.3166367694</v>
      </c>
      <c r="T439" s="15">
        <f t="shared" si="3"/>
        <v>0.3535533906</v>
      </c>
      <c r="U439" s="15">
        <f t="shared" si="4"/>
        <v>0.01615493721</v>
      </c>
      <c r="V439" s="16">
        <f>IF(AND(L439="Among all respondents",NOT(OR(K439="Online poll in Telegram channel",K439="Website online poll",K439="CAWI (Computer Assisted Web Interviewing)"))),1/(1-MIN(MAX(Formula!$C$33+(YEAR(D439)-Formula!$C$34)/(Formula!$C$35-Formula!$C$34)*(Formula!$C$32-Formula!$C$33),Formula!$C$33),Formula!$C$32)),1)</f>
        <v>1</v>
      </c>
      <c r="W439" s="17">
        <f t="shared" si="5"/>
        <v>12</v>
      </c>
    </row>
    <row r="440" ht="15.75" customHeight="1">
      <c r="A440" s="8" t="s">
        <v>950</v>
      </c>
      <c r="B440" s="7" t="s">
        <v>946</v>
      </c>
      <c r="C440" s="13" t="s">
        <v>947</v>
      </c>
      <c r="D440" s="7" t="s">
        <v>94</v>
      </c>
      <c r="E440" s="8" t="s">
        <v>85</v>
      </c>
      <c r="F440" s="8" t="s">
        <v>318</v>
      </c>
      <c r="G440" s="7" t="s">
        <v>948</v>
      </c>
      <c r="H440" s="7" t="s">
        <v>94</v>
      </c>
      <c r="I440" s="8">
        <v>28400.0</v>
      </c>
      <c r="K440" s="8" t="s">
        <v>877</v>
      </c>
      <c r="L440" s="8" t="s">
        <v>373</v>
      </c>
      <c r="M440" s="8" t="s">
        <v>329</v>
      </c>
      <c r="N440" s="8">
        <v>8.0</v>
      </c>
      <c r="O440" s="14">
        <f t="shared" si="1"/>
        <v>45047</v>
      </c>
      <c r="P440" s="15">
        <f>IFERROR(VLOOKUP(K440,Formula!$A$11:$B$20,2,FALSE),Formula!$C$26)</f>
        <v>0.2</v>
      </c>
      <c r="Q440" s="15">
        <f>IF(AND(ISNUMBER(J440),J440&gt;0),1/J440,IF(AND(ISNUMBER(I440),I440&gt;0),SQRT(MIN(I440,Formula!$C$27))/Formula!$C$24,1/Formula!$C$25))</f>
        <v>0.7215375318</v>
      </c>
      <c r="R440" s="15">
        <f t="shared" si="2"/>
        <v>0.1443075064</v>
      </c>
      <c r="S440" s="15">
        <f>IF(H440&lt;&gt;"",EXP(-Formula!$C$28*(EOMONTH(H440,0)-H440)),EXP(-Formula!$C$28*(EOMONTH(D440,0)-D440)))</f>
        <v>0.3166367694</v>
      </c>
      <c r="T440" s="15">
        <f t="shared" si="3"/>
        <v>0.3535533906</v>
      </c>
      <c r="U440" s="15">
        <f t="shared" si="4"/>
        <v>0.01615493721</v>
      </c>
      <c r="V440" s="16">
        <f>IF(AND(L440="Among all respondents",NOT(OR(K440="Online poll in Telegram channel",K440="Website online poll",K440="CAWI (Computer Assisted Web Interviewing)"))),1/(1-MIN(MAX(Formula!$C$33+(YEAR(D440)-Formula!$C$34)/(Formula!$C$35-Formula!$C$34)*(Formula!$C$32-Formula!$C$33),Formula!$C$33),Formula!$C$32)),1)</f>
        <v>1</v>
      </c>
      <c r="W440" s="17">
        <f t="shared" si="5"/>
        <v>8</v>
      </c>
    </row>
    <row r="441" ht="15.75" customHeight="1">
      <c r="A441" s="8" t="s">
        <v>951</v>
      </c>
      <c r="B441" s="7" t="s">
        <v>946</v>
      </c>
      <c r="C441" s="13" t="s">
        <v>947</v>
      </c>
      <c r="D441" s="7" t="s">
        <v>94</v>
      </c>
      <c r="E441" s="8" t="s">
        <v>85</v>
      </c>
      <c r="F441" s="8" t="s">
        <v>318</v>
      </c>
      <c r="G441" s="7" t="s">
        <v>948</v>
      </c>
      <c r="H441" s="7" t="s">
        <v>94</v>
      </c>
      <c r="I441" s="8">
        <v>28400.0</v>
      </c>
      <c r="K441" s="8" t="s">
        <v>877</v>
      </c>
      <c r="L441" s="8" t="s">
        <v>373</v>
      </c>
      <c r="M441" s="8" t="s">
        <v>339</v>
      </c>
      <c r="N441" s="8">
        <v>2.0</v>
      </c>
      <c r="O441" s="14">
        <f t="shared" si="1"/>
        <v>45047</v>
      </c>
      <c r="P441" s="15">
        <f>IFERROR(VLOOKUP(K441,Formula!$A$11:$B$20,2,FALSE),Formula!$C$26)</f>
        <v>0.2</v>
      </c>
      <c r="Q441" s="15">
        <f>IF(AND(ISNUMBER(J441),J441&gt;0),1/J441,IF(AND(ISNUMBER(I441),I441&gt;0),SQRT(MIN(I441,Formula!$C$27))/Formula!$C$24,1/Formula!$C$25))</f>
        <v>0.7215375318</v>
      </c>
      <c r="R441" s="15">
        <f t="shared" si="2"/>
        <v>0.1443075064</v>
      </c>
      <c r="S441" s="15">
        <f>IF(H441&lt;&gt;"",EXP(-Formula!$C$28*(EOMONTH(H441,0)-H441)),EXP(-Formula!$C$28*(EOMONTH(D441,0)-D441)))</f>
        <v>0.3166367694</v>
      </c>
      <c r="T441" s="15">
        <f t="shared" si="3"/>
        <v>0.3535533906</v>
      </c>
      <c r="U441" s="15">
        <f t="shared" si="4"/>
        <v>0.01615493721</v>
      </c>
      <c r="V441" s="16">
        <f>IF(AND(L441="Among all respondents",NOT(OR(K441="Online poll in Telegram channel",K441="Website online poll",K441="CAWI (Computer Assisted Web Interviewing)"))),1/(1-MIN(MAX(Formula!$C$33+(YEAR(D441)-Formula!$C$34)/(Formula!$C$35-Formula!$C$34)*(Formula!$C$32-Formula!$C$33),Formula!$C$33),Formula!$C$32)),1)</f>
        <v>1</v>
      </c>
      <c r="W441" s="17">
        <f t="shared" si="5"/>
        <v>2</v>
      </c>
    </row>
    <row r="442" ht="15.75" customHeight="1">
      <c r="A442" s="8" t="s">
        <v>952</v>
      </c>
      <c r="B442" s="7" t="s">
        <v>946</v>
      </c>
      <c r="C442" s="13" t="s">
        <v>947</v>
      </c>
      <c r="D442" s="7" t="s">
        <v>94</v>
      </c>
      <c r="E442" s="8" t="s">
        <v>85</v>
      </c>
      <c r="F442" s="8" t="s">
        <v>318</v>
      </c>
      <c r="G442" s="7" t="s">
        <v>948</v>
      </c>
      <c r="H442" s="7" t="s">
        <v>94</v>
      </c>
      <c r="I442" s="8">
        <v>28400.0</v>
      </c>
      <c r="K442" s="8" t="s">
        <v>877</v>
      </c>
      <c r="L442" s="8" t="s">
        <v>373</v>
      </c>
      <c r="M442" s="8" t="s">
        <v>337</v>
      </c>
      <c r="N442" s="8">
        <v>1.0</v>
      </c>
      <c r="O442" s="14">
        <f t="shared" si="1"/>
        <v>45047</v>
      </c>
      <c r="P442" s="15">
        <f>IFERROR(VLOOKUP(K442,Formula!$A$11:$B$20,2,FALSE),Formula!$C$26)</f>
        <v>0.2</v>
      </c>
      <c r="Q442" s="15">
        <f>IF(AND(ISNUMBER(J442),J442&gt;0),1/J442,IF(AND(ISNUMBER(I442),I442&gt;0),SQRT(MIN(I442,Formula!$C$27))/Formula!$C$24,1/Formula!$C$25))</f>
        <v>0.7215375318</v>
      </c>
      <c r="R442" s="15">
        <f t="shared" si="2"/>
        <v>0.1443075064</v>
      </c>
      <c r="S442" s="15">
        <f>IF(H442&lt;&gt;"",EXP(-Formula!$C$28*(EOMONTH(H442,0)-H442)),EXP(-Formula!$C$28*(EOMONTH(D442,0)-D442)))</f>
        <v>0.3166367694</v>
      </c>
      <c r="T442" s="15">
        <f t="shared" si="3"/>
        <v>0.3535533906</v>
      </c>
      <c r="U442" s="15">
        <f t="shared" si="4"/>
        <v>0.01615493721</v>
      </c>
      <c r="V442" s="16">
        <f>IF(AND(L442="Among all respondents",NOT(OR(K442="Online poll in Telegram channel",K442="Website online poll",K442="CAWI (Computer Assisted Web Interviewing)"))),1/(1-MIN(MAX(Formula!$C$33+(YEAR(D442)-Formula!$C$34)/(Formula!$C$35-Formula!$C$34)*(Formula!$C$32-Formula!$C$33),Formula!$C$33),Formula!$C$32)),1)</f>
        <v>1</v>
      </c>
      <c r="W442" s="17">
        <f t="shared" si="5"/>
        <v>1</v>
      </c>
    </row>
    <row r="443" ht="15.75" customHeight="1">
      <c r="A443" s="8" t="s">
        <v>953</v>
      </c>
      <c r="B443" s="7" t="s">
        <v>946</v>
      </c>
      <c r="C443" s="13" t="s">
        <v>947</v>
      </c>
      <c r="D443" s="7" t="s">
        <v>94</v>
      </c>
      <c r="E443" s="8" t="s">
        <v>85</v>
      </c>
      <c r="F443" s="8" t="s">
        <v>318</v>
      </c>
      <c r="G443" s="7" t="s">
        <v>948</v>
      </c>
      <c r="H443" s="7" t="s">
        <v>94</v>
      </c>
      <c r="I443" s="8">
        <v>28400.0</v>
      </c>
      <c r="K443" s="8" t="s">
        <v>877</v>
      </c>
      <c r="L443" s="8" t="s">
        <v>373</v>
      </c>
      <c r="M443" s="8" t="s">
        <v>333</v>
      </c>
      <c r="N443" s="8">
        <v>1.0</v>
      </c>
      <c r="O443" s="14">
        <f t="shared" si="1"/>
        <v>45047</v>
      </c>
      <c r="P443" s="15">
        <f>IFERROR(VLOOKUP(K443,Formula!$A$11:$B$20,2,FALSE),Formula!$C$26)</f>
        <v>0.2</v>
      </c>
      <c r="Q443" s="15">
        <f>IF(AND(ISNUMBER(J443),J443&gt;0),1/J443,IF(AND(ISNUMBER(I443),I443&gt;0),SQRT(MIN(I443,Formula!$C$27))/Formula!$C$24,1/Formula!$C$25))</f>
        <v>0.7215375318</v>
      </c>
      <c r="R443" s="15">
        <f t="shared" si="2"/>
        <v>0.1443075064</v>
      </c>
      <c r="S443" s="15">
        <f>IF(H443&lt;&gt;"",EXP(-Formula!$C$28*(EOMONTH(H443,0)-H443)),EXP(-Formula!$C$28*(EOMONTH(D443,0)-D443)))</f>
        <v>0.3166367694</v>
      </c>
      <c r="T443" s="15">
        <f t="shared" si="3"/>
        <v>0.3535533906</v>
      </c>
      <c r="U443" s="15">
        <f t="shared" si="4"/>
        <v>0.01615493721</v>
      </c>
      <c r="V443" s="16">
        <f>IF(AND(L443="Among all respondents",NOT(OR(K443="Online poll in Telegram channel",K443="Website online poll",K443="CAWI (Computer Assisted Web Interviewing)"))),1/(1-MIN(MAX(Formula!$C$33+(YEAR(D443)-Formula!$C$34)/(Formula!$C$35-Formula!$C$34)*(Formula!$C$32-Formula!$C$33),Formula!$C$33),Formula!$C$32)),1)</f>
        <v>1</v>
      </c>
      <c r="W443" s="17">
        <f t="shared" si="5"/>
        <v>1</v>
      </c>
    </row>
    <row r="444" ht="15.75" customHeight="1">
      <c r="A444" s="8" t="s">
        <v>954</v>
      </c>
      <c r="B444" s="7" t="s">
        <v>946</v>
      </c>
      <c r="C444" s="13" t="s">
        <v>947</v>
      </c>
      <c r="D444" s="7" t="s">
        <v>94</v>
      </c>
      <c r="E444" s="8" t="s">
        <v>85</v>
      </c>
      <c r="F444" s="8" t="s">
        <v>318</v>
      </c>
      <c r="G444" s="7" t="s">
        <v>948</v>
      </c>
      <c r="H444" s="7" t="s">
        <v>94</v>
      </c>
      <c r="I444" s="8">
        <v>28400.0</v>
      </c>
      <c r="K444" s="8" t="s">
        <v>877</v>
      </c>
      <c r="L444" s="8" t="s">
        <v>373</v>
      </c>
      <c r="M444" s="8" t="s">
        <v>840</v>
      </c>
      <c r="N444" s="8">
        <v>1.0</v>
      </c>
      <c r="O444" s="14">
        <f t="shared" si="1"/>
        <v>45047</v>
      </c>
      <c r="P444" s="15">
        <f>IFERROR(VLOOKUP(K444,Formula!$A$11:$B$20,2,FALSE),Formula!$C$26)</f>
        <v>0.2</v>
      </c>
      <c r="Q444" s="15">
        <f>IF(AND(ISNUMBER(J444),J444&gt;0),1/J444,IF(AND(ISNUMBER(I444),I444&gt;0),SQRT(MIN(I444,Formula!$C$27))/Formula!$C$24,1/Formula!$C$25))</f>
        <v>0.7215375318</v>
      </c>
      <c r="R444" s="15">
        <f t="shared" si="2"/>
        <v>0.1443075064</v>
      </c>
      <c r="S444" s="15">
        <f>IF(H444&lt;&gt;"",EXP(-Formula!$C$28*(EOMONTH(H444,0)-H444)),EXP(-Formula!$C$28*(EOMONTH(D444,0)-D444)))</f>
        <v>0.3166367694</v>
      </c>
      <c r="T444" s="15">
        <f t="shared" si="3"/>
        <v>0.3535533906</v>
      </c>
      <c r="U444" s="15">
        <f t="shared" si="4"/>
        <v>0.01615493721</v>
      </c>
      <c r="V444" s="16">
        <f>IF(AND(L444="Among all respondents",NOT(OR(K444="Online poll in Telegram channel",K444="Website online poll",K444="CAWI (Computer Assisted Web Interviewing)"))),1/(1-MIN(MAX(Formula!$C$33+(YEAR(D444)-Formula!$C$34)/(Formula!$C$35-Formula!$C$34)*(Formula!$C$32-Formula!$C$33),Formula!$C$33),Formula!$C$32)),1)</f>
        <v>1</v>
      </c>
      <c r="W444" s="17">
        <f t="shared" si="5"/>
        <v>1</v>
      </c>
    </row>
    <row r="445" ht="15.75" customHeight="1">
      <c r="A445" s="8" t="s">
        <v>955</v>
      </c>
      <c r="B445" s="7" t="s">
        <v>946</v>
      </c>
      <c r="C445" s="13" t="s">
        <v>947</v>
      </c>
      <c r="D445" s="7" t="s">
        <v>94</v>
      </c>
      <c r="E445" s="8" t="s">
        <v>85</v>
      </c>
      <c r="F445" s="8" t="s">
        <v>318</v>
      </c>
      <c r="G445" s="7" t="s">
        <v>948</v>
      </c>
      <c r="H445" s="7" t="s">
        <v>94</v>
      </c>
      <c r="I445" s="8">
        <v>28400.0</v>
      </c>
      <c r="K445" s="8" t="s">
        <v>877</v>
      </c>
      <c r="L445" s="8" t="s">
        <v>373</v>
      </c>
      <c r="M445" s="8" t="s">
        <v>828</v>
      </c>
      <c r="N445" s="8">
        <v>1.0</v>
      </c>
      <c r="O445" s="14">
        <f t="shared" si="1"/>
        <v>45047</v>
      </c>
      <c r="P445" s="15">
        <f>IFERROR(VLOOKUP(K445,Formula!$A$11:$B$20,2,FALSE),Formula!$C$26)</f>
        <v>0.2</v>
      </c>
      <c r="Q445" s="15">
        <f>IF(AND(ISNUMBER(J445),J445&gt;0),1/J445,IF(AND(ISNUMBER(I445),I445&gt;0),SQRT(MIN(I445,Formula!$C$27))/Formula!$C$24,1/Formula!$C$25))</f>
        <v>0.7215375318</v>
      </c>
      <c r="R445" s="15">
        <f t="shared" si="2"/>
        <v>0.1443075064</v>
      </c>
      <c r="S445" s="15">
        <f>IF(H445&lt;&gt;"",EXP(-Formula!$C$28*(EOMONTH(H445,0)-H445)),EXP(-Formula!$C$28*(EOMONTH(D445,0)-D445)))</f>
        <v>0.3166367694</v>
      </c>
      <c r="T445" s="15">
        <f t="shared" si="3"/>
        <v>0.3535533906</v>
      </c>
      <c r="U445" s="15">
        <f t="shared" si="4"/>
        <v>0.01615493721</v>
      </c>
      <c r="V445" s="16">
        <f>IF(AND(L445="Among all respondents",NOT(OR(K445="Online poll in Telegram channel",K445="Website online poll",K445="CAWI (Computer Assisted Web Interviewing)"))),1/(1-MIN(MAX(Formula!$C$33+(YEAR(D445)-Formula!$C$34)/(Formula!$C$35-Formula!$C$34)*(Formula!$C$32-Formula!$C$33),Formula!$C$33),Formula!$C$32)),1)</f>
        <v>1</v>
      </c>
      <c r="W445" s="17">
        <f t="shared" si="5"/>
        <v>1</v>
      </c>
    </row>
    <row r="446" ht="15.75" customHeight="1">
      <c r="A446" s="8" t="s">
        <v>956</v>
      </c>
      <c r="B446" s="7" t="s">
        <v>957</v>
      </c>
      <c r="C446" s="13" t="s">
        <v>958</v>
      </c>
      <c r="D446" s="7" t="s">
        <v>98</v>
      </c>
      <c r="E446" s="8" t="s">
        <v>85</v>
      </c>
      <c r="F446" s="8" t="s">
        <v>318</v>
      </c>
      <c r="G446" s="7" t="s">
        <v>959</v>
      </c>
      <c r="H446" s="7" t="s">
        <v>98</v>
      </c>
      <c r="I446" s="8">
        <v>39900.0</v>
      </c>
      <c r="K446" s="8" t="s">
        <v>877</v>
      </c>
      <c r="L446" s="8" t="s">
        <v>322</v>
      </c>
      <c r="M446" s="8" t="s">
        <v>323</v>
      </c>
      <c r="N446" s="8">
        <v>65.0</v>
      </c>
      <c r="O446" s="14">
        <f t="shared" si="1"/>
        <v>45017</v>
      </c>
      <c r="P446" s="15">
        <f>IFERROR(VLOOKUP(K446,Formula!$A$11:$B$20,2,FALSE),Formula!$C$26)</f>
        <v>0.2</v>
      </c>
      <c r="Q446" s="15">
        <f>IF(AND(ISNUMBER(J446),J446&gt;0),1/J446,IF(AND(ISNUMBER(I446),I446&gt;0),SQRT(MIN(I446,Formula!$C$27))/Formula!$C$24,1/Formula!$C$25))</f>
        <v>0.7215375318</v>
      </c>
      <c r="R446" s="15">
        <f t="shared" si="2"/>
        <v>0.1443075064</v>
      </c>
      <c r="S446" s="15">
        <f>IF(H446&lt;&gt;"",EXP(-Formula!$C$28*(EOMONTH(H446,0)-H446)),EXP(-Formula!$C$28*(EOMONTH(D446,0)-D446)))</f>
        <v>0.3166367694</v>
      </c>
      <c r="T446" s="15">
        <f t="shared" si="3"/>
        <v>0.3535533906</v>
      </c>
      <c r="U446" s="15">
        <f t="shared" si="4"/>
        <v>0.01615493721</v>
      </c>
      <c r="V446" s="16">
        <f>IF(AND(L446="Among all respondents",NOT(OR(K446="Online poll in Telegram channel",K446="Website online poll",K446="CAWI (Computer Assisted Web Interviewing)"))),1/(1-MIN(MAX(Formula!$C$33+(YEAR(D446)-Formula!$C$34)/(Formula!$C$35-Formula!$C$34)*(Formula!$C$32-Formula!$C$33),Formula!$C$33),Formula!$C$32)),1)</f>
        <v>1</v>
      </c>
      <c r="W446" s="17">
        <f t="shared" si="5"/>
        <v>65</v>
      </c>
    </row>
    <row r="447" ht="15.75" customHeight="1">
      <c r="A447" s="8" t="s">
        <v>960</v>
      </c>
      <c r="B447" s="7" t="s">
        <v>957</v>
      </c>
      <c r="C447" s="13" t="s">
        <v>958</v>
      </c>
      <c r="D447" s="7" t="s">
        <v>98</v>
      </c>
      <c r="E447" s="8" t="s">
        <v>85</v>
      </c>
      <c r="F447" s="8" t="s">
        <v>318</v>
      </c>
      <c r="G447" s="7" t="s">
        <v>959</v>
      </c>
      <c r="H447" s="7" t="s">
        <v>98</v>
      </c>
      <c r="I447" s="8">
        <v>39900.0</v>
      </c>
      <c r="K447" s="8" t="s">
        <v>877</v>
      </c>
      <c r="L447" s="8" t="s">
        <v>322</v>
      </c>
      <c r="M447" s="8" t="s">
        <v>325</v>
      </c>
      <c r="N447" s="8">
        <v>12.0</v>
      </c>
      <c r="O447" s="14">
        <f t="shared" si="1"/>
        <v>45017</v>
      </c>
      <c r="P447" s="15">
        <f>IFERROR(VLOOKUP(K447,Formula!$A$11:$B$20,2,FALSE),Formula!$C$26)</f>
        <v>0.2</v>
      </c>
      <c r="Q447" s="15">
        <f>IF(AND(ISNUMBER(J447),J447&gt;0),1/J447,IF(AND(ISNUMBER(I447),I447&gt;0),SQRT(MIN(I447,Formula!$C$27))/Formula!$C$24,1/Formula!$C$25))</f>
        <v>0.7215375318</v>
      </c>
      <c r="R447" s="15">
        <f t="shared" si="2"/>
        <v>0.1443075064</v>
      </c>
      <c r="S447" s="15">
        <f>IF(H447&lt;&gt;"",EXP(-Formula!$C$28*(EOMONTH(H447,0)-H447)),EXP(-Formula!$C$28*(EOMONTH(D447,0)-D447)))</f>
        <v>0.3166367694</v>
      </c>
      <c r="T447" s="15">
        <f t="shared" si="3"/>
        <v>0.3535533906</v>
      </c>
      <c r="U447" s="15">
        <f t="shared" si="4"/>
        <v>0.01615493721</v>
      </c>
      <c r="V447" s="16">
        <f>IF(AND(L447="Among all respondents",NOT(OR(K447="Online poll in Telegram channel",K447="Website online poll",K447="CAWI (Computer Assisted Web Interviewing)"))),1/(1-MIN(MAX(Formula!$C$33+(YEAR(D447)-Formula!$C$34)/(Formula!$C$35-Formula!$C$34)*(Formula!$C$32-Formula!$C$33),Formula!$C$33),Formula!$C$32)),1)</f>
        <v>1</v>
      </c>
      <c r="W447" s="17">
        <f t="shared" si="5"/>
        <v>12</v>
      </c>
    </row>
    <row r="448" ht="15.75" customHeight="1">
      <c r="A448" s="8" t="s">
        <v>961</v>
      </c>
      <c r="B448" s="7" t="s">
        <v>957</v>
      </c>
      <c r="C448" s="13" t="s">
        <v>958</v>
      </c>
      <c r="D448" s="7" t="s">
        <v>98</v>
      </c>
      <c r="E448" s="8" t="s">
        <v>85</v>
      </c>
      <c r="F448" s="8" t="s">
        <v>318</v>
      </c>
      <c r="G448" s="7" t="s">
        <v>959</v>
      </c>
      <c r="H448" s="7" t="s">
        <v>98</v>
      </c>
      <c r="I448" s="8">
        <v>39900.0</v>
      </c>
      <c r="K448" s="8" t="s">
        <v>877</v>
      </c>
      <c r="L448" s="8" t="s">
        <v>322</v>
      </c>
      <c r="M448" s="8" t="s">
        <v>329</v>
      </c>
      <c r="N448" s="8">
        <v>7.0</v>
      </c>
      <c r="O448" s="14">
        <f t="shared" si="1"/>
        <v>45017</v>
      </c>
      <c r="P448" s="15">
        <f>IFERROR(VLOOKUP(K448,Formula!$A$11:$B$20,2,FALSE),Formula!$C$26)</f>
        <v>0.2</v>
      </c>
      <c r="Q448" s="15">
        <f>IF(AND(ISNUMBER(J448),J448&gt;0),1/J448,IF(AND(ISNUMBER(I448),I448&gt;0),SQRT(MIN(I448,Formula!$C$27))/Formula!$C$24,1/Formula!$C$25))</f>
        <v>0.7215375318</v>
      </c>
      <c r="R448" s="15">
        <f t="shared" si="2"/>
        <v>0.1443075064</v>
      </c>
      <c r="S448" s="15">
        <f>IF(H448&lt;&gt;"",EXP(-Formula!$C$28*(EOMONTH(H448,0)-H448)),EXP(-Formula!$C$28*(EOMONTH(D448,0)-D448)))</f>
        <v>0.3166367694</v>
      </c>
      <c r="T448" s="15">
        <f t="shared" si="3"/>
        <v>0.3535533906</v>
      </c>
      <c r="U448" s="15">
        <f t="shared" si="4"/>
        <v>0.01615493721</v>
      </c>
      <c r="V448" s="16">
        <f>IF(AND(L448="Among all respondents",NOT(OR(K448="Online poll in Telegram channel",K448="Website online poll",K448="CAWI (Computer Assisted Web Interviewing)"))),1/(1-MIN(MAX(Formula!$C$33+(YEAR(D448)-Formula!$C$34)/(Formula!$C$35-Formula!$C$34)*(Formula!$C$32-Formula!$C$33),Formula!$C$33),Formula!$C$32)),1)</f>
        <v>1</v>
      </c>
      <c r="W448" s="17">
        <f t="shared" si="5"/>
        <v>7</v>
      </c>
    </row>
    <row r="449" ht="15.75" customHeight="1">
      <c r="A449" s="8" t="s">
        <v>962</v>
      </c>
      <c r="B449" s="7" t="s">
        <v>957</v>
      </c>
      <c r="C449" s="13" t="s">
        <v>958</v>
      </c>
      <c r="D449" s="7" t="s">
        <v>98</v>
      </c>
      <c r="E449" s="8" t="s">
        <v>85</v>
      </c>
      <c r="F449" s="8" t="s">
        <v>318</v>
      </c>
      <c r="G449" s="7" t="s">
        <v>959</v>
      </c>
      <c r="H449" s="7" t="s">
        <v>98</v>
      </c>
      <c r="I449" s="8">
        <v>39900.0</v>
      </c>
      <c r="K449" s="8" t="s">
        <v>877</v>
      </c>
      <c r="L449" s="8" t="s">
        <v>322</v>
      </c>
      <c r="M449" s="8" t="s">
        <v>339</v>
      </c>
      <c r="N449" s="8">
        <v>2.0</v>
      </c>
      <c r="O449" s="14">
        <f t="shared" si="1"/>
        <v>45017</v>
      </c>
      <c r="P449" s="15">
        <f>IFERROR(VLOOKUP(K449,Formula!$A$11:$B$20,2,FALSE),Formula!$C$26)</f>
        <v>0.2</v>
      </c>
      <c r="Q449" s="15">
        <f>IF(AND(ISNUMBER(J449),J449&gt;0),1/J449,IF(AND(ISNUMBER(I449),I449&gt;0),SQRT(MIN(I449,Formula!$C$27))/Formula!$C$24,1/Formula!$C$25))</f>
        <v>0.7215375318</v>
      </c>
      <c r="R449" s="15">
        <f t="shared" si="2"/>
        <v>0.1443075064</v>
      </c>
      <c r="S449" s="15">
        <f>IF(H449&lt;&gt;"",EXP(-Formula!$C$28*(EOMONTH(H449,0)-H449)),EXP(-Formula!$C$28*(EOMONTH(D449,0)-D449)))</f>
        <v>0.3166367694</v>
      </c>
      <c r="T449" s="15">
        <f t="shared" si="3"/>
        <v>0.3535533906</v>
      </c>
      <c r="U449" s="15">
        <f t="shared" si="4"/>
        <v>0.01615493721</v>
      </c>
      <c r="V449" s="16">
        <f>IF(AND(L449="Among all respondents",NOT(OR(K449="Online poll in Telegram channel",K449="Website online poll",K449="CAWI (Computer Assisted Web Interviewing)"))),1/(1-MIN(MAX(Formula!$C$33+(YEAR(D449)-Formula!$C$34)/(Formula!$C$35-Formula!$C$34)*(Formula!$C$32-Formula!$C$33),Formula!$C$33),Formula!$C$32)),1)</f>
        <v>1</v>
      </c>
      <c r="W449" s="17">
        <f t="shared" si="5"/>
        <v>2</v>
      </c>
    </row>
    <row r="450" ht="15.75" customHeight="1">
      <c r="A450" s="8" t="s">
        <v>963</v>
      </c>
      <c r="B450" s="7" t="s">
        <v>957</v>
      </c>
      <c r="C450" s="13" t="s">
        <v>958</v>
      </c>
      <c r="D450" s="7" t="s">
        <v>98</v>
      </c>
      <c r="E450" s="8" t="s">
        <v>85</v>
      </c>
      <c r="F450" s="8" t="s">
        <v>318</v>
      </c>
      <c r="G450" s="7" t="s">
        <v>959</v>
      </c>
      <c r="H450" s="7" t="s">
        <v>98</v>
      </c>
      <c r="I450" s="8">
        <v>39900.0</v>
      </c>
      <c r="K450" s="8" t="s">
        <v>877</v>
      </c>
      <c r="L450" s="8" t="s">
        <v>322</v>
      </c>
      <c r="M450" s="8" t="s">
        <v>333</v>
      </c>
      <c r="N450" s="8">
        <v>1.0</v>
      </c>
      <c r="O450" s="14">
        <f t="shared" si="1"/>
        <v>45017</v>
      </c>
      <c r="P450" s="15">
        <f>IFERROR(VLOOKUP(K450,Formula!$A$11:$B$20,2,FALSE),Formula!$C$26)</f>
        <v>0.2</v>
      </c>
      <c r="Q450" s="15">
        <f>IF(AND(ISNUMBER(J450),J450&gt;0),1/J450,IF(AND(ISNUMBER(I450),I450&gt;0),SQRT(MIN(I450,Formula!$C$27))/Formula!$C$24,1/Formula!$C$25))</f>
        <v>0.7215375318</v>
      </c>
      <c r="R450" s="15">
        <f t="shared" si="2"/>
        <v>0.1443075064</v>
      </c>
      <c r="S450" s="15">
        <f>IF(H450&lt;&gt;"",EXP(-Formula!$C$28*(EOMONTH(H450,0)-H450)),EXP(-Formula!$C$28*(EOMONTH(D450,0)-D450)))</f>
        <v>0.3166367694</v>
      </c>
      <c r="T450" s="15">
        <f t="shared" si="3"/>
        <v>0.3535533906</v>
      </c>
      <c r="U450" s="15">
        <f t="shared" si="4"/>
        <v>0.01615493721</v>
      </c>
      <c r="V450" s="16">
        <f>IF(AND(L450="Among all respondents",NOT(OR(K450="Online poll in Telegram channel",K450="Website online poll",K450="CAWI (Computer Assisted Web Interviewing)"))),1/(1-MIN(MAX(Formula!$C$33+(YEAR(D450)-Formula!$C$34)/(Formula!$C$35-Formula!$C$34)*(Formula!$C$32-Formula!$C$33),Formula!$C$33),Formula!$C$32)),1)</f>
        <v>1</v>
      </c>
      <c r="W450" s="17">
        <f t="shared" si="5"/>
        <v>1</v>
      </c>
    </row>
    <row r="451" ht="15.75" customHeight="1">
      <c r="A451" s="8" t="s">
        <v>964</v>
      </c>
      <c r="B451" s="7" t="s">
        <v>957</v>
      </c>
      <c r="C451" s="13" t="s">
        <v>958</v>
      </c>
      <c r="D451" s="7" t="s">
        <v>98</v>
      </c>
      <c r="E451" s="8" t="s">
        <v>85</v>
      </c>
      <c r="F451" s="8" t="s">
        <v>318</v>
      </c>
      <c r="G451" s="7" t="s">
        <v>959</v>
      </c>
      <c r="H451" s="7" t="s">
        <v>98</v>
      </c>
      <c r="I451" s="8">
        <v>39900.0</v>
      </c>
      <c r="K451" s="8" t="s">
        <v>877</v>
      </c>
      <c r="L451" s="8" t="s">
        <v>322</v>
      </c>
      <c r="M451" s="8" t="s">
        <v>337</v>
      </c>
      <c r="N451" s="8">
        <v>1.0</v>
      </c>
      <c r="O451" s="14">
        <f t="shared" si="1"/>
        <v>45017</v>
      </c>
      <c r="P451" s="15">
        <f>IFERROR(VLOOKUP(K451,Formula!$A$11:$B$20,2,FALSE),Formula!$C$26)</f>
        <v>0.2</v>
      </c>
      <c r="Q451" s="15">
        <f>IF(AND(ISNUMBER(J451),J451&gt;0),1/J451,IF(AND(ISNUMBER(I451),I451&gt;0),SQRT(MIN(I451,Formula!$C$27))/Formula!$C$24,1/Formula!$C$25))</f>
        <v>0.7215375318</v>
      </c>
      <c r="R451" s="15">
        <f t="shared" si="2"/>
        <v>0.1443075064</v>
      </c>
      <c r="S451" s="15">
        <f>IF(H451&lt;&gt;"",EXP(-Formula!$C$28*(EOMONTH(H451,0)-H451)),EXP(-Formula!$C$28*(EOMONTH(D451,0)-D451)))</f>
        <v>0.3166367694</v>
      </c>
      <c r="T451" s="15">
        <f t="shared" si="3"/>
        <v>0.3535533906</v>
      </c>
      <c r="U451" s="15">
        <f t="shared" si="4"/>
        <v>0.01615493721</v>
      </c>
      <c r="V451" s="16">
        <f>IF(AND(L451="Among all respondents",NOT(OR(K451="Online poll in Telegram channel",K451="Website online poll",K451="CAWI (Computer Assisted Web Interviewing)"))),1/(1-MIN(MAX(Formula!$C$33+(YEAR(D451)-Formula!$C$34)/(Formula!$C$35-Formula!$C$34)*(Formula!$C$32-Formula!$C$33),Formula!$C$33),Formula!$C$32)),1)</f>
        <v>1</v>
      </c>
      <c r="W451" s="17">
        <f t="shared" si="5"/>
        <v>1</v>
      </c>
    </row>
    <row r="452" ht="15.75" customHeight="1">
      <c r="A452" s="8" t="s">
        <v>965</v>
      </c>
      <c r="B452" s="7" t="s">
        <v>957</v>
      </c>
      <c r="C452" s="13" t="s">
        <v>958</v>
      </c>
      <c r="D452" s="7" t="s">
        <v>98</v>
      </c>
      <c r="E452" s="8" t="s">
        <v>85</v>
      </c>
      <c r="F452" s="8" t="s">
        <v>318</v>
      </c>
      <c r="G452" s="7" t="s">
        <v>959</v>
      </c>
      <c r="H452" s="7" t="s">
        <v>98</v>
      </c>
      <c r="I452" s="8">
        <v>39900.0</v>
      </c>
      <c r="K452" s="8" t="s">
        <v>877</v>
      </c>
      <c r="L452" s="8" t="s">
        <v>322</v>
      </c>
      <c r="M452" s="8" t="s">
        <v>828</v>
      </c>
      <c r="N452" s="8">
        <v>1.0</v>
      </c>
      <c r="O452" s="14">
        <f t="shared" si="1"/>
        <v>45017</v>
      </c>
      <c r="P452" s="15">
        <f>IFERROR(VLOOKUP(K452,Formula!$A$11:$B$20,2,FALSE),Formula!$C$26)</f>
        <v>0.2</v>
      </c>
      <c r="Q452" s="15">
        <f>IF(AND(ISNUMBER(J452),J452&gt;0),1/J452,IF(AND(ISNUMBER(I452),I452&gt;0),SQRT(MIN(I452,Formula!$C$27))/Formula!$C$24,1/Formula!$C$25))</f>
        <v>0.7215375318</v>
      </c>
      <c r="R452" s="15">
        <f t="shared" si="2"/>
        <v>0.1443075064</v>
      </c>
      <c r="S452" s="15">
        <f>IF(H452&lt;&gt;"",EXP(-Formula!$C$28*(EOMONTH(H452,0)-H452)),EXP(-Formula!$C$28*(EOMONTH(D452,0)-D452)))</f>
        <v>0.3166367694</v>
      </c>
      <c r="T452" s="15">
        <f t="shared" si="3"/>
        <v>0.3535533906</v>
      </c>
      <c r="U452" s="15">
        <f t="shared" si="4"/>
        <v>0.01615493721</v>
      </c>
      <c r="V452" s="16">
        <f>IF(AND(L452="Among all respondents",NOT(OR(K452="Online poll in Telegram channel",K452="Website online poll",K452="CAWI (Computer Assisted Web Interviewing)"))),1/(1-MIN(MAX(Formula!$C$33+(YEAR(D452)-Formula!$C$34)/(Formula!$C$35-Formula!$C$34)*(Formula!$C$32-Formula!$C$33),Formula!$C$33),Formula!$C$32)),1)</f>
        <v>1</v>
      </c>
      <c r="W452" s="17">
        <f t="shared" si="5"/>
        <v>1</v>
      </c>
    </row>
    <row r="453" ht="15.75" customHeight="1">
      <c r="A453" s="8" t="s">
        <v>966</v>
      </c>
      <c r="B453" s="7" t="s">
        <v>957</v>
      </c>
      <c r="C453" s="13" t="s">
        <v>958</v>
      </c>
      <c r="D453" s="7" t="s">
        <v>98</v>
      </c>
      <c r="E453" s="8" t="s">
        <v>85</v>
      </c>
      <c r="F453" s="8" t="s">
        <v>318</v>
      </c>
      <c r="G453" s="7" t="s">
        <v>959</v>
      </c>
      <c r="H453" s="7" t="s">
        <v>98</v>
      </c>
      <c r="I453" s="8">
        <v>39900.0</v>
      </c>
      <c r="K453" s="8" t="s">
        <v>877</v>
      </c>
      <c r="L453" s="8" t="s">
        <v>322</v>
      </c>
      <c r="M453" s="8" t="s">
        <v>386</v>
      </c>
      <c r="N453" s="8">
        <v>1.0</v>
      </c>
      <c r="O453" s="14">
        <f t="shared" si="1"/>
        <v>45017</v>
      </c>
      <c r="P453" s="15">
        <f>IFERROR(VLOOKUP(K453,Formula!$A$11:$B$20,2,FALSE),Formula!$C$26)</f>
        <v>0.2</v>
      </c>
      <c r="Q453" s="15">
        <f>IF(AND(ISNUMBER(J453),J453&gt;0),1/J453,IF(AND(ISNUMBER(I453),I453&gt;0),SQRT(MIN(I453,Formula!$C$27))/Formula!$C$24,1/Formula!$C$25))</f>
        <v>0.7215375318</v>
      </c>
      <c r="R453" s="15">
        <f t="shared" si="2"/>
        <v>0.1443075064</v>
      </c>
      <c r="S453" s="15">
        <f>IF(H453&lt;&gt;"",EXP(-Formula!$C$28*(EOMONTH(H453,0)-H453)),EXP(-Formula!$C$28*(EOMONTH(D453,0)-D453)))</f>
        <v>0.3166367694</v>
      </c>
      <c r="T453" s="15">
        <f t="shared" si="3"/>
        <v>0.3535533906</v>
      </c>
      <c r="U453" s="15">
        <f t="shared" si="4"/>
        <v>0.01615493721</v>
      </c>
      <c r="V453" s="16">
        <f>IF(AND(L453="Among all respondents",NOT(OR(K453="Online poll in Telegram channel",K453="Website online poll",K453="CAWI (Computer Assisted Web Interviewing)"))),1/(1-MIN(MAX(Formula!$C$33+(YEAR(D453)-Formula!$C$34)/(Formula!$C$35-Formula!$C$34)*(Formula!$C$32-Formula!$C$33),Formula!$C$33),Formula!$C$32)),1)</f>
        <v>1</v>
      </c>
      <c r="W453" s="17">
        <f t="shared" si="5"/>
        <v>1</v>
      </c>
    </row>
    <row r="454" ht="15.75" customHeight="1">
      <c r="A454" s="8" t="s">
        <v>967</v>
      </c>
      <c r="B454" s="7" t="s">
        <v>968</v>
      </c>
      <c r="C454" s="13" t="s">
        <v>969</v>
      </c>
      <c r="D454" s="7" t="s">
        <v>100</v>
      </c>
      <c r="E454" s="8" t="s">
        <v>85</v>
      </c>
      <c r="F454" s="8" t="s">
        <v>318</v>
      </c>
      <c r="G454" s="7" t="s">
        <v>101</v>
      </c>
      <c r="H454" s="7" t="s">
        <v>100</v>
      </c>
      <c r="I454" s="8">
        <v>38400.0</v>
      </c>
      <c r="K454" s="8" t="s">
        <v>877</v>
      </c>
      <c r="L454" s="8" t="s">
        <v>970</v>
      </c>
      <c r="M454" s="8" t="s">
        <v>323</v>
      </c>
      <c r="N454" s="8">
        <v>66.0</v>
      </c>
      <c r="O454" s="14">
        <f t="shared" si="1"/>
        <v>44986</v>
      </c>
      <c r="P454" s="15">
        <f>IFERROR(VLOOKUP(K454,Formula!$A$11:$B$20,2,FALSE),Formula!$C$26)</f>
        <v>0.2</v>
      </c>
      <c r="Q454" s="15">
        <f>IF(AND(ISNUMBER(J454),J454&gt;0),1/J454,IF(AND(ISNUMBER(I454),I454&gt;0),SQRT(MIN(I454,Formula!$C$27))/Formula!$C$24,1/Formula!$C$25))</f>
        <v>0.7215375318</v>
      </c>
      <c r="R454" s="15">
        <f t="shared" si="2"/>
        <v>0.1443075064</v>
      </c>
      <c r="S454" s="15">
        <f>IF(H454&lt;&gt;"",EXP(-Formula!$C$28*(EOMONTH(H454,0)-H454)),EXP(-Formula!$C$28*(EOMONTH(D454,0)-D454)))</f>
        <v>0.2592402606</v>
      </c>
      <c r="T454" s="15">
        <f t="shared" si="3"/>
        <v>0.3535533906</v>
      </c>
      <c r="U454" s="15">
        <f t="shared" si="4"/>
        <v>0.01322654391</v>
      </c>
      <c r="V454" s="16">
        <f>IF(AND(L454="Among all respondents",NOT(OR(K454="Online poll in Telegram channel",K454="Website online poll",K454="CAWI (Computer Assisted Web Interviewing)"))),1/(1-MIN(MAX(Formula!$C$33+(YEAR(D454)-Formula!$C$34)/(Formula!$C$35-Formula!$C$34)*(Formula!$C$32-Formula!$C$33),Formula!$C$33),Formula!$C$32)),1)</f>
        <v>1</v>
      </c>
      <c r="W454" s="17">
        <f t="shared" si="5"/>
        <v>66</v>
      </c>
    </row>
    <row r="455" ht="15.75" customHeight="1">
      <c r="A455" s="8" t="s">
        <v>971</v>
      </c>
      <c r="B455" s="7" t="s">
        <v>968</v>
      </c>
      <c r="C455" s="13" t="s">
        <v>969</v>
      </c>
      <c r="D455" s="7" t="s">
        <v>100</v>
      </c>
      <c r="E455" s="8" t="s">
        <v>85</v>
      </c>
      <c r="F455" s="8" t="s">
        <v>318</v>
      </c>
      <c r="G455" s="7" t="s">
        <v>101</v>
      </c>
      <c r="H455" s="7" t="s">
        <v>100</v>
      </c>
      <c r="I455" s="8">
        <v>38400.0</v>
      </c>
      <c r="K455" s="8" t="s">
        <v>877</v>
      </c>
      <c r="L455" s="8" t="s">
        <v>970</v>
      </c>
      <c r="M455" s="8" t="s">
        <v>325</v>
      </c>
      <c r="N455" s="8">
        <v>11.0</v>
      </c>
      <c r="O455" s="14">
        <f t="shared" si="1"/>
        <v>44986</v>
      </c>
      <c r="P455" s="15">
        <f>IFERROR(VLOOKUP(K455,Formula!$A$11:$B$20,2,FALSE),Formula!$C$26)</f>
        <v>0.2</v>
      </c>
      <c r="Q455" s="15">
        <f>IF(AND(ISNUMBER(J455),J455&gt;0),1/J455,IF(AND(ISNUMBER(I455),I455&gt;0),SQRT(MIN(I455,Formula!$C$27))/Formula!$C$24,1/Formula!$C$25))</f>
        <v>0.7215375318</v>
      </c>
      <c r="R455" s="15">
        <f t="shared" si="2"/>
        <v>0.1443075064</v>
      </c>
      <c r="S455" s="15">
        <f>IF(H455&lt;&gt;"",EXP(-Formula!$C$28*(EOMONTH(H455,0)-H455)),EXP(-Formula!$C$28*(EOMONTH(D455,0)-D455)))</f>
        <v>0.2592402606</v>
      </c>
      <c r="T455" s="15">
        <f t="shared" si="3"/>
        <v>0.3535533906</v>
      </c>
      <c r="U455" s="15">
        <f t="shared" si="4"/>
        <v>0.01322654391</v>
      </c>
      <c r="V455" s="16">
        <f>IF(AND(L455="Among all respondents",NOT(OR(K455="Online poll in Telegram channel",K455="Website online poll",K455="CAWI (Computer Assisted Web Interviewing)"))),1/(1-MIN(MAX(Formula!$C$33+(YEAR(D455)-Formula!$C$34)/(Formula!$C$35-Formula!$C$34)*(Formula!$C$32-Formula!$C$33),Formula!$C$33),Formula!$C$32)),1)</f>
        <v>1</v>
      </c>
      <c r="W455" s="17">
        <f t="shared" si="5"/>
        <v>11</v>
      </c>
    </row>
    <row r="456" ht="15.75" customHeight="1">
      <c r="A456" s="8" t="s">
        <v>972</v>
      </c>
      <c r="B456" s="7" t="s">
        <v>968</v>
      </c>
      <c r="C456" s="13" t="s">
        <v>969</v>
      </c>
      <c r="D456" s="7" t="s">
        <v>100</v>
      </c>
      <c r="E456" s="8" t="s">
        <v>85</v>
      </c>
      <c r="F456" s="8" t="s">
        <v>318</v>
      </c>
      <c r="G456" s="7" t="s">
        <v>101</v>
      </c>
      <c r="H456" s="7" t="s">
        <v>100</v>
      </c>
      <c r="I456" s="8">
        <v>38400.0</v>
      </c>
      <c r="K456" s="8" t="s">
        <v>877</v>
      </c>
      <c r="L456" s="8" t="s">
        <v>970</v>
      </c>
      <c r="M456" s="8" t="s">
        <v>329</v>
      </c>
      <c r="N456" s="8">
        <v>8.0</v>
      </c>
      <c r="O456" s="14">
        <f t="shared" si="1"/>
        <v>44986</v>
      </c>
      <c r="P456" s="15">
        <f>IFERROR(VLOOKUP(K456,Formula!$A$11:$B$20,2,FALSE),Formula!$C$26)</f>
        <v>0.2</v>
      </c>
      <c r="Q456" s="15">
        <f>IF(AND(ISNUMBER(J456),J456&gt;0),1/J456,IF(AND(ISNUMBER(I456),I456&gt;0),SQRT(MIN(I456,Formula!$C$27))/Formula!$C$24,1/Formula!$C$25))</f>
        <v>0.7215375318</v>
      </c>
      <c r="R456" s="15">
        <f t="shared" si="2"/>
        <v>0.1443075064</v>
      </c>
      <c r="S456" s="15">
        <f>IF(H456&lt;&gt;"",EXP(-Formula!$C$28*(EOMONTH(H456,0)-H456)),EXP(-Formula!$C$28*(EOMONTH(D456,0)-D456)))</f>
        <v>0.2592402606</v>
      </c>
      <c r="T456" s="15">
        <f t="shared" si="3"/>
        <v>0.3535533906</v>
      </c>
      <c r="U456" s="15">
        <f t="shared" si="4"/>
        <v>0.01322654391</v>
      </c>
      <c r="V456" s="16">
        <f>IF(AND(L456="Among all respondents",NOT(OR(K456="Online poll in Telegram channel",K456="Website online poll",K456="CAWI (Computer Assisted Web Interviewing)"))),1/(1-MIN(MAX(Formula!$C$33+(YEAR(D456)-Formula!$C$34)/(Formula!$C$35-Formula!$C$34)*(Formula!$C$32-Formula!$C$33),Formula!$C$33),Formula!$C$32)),1)</f>
        <v>1</v>
      </c>
      <c r="W456" s="17">
        <f t="shared" si="5"/>
        <v>8</v>
      </c>
    </row>
    <row r="457" ht="15.75" customHeight="1">
      <c r="A457" s="8" t="s">
        <v>973</v>
      </c>
      <c r="B457" s="7" t="s">
        <v>968</v>
      </c>
      <c r="C457" s="13" t="s">
        <v>969</v>
      </c>
      <c r="D457" s="7" t="s">
        <v>100</v>
      </c>
      <c r="E457" s="8" t="s">
        <v>85</v>
      </c>
      <c r="F457" s="8" t="s">
        <v>318</v>
      </c>
      <c r="G457" s="7" t="s">
        <v>101</v>
      </c>
      <c r="H457" s="7" t="s">
        <v>100</v>
      </c>
      <c r="I457" s="8">
        <v>38400.0</v>
      </c>
      <c r="K457" s="8" t="s">
        <v>877</v>
      </c>
      <c r="L457" s="8" t="s">
        <v>970</v>
      </c>
      <c r="M457" s="8" t="s">
        <v>362</v>
      </c>
      <c r="N457" s="8">
        <v>2.0</v>
      </c>
      <c r="O457" s="14">
        <f t="shared" si="1"/>
        <v>44986</v>
      </c>
      <c r="P457" s="15">
        <f>IFERROR(VLOOKUP(K457,Formula!$A$11:$B$20,2,FALSE),Formula!$C$26)</f>
        <v>0.2</v>
      </c>
      <c r="Q457" s="15">
        <f>IF(AND(ISNUMBER(J457),J457&gt;0),1/J457,IF(AND(ISNUMBER(I457),I457&gt;0),SQRT(MIN(I457,Formula!$C$27))/Formula!$C$24,1/Formula!$C$25))</f>
        <v>0.7215375318</v>
      </c>
      <c r="R457" s="15">
        <f t="shared" si="2"/>
        <v>0.1443075064</v>
      </c>
      <c r="S457" s="15">
        <f>IF(H457&lt;&gt;"",EXP(-Formula!$C$28*(EOMONTH(H457,0)-H457)),EXP(-Formula!$C$28*(EOMONTH(D457,0)-D457)))</f>
        <v>0.2592402606</v>
      </c>
      <c r="T457" s="15">
        <f t="shared" si="3"/>
        <v>0.3535533906</v>
      </c>
      <c r="U457" s="15">
        <f t="shared" si="4"/>
        <v>0.01322654391</v>
      </c>
      <c r="V457" s="16">
        <f>IF(AND(L457="Among all respondents",NOT(OR(K457="Online poll in Telegram channel",K457="Website online poll",K457="CAWI (Computer Assisted Web Interviewing)"))),1/(1-MIN(MAX(Formula!$C$33+(YEAR(D457)-Formula!$C$34)/(Formula!$C$35-Formula!$C$34)*(Formula!$C$32-Formula!$C$33),Formula!$C$33),Formula!$C$32)),1)</f>
        <v>1</v>
      </c>
      <c r="W457" s="17">
        <f t="shared" si="5"/>
        <v>2</v>
      </c>
    </row>
    <row r="458" ht="15.75" customHeight="1">
      <c r="A458" s="8" t="s">
        <v>974</v>
      </c>
      <c r="B458" s="7" t="s">
        <v>968</v>
      </c>
      <c r="C458" s="13" t="s">
        <v>969</v>
      </c>
      <c r="D458" s="7" t="s">
        <v>100</v>
      </c>
      <c r="E458" s="8" t="s">
        <v>85</v>
      </c>
      <c r="F458" s="8" t="s">
        <v>318</v>
      </c>
      <c r="G458" s="7" t="s">
        <v>101</v>
      </c>
      <c r="H458" s="7" t="s">
        <v>100</v>
      </c>
      <c r="I458" s="8">
        <v>38400.0</v>
      </c>
      <c r="K458" s="8" t="s">
        <v>877</v>
      </c>
      <c r="L458" s="8" t="s">
        <v>970</v>
      </c>
      <c r="M458" s="8" t="s">
        <v>339</v>
      </c>
      <c r="N458" s="8">
        <v>2.0</v>
      </c>
      <c r="O458" s="14">
        <f t="shared" si="1"/>
        <v>44986</v>
      </c>
      <c r="P458" s="15">
        <f>IFERROR(VLOOKUP(K458,Formula!$A$11:$B$20,2,FALSE),Formula!$C$26)</f>
        <v>0.2</v>
      </c>
      <c r="Q458" s="15">
        <f>IF(AND(ISNUMBER(J458),J458&gt;0),1/J458,IF(AND(ISNUMBER(I458),I458&gt;0),SQRT(MIN(I458,Formula!$C$27))/Formula!$C$24,1/Formula!$C$25))</f>
        <v>0.7215375318</v>
      </c>
      <c r="R458" s="15">
        <f t="shared" si="2"/>
        <v>0.1443075064</v>
      </c>
      <c r="S458" s="15">
        <f>IF(H458&lt;&gt;"",EXP(-Formula!$C$28*(EOMONTH(H458,0)-H458)),EXP(-Formula!$C$28*(EOMONTH(D458,0)-D458)))</f>
        <v>0.2592402606</v>
      </c>
      <c r="T458" s="15">
        <f t="shared" si="3"/>
        <v>0.3535533906</v>
      </c>
      <c r="U458" s="15">
        <f t="shared" si="4"/>
        <v>0.01322654391</v>
      </c>
      <c r="V458" s="16">
        <f>IF(AND(L458="Among all respondents",NOT(OR(K458="Online poll in Telegram channel",K458="Website online poll",K458="CAWI (Computer Assisted Web Interviewing)"))),1/(1-MIN(MAX(Formula!$C$33+(YEAR(D458)-Formula!$C$34)/(Formula!$C$35-Formula!$C$34)*(Formula!$C$32-Formula!$C$33),Formula!$C$33),Formula!$C$32)),1)</f>
        <v>1</v>
      </c>
      <c r="W458" s="17">
        <f t="shared" si="5"/>
        <v>2</v>
      </c>
    </row>
    <row r="459" ht="15.75" customHeight="1">
      <c r="A459" s="8" t="s">
        <v>975</v>
      </c>
      <c r="B459" s="7" t="s">
        <v>968</v>
      </c>
      <c r="C459" s="13" t="s">
        <v>969</v>
      </c>
      <c r="D459" s="7" t="s">
        <v>100</v>
      </c>
      <c r="E459" s="8" t="s">
        <v>85</v>
      </c>
      <c r="F459" s="8" t="s">
        <v>318</v>
      </c>
      <c r="G459" s="7" t="s">
        <v>101</v>
      </c>
      <c r="H459" s="7" t="s">
        <v>100</v>
      </c>
      <c r="I459" s="8">
        <v>38400.0</v>
      </c>
      <c r="K459" s="8" t="s">
        <v>877</v>
      </c>
      <c r="L459" s="8" t="s">
        <v>970</v>
      </c>
      <c r="M459" s="8" t="s">
        <v>341</v>
      </c>
      <c r="N459" s="8">
        <v>1.0</v>
      </c>
      <c r="O459" s="14">
        <f t="shared" si="1"/>
        <v>44986</v>
      </c>
      <c r="P459" s="15">
        <f>IFERROR(VLOOKUP(K459,Formula!$A$11:$B$20,2,FALSE),Formula!$C$26)</f>
        <v>0.2</v>
      </c>
      <c r="Q459" s="15">
        <f>IF(AND(ISNUMBER(J459),J459&gt;0),1/J459,IF(AND(ISNUMBER(I459),I459&gt;0),SQRT(MIN(I459,Formula!$C$27))/Formula!$C$24,1/Formula!$C$25))</f>
        <v>0.7215375318</v>
      </c>
      <c r="R459" s="15">
        <f t="shared" si="2"/>
        <v>0.1443075064</v>
      </c>
      <c r="S459" s="15">
        <f>IF(H459&lt;&gt;"",EXP(-Formula!$C$28*(EOMONTH(H459,0)-H459)),EXP(-Formula!$C$28*(EOMONTH(D459,0)-D459)))</f>
        <v>0.2592402606</v>
      </c>
      <c r="T459" s="15">
        <f t="shared" si="3"/>
        <v>0.3535533906</v>
      </c>
      <c r="U459" s="15">
        <f t="shared" si="4"/>
        <v>0.01322654391</v>
      </c>
      <c r="V459" s="16">
        <f>IF(AND(L459="Among all respondents",NOT(OR(K459="Online poll in Telegram channel",K459="Website online poll",K459="CAWI (Computer Assisted Web Interviewing)"))),1/(1-MIN(MAX(Formula!$C$33+(YEAR(D459)-Formula!$C$34)/(Formula!$C$35-Formula!$C$34)*(Formula!$C$32-Formula!$C$33),Formula!$C$33),Formula!$C$32)),1)</f>
        <v>1</v>
      </c>
      <c r="W459" s="17">
        <f t="shared" si="5"/>
        <v>1</v>
      </c>
    </row>
    <row r="460" ht="15.75" customHeight="1">
      <c r="A460" s="8" t="s">
        <v>976</v>
      </c>
      <c r="B460" s="7" t="s">
        <v>968</v>
      </c>
      <c r="C460" s="13" t="s">
        <v>969</v>
      </c>
      <c r="D460" s="7" t="s">
        <v>100</v>
      </c>
      <c r="E460" s="8" t="s">
        <v>85</v>
      </c>
      <c r="F460" s="8" t="s">
        <v>318</v>
      </c>
      <c r="G460" s="7" t="s">
        <v>101</v>
      </c>
      <c r="H460" s="7" t="s">
        <v>100</v>
      </c>
      <c r="I460" s="8">
        <v>38400.0</v>
      </c>
      <c r="K460" s="8" t="s">
        <v>877</v>
      </c>
      <c r="L460" s="8" t="s">
        <v>970</v>
      </c>
      <c r="M460" s="8" t="s">
        <v>337</v>
      </c>
      <c r="N460" s="8">
        <v>1.0</v>
      </c>
      <c r="O460" s="14">
        <f t="shared" si="1"/>
        <v>44986</v>
      </c>
      <c r="P460" s="15">
        <f>IFERROR(VLOOKUP(K460,Formula!$A$11:$B$20,2,FALSE),Formula!$C$26)</f>
        <v>0.2</v>
      </c>
      <c r="Q460" s="15">
        <f>IF(AND(ISNUMBER(J460),J460&gt;0),1/J460,IF(AND(ISNUMBER(I460),I460&gt;0),SQRT(MIN(I460,Formula!$C$27))/Formula!$C$24,1/Formula!$C$25))</f>
        <v>0.7215375318</v>
      </c>
      <c r="R460" s="15">
        <f t="shared" si="2"/>
        <v>0.1443075064</v>
      </c>
      <c r="S460" s="15">
        <f>IF(H460&lt;&gt;"",EXP(-Formula!$C$28*(EOMONTH(H460,0)-H460)),EXP(-Formula!$C$28*(EOMONTH(D460,0)-D460)))</f>
        <v>0.2592402606</v>
      </c>
      <c r="T460" s="15">
        <f t="shared" si="3"/>
        <v>0.3535533906</v>
      </c>
      <c r="U460" s="15">
        <f t="shared" si="4"/>
        <v>0.01322654391</v>
      </c>
      <c r="V460" s="16">
        <f>IF(AND(L460="Among all respondents",NOT(OR(K460="Online poll in Telegram channel",K460="Website online poll",K460="CAWI (Computer Assisted Web Interviewing)"))),1/(1-MIN(MAX(Formula!$C$33+(YEAR(D460)-Formula!$C$34)/(Formula!$C$35-Formula!$C$34)*(Formula!$C$32-Formula!$C$33),Formula!$C$33),Formula!$C$32)),1)</f>
        <v>1</v>
      </c>
      <c r="W460" s="17">
        <f t="shared" si="5"/>
        <v>1</v>
      </c>
    </row>
    <row r="461" ht="15.75" customHeight="1">
      <c r="A461" s="8" t="s">
        <v>977</v>
      </c>
      <c r="B461" s="7" t="s">
        <v>968</v>
      </c>
      <c r="C461" s="13" t="s">
        <v>969</v>
      </c>
      <c r="D461" s="7" t="s">
        <v>100</v>
      </c>
      <c r="E461" s="8" t="s">
        <v>85</v>
      </c>
      <c r="F461" s="8" t="s">
        <v>318</v>
      </c>
      <c r="G461" s="7" t="s">
        <v>101</v>
      </c>
      <c r="H461" s="7" t="s">
        <v>100</v>
      </c>
      <c r="I461" s="8">
        <v>38400.0</v>
      </c>
      <c r="K461" s="8" t="s">
        <v>877</v>
      </c>
      <c r="L461" s="8" t="s">
        <v>970</v>
      </c>
      <c r="M461" s="8" t="s">
        <v>978</v>
      </c>
      <c r="N461" s="8">
        <v>1.0</v>
      </c>
      <c r="O461" s="14">
        <f t="shared" si="1"/>
        <v>44986</v>
      </c>
      <c r="P461" s="15">
        <f>IFERROR(VLOOKUP(K461,Formula!$A$11:$B$20,2,FALSE),Formula!$C$26)</f>
        <v>0.2</v>
      </c>
      <c r="Q461" s="15">
        <f>IF(AND(ISNUMBER(J461),J461&gt;0),1/J461,IF(AND(ISNUMBER(I461),I461&gt;0),SQRT(MIN(I461,Formula!$C$27))/Formula!$C$24,1/Formula!$C$25))</f>
        <v>0.7215375318</v>
      </c>
      <c r="R461" s="15">
        <f t="shared" si="2"/>
        <v>0.1443075064</v>
      </c>
      <c r="S461" s="15">
        <f>IF(H461&lt;&gt;"",EXP(-Formula!$C$28*(EOMONTH(H461,0)-H461)),EXP(-Formula!$C$28*(EOMONTH(D461,0)-D461)))</f>
        <v>0.2592402606</v>
      </c>
      <c r="T461" s="15">
        <f t="shared" si="3"/>
        <v>0.3535533906</v>
      </c>
      <c r="U461" s="15">
        <f t="shared" si="4"/>
        <v>0.01322654391</v>
      </c>
      <c r="V461" s="16">
        <f>IF(AND(L461="Among all respondents",NOT(OR(K461="Online poll in Telegram channel",K461="Website online poll",K461="CAWI (Computer Assisted Web Interviewing)"))),1/(1-MIN(MAX(Formula!$C$33+(YEAR(D461)-Formula!$C$34)/(Formula!$C$35-Formula!$C$34)*(Formula!$C$32-Formula!$C$33),Formula!$C$33),Formula!$C$32)),1)</f>
        <v>1</v>
      </c>
      <c r="W461" s="17">
        <f t="shared" si="5"/>
        <v>1</v>
      </c>
    </row>
    <row r="462" ht="15.75" customHeight="1">
      <c r="A462" s="8" t="s">
        <v>979</v>
      </c>
      <c r="B462" s="7" t="s">
        <v>980</v>
      </c>
      <c r="C462" s="13" t="s">
        <v>981</v>
      </c>
      <c r="D462" s="7" t="s">
        <v>96</v>
      </c>
      <c r="E462" s="8" t="s">
        <v>40</v>
      </c>
      <c r="F462" s="8" t="s">
        <v>318</v>
      </c>
      <c r="G462" s="7" t="s">
        <v>99</v>
      </c>
      <c r="H462" s="7" t="s">
        <v>982</v>
      </c>
      <c r="K462" s="8" t="s">
        <v>321</v>
      </c>
      <c r="L462" s="8" t="s">
        <v>373</v>
      </c>
      <c r="M462" s="8" t="s">
        <v>323</v>
      </c>
      <c r="N462" s="8">
        <v>69.6</v>
      </c>
      <c r="O462" s="14">
        <f t="shared" si="1"/>
        <v>44986</v>
      </c>
      <c r="P462" s="15">
        <f>IFERROR(VLOOKUP(K462,Formula!$A$11:$B$20,2,FALSE),Formula!$C$26)</f>
        <v>0.9</v>
      </c>
      <c r="Q462" s="15">
        <f>IF(AND(ISNUMBER(J462),J462&gt;0),1/J462,IF(AND(ISNUMBER(I462),I462&gt;0),SQRT(MIN(I462,Formula!$C$27))/Formula!$C$24,1/Formula!$C$25))</f>
        <v>0.4</v>
      </c>
      <c r="R462" s="15">
        <f t="shared" si="2"/>
        <v>0.36</v>
      </c>
      <c r="S462" s="15">
        <f>IF(H462&lt;&gt;"",EXP(-Formula!$C$28*(EOMONTH(H462,0)-H462)),EXP(-Formula!$C$28*(EOMONTH(D462,0)-D462)))</f>
        <v>1</v>
      </c>
      <c r="T462" s="15">
        <f t="shared" si="3"/>
        <v>0.3015113446</v>
      </c>
      <c r="U462" s="15">
        <f t="shared" si="4"/>
        <v>0.108544084</v>
      </c>
      <c r="V462" s="16">
        <f>IF(AND(L462="Among all respondents",NOT(OR(K462="Online poll in Telegram channel",K462="Website online poll",K462="CAWI (Computer Assisted Web Interviewing)"))),1/(1-MIN(MAX(Formula!$C$33+(YEAR(D462)-Formula!$C$34)/(Formula!$C$35-Formula!$C$34)*(Formula!$C$32-Formula!$C$33),Formula!$C$33),Formula!$C$32)),1)</f>
        <v>1.119402985</v>
      </c>
      <c r="W462" s="17">
        <f t="shared" si="5"/>
        <v>77.91044776</v>
      </c>
    </row>
    <row r="463" ht="15.75" customHeight="1">
      <c r="A463" s="8" t="s">
        <v>983</v>
      </c>
      <c r="B463" s="7" t="s">
        <v>980</v>
      </c>
      <c r="C463" s="13" t="s">
        <v>981</v>
      </c>
      <c r="D463" s="7" t="s">
        <v>96</v>
      </c>
      <c r="E463" s="8" t="s">
        <v>40</v>
      </c>
      <c r="F463" s="8" t="s">
        <v>318</v>
      </c>
      <c r="G463" s="7" t="s">
        <v>99</v>
      </c>
      <c r="H463" s="7" t="s">
        <v>982</v>
      </c>
      <c r="K463" s="8" t="s">
        <v>321</v>
      </c>
      <c r="L463" s="8" t="s">
        <v>373</v>
      </c>
      <c r="M463" s="8" t="s">
        <v>325</v>
      </c>
      <c r="N463" s="8">
        <v>11.5</v>
      </c>
      <c r="O463" s="14">
        <f t="shared" si="1"/>
        <v>44986</v>
      </c>
      <c r="P463" s="15">
        <f>IFERROR(VLOOKUP(K463,Formula!$A$11:$B$20,2,FALSE),Formula!$C$26)</f>
        <v>0.9</v>
      </c>
      <c r="Q463" s="15">
        <f>IF(AND(ISNUMBER(J463),J463&gt;0),1/J463,IF(AND(ISNUMBER(I463),I463&gt;0),SQRT(MIN(I463,Formula!$C$27))/Formula!$C$24,1/Formula!$C$25))</f>
        <v>0.4</v>
      </c>
      <c r="R463" s="15">
        <f t="shared" si="2"/>
        <v>0.36</v>
      </c>
      <c r="S463" s="15">
        <f>IF(H463&lt;&gt;"",EXP(-Formula!$C$28*(EOMONTH(H463,0)-H463)),EXP(-Formula!$C$28*(EOMONTH(D463,0)-D463)))</f>
        <v>1</v>
      </c>
      <c r="T463" s="15">
        <f t="shared" si="3"/>
        <v>0.3015113446</v>
      </c>
      <c r="U463" s="15">
        <f t="shared" si="4"/>
        <v>0.108544084</v>
      </c>
      <c r="V463" s="16">
        <f>IF(AND(L463="Among all respondents",NOT(OR(K463="Online poll in Telegram channel",K463="Website online poll",K463="CAWI (Computer Assisted Web Interviewing)"))),1/(1-MIN(MAX(Formula!$C$33+(YEAR(D463)-Formula!$C$34)/(Formula!$C$35-Formula!$C$34)*(Formula!$C$32-Formula!$C$33),Formula!$C$33),Formula!$C$32)),1)</f>
        <v>1.119402985</v>
      </c>
      <c r="W463" s="17">
        <f t="shared" si="5"/>
        <v>12.87313433</v>
      </c>
    </row>
    <row r="464" ht="15.75" customHeight="1">
      <c r="A464" s="8" t="s">
        <v>984</v>
      </c>
      <c r="B464" s="7" t="s">
        <v>980</v>
      </c>
      <c r="C464" s="13" t="s">
        <v>981</v>
      </c>
      <c r="D464" s="7" t="s">
        <v>96</v>
      </c>
      <c r="E464" s="8" t="s">
        <v>40</v>
      </c>
      <c r="F464" s="8" t="s">
        <v>318</v>
      </c>
      <c r="G464" s="7" t="s">
        <v>99</v>
      </c>
      <c r="H464" s="7" t="s">
        <v>982</v>
      </c>
      <c r="K464" s="8" t="s">
        <v>321</v>
      </c>
      <c r="L464" s="8" t="s">
        <v>373</v>
      </c>
      <c r="M464" s="8" t="s">
        <v>329</v>
      </c>
      <c r="N464" s="8">
        <v>3.5</v>
      </c>
      <c r="O464" s="14">
        <f t="shared" si="1"/>
        <v>44986</v>
      </c>
      <c r="P464" s="15">
        <f>IFERROR(VLOOKUP(K464,Formula!$A$11:$B$20,2,FALSE),Formula!$C$26)</f>
        <v>0.9</v>
      </c>
      <c r="Q464" s="15">
        <f>IF(AND(ISNUMBER(J464),J464&gt;0),1/J464,IF(AND(ISNUMBER(I464),I464&gt;0),SQRT(MIN(I464,Formula!$C$27))/Formula!$C$24,1/Formula!$C$25))</f>
        <v>0.4</v>
      </c>
      <c r="R464" s="15">
        <f t="shared" si="2"/>
        <v>0.36</v>
      </c>
      <c r="S464" s="15">
        <f>IF(H464&lt;&gt;"",EXP(-Formula!$C$28*(EOMONTH(H464,0)-H464)),EXP(-Formula!$C$28*(EOMONTH(D464,0)-D464)))</f>
        <v>1</v>
      </c>
      <c r="T464" s="15">
        <f t="shared" si="3"/>
        <v>0.3015113446</v>
      </c>
      <c r="U464" s="15">
        <f t="shared" si="4"/>
        <v>0.108544084</v>
      </c>
      <c r="V464" s="16">
        <f>IF(AND(L464="Among all respondents",NOT(OR(K464="Online poll in Telegram channel",K464="Website online poll",K464="CAWI (Computer Assisted Web Interviewing)"))),1/(1-MIN(MAX(Formula!$C$33+(YEAR(D464)-Formula!$C$34)/(Formula!$C$35-Formula!$C$34)*(Formula!$C$32-Formula!$C$33),Formula!$C$33),Formula!$C$32)),1)</f>
        <v>1.119402985</v>
      </c>
      <c r="W464" s="17">
        <f t="shared" si="5"/>
        <v>3.917910448</v>
      </c>
    </row>
    <row r="465" ht="15.75" customHeight="1">
      <c r="A465" s="8" t="s">
        <v>985</v>
      </c>
      <c r="B465" s="7" t="s">
        <v>980</v>
      </c>
      <c r="C465" s="13" t="s">
        <v>981</v>
      </c>
      <c r="D465" s="7" t="s">
        <v>96</v>
      </c>
      <c r="E465" s="8" t="s">
        <v>40</v>
      </c>
      <c r="F465" s="8" t="s">
        <v>318</v>
      </c>
      <c r="G465" s="7" t="s">
        <v>99</v>
      </c>
      <c r="H465" s="7" t="s">
        <v>982</v>
      </c>
      <c r="K465" s="8" t="s">
        <v>321</v>
      </c>
      <c r="L465" s="8" t="s">
        <v>373</v>
      </c>
      <c r="M465" s="8" t="s">
        <v>339</v>
      </c>
      <c r="N465" s="8">
        <v>2.7</v>
      </c>
      <c r="O465" s="14">
        <f t="shared" si="1"/>
        <v>44986</v>
      </c>
      <c r="P465" s="15">
        <f>IFERROR(VLOOKUP(K465,Formula!$A$11:$B$20,2,FALSE),Formula!$C$26)</f>
        <v>0.9</v>
      </c>
      <c r="Q465" s="15">
        <f>IF(AND(ISNUMBER(J465),J465&gt;0),1/J465,IF(AND(ISNUMBER(I465),I465&gt;0),SQRT(MIN(I465,Formula!$C$27))/Formula!$C$24,1/Formula!$C$25))</f>
        <v>0.4</v>
      </c>
      <c r="R465" s="15">
        <f t="shared" si="2"/>
        <v>0.36</v>
      </c>
      <c r="S465" s="15">
        <f>IF(H465&lt;&gt;"",EXP(-Formula!$C$28*(EOMONTH(H465,0)-H465)),EXP(-Formula!$C$28*(EOMONTH(D465,0)-D465)))</f>
        <v>1</v>
      </c>
      <c r="T465" s="15">
        <f t="shared" si="3"/>
        <v>0.3015113446</v>
      </c>
      <c r="U465" s="15">
        <f t="shared" si="4"/>
        <v>0.108544084</v>
      </c>
      <c r="V465" s="16">
        <f>IF(AND(L465="Among all respondents",NOT(OR(K465="Online poll in Telegram channel",K465="Website online poll",K465="CAWI (Computer Assisted Web Interviewing)"))),1/(1-MIN(MAX(Formula!$C$33+(YEAR(D465)-Formula!$C$34)/(Formula!$C$35-Formula!$C$34)*(Formula!$C$32-Formula!$C$33),Formula!$C$33),Formula!$C$32)),1)</f>
        <v>1.119402985</v>
      </c>
      <c r="W465" s="17">
        <f t="shared" si="5"/>
        <v>3.02238806</v>
      </c>
    </row>
    <row r="466" ht="15.75" customHeight="1">
      <c r="A466" s="8" t="s">
        <v>986</v>
      </c>
      <c r="B466" s="7" t="s">
        <v>980</v>
      </c>
      <c r="C466" s="13" t="s">
        <v>981</v>
      </c>
      <c r="D466" s="7" t="s">
        <v>96</v>
      </c>
      <c r="E466" s="8" t="s">
        <v>40</v>
      </c>
      <c r="F466" s="8" t="s">
        <v>318</v>
      </c>
      <c r="G466" s="7" t="s">
        <v>99</v>
      </c>
      <c r="H466" s="7" t="s">
        <v>982</v>
      </c>
      <c r="K466" s="8" t="s">
        <v>321</v>
      </c>
      <c r="L466" s="8" t="s">
        <v>373</v>
      </c>
      <c r="M466" s="8" t="s">
        <v>337</v>
      </c>
      <c r="N466" s="8">
        <v>1.2</v>
      </c>
      <c r="O466" s="14">
        <f t="shared" si="1"/>
        <v>44986</v>
      </c>
      <c r="P466" s="15">
        <f>IFERROR(VLOOKUP(K466,Formula!$A$11:$B$20,2,FALSE),Formula!$C$26)</f>
        <v>0.9</v>
      </c>
      <c r="Q466" s="15">
        <f>IF(AND(ISNUMBER(J466),J466&gt;0),1/J466,IF(AND(ISNUMBER(I466),I466&gt;0),SQRT(MIN(I466,Formula!$C$27))/Formula!$C$24,1/Formula!$C$25))</f>
        <v>0.4</v>
      </c>
      <c r="R466" s="15">
        <f t="shared" si="2"/>
        <v>0.36</v>
      </c>
      <c r="S466" s="15">
        <f>IF(H466&lt;&gt;"",EXP(-Formula!$C$28*(EOMONTH(H466,0)-H466)),EXP(-Formula!$C$28*(EOMONTH(D466,0)-D466)))</f>
        <v>1</v>
      </c>
      <c r="T466" s="15">
        <f t="shared" si="3"/>
        <v>0.3015113446</v>
      </c>
      <c r="U466" s="15">
        <f t="shared" si="4"/>
        <v>0.108544084</v>
      </c>
      <c r="V466" s="16">
        <f>IF(AND(L466="Among all respondents",NOT(OR(K466="Online poll in Telegram channel",K466="Website online poll",K466="CAWI (Computer Assisted Web Interviewing)"))),1/(1-MIN(MAX(Formula!$C$33+(YEAR(D466)-Formula!$C$34)/(Formula!$C$35-Formula!$C$34)*(Formula!$C$32-Formula!$C$33),Formula!$C$33),Formula!$C$32)),1)</f>
        <v>1.119402985</v>
      </c>
      <c r="W466" s="17">
        <f t="shared" si="5"/>
        <v>1.343283582</v>
      </c>
    </row>
    <row r="467" ht="15.75" customHeight="1">
      <c r="A467" s="8" t="s">
        <v>987</v>
      </c>
      <c r="B467" s="7" t="s">
        <v>980</v>
      </c>
      <c r="C467" s="13" t="s">
        <v>981</v>
      </c>
      <c r="D467" s="7" t="s">
        <v>96</v>
      </c>
      <c r="E467" s="8" t="s">
        <v>40</v>
      </c>
      <c r="F467" s="8" t="s">
        <v>318</v>
      </c>
      <c r="G467" s="7" t="s">
        <v>99</v>
      </c>
      <c r="H467" s="7" t="s">
        <v>982</v>
      </c>
      <c r="K467" s="8" t="s">
        <v>321</v>
      </c>
      <c r="L467" s="8" t="s">
        <v>373</v>
      </c>
      <c r="M467" s="8" t="s">
        <v>333</v>
      </c>
      <c r="N467" s="8">
        <v>0.9</v>
      </c>
      <c r="O467" s="14">
        <f t="shared" si="1"/>
        <v>44986</v>
      </c>
      <c r="P467" s="15">
        <f>IFERROR(VLOOKUP(K467,Formula!$A$11:$B$20,2,FALSE),Formula!$C$26)</f>
        <v>0.9</v>
      </c>
      <c r="Q467" s="15">
        <f>IF(AND(ISNUMBER(J467),J467&gt;0),1/J467,IF(AND(ISNUMBER(I467),I467&gt;0),SQRT(MIN(I467,Formula!$C$27))/Formula!$C$24,1/Formula!$C$25))</f>
        <v>0.4</v>
      </c>
      <c r="R467" s="15">
        <f t="shared" si="2"/>
        <v>0.36</v>
      </c>
      <c r="S467" s="15">
        <f>IF(H467&lt;&gt;"",EXP(-Formula!$C$28*(EOMONTH(H467,0)-H467)),EXP(-Formula!$C$28*(EOMONTH(D467,0)-D467)))</f>
        <v>1</v>
      </c>
      <c r="T467" s="15">
        <f t="shared" si="3"/>
        <v>0.3015113446</v>
      </c>
      <c r="U467" s="15">
        <f t="shared" si="4"/>
        <v>0.108544084</v>
      </c>
      <c r="V467" s="16">
        <f>IF(AND(L467="Among all respondents",NOT(OR(K467="Online poll in Telegram channel",K467="Website online poll",K467="CAWI (Computer Assisted Web Interviewing)"))),1/(1-MIN(MAX(Formula!$C$33+(YEAR(D467)-Formula!$C$34)/(Formula!$C$35-Formula!$C$34)*(Formula!$C$32-Formula!$C$33),Formula!$C$33),Formula!$C$32)),1)</f>
        <v>1.119402985</v>
      </c>
      <c r="W467" s="17">
        <f t="shared" si="5"/>
        <v>1.007462687</v>
      </c>
    </row>
    <row r="468" ht="15.75" customHeight="1">
      <c r="A468" s="8" t="s">
        <v>988</v>
      </c>
      <c r="B468" s="7" t="s">
        <v>980</v>
      </c>
      <c r="C468" s="13" t="s">
        <v>981</v>
      </c>
      <c r="D468" s="7" t="s">
        <v>96</v>
      </c>
      <c r="E468" s="8" t="s">
        <v>40</v>
      </c>
      <c r="F468" s="8" t="s">
        <v>318</v>
      </c>
      <c r="G468" s="7" t="s">
        <v>99</v>
      </c>
      <c r="H468" s="7" t="s">
        <v>982</v>
      </c>
      <c r="K468" s="8" t="s">
        <v>321</v>
      </c>
      <c r="L468" s="8" t="s">
        <v>373</v>
      </c>
      <c r="M468" s="8" t="s">
        <v>828</v>
      </c>
      <c r="N468" s="8">
        <v>0.8</v>
      </c>
      <c r="O468" s="14">
        <f t="shared" si="1"/>
        <v>44986</v>
      </c>
      <c r="P468" s="15">
        <f>IFERROR(VLOOKUP(K468,Formula!$A$11:$B$20,2,FALSE),Formula!$C$26)</f>
        <v>0.9</v>
      </c>
      <c r="Q468" s="15">
        <f>IF(AND(ISNUMBER(J468),J468&gt;0),1/J468,IF(AND(ISNUMBER(I468),I468&gt;0),SQRT(MIN(I468,Formula!$C$27))/Formula!$C$24,1/Formula!$C$25))</f>
        <v>0.4</v>
      </c>
      <c r="R468" s="15">
        <f t="shared" si="2"/>
        <v>0.36</v>
      </c>
      <c r="S468" s="15">
        <f>IF(H468&lt;&gt;"",EXP(-Formula!$C$28*(EOMONTH(H468,0)-H468)),EXP(-Formula!$C$28*(EOMONTH(D468,0)-D468)))</f>
        <v>1</v>
      </c>
      <c r="T468" s="15">
        <f t="shared" si="3"/>
        <v>0.3015113446</v>
      </c>
      <c r="U468" s="15">
        <f t="shared" si="4"/>
        <v>0.108544084</v>
      </c>
      <c r="V468" s="16">
        <f>IF(AND(L468="Among all respondents",NOT(OR(K468="Online poll in Telegram channel",K468="Website online poll",K468="CAWI (Computer Assisted Web Interviewing)"))),1/(1-MIN(MAX(Formula!$C$33+(YEAR(D468)-Formula!$C$34)/(Formula!$C$35-Formula!$C$34)*(Formula!$C$32-Formula!$C$33),Formula!$C$33),Formula!$C$32)),1)</f>
        <v>1.119402985</v>
      </c>
      <c r="W468" s="17">
        <f t="shared" si="5"/>
        <v>0.8955223881</v>
      </c>
    </row>
    <row r="469" ht="15.75" customHeight="1">
      <c r="A469" s="8" t="s">
        <v>989</v>
      </c>
      <c r="B469" s="7" t="s">
        <v>980</v>
      </c>
      <c r="C469" s="13" t="s">
        <v>981</v>
      </c>
      <c r="D469" s="7" t="s">
        <v>96</v>
      </c>
      <c r="E469" s="8" t="s">
        <v>40</v>
      </c>
      <c r="F469" s="8" t="s">
        <v>318</v>
      </c>
      <c r="G469" s="7" t="s">
        <v>99</v>
      </c>
      <c r="H469" s="7" t="s">
        <v>982</v>
      </c>
      <c r="K469" s="8" t="s">
        <v>321</v>
      </c>
      <c r="L469" s="8" t="s">
        <v>373</v>
      </c>
      <c r="M469" s="8" t="s">
        <v>386</v>
      </c>
      <c r="N469" s="8">
        <v>0.7</v>
      </c>
      <c r="O469" s="14">
        <f t="shared" si="1"/>
        <v>44986</v>
      </c>
      <c r="P469" s="15">
        <f>IFERROR(VLOOKUP(K469,Formula!$A$11:$B$20,2,FALSE),Formula!$C$26)</f>
        <v>0.9</v>
      </c>
      <c r="Q469" s="15">
        <f>IF(AND(ISNUMBER(J469),J469&gt;0),1/J469,IF(AND(ISNUMBER(I469),I469&gt;0),SQRT(MIN(I469,Formula!$C$27))/Formula!$C$24,1/Formula!$C$25))</f>
        <v>0.4</v>
      </c>
      <c r="R469" s="15">
        <f t="shared" si="2"/>
        <v>0.36</v>
      </c>
      <c r="S469" s="15">
        <f>IF(H469&lt;&gt;"",EXP(-Formula!$C$28*(EOMONTH(H469,0)-H469)),EXP(-Formula!$C$28*(EOMONTH(D469,0)-D469)))</f>
        <v>1</v>
      </c>
      <c r="T469" s="15">
        <f t="shared" si="3"/>
        <v>0.3015113446</v>
      </c>
      <c r="U469" s="15">
        <f t="shared" si="4"/>
        <v>0.108544084</v>
      </c>
      <c r="V469" s="16">
        <f>IF(AND(L469="Among all respondents",NOT(OR(K469="Online poll in Telegram channel",K469="Website online poll",K469="CAWI (Computer Assisted Web Interviewing)"))),1/(1-MIN(MAX(Formula!$C$33+(YEAR(D469)-Formula!$C$34)/(Formula!$C$35-Formula!$C$34)*(Formula!$C$32-Formula!$C$33),Formula!$C$33),Formula!$C$32)),1)</f>
        <v>1.119402985</v>
      </c>
      <c r="W469" s="17">
        <f t="shared" si="5"/>
        <v>0.7835820896</v>
      </c>
    </row>
    <row r="470" ht="15.75" customHeight="1">
      <c r="A470" s="8" t="s">
        <v>990</v>
      </c>
      <c r="B470" s="7" t="s">
        <v>980</v>
      </c>
      <c r="C470" s="13" t="s">
        <v>981</v>
      </c>
      <c r="D470" s="7" t="s">
        <v>96</v>
      </c>
      <c r="E470" s="8" t="s">
        <v>40</v>
      </c>
      <c r="F470" s="8" t="s">
        <v>318</v>
      </c>
      <c r="G470" s="7" t="s">
        <v>99</v>
      </c>
      <c r="H470" s="7" t="s">
        <v>982</v>
      </c>
      <c r="K470" s="8" t="s">
        <v>321</v>
      </c>
      <c r="L470" s="8" t="s">
        <v>373</v>
      </c>
      <c r="M470" s="8" t="s">
        <v>365</v>
      </c>
      <c r="N470" s="8">
        <v>0.6</v>
      </c>
      <c r="O470" s="14">
        <f t="shared" si="1"/>
        <v>44986</v>
      </c>
      <c r="P470" s="15">
        <f>IFERROR(VLOOKUP(K470,Formula!$A$11:$B$20,2,FALSE),Formula!$C$26)</f>
        <v>0.9</v>
      </c>
      <c r="Q470" s="15">
        <f>IF(AND(ISNUMBER(J470),J470&gt;0),1/J470,IF(AND(ISNUMBER(I470),I470&gt;0),SQRT(MIN(I470,Formula!$C$27))/Formula!$C$24,1/Formula!$C$25))</f>
        <v>0.4</v>
      </c>
      <c r="R470" s="15">
        <f t="shared" si="2"/>
        <v>0.36</v>
      </c>
      <c r="S470" s="15">
        <f>IF(H470&lt;&gt;"",EXP(-Formula!$C$28*(EOMONTH(H470,0)-H470)),EXP(-Formula!$C$28*(EOMONTH(D470,0)-D470)))</f>
        <v>1</v>
      </c>
      <c r="T470" s="15">
        <f t="shared" si="3"/>
        <v>0.3015113446</v>
      </c>
      <c r="U470" s="15">
        <f t="shared" si="4"/>
        <v>0.108544084</v>
      </c>
      <c r="V470" s="16">
        <f>IF(AND(L470="Among all respondents",NOT(OR(K470="Online poll in Telegram channel",K470="Website online poll",K470="CAWI (Computer Assisted Web Interviewing)"))),1/(1-MIN(MAX(Formula!$C$33+(YEAR(D470)-Formula!$C$34)/(Formula!$C$35-Formula!$C$34)*(Formula!$C$32-Formula!$C$33),Formula!$C$33),Formula!$C$32)),1)</f>
        <v>1.119402985</v>
      </c>
      <c r="W470" s="17">
        <f t="shared" si="5"/>
        <v>0.671641791</v>
      </c>
    </row>
    <row r="471" ht="15.75" customHeight="1">
      <c r="A471" s="8" t="s">
        <v>991</v>
      </c>
      <c r="B471" s="7" t="s">
        <v>980</v>
      </c>
      <c r="C471" s="13" t="s">
        <v>981</v>
      </c>
      <c r="D471" s="7" t="s">
        <v>96</v>
      </c>
      <c r="E471" s="8" t="s">
        <v>40</v>
      </c>
      <c r="F471" s="8" t="s">
        <v>318</v>
      </c>
      <c r="G471" s="7" t="s">
        <v>99</v>
      </c>
      <c r="H471" s="7" t="s">
        <v>982</v>
      </c>
      <c r="K471" s="8" t="s">
        <v>321</v>
      </c>
      <c r="L471" s="8" t="s">
        <v>373</v>
      </c>
      <c r="M471" s="8" t="s">
        <v>740</v>
      </c>
      <c r="N471" s="8">
        <v>0.5</v>
      </c>
      <c r="O471" s="14">
        <f t="shared" si="1"/>
        <v>44986</v>
      </c>
      <c r="P471" s="15">
        <f>IFERROR(VLOOKUP(K471,Formula!$A$11:$B$20,2,FALSE),Formula!$C$26)</f>
        <v>0.9</v>
      </c>
      <c r="Q471" s="15">
        <f>IF(AND(ISNUMBER(J471),J471&gt;0),1/J471,IF(AND(ISNUMBER(I471),I471&gt;0),SQRT(MIN(I471,Formula!$C$27))/Formula!$C$24,1/Formula!$C$25))</f>
        <v>0.4</v>
      </c>
      <c r="R471" s="15">
        <f t="shared" si="2"/>
        <v>0.36</v>
      </c>
      <c r="S471" s="15">
        <f>IF(H471&lt;&gt;"",EXP(-Formula!$C$28*(EOMONTH(H471,0)-H471)),EXP(-Formula!$C$28*(EOMONTH(D471,0)-D471)))</f>
        <v>1</v>
      </c>
      <c r="T471" s="15">
        <f t="shared" si="3"/>
        <v>0.3015113446</v>
      </c>
      <c r="U471" s="15">
        <f t="shared" si="4"/>
        <v>0.108544084</v>
      </c>
      <c r="V471" s="16">
        <f>IF(AND(L471="Among all respondents",NOT(OR(K471="Online poll in Telegram channel",K471="Website online poll",K471="CAWI (Computer Assisted Web Interviewing)"))),1/(1-MIN(MAX(Formula!$C$33+(YEAR(D471)-Formula!$C$34)/(Formula!$C$35-Formula!$C$34)*(Formula!$C$32-Formula!$C$33),Formula!$C$33),Formula!$C$32)),1)</f>
        <v>1.119402985</v>
      </c>
      <c r="W471" s="17">
        <f t="shared" si="5"/>
        <v>0.5597014925</v>
      </c>
    </row>
    <row r="472" ht="15.75" customHeight="1">
      <c r="A472" s="8" t="s">
        <v>992</v>
      </c>
      <c r="B472" s="7" t="s">
        <v>980</v>
      </c>
      <c r="C472" s="13" t="s">
        <v>981</v>
      </c>
      <c r="D472" s="7" t="s">
        <v>96</v>
      </c>
      <c r="E472" s="8" t="s">
        <v>40</v>
      </c>
      <c r="F472" s="8" t="s">
        <v>318</v>
      </c>
      <c r="G472" s="7" t="s">
        <v>99</v>
      </c>
      <c r="H472" s="7" t="s">
        <v>982</v>
      </c>
      <c r="K472" s="8" t="s">
        <v>321</v>
      </c>
      <c r="L472" s="8" t="s">
        <v>373</v>
      </c>
      <c r="M472" s="8" t="s">
        <v>343</v>
      </c>
      <c r="N472" s="8">
        <v>0.4</v>
      </c>
      <c r="O472" s="14">
        <f t="shared" si="1"/>
        <v>44986</v>
      </c>
      <c r="P472" s="15">
        <f>IFERROR(VLOOKUP(K472,Formula!$A$11:$B$20,2,FALSE),Formula!$C$26)</f>
        <v>0.9</v>
      </c>
      <c r="Q472" s="15">
        <f>IF(AND(ISNUMBER(J472),J472&gt;0),1/J472,IF(AND(ISNUMBER(I472),I472&gt;0),SQRT(MIN(I472,Formula!$C$27))/Formula!$C$24,1/Formula!$C$25))</f>
        <v>0.4</v>
      </c>
      <c r="R472" s="15">
        <f t="shared" si="2"/>
        <v>0.36</v>
      </c>
      <c r="S472" s="15">
        <f>IF(H472&lt;&gt;"",EXP(-Formula!$C$28*(EOMONTH(H472,0)-H472)),EXP(-Formula!$C$28*(EOMONTH(D472,0)-D472)))</f>
        <v>1</v>
      </c>
      <c r="T472" s="15">
        <f t="shared" si="3"/>
        <v>0.3015113446</v>
      </c>
      <c r="U472" s="15">
        <f t="shared" si="4"/>
        <v>0.108544084</v>
      </c>
      <c r="V472" s="16">
        <f>IF(AND(L472="Among all respondents",NOT(OR(K472="Online poll in Telegram channel",K472="Website online poll",K472="CAWI (Computer Assisted Web Interviewing)"))),1/(1-MIN(MAX(Formula!$C$33+(YEAR(D472)-Formula!$C$34)/(Formula!$C$35-Formula!$C$34)*(Formula!$C$32-Formula!$C$33),Formula!$C$33),Formula!$C$32)),1)</f>
        <v>1.119402985</v>
      </c>
      <c r="W472" s="17">
        <f t="shared" si="5"/>
        <v>0.447761194</v>
      </c>
    </row>
    <row r="473" ht="15.75" customHeight="1">
      <c r="A473" s="8" t="s">
        <v>993</v>
      </c>
      <c r="B473" s="7" t="s">
        <v>994</v>
      </c>
      <c r="C473" s="13" t="s">
        <v>995</v>
      </c>
      <c r="D473" s="7" t="s">
        <v>96</v>
      </c>
      <c r="E473" s="8" t="s">
        <v>91</v>
      </c>
      <c r="F473" s="8" t="s">
        <v>318</v>
      </c>
      <c r="G473" s="7" t="s">
        <v>996</v>
      </c>
      <c r="H473" s="7" t="s">
        <v>103</v>
      </c>
      <c r="I473" s="8">
        <v>1518.0</v>
      </c>
      <c r="J473" s="8">
        <v>2.5</v>
      </c>
      <c r="K473" s="8" t="s">
        <v>321</v>
      </c>
      <c r="L473" s="8" t="s">
        <v>322</v>
      </c>
      <c r="M473" s="8" t="s">
        <v>323</v>
      </c>
      <c r="N473" s="8">
        <v>69.7</v>
      </c>
      <c r="O473" s="14">
        <f t="shared" si="1"/>
        <v>44986</v>
      </c>
      <c r="P473" s="15">
        <f>IFERROR(VLOOKUP(K473,Formula!$A$11:$B$20,2,FALSE),Formula!$C$26)</f>
        <v>0.9</v>
      </c>
      <c r="Q473" s="15">
        <f>IF(AND(ISNUMBER(J473),J473&gt;0),1/J473,IF(AND(ISNUMBER(I473),I473&gt;0),SQRT(MIN(I473,Formula!$C$27))/Formula!$C$24,1/Formula!$C$25))</f>
        <v>0.4</v>
      </c>
      <c r="R473" s="15">
        <f t="shared" si="2"/>
        <v>0.36</v>
      </c>
      <c r="S473" s="15">
        <f>IF(H473&lt;&gt;"",EXP(-Formula!$C$28*(EOMONTH(H473,0)-H473)),EXP(-Formula!$C$28*(EOMONTH(D473,0)-D473)))</f>
        <v>0.7788007831</v>
      </c>
      <c r="T473" s="15">
        <f t="shared" si="3"/>
        <v>0.4082482905</v>
      </c>
      <c r="U473" s="15">
        <f t="shared" si="4"/>
        <v>0.1144598718</v>
      </c>
      <c r="V473" s="16">
        <f>IF(AND(L473="Among all respondents",NOT(OR(K473="Online poll in Telegram channel",K473="Website online poll",K473="CAWI (Computer Assisted Web Interviewing)"))),1/(1-MIN(MAX(Formula!$C$33+(YEAR(D473)-Formula!$C$34)/(Formula!$C$35-Formula!$C$34)*(Formula!$C$32-Formula!$C$33),Formula!$C$33),Formula!$C$32)),1)</f>
        <v>1</v>
      </c>
      <c r="W473" s="17">
        <f t="shared" si="5"/>
        <v>69.7</v>
      </c>
    </row>
    <row r="474" ht="15.75" customHeight="1">
      <c r="A474" s="8" t="s">
        <v>997</v>
      </c>
      <c r="B474" s="7" t="s">
        <v>994</v>
      </c>
      <c r="C474" s="13" t="s">
        <v>995</v>
      </c>
      <c r="D474" s="7" t="s">
        <v>96</v>
      </c>
      <c r="E474" s="8" t="s">
        <v>91</v>
      </c>
      <c r="F474" s="8" t="s">
        <v>318</v>
      </c>
      <c r="G474" s="7" t="s">
        <v>996</v>
      </c>
      <c r="H474" s="7" t="s">
        <v>103</v>
      </c>
      <c r="I474" s="8">
        <v>1518.0</v>
      </c>
      <c r="J474" s="8">
        <v>2.5</v>
      </c>
      <c r="K474" s="8" t="s">
        <v>321</v>
      </c>
      <c r="L474" s="8" t="s">
        <v>322</v>
      </c>
      <c r="M474" s="8" t="s">
        <v>329</v>
      </c>
      <c r="N474" s="8">
        <v>8.0</v>
      </c>
      <c r="O474" s="14">
        <f t="shared" si="1"/>
        <v>44986</v>
      </c>
      <c r="P474" s="15">
        <f>IFERROR(VLOOKUP(K474,Formula!$A$11:$B$20,2,FALSE),Formula!$C$26)</f>
        <v>0.9</v>
      </c>
      <c r="Q474" s="15">
        <f>IF(AND(ISNUMBER(J474),J474&gt;0),1/J474,IF(AND(ISNUMBER(I474),I474&gt;0),SQRT(MIN(I474,Formula!$C$27))/Formula!$C$24,1/Formula!$C$25))</f>
        <v>0.4</v>
      </c>
      <c r="R474" s="15">
        <f t="shared" si="2"/>
        <v>0.36</v>
      </c>
      <c r="S474" s="15">
        <f>IF(H474&lt;&gt;"",EXP(-Formula!$C$28*(EOMONTH(H474,0)-H474)),EXP(-Formula!$C$28*(EOMONTH(D474,0)-D474)))</f>
        <v>0.7788007831</v>
      </c>
      <c r="T474" s="15">
        <f t="shared" si="3"/>
        <v>0.4082482905</v>
      </c>
      <c r="U474" s="15">
        <f t="shared" si="4"/>
        <v>0.1144598718</v>
      </c>
      <c r="V474" s="16">
        <f>IF(AND(L474="Among all respondents",NOT(OR(K474="Online poll in Telegram channel",K474="Website online poll",K474="CAWI (Computer Assisted Web Interviewing)"))),1/(1-MIN(MAX(Formula!$C$33+(YEAR(D474)-Formula!$C$34)/(Formula!$C$35-Formula!$C$34)*(Formula!$C$32-Formula!$C$33),Formula!$C$33),Formula!$C$32)),1)</f>
        <v>1</v>
      </c>
      <c r="W474" s="17">
        <f t="shared" si="5"/>
        <v>8</v>
      </c>
    </row>
    <row r="475" ht="15.75" customHeight="1">
      <c r="A475" s="8" t="s">
        <v>998</v>
      </c>
      <c r="B475" s="7" t="s">
        <v>994</v>
      </c>
      <c r="C475" s="13" t="s">
        <v>995</v>
      </c>
      <c r="D475" s="7" t="s">
        <v>96</v>
      </c>
      <c r="E475" s="8" t="s">
        <v>91</v>
      </c>
      <c r="F475" s="8" t="s">
        <v>318</v>
      </c>
      <c r="G475" s="7" t="s">
        <v>996</v>
      </c>
      <c r="H475" s="7" t="s">
        <v>103</v>
      </c>
      <c r="I475" s="8">
        <v>1518.0</v>
      </c>
      <c r="J475" s="8">
        <v>2.5</v>
      </c>
      <c r="K475" s="8" t="s">
        <v>321</v>
      </c>
      <c r="L475" s="8" t="s">
        <v>322</v>
      </c>
      <c r="M475" s="8" t="s">
        <v>339</v>
      </c>
      <c r="N475" s="8">
        <v>4.7</v>
      </c>
      <c r="O475" s="14">
        <f t="shared" si="1"/>
        <v>44986</v>
      </c>
      <c r="P475" s="15">
        <f>IFERROR(VLOOKUP(K475,Formula!$A$11:$B$20,2,FALSE),Formula!$C$26)</f>
        <v>0.9</v>
      </c>
      <c r="Q475" s="15">
        <f>IF(AND(ISNUMBER(J475),J475&gt;0),1/J475,IF(AND(ISNUMBER(I475),I475&gt;0),SQRT(MIN(I475,Formula!$C$27))/Formula!$C$24,1/Formula!$C$25))</f>
        <v>0.4</v>
      </c>
      <c r="R475" s="15">
        <f t="shared" si="2"/>
        <v>0.36</v>
      </c>
      <c r="S475" s="15">
        <f>IF(H475&lt;&gt;"",EXP(-Formula!$C$28*(EOMONTH(H475,0)-H475)),EXP(-Formula!$C$28*(EOMONTH(D475,0)-D475)))</f>
        <v>0.7788007831</v>
      </c>
      <c r="T475" s="15">
        <f t="shared" si="3"/>
        <v>0.4082482905</v>
      </c>
      <c r="U475" s="15">
        <f t="shared" si="4"/>
        <v>0.1144598718</v>
      </c>
      <c r="V475" s="16">
        <f>IF(AND(L475="Among all respondents",NOT(OR(K475="Online poll in Telegram channel",K475="Website online poll",K475="CAWI (Computer Assisted Web Interviewing)"))),1/(1-MIN(MAX(Formula!$C$33+(YEAR(D475)-Formula!$C$34)/(Formula!$C$35-Formula!$C$34)*(Formula!$C$32-Formula!$C$33),Formula!$C$33),Formula!$C$32)),1)</f>
        <v>1</v>
      </c>
      <c r="W475" s="17">
        <f t="shared" si="5"/>
        <v>4.7</v>
      </c>
    </row>
    <row r="476" ht="15.75" customHeight="1">
      <c r="A476" s="8" t="s">
        <v>999</v>
      </c>
      <c r="B476" s="7" t="s">
        <v>994</v>
      </c>
      <c r="C476" s="13" t="s">
        <v>995</v>
      </c>
      <c r="D476" s="7" t="s">
        <v>96</v>
      </c>
      <c r="E476" s="8" t="s">
        <v>91</v>
      </c>
      <c r="F476" s="8" t="s">
        <v>318</v>
      </c>
      <c r="G476" s="7" t="s">
        <v>996</v>
      </c>
      <c r="H476" s="7" t="s">
        <v>103</v>
      </c>
      <c r="I476" s="8">
        <v>1518.0</v>
      </c>
      <c r="J476" s="8">
        <v>2.5</v>
      </c>
      <c r="K476" s="8" t="s">
        <v>321</v>
      </c>
      <c r="L476" s="8" t="s">
        <v>322</v>
      </c>
      <c r="M476" s="8" t="s">
        <v>333</v>
      </c>
      <c r="N476" s="8">
        <v>1.7</v>
      </c>
      <c r="O476" s="14">
        <f t="shared" si="1"/>
        <v>44986</v>
      </c>
      <c r="P476" s="15">
        <f>IFERROR(VLOOKUP(K476,Formula!$A$11:$B$20,2,FALSE),Formula!$C$26)</f>
        <v>0.9</v>
      </c>
      <c r="Q476" s="15">
        <f>IF(AND(ISNUMBER(J476),J476&gt;0),1/J476,IF(AND(ISNUMBER(I476),I476&gt;0),SQRT(MIN(I476,Formula!$C$27))/Formula!$C$24,1/Formula!$C$25))</f>
        <v>0.4</v>
      </c>
      <c r="R476" s="15">
        <f t="shared" si="2"/>
        <v>0.36</v>
      </c>
      <c r="S476" s="15">
        <f>IF(H476&lt;&gt;"",EXP(-Formula!$C$28*(EOMONTH(H476,0)-H476)),EXP(-Formula!$C$28*(EOMONTH(D476,0)-D476)))</f>
        <v>0.7788007831</v>
      </c>
      <c r="T476" s="15">
        <f t="shared" si="3"/>
        <v>0.4082482905</v>
      </c>
      <c r="U476" s="15">
        <f t="shared" si="4"/>
        <v>0.1144598718</v>
      </c>
      <c r="V476" s="16">
        <f>IF(AND(L476="Among all respondents",NOT(OR(K476="Online poll in Telegram channel",K476="Website online poll",K476="CAWI (Computer Assisted Web Interviewing)"))),1/(1-MIN(MAX(Formula!$C$33+(YEAR(D476)-Formula!$C$34)/(Formula!$C$35-Formula!$C$34)*(Formula!$C$32-Formula!$C$33),Formula!$C$33),Formula!$C$32)),1)</f>
        <v>1</v>
      </c>
      <c r="W476" s="17">
        <f t="shared" si="5"/>
        <v>1.7</v>
      </c>
    </row>
    <row r="477" ht="15.75" customHeight="1">
      <c r="A477" s="8" t="s">
        <v>1000</v>
      </c>
      <c r="B477" s="7" t="s">
        <v>994</v>
      </c>
      <c r="C477" s="13" t="s">
        <v>995</v>
      </c>
      <c r="D477" s="7" t="s">
        <v>96</v>
      </c>
      <c r="E477" s="8" t="s">
        <v>91</v>
      </c>
      <c r="F477" s="8" t="s">
        <v>318</v>
      </c>
      <c r="G477" s="7" t="s">
        <v>996</v>
      </c>
      <c r="H477" s="7" t="s">
        <v>103</v>
      </c>
      <c r="I477" s="8">
        <v>1518.0</v>
      </c>
      <c r="J477" s="8">
        <v>2.5</v>
      </c>
      <c r="K477" s="8" t="s">
        <v>321</v>
      </c>
      <c r="L477" s="8" t="s">
        <v>322</v>
      </c>
      <c r="M477" s="8" t="s">
        <v>337</v>
      </c>
      <c r="N477" s="8">
        <v>1.6</v>
      </c>
      <c r="O477" s="14">
        <f t="shared" si="1"/>
        <v>44986</v>
      </c>
      <c r="P477" s="15">
        <f>IFERROR(VLOOKUP(K477,Formula!$A$11:$B$20,2,FALSE),Formula!$C$26)</f>
        <v>0.9</v>
      </c>
      <c r="Q477" s="15">
        <f>IF(AND(ISNUMBER(J477),J477&gt;0),1/J477,IF(AND(ISNUMBER(I477),I477&gt;0),SQRT(MIN(I477,Formula!$C$27))/Formula!$C$24,1/Formula!$C$25))</f>
        <v>0.4</v>
      </c>
      <c r="R477" s="15">
        <f t="shared" si="2"/>
        <v>0.36</v>
      </c>
      <c r="S477" s="15">
        <f>IF(H477&lt;&gt;"",EXP(-Formula!$C$28*(EOMONTH(H477,0)-H477)),EXP(-Formula!$C$28*(EOMONTH(D477,0)-D477)))</f>
        <v>0.7788007831</v>
      </c>
      <c r="T477" s="15">
        <f t="shared" si="3"/>
        <v>0.4082482905</v>
      </c>
      <c r="U477" s="15">
        <f t="shared" si="4"/>
        <v>0.1144598718</v>
      </c>
      <c r="V477" s="16">
        <f>IF(AND(L477="Among all respondents",NOT(OR(K477="Online poll in Telegram channel",K477="Website online poll",K477="CAWI (Computer Assisted Web Interviewing)"))),1/(1-MIN(MAX(Formula!$C$33+(YEAR(D477)-Formula!$C$34)/(Formula!$C$35-Formula!$C$34)*(Formula!$C$32-Formula!$C$33),Formula!$C$33),Formula!$C$32)),1)</f>
        <v>1</v>
      </c>
      <c r="W477" s="17">
        <f t="shared" si="5"/>
        <v>1.6</v>
      </c>
    </row>
    <row r="478" ht="15.75" customHeight="1">
      <c r="A478" s="8" t="s">
        <v>1001</v>
      </c>
      <c r="B478" s="7" t="s">
        <v>994</v>
      </c>
      <c r="C478" s="13" t="s">
        <v>995</v>
      </c>
      <c r="D478" s="7" t="s">
        <v>96</v>
      </c>
      <c r="E478" s="8" t="s">
        <v>91</v>
      </c>
      <c r="F478" s="8" t="s">
        <v>318</v>
      </c>
      <c r="G478" s="7" t="s">
        <v>996</v>
      </c>
      <c r="H478" s="7" t="s">
        <v>103</v>
      </c>
      <c r="I478" s="8">
        <v>1518.0</v>
      </c>
      <c r="J478" s="8">
        <v>2.5</v>
      </c>
      <c r="K478" s="8" t="s">
        <v>321</v>
      </c>
      <c r="L478" s="8" t="s">
        <v>322</v>
      </c>
      <c r="M478" s="8" t="s">
        <v>828</v>
      </c>
      <c r="N478" s="8">
        <v>1.5</v>
      </c>
      <c r="O478" s="14">
        <f t="shared" si="1"/>
        <v>44986</v>
      </c>
      <c r="P478" s="15">
        <f>IFERROR(VLOOKUP(K478,Formula!$A$11:$B$20,2,FALSE),Formula!$C$26)</f>
        <v>0.9</v>
      </c>
      <c r="Q478" s="15">
        <f>IF(AND(ISNUMBER(J478),J478&gt;0),1/J478,IF(AND(ISNUMBER(I478),I478&gt;0),SQRT(MIN(I478,Formula!$C$27))/Formula!$C$24,1/Formula!$C$25))</f>
        <v>0.4</v>
      </c>
      <c r="R478" s="15">
        <f t="shared" si="2"/>
        <v>0.36</v>
      </c>
      <c r="S478" s="15">
        <f>IF(H478&lt;&gt;"",EXP(-Formula!$C$28*(EOMONTH(H478,0)-H478)),EXP(-Formula!$C$28*(EOMONTH(D478,0)-D478)))</f>
        <v>0.7788007831</v>
      </c>
      <c r="T478" s="15">
        <f t="shared" si="3"/>
        <v>0.4082482905</v>
      </c>
      <c r="U478" s="15">
        <f t="shared" si="4"/>
        <v>0.1144598718</v>
      </c>
      <c r="V478" s="16">
        <f>IF(AND(L478="Among all respondents",NOT(OR(K478="Online poll in Telegram channel",K478="Website online poll",K478="CAWI (Computer Assisted Web Interviewing)"))),1/(1-MIN(MAX(Formula!$C$33+(YEAR(D478)-Formula!$C$34)/(Formula!$C$35-Formula!$C$34)*(Formula!$C$32-Formula!$C$33),Formula!$C$33),Formula!$C$32)),1)</f>
        <v>1</v>
      </c>
      <c r="W478" s="17">
        <f t="shared" si="5"/>
        <v>1.5</v>
      </c>
    </row>
    <row r="479" ht="15.75" customHeight="1">
      <c r="A479" s="8" t="s">
        <v>1002</v>
      </c>
      <c r="B479" s="7" t="s">
        <v>1003</v>
      </c>
      <c r="C479" s="13" t="s">
        <v>1004</v>
      </c>
      <c r="D479" s="7" t="s">
        <v>103</v>
      </c>
      <c r="E479" s="8" t="s">
        <v>27</v>
      </c>
      <c r="F479" s="8" t="s">
        <v>318</v>
      </c>
      <c r="G479" s="7" t="s">
        <v>104</v>
      </c>
      <c r="H479" s="7" t="s">
        <v>1005</v>
      </c>
      <c r="I479" s="8">
        <v>1000.0</v>
      </c>
      <c r="J479" s="8">
        <v>3.1</v>
      </c>
      <c r="K479" s="8" t="s">
        <v>321</v>
      </c>
      <c r="L479" s="8" t="s">
        <v>373</v>
      </c>
      <c r="M479" s="8" t="s">
        <v>323</v>
      </c>
      <c r="N479" s="8">
        <v>69.0</v>
      </c>
      <c r="O479" s="14">
        <f t="shared" si="1"/>
        <v>44958</v>
      </c>
      <c r="P479" s="15">
        <f>IFERROR(VLOOKUP(K479,Formula!$A$11:$B$20,2,FALSE),Formula!$C$26)</f>
        <v>0.9</v>
      </c>
      <c r="Q479" s="15">
        <f>IF(AND(ISNUMBER(J479),J479&gt;0),1/J479,IF(AND(ISNUMBER(I479),I479&gt;0),SQRT(MIN(I479,Formula!$C$27))/Formula!$C$24,1/Formula!$C$25))</f>
        <v>0.3225806452</v>
      </c>
      <c r="R479" s="15">
        <f t="shared" si="2"/>
        <v>0.2903225806</v>
      </c>
      <c r="S479" s="15">
        <f>IF(H479&lt;&gt;"",EXP(-Formula!$C$28*(EOMONTH(H479,0)-H479)),EXP(-Formula!$C$28*(EOMONTH(D479,0)-D479)))</f>
        <v>0.4493289641</v>
      </c>
      <c r="T479" s="15">
        <f t="shared" si="3"/>
        <v>0.3535533906</v>
      </c>
      <c r="U479" s="15">
        <f t="shared" si="4"/>
        <v>0.04612116157</v>
      </c>
      <c r="V479" s="16">
        <f>IF(AND(L479="Among all respondents",NOT(OR(K479="Online poll in Telegram channel",K479="Website online poll",K479="CAWI (Computer Assisted Web Interviewing)"))),1/(1-MIN(MAX(Formula!$C$33+(YEAR(D479)-Formula!$C$34)/(Formula!$C$35-Formula!$C$34)*(Formula!$C$32-Formula!$C$33),Formula!$C$33),Formula!$C$32)),1)</f>
        <v>1.119402985</v>
      </c>
      <c r="W479" s="17">
        <f t="shared" si="5"/>
        <v>77.23880597</v>
      </c>
    </row>
    <row r="480" ht="15.75" customHeight="1">
      <c r="A480" s="8" t="s">
        <v>1006</v>
      </c>
      <c r="B480" s="7" t="s">
        <v>1003</v>
      </c>
      <c r="C480" s="13" t="s">
        <v>1004</v>
      </c>
      <c r="D480" s="7" t="s">
        <v>103</v>
      </c>
      <c r="E480" s="8" t="s">
        <v>27</v>
      </c>
      <c r="F480" s="8" t="s">
        <v>318</v>
      </c>
      <c r="G480" s="7" t="s">
        <v>104</v>
      </c>
      <c r="H480" s="7" t="s">
        <v>1005</v>
      </c>
      <c r="I480" s="8">
        <v>1000.0</v>
      </c>
      <c r="J480" s="8">
        <v>3.1</v>
      </c>
      <c r="K480" s="8" t="s">
        <v>321</v>
      </c>
      <c r="L480" s="8" t="s">
        <v>373</v>
      </c>
      <c r="M480" s="8" t="s">
        <v>329</v>
      </c>
      <c r="N480" s="8">
        <v>5.0</v>
      </c>
      <c r="O480" s="14">
        <f t="shared" si="1"/>
        <v>44958</v>
      </c>
      <c r="P480" s="15">
        <f>IFERROR(VLOOKUP(K480,Formula!$A$11:$B$20,2,FALSE),Formula!$C$26)</f>
        <v>0.9</v>
      </c>
      <c r="Q480" s="15">
        <f>IF(AND(ISNUMBER(J480),J480&gt;0),1/J480,IF(AND(ISNUMBER(I480),I480&gt;0),SQRT(MIN(I480,Formula!$C$27))/Formula!$C$24,1/Formula!$C$25))</f>
        <v>0.3225806452</v>
      </c>
      <c r="R480" s="15">
        <f t="shared" si="2"/>
        <v>0.2903225806</v>
      </c>
      <c r="S480" s="15">
        <f>IF(H480&lt;&gt;"",EXP(-Formula!$C$28*(EOMONTH(H480,0)-H480)),EXP(-Formula!$C$28*(EOMONTH(D480,0)-D480)))</f>
        <v>0.4493289641</v>
      </c>
      <c r="T480" s="15">
        <f t="shared" si="3"/>
        <v>0.3535533906</v>
      </c>
      <c r="U480" s="15">
        <f t="shared" si="4"/>
        <v>0.04612116157</v>
      </c>
      <c r="V480" s="16">
        <f>IF(AND(L480="Among all respondents",NOT(OR(K480="Online poll in Telegram channel",K480="Website online poll",K480="CAWI (Computer Assisted Web Interviewing)"))),1/(1-MIN(MAX(Formula!$C$33+(YEAR(D480)-Formula!$C$34)/(Formula!$C$35-Formula!$C$34)*(Formula!$C$32-Formula!$C$33),Formula!$C$33),Formula!$C$32)),1)</f>
        <v>1.119402985</v>
      </c>
      <c r="W480" s="17">
        <f t="shared" si="5"/>
        <v>5.597014925</v>
      </c>
    </row>
    <row r="481" ht="15.75" customHeight="1">
      <c r="A481" s="8" t="s">
        <v>1007</v>
      </c>
      <c r="B481" s="7" t="s">
        <v>1003</v>
      </c>
      <c r="C481" s="13" t="s">
        <v>1004</v>
      </c>
      <c r="D481" s="7" t="s">
        <v>103</v>
      </c>
      <c r="E481" s="8" t="s">
        <v>27</v>
      </c>
      <c r="F481" s="8" t="s">
        <v>318</v>
      </c>
      <c r="G481" s="7" t="s">
        <v>104</v>
      </c>
      <c r="H481" s="7" t="s">
        <v>1005</v>
      </c>
      <c r="I481" s="8">
        <v>1000.0</v>
      </c>
      <c r="J481" s="8">
        <v>3.1</v>
      </c>
      <c r="K481" s="8" t="s">
        <v>321</v>
      </c>
      <c r="L481" s="8" t="s">
        <v>373</v>
      </c>
      <c r="M481" s="8" t="s">
        <v>339</v>
      </c>
      <c r="N481" s="8">
        <v>3.0</v>
      </c>
      <c r="O481" s="14">
        <f t="shared" si="1"/>
        <v>44958</v>
      </c>
      <c r="P481" s="15">
        <f>IFERROR(VLOOKUP(K481,Formula!$A$11:$B$20,2,FALSE),Formula!$C$26)</f>
        <v>0.9</v>
      </c>
      <c r="Q481" s="15">
        <f>IF(AND(ISNUMBER(J481),J481&gt;0),1/J481,IF(AND(ISNUMBER(I481),I481&gt;0),SQRT(MIN(I481,Formula!$C$27))/Formula!$C$24,1/Formula!$C$25))</f>
        <v>0.3225806452</v>
      </c>
      <c r="R481" s="15">
        <f t="shared" si="2"/>
        <v>0.2903225806</v>
      </c>
      <c r="S481" s="15">
        <f>IF(H481&lt;&gt;"",EXP(-Formula!$C$28*(EOMONTH(H481,0)-H481)),EXP(-Formula!$C$28*(EOMONTH(D481,0)-D481)))</f>
        <v>0.4493289641</v>
      </c>
      <c r="T481" s="15">
        <f t="shared" si="3"/>
        <v>0.3535533906</v>
      </c>
      <c r="U481" s="15">
        <f t="shared" si="4"/>
        <v>0.04612116157</v>
      </c>
      <c r="V481" s="16">
        <f>IF(AND(L481="Among all respondents",NOT(OR(K481="Online poll in Telegram channel",K481="Website online poll",K481="CAWI (Computer Assisted Web Interviewing)"))),1/(1-MIN(MAX(Formula!$C$33+(YEAR(D481)-Formula!$C$34)/(Formula!$C$35-Formula!$C$34)*(Formula!$C$32-Formula!$C$33),Formula!$C$33),Formula!$C$32)),1)</f>
        <v>1.119402985</v>
      </c>
      <c r="W481" s="17">
        <f t="shared" si="5"/>
        <v>3.358208955</v>
      </c>
    </row>
    <row r="482" ht="15.75" customHeight="1">
      <c r="A482" s="8" t="s">
        <v>1008</v>
      </c>
      <c r="B482" s="7" t="s">
        <v>1003</v>
      </c>
      <c r="C482" s="13" t="s">
        <v>1004</v>
      </c>
      <c r="D482" s="7" t="s">
        <v>103</v>
      </c>
      <c r="E482" s="8" t="s">
        <v>27</v>
      </c>
      <c r="F482" s="8" t="s">
        <v>318</v>
      </c>
      <c r="G482" s="7" t="s">
        <v>104</v>
      </c>
      <c r="H482" s="7" t="s">
        <v>1005</v>
      </c>
      <c r="I482" s="8">
        <v>1000.0</v>
      </c>
      <c r="J482" s="8">
        <v>3.1</v>
      </c>
      <c r="K482" s="8" t="s">
        <v>321</v>
      </c>
      <c r="L482" s="8" t="s">
        <v>373</v>
      </c>
      <c r="M482" s="8" t="s">
        <v>828</v>
      </c>
      <c r="N482" s="8">
        <v>1.0</v>
      </c>
      <c r="O482" s="14">
        <f t="shared" si="1"/>
        <v>44958</v>
      </c>
      <c r="P482" s="15">
        <f>IFERROR(VLOOKUP(K482,Formula!$A$11:$B$20,2,FALSE),Formula!$C$26)</f>
        <v>0.9</v>
      </c>
      <c r="Q482" s="15">
        <f>IF(AND(ISNUMBER(J482),J482&gt;0),1/J482,IF(AND(ISNUMBER(I482),I482&gt;0),SQRT(MIN(I482,Formula!$C$27))/Formula!$C$24,1/Formula!$C$25))</f>
        <v>0.3225806452</v>
      </c>
      <c r="R482" s="15">
        <f t="shared" si="2"/>
        <v>0.2903225806</v>
      </c>
      <c r="S482" s="15">
        <f>IF(H482&lt;&gt;"",EXP(-Formula!$C$28*(EOMONTH(H482,0)-H482)),EXP(-Formula!$C$28*(EOMONTH(D482,0)-D482)))</f>
        <v>0.4493289641</v>
      </c>
      <c r="T482" s="15">
        <f t="shared" si="3"/>
        <v>0.3535533906</v>
      </c>
      <c r="U482" s="15">
        <f t="shared" si="4"/>
        <v>0.04612116157</v>
      </c>
      <c r="V482" s="16">
        <f>IF(AND(L482="Among all respondents",NOT(OR(K482="Online poll in Telegram channel",K482="Website online poll",K482="CAWI (Computer Assisted Web Interviewing)"))),1/(1-MIN(MAX(Formula!$C$33+(YEAR(D482)-Formula!$C$34)/(Formula!$C$35-Formula!$C$34)*(Formula!$C$32-Formula!$C$33),Formula!$C$33),Formula!$C$32)),1)</f>
        <v>1.119402985</v>
      </c>
      <c r="W482" s="17">
        <f t="shared" si="5"/>
        <v>1.119402985</v>
      </c>
    </row>
    <row r="483" ht="15.75" customHeight="1">
      <c r="A483" s="8" t="s">
        <v>1009</v>
      </c>
      <c r="B483" s="7" t="s">
        <v>1003</v>
      </c>
      <c r="C483" s="13" t="s">
        <v>1004</v>
      </c>
      <c r="D483" s="7" t="s">
        <v>103</v>
      </c>
      <c r="E483" s="8" t="s">
        <v>27</v>
      </c>
      <c r="F483" s="8" t="s">
        <v>318</v>
      </c>
      <c r="G483" s="7" t="s">
        <v>104</v>
      </c>
      <c r="H483" s="7" t="s">
        <v>1005</v>
      </c>
      <c r="I483" s="8">
        <v>1000.0</v>
      </c>
      <c r="J483" s="8">
        <v>3.1</v>
      </c>
      <c r="K483" s="8" t="s">
        <v>321</v>
      </c>
      <c r="L483" s="8" t="s">
        <v>373</v>
      </c>
      <c r="M483" s="8" t="s">
        <v>337</v>
      </c>
      <c r="N483" s="8">
        <v>1.0</v>
      </c>
      <c r="O483" s="14">
        <f t="shared" si="1"/>
        <v>44958</v>
      </c>
      <c r="P483" s="15">
        <f>IFERROR(VLOOKUP(K483,Formula!$A$11:$B$20,2,FALSE),Formula!$C$26)</f>
        <v>0.9</v>
      </c>
      <c r="Q483" s="15">
        <f>IF(AND(ISNUMBER(J483),J483&gt;0),1/J483,IF(AND(ISNUMBER(I483),I483&gt;0),SQRT(MIN(I483,Formula!$C$27))/Formula!$C$24,1/Formula!$C$25))</f>
        <v>0.3225806452</v>
      </c>
      <c r="R483" s="15">
        <f t="shared" si="2"/>
        <v>0.2903225806</v>
      </c>
      <c r="S483" s="15">
        <f>IF(H483&lt;&gt;"",EXP(-Formula!$C$28*(EOMONTH(H483,0)-H483)),EXP(-Formula!$C$28*(EOMONTH(D483,0)-D483)))</f>
        <v>0.4493289641</v>
      </c>
      <c r="T483" s="15">
        <f t="shared" si="3"/>
        <v>0.3535533906</v>
      </c>
      <c r="U483" s="15">
        <f t="shared" si="4"/>
        <v>0.04612116157</v>
      </c>
      <c r="V483" s="16">
        <f>IF(AND(L483="Among all respondents",NOT(OR(K483="Online poll in Telegram channel",K483="Website online poll",K483="CAWI (Computer Assisted Web Interviewing)"))),1/(1-MIN(MAX(Formula!$C$33+(YEAR(D483)-Formula!$C$34)/(Formula!$C$35-Formula!$C$34)*(Formula!$C$32-Formula!$C$33),Formula!$C$33),Formula!$C$32)),1)</f>
        <v>1.119402985</v>
      </c>
      <c r="W483" s="17">
        <f t="shared" si="5"/>
        <v>1.119402985</v>
      </c>
    </row>
    <row r="484" ht="15.75" customHeight="1">
      <c r="A484" s="8" t="s">
        <v>1010</v>
      </c>
      <c r="B484" s="7" t="s">
        <v>1003</v>
      </c>
      <c r="C484" s="13" t="s">
        <v>1004</v>
      </c>
      <c r="D484" s="7" t="s">
        <v>103</v>
      </c>
      <c r="E484" s="8" t="s">
        <v>27</v>
      </c>
      <c r="F484" s="8" t="s">
        <v>318</v>
      </c>
      <c r="G484" s="7" t="s">
        <v>104</v>
      </c>
      <c r="H484" s="7" t="s">
        <v>1005</v>
      </c>
      <c r="I484" s="8">
        <v>1000.0</v>
      </c>
      <c r="J484" s="8">
        <v>3.1</v>
      </c>
      <c r="K484" s="8" t="s">
        <v>321</v>
      </c>
      <c r="L484" s="8" t="s">
        <v>373</v>
      </c>
      <c r="M484" s="8" t="s">
        <v>333</v>
      </c>
      <c r="N484" s="8">
        <v>1.0</v>
      </c>
      <c r="O484" s="14">
        <f t="shared" si="1"/>
        <v>44958</v>
      </c>
      <c r="P484" s="15">
        <f>IFERROR(VLOOKUP(K484,Formula!$A$11:$B$20,2,FALSE),Formula!$C$26)</f>
        <v>0.9</v>
      </c>
      <c r="Q484" s="15">
        <f>IF(AND(ISNUMBER(J484),J484&gt;0),1/J484,IF(AND(ISNUMBER(I484),I484&gt;0),SQRT(MIN(I484,Formula!$C$27))/Formula!$C$24,1/Formula!$C$25))</f>
        <v>0.3225806452</v>
      </c>
      <c r="R484" s="15">
        <f t="shared" si="2"/>
        <v>0.2903225806</v>
      </c>
      <c r="S484" s="15">
        <f>IF(H484&lt;&gt;"",EXP(-Formula!$C$28*(EOMONTH(H484,0)-H484)),EXP(-Formula!$C$28*(EOMONTH(D484,0)-D484)))</f>
        <v>0.4493289641</v>
      </c>
      <c r="T484" s="15">
        <f t="shared" si="3"/>
        <v>0.3535533906</v>
      </c>
      <c r="U484" s="15">
        <f t="shared" si="4"/>
        <v>0.04612116157</v>
      </c>
      <c r="V484" s="16">
        <f>IF(AND(L484="Among all respondents",NOT(OR(K484="Online poll in Telegram channel",K484="Website online poll",K484="CAWI (Computer Assisted Web Interviewing)"))),1/(1-MIN(MAX(Formula!$C$33+(YEAR(D484)-Formula!$C$34)/(Formula!$C$35-Formula!$C$34)*(Formula!$C$32-Formula!$C$33),Formula!$C$33),Formula!$C$32)),1)</f>
        <v>1.119402985</v>
      </c>
      <c r="W484" s="17">
        <f t="shared" si="5"/>
        <v>1.119402985</v>
      </c>
    </row>
    <row r="485" ht="15.75" customHeight="1">
      <c r="A485" s="8" t="s">
        <v>1011</v>
      </c>
      <c r="B485" s="7" t="s">
        <v>1003</v>
      </c>
      <c r="C485" s="13" t="s">
        <v>1004</v>
      </c>
      <c r="D485" s="7" t="s">
        <v>103</v>
      </c>
      <c r="E485" s="8" t="s">
        <v>27</v>
      </c>
      <c r="F485" s="8" t="s">
        <v>318</v>
      </c>
      <c r="G485" s="7" t="s">
        <v>104</v>
      </c>
      <c r="H485" s="7" t="s">
        <v>1005</v>
      </c>
      <c r="I485" s="8">
        <v>1000.0</v>
      </c>
      <c r="J485" s="8">
        <v>3.1</v>
      </c>
      <c r="K485" s="8" t="s">
        <v>321</v>
      </c>
      <c r="L485" s="8" t="s">
        <v>373</v>
      </c>
      <c r="M485" s="8" t="s">
        <v>386</v>
      </c>
      <c r="N485" s="8">
        <v>1.0</v>
      </c>
      <c r="O485" s="14">
        <f t="shared" si="1"/>
        <v>44958</v>
      </c>
      <c r="P485" s="15">
        <f>IFERROR(VLOOKUP(K485,Formula!$A$11:$B$20,2,FALSE),Formula!$C$26)</f>
        <v>0.9</v>
      </c>
      <c r="Q485" s="15">
        <f>IF(AND(ISNUMBER(J485),J485&gt;0),1/J485,IF(AND(ISNUMBER(I485),I485&gt;0),SQRT(MIN(I485,Formula!$C$27))/Formula!$C$24,1/Formula!$C$25))</f>
        <v>0.3225806452</v>
      </c>
      <c r="R485" s="15">
        <f t="shared" si="2"/>
        <v>0.2903225806</v>
      </c>
      <c r="S485" s="15">
        <f>IF(H485&lt;&gt;"",EXP(-Formula!$C$28*(EOMONTH(H485,0)-H485)),EXP(-Formula!$C$28*(EOMONTH(D485,0)-D485)))</f>
        <v>0.4493289641</v>
      </c>
      <c r="T485" s="15">
        <f t="shared" si="3"/>
        <v>0.3535533906</v>
      </c>
      <c r="U485" s="15">
        <f t="shared" si="4"/>
        <v>0.04612116157</v>
      </c>
      <c r="V485" s="16">
        <f>IF(AND(L485="Among all respondents",NOT(OR(K485="Online poll in Telegram channel",K485="Website online poll",K485="CAWI (Computer Assisted Web Interviewing)"))),1/(1-MIN(MAX(Formula!$C$33+(YEAR(D485)-Formula!$C$34)/(Formula!$C$35-Formula!$C$34)*(Formula!$C$32-Formula!$C$33),Formula!$C$33),Formula!$C$32)),1)</f>
        <v>1.119402985</v>
      </c>
      <c r="W485" s="17">
        <f t="shared" si="5"/>
        <v>1.119402985</v>
      </c>
    </row>
    <row r="486" ht="15.75" customHeight="1">
      <c r="A486" s="8" t="s">
        <v>1012</v>
      </c>
      <c r="B486" s="7" t="s">
        <v>1003</v>
      </c>
      <c r="C486" s="13" t="s">
        <v>1004</v>
      </c>
      <c r="D486" s="7" t="s">
        <v>103</v>
      </c>
      <c r="E486" s="8" t="s">
        <v>27</v>
      </c>
      <c r="F486" s="8" t="s">
        <v>318</v>
      </c>
      <c r="G486" s="7" t="s">
        <v>104</v>
      </c>
      <c r="H486" s="7" t="s">
        <v>1005</v>
      </c>
      <c r="I486" s="8">
        <v>1000.0</v>
      </c>
      <c r="J486" s="8">
        <v>3.1</v>
      </c>
      <c r="K486" s="8" t="s">
        <v>321</v>
      </c>
      <c r="L486" s="8" t="s">
        <v>373</v>
      </c>
      <c r="M486" s="8" t="s">
        <v>343</v>
      </c>
      <c r="N486" s="8">
        <v>1.0</v>
      </c>
      <c r="O486" s="14">
        <f t="shared" si="1"/>
        <v>44958</v>
      </c>
      <c r="P486" s="15">
        <f>IFERROR(VLOOKUP(K486,Formula!$A$11:$B$20,2,FALSE),Formula!$C$26)</f>
        <v>0.9</v>
      </c>
      <c r="Q486" s="15">
        <f>IF(AND(ISNUMBER(J486),J486&gt;0),1/J486,IF(AND(ISNUMBER(I486),I486&gt;0),SQRT(MIN(I486,Formula!$C$27))/Formula!$C$24,1/Formula!$C$25))</f>
        <v>0.3225806452</v>
      </c>
      <c r="R486" s="15">
        <f t="shared" si="2"/>
        <v>0.2903225806</v>
      </c>
      <c r="S486" s="15">
        <f>IF(H486&lt;&gt;"",EXP(-Formula!$C$28*(EOMONTH(H486,0)-H486)),EXP(-Formula!$C$28*(EOMONTH(D486,0)-D486)))</f>
        <v>0.4493289641</v>
      </c>
      <c r="T486" s="15">
        <f t="shared" si="3"/>
        <v>0.3535533906</v>
      </c>
      <c r="U486" s="15">
        <f t="shared" si="4"/>
        <v>0.04612116157</v>
      </c>
      <c r="V486" s="16">
        <f>IF(AND(L486="Among all respondents",NOT(OR(K486="Online poll in Telegram channel",K486="Website online poll",K486="CAWI (Computer Assisted Web Interviewing)"))),1/(1-MIN(MAX(Formula!$C$33+(YEAR(D486)-Formula!$C$34)/(Formula!$C$35-Formula!$C$34)*(Formula!$C$32-Formula!$C$33),Formula!$C$33),Formula!$C$32)),1)</f>
        <v>1.119402985</v>
      </c>
      <c r="W486" s="17">
        <f t="shared" si="5"/>
        <v>1.119402985</v>
      </c>
    </row>
    <row r="487" ht="15.75" customHeight="1">
      <c r="A487" s="8" t="s">
        <v>1013</v>
      </c>
      <c r="B487" s="7" t="s">
        <v>1014</v>
      </c>
      <c r="C487" s="13" t="s">
        <v>1015</v>
      </c>
      <c r="D487" s="7" t="s">
        <v>101</v>
      </c>
      <c r="E487" s="8" t="s">
        <v>85</v>
      </c>
      <c r="F487" s="8" t="s">
        <v>318</v>
      </c>
      <c r="G487" s="7" t="s">
        <v>107</v>
      </c>
      <c r="H487" s="7" t="s">
        <v>101</v>
      </c>
      <c r="I487" s="8">
        <v>39900.0</v>
      </c>
      <c r="K487" s="8" t="s">
        <v>877</v>
      </c>
      <c r="L487" s="8" t="s">
        <v>322</v>
      </c>
      <c r="M487" s="8" t="s">
        <v>323</v>
      </c>
      <c r="N487" s="8">
        <v>68.0</v>
      </c>
      <c r="O487" s="14">
        <f t="shared" si="1"/>
        <v>44927</v>
      </c>
      <c r="P487" s="15">
        <f>IFERROR(VLOOKUP(K487,Formula!$A$11:$B$20,2,FALSE),Formula!$C$26)</f>
        <v>0.2</v>
      </c>
      <c r="Q487" s="15">
        <f>IF(AND(ISNUMBER(J487),J487&gt;0),1/J487,IF(AND(ISNUMBER(I487),I487&gt;0),SQRT(MIN(I487,Formula!$C$27))/Formula!$C$24,1/Formula!$C$25))</f>
        <v>0.7215375318</v>
      </c>
      <c r="R487" s="15">
        <f t="shared" si="2"/>
        <v>0.1443075064</v>
      </c>
      <c r="S487" s="15">
        <f>IF(H487&lt;&gt;"",EXP(-Formula!$C$28*(EOMONTH(H487,0)-H487)),EXP(-Formula!$C$28*(EOMONTH(D487,0)-D487)))</f>
        <v>0.904837418</v>
      </c>
      <c r="T487" s="15">
        <f t="shared" si="3"/>
        <v>0.2357022604</v>
      </c>
      <c r="U487" s="15">
        <f t="shared" si="4"/>
        <v>0.03077678293</v>
      </c>
      <c r="V487" s="16">
        <f>IF(AND(L487="Among all respondents",NOT(OR(K487="Online poll in Telegram channel",K487="Website online poll",K487="CAWI (Computer Assisted Web Interviewing)"))),1/(1-MIN(MAX(Formula!$C$33+(YEAR(D487)-Formula!$C$34)/(Formula!$C$35-Formula!$C$34)*(Formula!$C$32-Formula!$C$33),Formula!$C$33),Formula!$C$32)),1)</f>
        <v>1</v>
      </c>
      <c r="W487" s="17">
        <f t="shared" si="5"/>
        <v>68</v>
      </c>
    </row>
    <row r="488" ht="15.75" customHeight="1">
      <c r="A488" s="8" t="s">
        <v>1016</v>
      </c>
      <c r="B488" s="7" t="s">
        <v>1014</v>
      </c>
      <c r="C488" s="13" t="s">
        <v>1015</v>
      </c>
      <c r="D488" s="7" t="s">
        <v>101</v>
      </c>
      <c r="E488" s="8" t="s">
        <v>85</v>
      </c>
      <c r="F488" s="8" t="s">
        <v>318</v>
      </c>
      <c r="G488" s="7" t="s">
        <v>107</v>
      </c>
      <c r="H488" s="7" t="s">
        <v>101</v>
      </c>
      <c r="I488" s="8">
        <v>39900.0</v>
      </c>
      <c r="K488" s="8" t="s">
        <v>877</v>
      </c>
      <c r="L488" s="8" t="s">
        <v>322</v>
      </c>
      <c r="M488" s="8" t="s">
        <v>325</v>
      </c>
      <c r="N488" s="8">
        <v>9.0</v>
      </c>
      <c r="O488" s="14">
        <f t="shared" si="1"/>
        <v>44927</v>
      </c>
      <c r="P488" s="15">
        <f>IFERROR(VLOOKUP(K488,Formula!$A$11:$B$20,2,FALSE),Formula!$C$26)</f>
        <v>0.2</v>
      </c>
      <c r="Q488" s="15">
        <f>IF(AND(ISNUMBER(J488),J488&gt;0),1/J488,IF(AND(ISNUMBER(I488),I488&gt;0),SQRT(MIN(I488,Formula!$C$27))/Formula!$C$24,1/Formula!$C$25))</f>
        <v>0.7215375318</v>
      </c>
      <c r="R488" s="15">
        <f t="shared" si="2"/>
        <v>0.1443075064</v>
      </c>
      <c r="S488" s="15">
        <f>IF(H488&lt;&gt;"",EXP(-Formula!$C$28*(EOMONTH(H488,0)-H488)),EXP(-Formula!$C$28*(EOMONTH(D488,0)-D488)))</f>
        <v>0.904837418</v>
      </c>
      <c r="T488" s="15">
        <f t="shared" si="3"/>
        <v>0.2357022604</v>
      </c>
      <c r="U488" s="15">
        <f t="shared" si="4"/>
        <v>0.03077678293</v>
      </c>
      <c r="V488" s="16">
        <f>IF(AND(L488="Among all respondents",NOT(OR(K488="Online poll in Telegram channel",K488="Website online poll",K488="CAWI (Computer Assisted Web Interviewing)"))),1/(1-MIN(MAX(Formula!$C$33+(YEAR(D488)-Formula!$C$34)/(Formula!$C$35-Formula!$C$34)*(Formula!$C$32-Formula!$C$33),Formula!$C$33),Formula!$C$32)),1)</f>
        <v>1</v>
      </c>
      <c r="W488" s="17">
        <f t="shared" si="5"/>
        <v>9</v>
      </c>
    </row>
    <row r="489" ht="15.75" customHeight="1">
      <c r="A489" s="8" t="s">
        <v>1017</v>
      </c>
      <c r="B489" s="7" t="s">
        <v>1014</v>
      </c>
      <c r="C489" s="13" t="s">
        <v>1015</v>
      </c>
      <c r="D489" s="7" t="s">
        <v>101</v>
      </c>
      <c r="E489" s="8" t="s">
        <v>85</v>
      </c>
      <c r="F489" s="8" t="s">
        <v>318</v>
      </c>
      <c r="G489" s="7" t="s">
        <v>107</v>
      </c>
      <c r="H489" s="7" t="s">
        <v>101</v>
      </c>
      <c r="I489" s="8">
        <v>39900.0</v>
      </c>
      <c r="K489" s="8" t="s">
        <v>877</v>
      </c>
      <c r="L489" s="8" t="s">
        <v>322</v>
      </c>
      <c r="M489" s="8" t="s">
        <v>329</v>
      </c>
      <c r="N489" s="8">
        <v>7.0</v>
      </c>
      <c r="O489" s="14">
        <f t="shared" si="1"/>
        <v>44927</v>
      </c>
      <c r="P489" s="15">
        <f>IFERROR(VLOOKUP(K489,Formula!$A$11:$B$20,2,FALSE),Formula!$C$26)</f>
        <v>0.2</v>
      </c>
      <c r="Q489" s="15">
        <f>IF(AND(ISNUMBER(J489),J489&gt;0),1/J489,IF(AND(ISNUMBER(I489),I489&gt;0),SQRT(MIN(I489,Formula!$C$27))/Formula!$C$24,1/Formula!$C$25))</f>
        <v>0.7215375318</v>
      </c>
      <c r="R489" s="15">
        <f t="shared" si="2"/>
        <v>0.1443075064</v>
      </c>
      <c r="S489" s="15">
        <f>IF(H489&lt;&gt;"",EXP(-Formula!$C$28*(EOMONTH(H489,0)-H489)),EXP(-Formula!$C$28*(EOMONTH(D489,0)-D489)))</f>
        <v>0.904837418</v>
      </c>
      <c r="T489" s="15">
        <f t="shared" si="3"/>
        <v>0.2357022604</v>
      </c>
      <c r="U489" s="15">
        <f t="shared" si="4"/>
        <v>0.03077678293</v>
      </c>
      <c r="V489" s="16">
        <f>IF(AND(L489="Among all respondents",NOT(OR(K489="Online poll in Telegram channel",K489="Website online poll",K489="CAWI (Computer Assisted Web Interviewing)"))),1/(1-MIN(MAX(Formula!$C$33+(YEAR(D489)-Formula!$C$34)/(Formula!$C$35-Formula!$C$34)*(Formula!$C$32-Formula!$C$33),Formula!$C$33),Formula!$C$32)),1)</f>
        <v>1</v>
      </c>
      <c r="W489" s="17">
        <f t="shared" si="5"/>
        <v>7</v>
      </c>
    </row>
    <row r="490" ht="15.75" customHeight="1">
      <c r="A490" s="8" t="s">
        <v>1018</v>
      </c>
      <c r="B490" s="7" t="s">
        <v>1014</v>
      </c>
      <c r="C490" s="13" t="s">
        <v>1015</v>
      </c>
      <c r="D490" s="7" t="s">
        <v>101</v>
      </c>
      <c r="E490" s="8" t="s">
        <v>85</v>
      </c>
      <c r="F490" s="8" t="s">
        <v>318</v>
      </c>
      <c r="G490" s="7" t="s">
        <v>107</v>
      </c>
      <c r="H490" s="7" t="s">
        <v>101</v>
      </c>
      <c r="I490" s="8">
        <v>39900.0</v>
      </c>
      <c r="K490" s="8" t="s">
        <v>877</v>
      </c>
      <c r="L490" s="8" t="s">
        <v>322</v>
      </c>
      <c r="M490" s="8" t="s">
        <v>339</v>
      </c>
      <c r="N490" s="8">
        <v>2.0</v>
      </c>
      <c r="O490" s="14">
        <f t="shared" si="1"/>
        <v>44927</v>
      </c>
      <c r="P490" s="15">
        <f>IFERROR(VLOOKUP(K490,Formula!$A$11:$B$20,2,FALSE),Formula!$C$26)</f>
        <v>0.2</v>
      </c>
      <c r="Q490" s="15">
        <f>IF(AND(ISNUMBER(J490),J490&gt;0),1/J490,IF(AND(ISNUMBER(I490),I490&gt;0),SQRT(MIN(I490,Formula!$C$27))/Formula!$C$24,1/Formula!$C$25))</f>
        <v>0.7215375318</v>
      </c>
      <c r="R490" s="15">
        <f t="shared" si="2"/>
        <v>0.1443075064</v>
      </c>
      <c r="S490" s="15">
        <f>IF(H490&lt;&gt;"",EXP(-Formula!$C$28*(EOMONTH(H490,0)-H490)),EXP(-Formula!$C$28*(EOMONTH(D490,0)-D490)))</f>
        <v>0.904837418</v>
      </c>
      <c r="T490" s="15">
        <f t="shared" si="3"/>
        <v>0.2357022604</v>
      </c>
      <c r="U490" s="15">
        <f t="shared" si="4"/>
        <v>0.03077678293</v>
      </c>
      <c r="V490" s="16">
        <f>IF(AND(L490="Among all respondents",NOT(OR(K490="Online poll in Telegram channel",K490="Website online poll",K490="CAWI (Computer Assisted Web Interviewing)"))),1/(1-MIN(MAX(Formula!$C$33+(YEAR(D490)-Formula!$C$34)/(Formula!$C$35-Formula!$C$34)*(Formula!$C$32-Formula!$C$33),Formula!$C$33),Formula!$C$32)),1)</f>
        <v>1</v>
      </c>
      <c r="W490" s="17">
        <f t="shared" si="5"/>
        <v>2</v>
      </c>
    </row>
    <row r="491" ht="15.75" customHeight="1">
      <c r="A491" s="8" t="s">
        <v>1019</v>
      </c>
      <c r="B491" s="7" t="s">
        <v>1014</v>
      </c>
      <c r="C491" s="13" t="s">
        <v>1015</v>
      </c>
      <c r="D491" s="7" t="s">
        <v>101</v>
      </c>
      <c r="E491" s="8" t="s">
        <v>85</v>
      </c>
      <c r="F491" s="8" t="s">
        <v>318</v>
      </c>
      <c r="G491" s="7" t="s">
        <v>107</v>
      </c>
      <c r="H491" s="7" t="s">
        <v>101</v>
      </c>
      <c r="I491" s="8">
        <v>39900.0</v>
      </c>
      <c r="K491" s="8" t="s">
        <v>877</v>
      </c>
      <c r="L491" s="8" t="s">
        <v>322</v>
      </c>
      <c r="M491" s="8" t="s">
        <v>362</v>
      </c>
      <c r="N491" s="8">
        <v>2.0</v>
      </c>
      <c r="O491" s="14">
        <f t="shared" si="1"/>
        <v>44927</v>
      </c>
      <c r="P491" s="15">
        <f>IFERROR(VLOOKUP(K491,Formula!$A$11:$B$20,2,FALSE),Formula!$C$26)</f>
        <v>0.2</v>
      </c>
      <c r="Q491" s="15">
        <f>IF(AND(ISNUMBER(J491),J491&gt;0),1/J491,IF(AND(ISNUMBER(I491),I491&gt;0),SQRT(MIN(I491,Formula!$C$27))/Formula!$C$24,1/Formula!$C$25))</f>
        <v>0.7215375318</v>
      </c>
      <c r="R491" s="15">
        <f t="shared" si="2"/>
        <v>0.1443075064</v>
      </c>
      <c r="S491" s="15">
        <f>IF(H491&lt;&gt;"",EXP(-Formula!$C$28*(EOMONTH(H491,0)-H491)),EXP(-Formula!$C$28*(EOMONTH(D491,0)-D491)))</f>
        <v>0.904837418</v>
      </c>
      <c r="T491" s="15">
        <f t="shared" si="3"/>
        <v>0.2357022604</v>
      </c>
      <c r="U491" s="15">
        <f t="shared" si="4"/>
        <v>0.03077678293</v>
      </c>
      <c r="V491" s="16">
        <f>IF(AND(L491="Among all respondents",NOT(OR(K491="Online poll in Telegram channel",K491="Website online poll",K491="CAWI (Computer Assisted Web Interviewing)"))),1/(1-MIN(MAX(Formula!$C$33+(YEAR(D491)-Formula!$C$34)/(Formula!$C$35-Formula!$C$34)*(Formula!$C$32-Formula!$C$33),Formula!$C$33),Formula!$C$32)),1)</f>
        <v>1</v>
      </c>
      <c r="W491" s="17">
        <f t="shared" si="5"/>
        <v>2</v>
      </c>
    </row>
    <row r="492" ht="15.75" customHeight="1">
      <c r="A492" s="8" t="s">
        <v>1020</v>
      </c>
      <c r="B492" s="7" t="s">
        <v>1014</v>
      </c>
      <c r="C492" s="13" t="s">
        <v>1015</v>
      </c>
      <c r="D492" s="7" t="s">
        <v>101</v>
      </c>
      <c r="E492" s="8" t="s">
        <v>85</v>
      </c>
      <c r="F492" s="8" t="s">
        <v>318</v>
      </c>
      <c r="G492" s="7" t="s">
        <v>107</v>
      </c>
      <c r="H492" s="7" t="s">
        <v>101</v>
      </c>
      <c r="I492" s="8">
        <v>39900.0</v>
      </c>
      <c r="K492" s="8" t="s">
        <v>877</v>
      </c>
      <c r="L492" s="8" t="s">
        <v>322</v>
      </c>
      <c r="M492" s="8" t="s">
        <v>341</v>
      </c>
      <c r="N492" s="8">
        <v>1.0</v>
      </c>
      <c r="O492" s="14">
        <f t="shared" si="1"/>
        <v>44927</v>
      </c>
      <c r="P492" s="15">
        <f>IFERROR(VLOOKUP(K492,Formula!$A$11:$B$20,2,FALSE),Formula!$C$26)</f>
        <v>0.2</v>
      </c>
      <c r="Q492" s="15">
        <f>IF(AND(ISNUMBER(J492),J492&gt;0),1/J492,IF(AND(ISNUMBER(I492),I492&gt;0),SQRT(MIN(I492,Formula!$C$27))/Formula!$C$24,1/Formula!$C$25))</f>
        <v>0.7215375318</v>
      </c>
      <c r="R492" s="15">
        <f t="shared" si="2"/>
        <v>0.1443075064</v>
      </c>
      <c r="S492" s="15">
        <f>IF(H492&lt;&gt;"",EXP(-Formula!$C$28*(EOMONTH(H492,0)-H492)),EXP(-Formula!$C$28*(EOMONTH(D492,0)-D492)))</f>
        <v>0.904837418</v>
      </c>
      <c r="T492" s="15">
        <f t="shared" si="3"/>
        <v>0.2357022604</v>
      </c>
      <c r="U492" s="15">
        <f t="shared" si="4"/>
        <v>0.03077678293</v>
      </c>
      <c r="V492" s="16">
        <f>IF(AND(L492="Among all respondents",NOT(OR(K492="Online poll in Telegram channel",K492="Website online poll",K492="CAWI (Computer Assisted Web Interviewing)"))),1/(1-MIN(MAX(Formula!$C$33+(YEAR(D492)-Formula!$C$34)/(Formula!$C$35-Formula!$C$34)*(Formula!$C$32-Formula!$C$33),Formula!$C$33),Formula!$C$32)),1)</f>
        <v>1</v>
      </c>
      <c r="W492" s="17">
        <f t="shared" si="5"/>
        <v>1</v>
      </c>
    </row>
    <row r="493" ht="15.75" customHeight="1">
      <c r="A493" s="8" t="s">
        <v>1021</v>
      </c>
      <c r="B493" s="7" t="s">
        <v>1014</v>
      </c>
      <c r="C493" s="13" t="s">
        <v>1015</v>
      </c>
      <c r="D493" s="7" t="s">
        <v>101</v>
      </c>
      <c r="E493" s="8" t="s">
        <v>85</v>
      </c>
      <c r="F493" s="8" t="s">
        <v>318</v>
      </c>
      <c r="G493" s="7" t="s">
        <v>107</v>
      </c>
      <c r="H493" s="7" t="s">
        <v>101</v>
      </c>
      <c r="I493" s="8">
        <v>39900.0</v>
      </c>
      <c r="K493" s="8" t="s">
        <v>877</v>
      </c>
      <c r="L493" s="8" t="s">
        <v>322</v>
      </c>
      <c r="M493" s="8" t="s">
        <v>333</v>
      </c>
      <c r="N493" s="8">
        <v>1.0</v>
      </c>
      <c r="O493" s="14">
        <f t="shared" si="1"/>
        <v>44927</v>
      </c>
      <c r="P493" s="15">
        <f>IFERROR(VLOOKUP(K493,Formula!$A$11:$B$20,2,FALSE),Formula!$C$26)</f>
        <v>0.2</v>
      </c>
      <c r="Q493" s="15">
        <f>IF(AND(ISNUMBER(J493),J493&gt;0),1/J493,IF(AND(ISNUMBER(I493),I493&gt;0),SQRT(MIN(I493,Formula!$C$27))/Formula!$C$24,1/Formula!$C$25))</f>
        <v>0.7215375318</v>
      </c>
      <c r="R493" s="15">
        <f t="shared" si="2"/>
        <v>0.1443075064</v>
      </c>
      <c r="S493" s="15">
        <f>IF(H493&lt;&gt;"",EXP(-Formula!$C$28*(EOMONTH(H493,0)-H493)),EXP(-Formula!$C$28*(EOMONTH(D493,0)-D493)))</f>
        <v>0.904837418</v>
      </c>
      <c r="T493" s="15">
        <f t="shared" si="3"/>
        <v>0.2357022604</v>
      </c>
      <c r="U493" s="15">
        <f t="shared" si="4"/>
        <v>0.03077678293</v>
      </c>
      <c r="V493" s="16">
        <f>IF(AND(L493="Among all respondents",NOT(OR(K493="Online poll in Telegram channel",K493="Website online poll",K493="CAWI (Computer Assisted Web Interviewing)"))),1/(1-MIN(MAX(Formula!$C$33+(YEAR(D493)-Formula!$C$34)/(Formula!$C$35-Formula!$C$34)*(Formula!$C$32-Formula!$C$33),Formula!$C$33),Formula!$C$32)),1)</f>
        <v>1</v>
      </c>
      <c r="W493" s="17">
        <f t="shared" si="5"/>
        <v>1</v>
      </c>
    </row>
    <row r="494" ht="15.75" customHeight="1">
      <c r="A494" s="8" t="s">
        <v>1022</v>
      </c>
      <c r="B494" s="7" t="s">
        <v>1014</v>
      </c>
      <c r="C494" s="13" t="s">
        <v>1015</v>
      </c>
      <c r="D494" s="7" t="s">
        <v>101</v>
      </c>
      <c r="E494" s="8" t="s">
        <v>85</v>
      </c>
      <c r="F494" s="8" t="s">
        <v>318</v>
      </c>
      <c r="G494" s="7" t="s">
        <v>107</v>
      </c>
      <c r="H494" s="7" t="s">
        <v>101</v>
      </c>
      <c r="I494" s="8">
        <v>39900.0</v>
      </c>
      <c r="K494" s="8" t="s">
        <v>877</v>
      </c>
      <c r="L494" s="8" t="s">
        <v>322</v>
      </c>
      <c r="M494" s="8" t="s">
        <v>337</v>
      </c>
      <c r="N494" s="8">
        <v>1.0</v>
      </c>
      <c r="O494" s="14">
        <f t="shared" si="1"/>
        <v>44927</v>
      </c>
      <c r="P494" s="15">
        <f>IFERROR(VLOOKUP(K494,Formula!$A$11:$B$20,2,FALSE),Formula!$C$26)</f>
        <v>0.2</v>
      </c>
      <c r="Q494" s="15">
        <f>IF(AND(ISNUMBER(J494),J494&gt;0),1/J494,IF(AND(ISNUMBER(I494),I494&gt;0),SQRT(MIN(I494,Formula!$C$27))/Formula!$C$24,1/Formula!$C$25))</f>
        <v>0.7215375318</v>
      </c>
      <c r="R494" s="15">
        <f t="shared" si="2"/>
        <v>0.1443075064</v>
      </c>
      <c r="S494" s="15">
        <f>IF(H494&lt;&gt;"",EXP(-Formula!$C$28*(EOMONTH(H494,0)-H494)),EXP(-Formula!$C$28*(EOMONTH(D494,0)-D494)))</f>
        <v>0.904837418</v>
      </c>
      <c r="T494" s="15">
        <f t="shared" si="3"/>
        <v>0.2357022604</v>
      </c>
      <c r="U494" s="15">
        <f t="shared" si="4"/>
        <v>0.03077678293</v>
      </c>
      <c r="V494" s="16">
        <f>IF(AND(L494="Among all respondents",NOT(OR(K494="Online poll in Telegram channel",K494="Website online poll",K494="CAWI (Computer Assisted Web Interviewing)"))),1/(1-MIN(MAX(Formula!$C$33+(YEAR(D494)-Formula!$C$34)/(Formula!$C$35-Formula!$C$34)*(Formula!$C$32-Formula!$C$33),Formula!$C$33),Formula!$C$32)),1)</f>
        <v>1</v>
      </c>
      <c r="W494" s="17">
        <f t="shared" si="5"/>
        <v>1</v>
      </c>
    </row>
    <row r="495" ht="15.75" customHeight="1">
      <c r="A495" s="8" t="s">
        <v>1023</v>
      </c>
      <c r="B495" s="7" t="s">
        <v>1014</v>
      </c>
      <c r="C495" s="13" t="s">
        <v>1015</v>
      </c>
      <c r="D495" s="7" t="s">
        <v>101</v>
      </c>
      <c r="E495" s="8" t="s">
        <v>85</v>
      </c>
      <c r="F495" s="8" t="s">
        <v>318</v>
      </c>
      <c r="G495" s="7" t="s">
        <v>107</v>
      </c>
      <c r="H495" s="7" t="s">
        <v>101</v>
      </c>
      <c r="I495" s="8">
        <v>39900.0</v>
      </c>
      <c r="K495" s="8" t="s">
        <v>877</v>
      </c>
      <c r="L495" s="8" t="s">
        <v>322</v>
      </c>
      <c r="M495" s="8" t="s">
        <v>828</v>
      </c>
      <c r="N495" s="8">
        <v>1.0</v>
      </c>
      <c r="O495" s="14">
        <f t="shared" si="1"/>
        <v>44927</v>
      </c>
      <c r="P495" s="15">
        <f>IFERROR(VLOOKUP(K495,Formula!$A$11:$B$20,2,FALSE),Formula!$C$26)</f>
        <v>0.2</v>
      </c>
      <c r="Q495" s="15">
        <f>IF(AND(ISNUMBER(J495),J495&gt;0),1/J495,IF(AND(ISNUMBER(I495),I495&gt;0),SQRT(MIN(I495,Formula!$C$27))/Formula!$C$24,1/Formula!$C$25))</f>
        <v>0.7215375318</v>
      </c>
      <c r="R495" s="15">
        <f t="shared" si="2"/>
        <v>0.1443075064</v>
      </c>
      <c r="S495" s="15">
        <f>IF(H495&lt;&gt;"",EXP(-Formula!$C$28*(EOMONTH(H495,0)-H495)),EXP(-Formula!$C$28*(EOMONTH(D495,0)-D495)))</f>
        <v>0.904837418</v>
      </c>
      <c r="T495" s="15">
        <f t="shared" si="3"/>
        <v>0.2357022604</v>
      </c>
      <c r="U495" s="15">
        <f t="shared" si="4"/>
        <v>0.03077678293</v>
      </c>
      <c r="V495" s="16">
        <f>IF(AND(L495="Among all respondents",NOT(OR(K495="Online poll in Telegram channel",K495="Website online poll",K495="CAWI (Computer Assisted Web Interviewing)"))),1/(1-MIN(MAX(Formula!$C$33+(YEAR(D495)-Formula!$C$34)/(Formula!$C$35-Formula!$C$34)*(Formula!$C$32-Formula!$C$33),Formula!$C$33),Formula!$C$32)),1)</f>
        <v>1</v>
      </c>
      <c r="W495" s="17">
        <f t="shared" si="5"/>
        <v>1</v>
      </c>
    </row>
    <row r="496" ht="15.75" customHeight="1">
      <c r="A496" s="8" t="s">
        <v>1024</v>
      </c>
      <c r="B496" s="7" t="s">
        <v>1025</v>
      </c>
      <c r="C496" s="13" t="s">
        <v>1026</v>
      </c>
      <c r="D496" s="7" t="s">
        <v>104</v>
      </c>
      <c r="E496" s="8" t="s">
        <v>106</v>
      </c>
      <c r="F496" s="8" t="s">
        <v>318</v>
      </c>
      <c r="G496" s="7" t="s">
        <v>1027</v>
      </c>
      <c r="H496" s="7" t="s">
        <v>1028</v>
      </c>
      <c r="I496" s="8">
        <v>2017.0</v>
      </c>
      <c r="J496" s="8">
        <v>2.3</v>
      </c>
      <c r="K496" s="8" t="s">
        <v>583</v>
      </c>
      <c r="L496" s="8" t="s">
        <v>373</v>
      </c>
      <c r="M496" s="8" t="s">
        <v>323</v>
      </c>
      <c r="N496" s="8">
        <v>59.0</v>
      </c>
      <c r="O496" s="14">
        <f t="shared" si="1"/>
        <v>44927</v>
      </c>
      <c r="P496" s="15">
        <f>IFERROR(VLOOKUP(K496,Formula!$A$11:$B$20,2,FALSE),Formula!$C$26)</f>
        <v>0.95</v>
      </c>
      <c r="Q496" s="15">
        <f>IF(AND(ISNUMBER(J496),J496&gt;0),1/J496,IF(AND(ISNUMBER(I496),I496&gt;0),SQRT(MIN(I496,Formula!$C$27))/Formula!$C$24,1/Formula!$C$25))</f>
        <v>0.4347826087</v>
      </c>
      <c r="R496" s="15">
        <f t="shared" si="2"/>
        <v>0.4130434783</v>
      </c>
      <c r="S496" s="15">
        <f>IF(H496&lt;&gt;"",EXP(-Formula!$C$28*(EOMONTH(H496,0)-H496)),EXP(-Formula!$C$28*(EOMONTH(D496,0)-D496)))</f>
        <v>0.2345702881</v>
      </c>
      <c r="T496" s="15">
        <f t="shared" si="3"/>
        <v>0.377964473</v>
      </c>
      <c r="U496" s="15">
        <f t="shared" si="4"/>
        <v>0.03662011894</v>
      </c>
      <c r="V496" s="16">
        <f>IF(AND(L496="Among all respondents",NOT(OR(K496="Online poll in Telegram channel",K496="Website online poll",K496="CAWI (Computer Assisted Web Interviewing)"))),1/(1-MIN(MAX(Formula!$C$33+(YEAR(D496)-Formula!$C$34)/(Formula!$C$35-Formula!$C$34)*(Formula!$C$32-Formula!$C$33),Formula!$C$33),Formula!$C$32)),1)</f>
        <v>1.119402985</v>
      </c>
      <c r="W496" s="17">
        <f t="shared" si="5"/>
        <v>66.04477612</v>
      </c>
    </row>
    <row r="497" ht="15.75" customHeight="1">
      <c r="A497" s="8" t="s">
        <v>1029</v>
      </c>
      <c r="B497" s="7" t="s">
        <v>1025</v>
      </c>
      <c r="C497" s="13" t="s">
        <v>1026</v>
      </c>
      <c r="D497" s="7" t="s">
        <v>104</v>
      </c>
      <c r="E497" s="8" t="s">
        <v>106</v>
      </c>
      <c r="F497" s="8" t="s">
        <v>318</v>
      </c>
      <c r="G497" s="7" t="s">
        <v>1027</v>
      </c>
      <c r="H497" s="7" t="s">
        <v>1028</v>
      </c>
      <c r="I497" s="8">
        <v>2017.0</v>
      </c>
      <c r="J497" s="8">
        <v>2.3</v>
      </c>
      <c r="K497" s="8" t="s">
        <v>583</v>
      </c>
      <c r="L497" s="8" t="s">
        <v>373</v>
      </c>
      <c r="M497" s="8" t="s">
        <v>325</v>
      </c>
      <c r="N497" s="8">
        <v>10.0</v>
      </c>
      <c r="O497" s="14">
        <f t="shared" si="1"/>
        <v>44927</v>
      </c>
      <c r="P497" s="15">
        <f>IFERROR(VLOOKUP(K497,Formula!$A$11:$B$20,2,FALSE),Formula!$C$26)</f>
        <v>0.95</v>
      </c>
      <c r="Q497" s="15">
        <f>IF(AND(ISNUMBER(J497),J497&gt;0),1/J497,IF(AND(ISNUMBER(I497),I497&gt;0),SQRT(MIN(I497,Formula!$C$27))/Formula!$C$24,1/Formula!$C$25))</f>
        <v>0.4347826087</v>
      </c>
      <c r="R497" s="15">
        <f t="shared" si="2"/>
        <v>0.4130434783</v>
      </c>
      <c r="S497" s="15">
        <f>IF(H497&lt;&gt;"",EXP(-Formula!$C$28*(EOMONTH(H497,0)-H497)),EXP(-Formula!$C$28*(EOMONTH(D497,0)-D497)))</f>
        <v>0.2345702881</v>
      </c>
      <c r="T497" s="15">
        <f t="shared" si="3"/>
        <v>0.377964473</v>
      </c>
      <c r="U497" s="15">
        <f t="shared" si="4"/>
        <v>0.03662011894</v>
      </c>
      <c r="V497" s="16">
        <f>IF(AND(L497="Among all respondents",NOT(OR(K497="Online poll in Telegram channel",K497="Website online poll",K497="CAWI (Computer Assisted Web Interviewing)"))),1/(1-MIN(MAX(Formula!$C$33+(YEAR(D497)-Formula!$C$34)/(Formula!$C$35-Formula!$C$34)*(Formula!$C$32-Formula!$C$33),Formula!$C$33),Formula!$C$32)),1)</f>
        <v>1.119402985</v>
      </c>
      <c r="W497" s="17">
        <f t="shared" si="5"/>
        <v>11.19402985</v>
      </c>
    </row>
    <row r="498" ht="15.75" customHeight="1">
      <c r="A498" s="8" t="s">
        <v>1030</v>
      </c>
      <c r="B498" s="7" t="s">
        <v>1025</v>
      </c>
      <c r="C498" s="13" t="s">
        <v>1026</v>
      </c>
      <c r="D498" s="7" t="s">
        <v>104</v>
      </c>
      <c r="E498" s="8" t="s">
        <v>106</v>
      </c>
      <c r="F498" s="8" t="s">
        <v>318</v>
      </c>
      <c r="G498" s="7" t="s">
        <v>1027</v>
      </c>
      <c r="H498" s="7" t="s">
        <v>1028</v>
      </c>
      <c r="I498" s="8">
        <v>2017.0</v>
      </c>
      <c r="J498" s="8">
        <v>2.3</v>
      </c>
      <c r="K498" s="8" t="s">
        <v>583</v>
      </c>
      <c r="L498" s="8" t="s">
        <v>373</v>
      </c>
      <c r="M498" s="8" t="s">
        <v>362</v>
      </c>
      <c r="N498" s="8">
        <v>2.4</v>
      </c>
      <c r="O498" s="14">
        <f t="shared" si="1"/>
        <v>44927</v>
      </c>
      <c r="P498" s="15">
        <f>IFERROR(VLOOKUP(K498,Formula!$A$11:$B$20,2,FALSE),Formula!$C$26)</f>
        <v>0.95</v>
      </c>
      <c r="Q498" s="15">
        <f>IF(AND(ISNUMBER(J498),J498&gt;0),1/J498,IF(AND(ISNUMBER(I498),I498&gt;0),SQRT(MIN(I498,Formula!$C$27))/Formula!$C$24,1/Formula!$C$25))</f>
        <v>0.4347826087</v>
      </c>
      <c r="R498" s="15">
        <f t="shared" si="2"/>
        <v>0.4130434783</v>
      </c>
      <c r="S498" s="15">
        <f>IF(H498&lt;&gt;"",EXP(-Formula!$C$28*(EOMONTH(H498,0)-H498)),EXP(-Formula!$C$28*(EOMONTH(D498,0)-D498)))</f>
        <v>0.2345702881</v>
      </c>
      <c r="T498" s="15">
        <f t="shared" si="3"/>
        <v>0.377964473</v>
      </c>
      <c r="U498" s="15">
        <f t="shared" si="4"/>
        <v>0.03662011894</v>
      </c>
      <c r="V498" s="16">
        <f>IF(AND(L498="Among all respondents",NOT(OR(K498="Online poll in Telegram channel",K498="Website online poll",K498="CAWI (Computer Assisted Web Interviewing)"))),1/(1-MIN(MAX(Formula!$C$33+(YEAR(D498)-Formula!$C$34)/(Formula!$C$35-Formula!$C$34)*(Formula!$C$32-Formula!$C$33),Formula!$C$33),Formula!$C$32)),1)</f>
        <v>1.119402985</v>
      </c>
      <c r="W498" s="17">
        <f t="shared" si="5"/>
        <v>2.686567164</v>
      </c>
    </row>
    <row r="499" ht="15.75" customHeight="1">
      <c r="A499" s="8" t="s">
        <v>1031</v>
      </c>
      <c r="B499" s="7" t="s">
        <v>1025</v>
      </c>
      <c r="C499" s="13" t="s">
        <v>1026</v>
      </c>
      <c r="D499" s="7" t="s">
        <v>104</v>
      </c>
      <c r="E499" s="8" t="s">
        <v>106</v>
      </c>
      <c r="F499" s="8" t="s">
        <v>318</v>
      </c>
      <c r="G499" s="7" t="s">
        <v>1027</v>
      </c>
      <c r="H499" s="7" t="s">
        <v>1028</v>
      </c>
      <c r="I499" s="8">
        <v>2017.0</v>
      </c>
      <c r="J499" s="8">
        <v>2.3</v>
      </c>
      <c r="K499" s="8" t="s">
        <v>583</v>
      </c>
      <c r="L499" s="8" t="s">
        <v>373</v>
      </c>
      <c r="M499" s="8" t="s">
        <v>329</v>
      </c>
      <c r="N499" s="8">
        <v>2.4</v>
      </c>
      <c r="O499" s="14">
        <f t="shared" si="1"/>
        <v>44927</v>
      </c>
      <c r="P499" s="15">
        <f>IFERROR(VLOOKUP(K499,Formula!$A$11:$B$20,2,FALSE),Formula!$C$26)</f>
        <v>0.95</v>
      </c>
      <c r="Q499" s="15">
        <f>IF(AND(ISNUMBER(J499),J499&gt;0),1/J499,IF(AND(ISNUMBER(I499),I499&gt;0),SQRT(MIN(I499,Formula!$C$27))/Formula!$C$24,1/Formula!$C$25))</f>
        <v>0.4347826087</v>
      </c>
      <c r="R499" s="15">
        <f t="shared" si="2"/>
        <v>0.4130434783</v>
      </c>
      <c r="S499" s="15">
        <f>IF(H499&lt;&gt;"",EXP(-Formula!$C$28*(EOMONTH(H499,0)-H499)),EXP(-Formula!$C$28*(EOMONTH(D499,0)-D499)))</f>
        <v>0.2345702881</v>
      </c>
      <c r="T499" s="15">
        <f t="shared" si="3"/>
        <v>0.377964473</v>
      </c>
      <c r="U499" s="15">
        <f t="shared" si="4"/>
        <v>0.03662011894</v>
      </c>
      <c r="V499" s="16">
        <f>IF(AND(L499="Among all respondents",NOT(OR(K499="Online poll in Telegram channel",K499="Website online poll",K499="CAWI (Computer Assisted Web Interviewing)"))),1/(1-MIN(MAX(Formula!$C$33+(YEAR(D499)-Formula!$C$34)/(Formula!$C$35-Formula!$C$34)*(Formula!$C$32-Formula!$C$33),Formula!$C$33),Formula!$C$32)),1)</f>
        <v>1.119402985</v>
      </c>
      <c r="W499" s="17">
        <f t="shared" si="5"/>
        <v>2.686567164</v>
      </c>
    </row>
    <row r="500" ht="15.75" customHeight="1">
      <c r="A500" s="8" t="s">
        <v>1032</v>
      </c>
      <c r="B500" s="7" t="s">
        <v>1025</v>
      </c>
      <c r="C500" s="13" t="s">
        <v>1026</v>
      </c>
      <c r="D500" s="7" t="s">
        <v>104</v>
      </c>
      <c r="E500" s="8" t="s">
        <v>106</v>
      </c>
      <c r="F500" s="8" t="s">
        <v>318</v>
      </c>
      <c r="G500" s="7" t="s">
        <v>1027</v>
      </c>
      <c r="H500" s="7" t="s">
        <v>1028</v>
      </c>
      <c r="I500" s="8">
        <v>2017.0</v>
      </c>
      <c r="J500" s="8">
        <v>2.3</v>
      </c>
      <c r="K500" s="8" t="s">
        <v>583</v>
      </c>
      <c r="L500" s="8" t="s">
        <v>373</v>
      </c>
      <c r="M500" s="8" t="s">
        <v>938</v>
      </c>
      <c r="N500" s="8">
        <v>1.7</v>
      </c>
      <c r="O500" s="14">
        <f t="shared" si="1"/>
        <v>44927</v>
      </c>
      <c r="P500" s="15">
        <f>IFERROR(VLOOKUP(K500,Formula!$A$11:$B$20,2,FALSE),Formula!$C$26)</f>
        <v>0.95</v>
      </c>
      <c r="Q500" s="15">
        <f>IF(AND(ISNUMBER(J500),J500&gt;0),1/J500,IF(AND(ISNUMBER(I500),I500&gt;0),SQRT(MIN(I500,Formula!$C$27))/Formula!$C$24,1/Formula!$C$25))</f>
        <v>0.4347826087</v>
      </c>
      <c r="R500" s="15">
        <f t="shared" si="2"/>
        <v>0.4130434783</v>
      </c>
      <c r="S500" s="15">
        <f>IF(H500&lt;&gt;"",EXP(-Formula!$C$28*(EOMONTH(H500,0)-H500)),EXP(-Formula!$C$28*(EOMONTH(D500,0)-D500)))</f>
        <v>0.2345702881</v>
      </c>
      <c r="T500" s="15">
        <f t="shared" si="3"/>
        <v>0.377964473</v>
      </c>
      <c r="U500" s="15">
        <f t="shared" si="4"/>
        <v>0.03662011894</v>
      </c>
      <c r="V500" s="16">
        <f>IF(AND(L500="Among all respondents",NOT(OR(K500="Online poll in Telegram channel",K500="Website online poll",K500="CAWI (Computer Assisted Web Interviewing)"))),1/(1-MIN(MAX(Formula!$C$33+(YEAR(D500)-Formula!$C$34)/(Formula!$C$35-Formula!$C$34)*(Formula!$C$32-Formula!$C$33),Formula!$C$33),Formula!$C$32)),1)</f>
        <v>1.119402985</v>
      </c>
      <c r="W500" s="17">
        <f t="shared" si="5"/>
        <v>1.902985075</v>
      </c>
    </row>
    <row r="501" ht="15.75" customHeight="1">
      <c r="A501" s="8" t="s">
        <v>1033</v>
      </c>
      <c r="B501" s="7" t="s">
        <v>1025</v>
      </c>
      <c r="C501" s="13" t="s">
        <v>1026</v>
      </c>
      <c r="D501" s="7" t="s">
        <v>104</v>
      </c>
      <c r="E501" s="8" t="s">
        <v>106</v>
      </c>
      <c r="F501" s="8" t="s">
        <v>318</v>
      </c>
      <c r="G501" s="7" t="s">
        <v>1027</v>
      </c>
      <c r="H501" s="7" t="s">
        <v>1028</v>
      </c>
      <c r="I501" s="8">
        <v>2017.0</v>
      </c>
      <c r="J501" s="8">
        <v>2.3</v>
      </c>
      <c r="K501" s="8" t="s">
        <v>583</v>
      </c>
      <c r="L501" s="8" t="s">
        <v>373</v>
      </c>
      <c r="M501" s="8" t="s">
        <v>932</v>
      </c>
      <c r="N501" s="8">
        <v>1.1</v>
      </c>
      <c r="O501" s="14">
        <f t="shared" si="1"/>
        <v>44927</v>
      </c>
      <c r="P501" s="15">
        <f>IFERROR(VLOOKUP(K501,Formula!$A$11:$B$20,2,FALSE),Formula!$C$26)</f>
        <v>0.95</v>
      </c>
      <c r="Q501" s="15">
        <f>IF(AND(ISNUMBER(J501),J501&gt;0),1/J501,IF(AND(ISNUMBER(I501),I501&gt;0),SQRT(MIN(I501,Formula!$C$27))/Formula!$C$24,1/Formula!$C$25))</f>
        <v>0.4347826087</v>
      </c>
      <c r="R501" s="15">
        <f t="shared" si="2"/>
        <v>0.4130434783</v>
      </c>
      <c r="S501" s="15">
        <f>IF(H501&lt;&gt;"",EXP(-Formula!$C$28*(EOMONTH(H501,0)-H501)),EXP(-Formula!$C$28*(EOMONTH(D501,0)-D501)))</f>
        <v>0.2345702881</v>
      </c>
      <c r="T501" s="15">
        <f t="shared" si="3"/>
        <v>0.377964473</v>
      </c>
      <c r="U501" s="15">
        <f t="shared" si="4"/>
        <v>0.03662011894</v>
      </c>
      <c r="V501" s="16">
        <f>IF(AND(L501="Among all respondents",NOT(OR(K501="Online poll in Telegram channel",K501="Website online poll",K501="CAWI (Computer Assisted Web Interviewing)"))),1/(1-MIN(MAX(Formula!$C$33+(YEAR(D501)-Formula!$C$34)/(Formula!$C$35-Formula!$C$34)*(Formula!$C$32-Formula!$C$33),Formula!$C$33),Formula!$C$32)),1)</f>
        <v>1.119402985</v>
      </c>
      <c r="W501" s="17">
        <f t="shared" si="5"/>
        <v>1.231343284</v>
      </c>
    </row>
    <row r="502" ht="15.75" customHeight="1">
      <c r="A502" s="8" t="s">
        <v>1034</v>
      </c>
      <c r="B502" s="7" t="s">
        <v>1025</v>
      </c>
      <c r="C502" s="13" t="s">
        <v>1026</v>
      </c>
      <c r="D502" s="7" t="s">
        <v>104</v>
      </c>
      <c r="E502" s="8" t="s">
        <v>106</v>
      </c>
      <c r="F502" s="8" t="s">
        <v>318</v>
      </c>
      <c r="G502" s="7" t="s">
        <v>1027</v>
      </c>
      <c r="H502" s="7" t="s">
        <v>1028</v>
      </c>
      <c r="I502" s="8">
        <v>2017.0</v>
      </c>
      <c r="J502" s="8">
        <v>2.3</v>
      </c>
      <c r="K502" s="8" t="s">
        <v>583</v>
      </c>
      <c r="L502" s="8" t="s">
        <v>373</v>
      </c>
      <c r="M502" s="8" t="s">
        <v>339</v>
      </c>
      <c r="N502" s="8">
        <v>1.1</v>
      </c>
      <c r="O502" s="14">
        <f t="shared" si="1"/>
        <v>44927</v>
      </c>
      <c r="P502" s="15">
        <f>IFERROR(VLOOKUP(K502,Formula!$A$11:$B$20,2,FALSE),Formula!$C$26)</f>
        <v>0.95</v>
      </c>
      <c r="Q502" s="15">
        <f>IF(AND(ISNUMBER(J502),J502&gt;0),1/J502,IF(AND(ISNUMBER(I502),I502&gt;0),SQRT(MIN(I502,Formula!$C$27))/Formula!$C$24,1/Formula!$C$25))</f>
        <v>0.4347826087</v>
      </c>
      <c r="R502" s="15">
        <f t="shared" si="2"/>
        <v>0.4130434783</v>
      </c>
      <c r="S502" s="15">
        <f>IF(H502&lt;&gt;"",EXP(-Formula!$C$28*(EOMONTH(H502,0)-H502)),EXP(-Formula!$C$28*(EOMONTH(D502,0)-D502)))</f>
        <v>0.2345702881</v>
      </c>
      <c r="T502" s="15">
        <f t="shared" si="3"/>
        <v>0.377964473</v>
      </c>
      <c r="U502" s="15">
        <f t="shared" si="4"/>
        <v>0.03662011894</v>
      </c>
      <c r="V502" s="16">
        <f>IF(AND(L502="Among all respondents",NOT(OR(K502="Online poll in Telegram channel",K502="Website online poll",K502="CAWI (Computer Assisted Web Interviewing)"))),1/(1-MIN(MAX(Formula!$C$33+(YEAR(D502)-Formula!$C$34)/(Formula!$C$35-Formula!$C$34)*(Formula!$C$32-Formula!$C$33),Formula!$C$33),Formula!$C$32)),1)</f>
        <v>1.119402985</v>
      </c>
      <c r="W502" s="17">
        <f t="shared" si="5"/>
        <v>1.231343284</v>
      </c>
    </row>
    <row r="503" ht="15.75" customHeight="1">
      <c r="A503" s="8" t="s">
        <v>1035</v>
      </c>
      <c r="B503" s="7" t="s">
        <v>1036</v>
      </c>
      <c r="C503" s="13" t="s">
        <v>1037</v>
      </c>
      <c r="D503" s="7" t="s">
        <v>107</v>
      </c>
      <c r="E503" s="8" t="s">
        <v>85</v>
      </c>
      <c r="F503" s="8" t="s">
        <v>318</v>
      </c>
      <c r="G503" s="7" t="s">
        <v>1038</v>
      </c>
      <c r="H503" s="7" t="s">
        <v>107</v>
      </c>
      <c r="I503" s="8">
        <v>58200.0</v>
      </c>
      <c r="K503" s="8" t="s">
        <v>877</v>
      </c>
      <c r="L503" s="8" t="s">
        <v>322</v>
      </c>
      <c r="M503" s="8" t="s">
        <v>323</v>
      </c>
      <c r="N503" s="8">
        <v>67.0</v>
      </c>
      <c r="O503" s="14">
        <f t="shared" si="1"/>
        <v>44927</v>
      </c>
      <c r="P503" s="15">
        <f>IFERROR(VLOOKUP(K503,Formula!$A$11:$B$20,2,FALSE),Formula!$C$26)</f>
        <v>0.2</v>
      </c>
      <c r="Q503" s="15">
        <f>IF(AND(ISNUMBER(J503),J503&gt;0),1/J503,IF(AND(ISNUMBER(I503),I503&gt;0),SQRT(MIN(I503,Formula!$C$27))/Formula!$C$24,1/Formula!$C$25))</f>
        <v>0.7215375318</v>
      </c>
      <c r="R503" s="15">
        <f t="shared" si="2"/>
        <v>0.1443075064</v>
      </c>
      <c r="S503" s="15">
        <f>IF(H503&lt;&gt;"",EXP(-Formula!$C$28*(EOMONTH(H503,0)-H503)),EXP(-Formula!$C$28*(EOMONTH(D503,0)-D503)))</f>
        <v>0.2592402606</v>
      </c>
      <c r="T503" s="15">
        <f t="shared" si="3"/>
        <v>0.2357022604</v>
      </c>
      <c r="U503" s="15">
        <f t="shared" si="4"/>
        <v>0.00881769594</v>
      </c>
      <c r="V503" s="16">
        <f>IF(AND(L503="Among all respondents",NOT(OR(K503="Online poll in Telegram channel",K503="Website online poll",K503="CAWI (Computer Assisted Web Interviewing)"))),1/(1-MIN(MAX(Formula!$C$33+(YEAR(D503)-Formula!$C$34)/(Formula!$C$35-Formula!$C$34)*(Formula!$C$32-Formula!$C$33),Formula!$C$33),Formula!$C$32)),1)</f>
        <v>1</v>
      </c>
      <c r="W503" s="17">
        <f t="shared" si="5"/>
        <v>67</v>
      </c>
    </row>
    <row r="504" ht="15.75" customHeight="1">
      <c r="A504" s="8" t="s">
        <v>1039</v>
      </c>
      <c r="B504" s="7" t="s">
        <v>1036</v>
      </c>
      <c r="C504" s="13" t="s">
        <v>1037</v>
      </c>
      <c r="D504" s="7" t="s">
        <v>107</v>
      </c>
      <c r="E504" s="8" t="s">
        <v>85</v>
      </c>
      <c r="F504" s="8" t="s">
        <v>318</v>
      </c>
      <c r="G504" s="7" t="s">
        <v>1038</v>
      </c>
      <c r="H504" s="7" t="s">
        <v>107</v>
      </c>
      <c r="I504" s="8">
        <v>58200.0</v>
      </c>
      <c r="K504" s="8" t="s">
        <v>877</v>
      </c>
      <c r="L504" s="8" t="s">
        <v>322</v>
      </c>
      <c r="M504" s="8" t="s">
        <v>325</v>
      </c>
      <c r="N504" s="8">
        <v>10.0</v>
      </c>
      <c r="O504" s="14">
        <f t="shared" si="1"/>
        <v>44927</v>
      </c>
      <c r="P504" s="15">
        <f>IFERROR(VLOOKUP(K504,Formula!$A$11:$B$20,2,FALSE),Formula!$C$26)</f>
        <v>0.2</v>
      </c>
      <c r="Q504" s="15">
        <f>IF(AND(ISNUMBER(J504),J504&gt;0),1/J504,IF(AND(ISNUMBER(I504),I504&gt;0),SQRT(MIN(I504,Formula!$C$27))/Formula!$C$24,1/Formula!$C$25))</f>
        <v>0.7215375318</v>
      </c>
      <c r="R504" s="15">
        <f t="shared" si="2"/>
        <v>0.1443075064</v>
      </c>
      <c r="S504" s="15">
        <f>IF(H504&lt;&gt;"",EXP(-Formula!$C$28*(EOMONTH(H504,0)-H504)),EXP(-Formula!$C$28*(EOMONTH(D504,0)-D504)))</f>
        <v>0.2592402606</v>
      </c>
      <c r="T504" s="15">
        <f t="shared" si="3"/>
        <v>0.2357022604</v>
      </c>
      <c r="U504" s="15">
        <f t="shared" si="4"/>
        <v>0.00881769594</v>
      </c>
      <c r="V504" s="16">
        <f>IF(AND(L504="Among all respondents",NOT(OR(K504="Online poll in Telegram channel",K504="Website online poll",K504="CAWI (Computer Assisted Web Interviewing)"))),1/(1-MIN(MAX(Formula!$C$33+(YEAR(D504)-Formula!$C$34)/(Formula!$C$35-Formula!$C$34)*(Formula!$C$32-Formula!$C$33),Formula!$C$33),Formula!$C$32)),1)</f>
        <v>1</v>
      </c>
      <c r="W504" s="17">
        <f t="shared" si="5"/>
        <v>10</v>
      </c>
    </row>
    <row r="505" ht="15.75" customHeight="1">
      <c r="A505" s="8" t="s">
        <v>1040</v>
      </c>
      <c r="B505" s="7" t="s">
        <v>1036</v>
      </c>
      <c r="C505" s="13" t="s">
        <v>1037</v>
      </c>
      <c r="D505" s="7" t="s">
        <v>107</v>
      </c>
      <c r="E505" s="8" t="s">
        <v>85</v>
      </c>
      <c r="F505" s="8" t="s">
        <v>318</v>
      </c>
      <c r="G505" s="7" t="s">
        <v>1038</v>
      </c>
      <c r="H505" s="7" t="s">
        <v>107</v>
      </c>
      <c r="I505" s="8">
        <v>58200.0</v>
      </c>
      <c r="K505" s="8" t="s">
        <v>877</v>
      </c>
      <c r="L505" s="8" t="s">
        <v>322</v>
      </c>
      <c r="M505" s="8" t="s">
        <v>329</v>
      </c>
      <c r="N505" s="8">
        <v>7.0</v>
      </c>
      <c r="O505" s="14">
        <f t="shared" si="1"/>
        <v>44927</v>
      </c>
      <c r="P505" s="15">
        <f>IFERROR(VLOOKUP(K505,Formula!$A$11:$B$20,2,FALSE),Formula!$C$26)</f>
        <v>0.2</v>
      </c>
      <c r="Q505" s="15">
        <f>IF(AND(ISNUMBER(J505),J505&gt;0),1/J505,IF(AND(ISNUMBER(I505),I505&gt;0),SQRT(MIN(I505,Formula!$C$27))/Formula!$C$24,1/Formula!$C$25))</f>
        <v>0.7215375318</v>
      </c>
      <c r="R505" s="15">
        <f t="shared" si="2"/>
        <v>0.1443075064</v>
      </c>
      <c r="S505" s="15">
        <f>IF(H505&lt;&gt;"",EXP(-Formula!$C$28*(EOMONTH(H505,0)-H505)),EXP(-Formula!$C$28*(EOMONTH(D505,0)-D505)))</f>
        <v>0.2592402606</v>
      </c>
      <c r="T505" s="15">
        <f t="shared" si="3"/>
        <v>0.2357022604</v>
      </c>
      <c r="U505" s="15">
        <f t="shared" si="4"/>
        <v>0.00881769594</v>
      </c>
      <c r="V505" s="16">
        <f>IF(AND(L505="Among all respondents",NOT(OR(K505="Online poll in Telegram channel",K505="Website online poll",K505="CAWI (Computer Assisted Web Interviewing)"))),1/(1-MIN(MAX(Formula!$C$33+(YEAR(D505)-Formula!$C$34)/(Formula!$C$35-Formula!$C$34)*(Formula!$C$32-Formula!$C$33),Formula!$C$33),Formula!$C$32)),1)</f>
        <v>1</v>
      </c>
      <c r="W505" s="17">
        <f t="shared" si="5"/>
        <v>7</v>
      </c>
    </row>
    <row r="506" ht="15.75" customHeight="1">
      <c r="A506" s="8" t="s">
        <v>1041</v>
      </c>
      <c r="B506" s="7" t="s">
        <v>1036</v>
      </c>
      <c r="C506" s="13" t="s">
        <v>1037</v>
      </c>
      <c r="D506" s="7" t="s">
        <v>107</v>
      </c>
      <c r="E506" s="8" t="s">
        <v>85</v>
      </c>
      <c r="F506" s="8" t="s">
        <v>318</v>
      </c>
      <c r="G506" s="7" t="s">
        <v>1038</v>
      </c>
      <c r="H506" s="7" t="s">
        <v>107</v>
      </c>
      <c r="I506" s="8">
        <v>58200.0</v>
      </c>
      <c r="K506" s="8" t="s">
        <v>877</v>
      </c>
      <c r="L506" s="8" t="s">
        <v>322</v>
      </c>
      <c r="M506" s="8" t="s">
        <v>339</v>
      </c>
      <c r="N506" s="8">
        <v>2.0</v>
      </c>
      <c r="O506" s="14">
        <f t="shared" si="1"/>
        <v>44927</v>
      </c>
      <c r="P506" s="15">
        <f>IFERROR(VLOOKUP(K506,Formula!$A$11:$B$20,2,FALSE),Formula!$C$26)</f>
        <v>0.2</v>
      </c>
      <c r="Q506" s="15">
        <f>IF(AND(ISNUMBER(J506),J506&gt;0),1/J506,IF(AND(ISNUMBER(I506),I506&gt;0),SQRT(MIN(I506,Formula!$C$27))/Formula!$C$24,1/Formula!$C$25))</f>
        <v>0.7215375318</v>
      </c>
      <c r="R506" s="15">
        <f t="shared" si="2"/>
        <v>0.1443075064</v>
      </c>
      <c r="S506" s="15">
        <f>IF(H506&lt;&gt;"",EXP(-Formula!$C$28*(EOMONTH(H506,0)-H506)),EXP(-Formula!$C$28*(EOMONTH(D506,0)-D506)))</f>
        <v>0.2592402606</v>
      </c>
      <c r="T506" s="15">
        <f t="shared" si="3"/>
        <v>0.2357022604</v>
      </c>
      <c r="U506" s="15">
        <f t="shared" si="4"/>
        <v>0.00881769594</v>
      </c>
      <c r="V506" s="16">
        <f>IF(AND(L506="Among all respondents",NOT(OR(K506="Online poll in Telegram channel",K506="Website online poll",K506="CAWI (Computer Assisted Web Interviewing)"))),1/(1-MIN(MAX(Formula!$C$33+(YEAR(D506)-Formula!$C$34)/(Formula!$C$35-Formula!$C$34)*(Formula!$C$32-Formula!$C$33),Formula!$C$33),Formula!$C$32)),1)</f>
        <v>1</v>
      </c>
      <c r="W506" s="17">
        <f t="shared" si="5"/>
        <v>2</v>
      </c>
    </row>
    <row r="507" ht="15.75" customHeight="1">
      <c r="A507" s="8" t="s">
        <v>1042</v>
      </c>
      <c r="B507" s="7" t="s">
        <v>1036</v>
      </c>
      <c r="C507" s="13" t="s">
        <v>1037</v>
      </c>
      <c r="D507" s="7" t="s">
        <v>107</v>
      </c>
      <c r="E507" s="8" t="s">
        <v>85</v>
      </c>
      <c r="F507" s="8" t="s">
        <v>318</v>
      </c>
      <c r="G507" s="7" t="s">
        <v>1038</v>
      </c>
      <c r="H507" s="7" t="s">
        <v>107</v>
      </c>
      <c r="I507" s="8">
        <v>58200.0</v>
      </c>
      <c r="K507" s="8" t="s">
        <v>877</v>
      </c>
      <c r="L507" s="8" t="s">
        <v>322</v>
      </c>
      <c r="M507" s="8" t="s">
        <v>341</v>
      </c>
      <c r="N507" s="8">
        <v>2.0</v>
      </c>
      <c r="O507" s="14">
        <f t="shared" si="1"/>
        <v>44927</v>
      </c>
      <c r="P507" s="15">
        <f>IFERROR(VLOOKUP(K507,Formula!$A$11:$B$20,2,FALSE),Formula!$C$26)</f>
        <v>0.2</v>
      </c>
      <c r="Q507" s="15">
        <f>IF(AND(ISNUMBER(J507),J507&gt;0),1/J507,IF(AND(ISNUMBER(I507),I507&gt;0),SQRT(MIN(I507,Formula!$C$27))/Formula!$C$24,1/Formula!$C$25))</f>
        <v>0.7215375318</v>
      </c>
      <c r="R507" s="15">
        <f t="shared" si="2"/>
        <v>0.1443075064</v>
      </c>
      <c r="S507" s="15">
        <f>IF(H507&lt;&gt;"",EXP(-Formula!$C$28*(EOMONTH(H507,0)-H507)),EXP(-Formula!$C$28*(EOMONTH(D507,0)-D507)))</f>
        <v>0.2592402606</v>
      </c>
      <c r="T507" s="15">
        <f t="shared" si="3"/>
        <v>0.2357022604</v>
      </c>
      <c r="U507" s="15">
        <f t="shared" si="4"/>
        <v>0.00881769594</v>
      </c>
      <c r="V507" s="16">
        <f>IF(AND(L507="Among all respondents",NOT(OR(K507="Online poll in Telegram channel",K507="Website online poll",K507="CAWI (Computer Assisted Web Interviewing)"))),1/(1-MIN(MAX(Formula!$C$33+(YEAR(D507)-Formula!$C$34)/(Formula!$C$35-Formula!$C$34)*(Formula!$C$32-Formula!$C$33),Formula!$C$33),Formula!$C$32)),1)</f>
        <v>1</v>
      </c>
      <c r="W507" s="17">
        <f t="shared" si="5"/>
        <v>2</v>
      </c>
    </row>
    <row r="508" ht="15.75" customHeight="1">
      <c r="A508" s="8" t="s">
        <v>1043</v>
      </c>
      <c r="B508" s="7" t="s">
        <v>1036</v>
      </c>
      <c r="C508" s="13" t="s">
        <v>1037</v>
      </c>
      <c r="D508" s="7" t="s">
        <v>107</v>
      </c>
      <c r="E508" s="8" t="s">
        <v>85</v>
      </c>
      <c r="F508" s="8" t="s">
        <v>318</v>
      </c>
      <c r="G508" s="7" t="s">
        <v>1038</v>
      </c>
      <c r="H508" s="7" t="s">
        <v>107</v>
      </c>
      <c r="I508" s="8">
        <v>58200.0</v>
      </c>
      <c r="K508" s="8" t="s">
        <v>877</v>
      </c>
      <c r="L508" s="8" t="s">
        <v>322</v>
      </c>
      <c r="M508" s="8" t="s">
        <v>362</v>
      </c>
      <c r="N508" s="8">
        <v>1.0</v>
      </c>
      <c r="O508" s="14">
        <f t="shared" si="1"/>
        <v>44927</v>
      </c>
      <c r="P508" s="15">
        <f>IFERROR(VLOOKUP(K508,Formula!$A$11:$B$20,2,FALSE),Formula!$C$26)</f>
        <v>0.2</v>
      </c>
      <c r="Q508" s="15">
        <f>IF(AND(ISNUMBER(J508),J508&gt;0),1/J508,IF(AND(ISNUMBER(I508),I508&gt;0),SQRT(MIN(I508,Formula!$C$27))/Formula!$C$24,1/Formula!$C$25))</f>
        <v>0.7215375318</v>
      </c>
      <c r="R508" s="15">
        <f t="shared" si="2"/>
        <v>0.1443075064</v>
      </c>
      <c r="S508" s="15">
        <f>IF(H508&lt;&gt;"",EXP(-Formula!$C$28*(EOMONTH(H508,0)-H508)),EXP(-Formula!$C$28*(EOMONTH(D508,0)-D508)))</f>
        <v>0.2592402606</v>
      </c>
      <c r="T508" s="15">
        <f t="shared" si="3"/>
        <v>0.2357022604</v>
      </c>
      <c r="U508" s="15">
        <f t="shared" si="4"/>
        <v>0.00881769594</v>
      </c>
      <c r="V508" s="16">
        <f>IF(AND(L508="Among all respondents",NOT(OR(K508="Online poll in Telegram channel",K508="Website online poll",K508="CAWI (Computer Assisted Web Interviewing)"))),1/(1-MIN(MAX(Formula!$C$33+(YEAR(D508)-Formula!$C$34)/(Formula!$C$35-Formula!$C$34)*(Formula!$C$32-Formula!$C$33),Formula!$C$33),Formula!$C$32)),1)</f>
        <v>1</v>
      </c>
      <c r="W508" s="17">
        <f t="shared" si="5"/>
        <v>1</v>
      </c>
    </row>
    <row r="509" ht="15.75" customHeight="1">
      <c r="A509" s="8" t="s">
        <v>1044</v>
      </c>
      <c r="B509" s="7" t="s">
        <v>1036</v>
      </c>
      <c r="C509" s="13" t="s">
        <v>1037</v>
      </c>
      <c r="D509" s="7" t="s">
        <v>107</v>
      </c>
      <c r="E509" s="8" t="s">
        <v>85</v>
      </c>
      <c r="F509" s="8" t="s">
        <v>318</v>
      </c>
      <c r="G509" s="7" t="s">
        <v>1038</v>
      </c>
      <c r="H509" s="7" t="s">
        <v>107</v>
      </c>
      <c r="I509" s="8">
        <v>58200.0</v>
      </c>
      <c r="K509" s="8" t="s">
        <v>877</v>
      </c>
      <c r="L509" s="8" t="s">
        <v>322</v>
      </c>
      <c r="M509" s="8" t="s">
        <v>337</v>
      </c>
      <c r="N509" s="8">
        <v>1.0</v>
      </c>
      <c r="O509" s="14">
        <f t="shared" si="1"/>
        <v>44927</v>
      </c>
      <c r="P509" s="15">
        <f>IFERROR(VLOOKUP(K509,Formula!$A$11:$B$20,2,FALSE),Formula!$C$26)</f>
        <v>0.2</v>
      </c>
      <c r="Q509" s="15">
        <f>IF(AND(ISNUMBER(J509),J509&gt;0),1/J509,IF(AND(ISNUMBER(I509),I509&gt;0),SQRT(MIN(I509,Formula!$C$27))/Formula!$C$24,1/Formula!$C$25))</f>
        <v>0.7215375318</v>
      </c>
      <c r="R509" s="15">
        <f t="shared" si="2"/>
        <v>0.1443075064</v>
      </c>
      <c r="S509" s="15">
        <f>IF(H509&lt;&gt;"",EXP(-Formula!$C$28*(EOMONTH(H509,0)-H509)),EXP(-Formula!$C$28*(EOMONTH(D509,0)-D509)))</f>
        <v>0.2592402606</v>
      </c>
      <c r="T509" s="15">
        <f t="shared" si="3"/>
        <v>0.2357022604</v>
      </c>
      <c r="U509" s="15">
        <f t="shared" si="4"/>
        <v>0.00881769594</v>
      </c>
      <c r="V509" s="16">
        <f>IF(AND(L509="Among all respondents",NOT(OR(K509="Online poll in Telegram channel",K509="Website online poll",K509="CAWI (Computer Assisted Web Interviewing)"))),1/(1-MIN(MAX(Formula!$C$33+(YEAR(D509)-Formula!$C$34)/(Formula!$C$35-Formula!$C$34)*(Formula!$C$32-Formula!$C$33),Formula!$C$33),Formula!$C$32)),1)</f>
        <v>1</v>
      </c>
      <c r="W509" s="17">
        <f t="shared" si="5"/>
        <v>1</v>
      </c>
    </row>
    <row r="510" ht="15.75" customHeight="1">
      <c r="A510" s="8" t="s">
        <v>1045</v>
      </c>
      <c r="B510" s="7" t="s">
        <v>1036</v>
      </c>
      <c r="C510" s="13" t="s">
        <v>1037</v>
      </c>
      <c r="D510" s="7" t="s">
        <v>107</v>
      </c>
      <c r="E510" s="8" t="s">
        <v>85</v>
      </c>
      <c r="F510" s="8" t="s">
        <v>318</v>
      </c>
      <c r="G510" s="7" t="s">
        <v>1038</v>
      </c>
      <c r="H510" s="7" t="s">
        <v>107</v>
      </c>
      <c r="I510" s="8">
        <v>58200.0</v>
      </c>
      <c r="K510" s="8" t="s">
        <v>877</v>
      </c>
      <c r="L510" s="8" t="s">
        <v>322</v>
      </c>
      <c r="M510" s="8" t="s">
        <v>828</v>
      </c>
      <c r="N510" s="8">
        <v>1.0</v>
      </c>
      <c r="O510" s="14">
        <f t="shared" si="1"/>
        <v>44927</v>
      </c>
      <c r="P510" s="15">
        <f>IFERROR(VLOOKUP(K510,Formula!$A$11:$B$20,2,FALSE),Formula!$C$26)</f>
        <v>0.2</v>
      </c>
      <c r="Q510" s="15">
        <f>IF(AND(ISNUMBER(J510),J510&gt;0),1/J510,IF(AND(ISNUMBER(I510),I510&gt;0),SQRT(MIN(I510,Formula!$C$27))/Formula!$C$24,1/Formula!$C$25))</f>
        <v>0.7215375318</v>
      </c>
      <c r="R510" s="15">
        <f t="shared" si="2"/>
        <v>0.1443075064</v>
      </c>
      <c r="S510" s="15">
        <f>IF(H510&lt;&gt;"",EXP(-Formula!$C$28*(EOMONTH(H510,0)-H510)),EXP(-Formula!$C$28*(EOMONTH(D510,0)-D510)))</f>
        <v>0.2592402606</v>
      </c>
      <c r="T510" s="15">
        <f t="shared" si="3"/>
        <v>0.2357022604</v>
      </c>
      <c r="U510" s="15">
        <f t="shared" si="4"/>
        <v>0.00881769594</v>
      </c>
      <c r="V510" s="16">
        <f>IF(AND(L510="Among all respondents",NOT(OR(K510="Online poll in Telegram channel",K510="Website online poll",K510="CAWI (Computer Assisted Web Interviewing)"))),1/(1-MIN(MAX(Formula!$C$33+(YEAR(D510)-Formula!$C$34)/(Formula!$C$35-Formula!$C$34)*(Formula!$C$32-Formula!$C$33),Formula!$C$33),Formula!$C$32)),1)</f>
        <v>1</v>
      </c>
      <c r="W510" s="17">
        <f t="shared" si="5"/>
        <v>1</v>
      </c>
    </row>
    <row r="511" ht="15.75" customHeight="1">
      <c r="A511" s="8" t="s">
        <v>1046</v>
      </c>
      <c r="B511" s="7" t="s">
        <v>1036</v>
      </c>
      <c r="C511" s="13" t="s">
        <v>1037</v>
      </c>
      <c r="D511" s="7" t="s">
        <v>107</v>
      </c>
      <c r="E511" s="8" t="s">
        <v>85</v>
      </c>
      <c r="F511" s="8" t="s">
        <v>318</v>
      </c>
      <c r="G511" s="7" t="s">
        <v>1038</v>
      </c>
      <c r="H511" s="7" t="s">
        <v>107</v>
      </c>
      <c r="I511" s="8">
        <v>58200.0</v>
      </c>
      <c r="K511" s="8" t="s">
        <v>877</v>
      </c>
      <c r="L511" s="8" t="s">
        <v>322</v>
      </c>
      <c r="M511" s="8" t="s">
        <v>343</v>
      </c>
      <c r="N511" s="8">
        <v>1.0</v>
      </c>
      <c r="O511" s="14">
        <f t="shared" si="1"/>
        <v>44927</v>
      </c>
      <c r="P511" s="15">
        <f>IFERROR(VLOOKUP(K511,Formula!$A$11:$B$20,2,FALSE),Formula!$C$26)</f>
        <v>0.2</v>
      </c>
      <c r="Q511" s="15">
        <f>IF(AND(ISNUMBER(J511),J511&gt;0),1/J511,IF(AND(ISNUMBER(I511),I511&gt;0),SQRT(MIN(I511,Formula!$C$27))/Formula!$C$24,1/Formula!$C$25))</f>
        <v>0.7215375318</v>
      </c>
      <c r="R511" s="15">
        <f t="shared" si="2"/>
        <v>0.1443075064</v>
      </c>
      <c r="S511" s="15">
        <f>IF(H511&lt;&gt;"",EXP(-Formula!$C$28*(EOMONTH(H511,0)-H511)),EXP(-Formula!$C$28*(EOMONTH(D511,0)-D511)))</f>
        <v>0.2592402606</v>
      </c>
      <c r="T511" s="15">
        <f t="shared" si="3"/>
        <v>0.2357022604</v>
      </c>
      <c r="U511" s="15">
        <f t="shared" si="4"/>
        <v>0.00881769594</v>
      </c>
      <c r="V511" s="16">
        <f>IF(AND(L511="Among all respondents",NOT(OR(K511="Online poll in Telegram channel",K511="Website online poll",K511="CAWI (Computer Assisted Web Interviewing)"))),1/(1-MIN(MAX(Formula!$C$33+(YEAR(D511)-Formula!$C$34)/(Formula!$C$35-Formula!$C$34)*(Formula!$C$32-Formula!$C$33),Formula!$C$33),Formula!$C$32)),1)</f>
        <v>1</v>
      </c>
      <c r="W511" s="17">
        <f t="shared" si="5"/>
        <v>1</v>
      </c>
    </row>
    <row r="512" ht="15.75" customHeight="1">
      <c r="A512" s="8" t="s">
        <v>1047</v>
      </c>
      <c r="B512" s="7" t="s">
        <v>1048</v>
      </c>
      <c r="C512" s="13" t="s">
        <v>1049</v>
      </c>
      <c r="D512" s="7" t="s">
        <v>108</v>
      </c>
      <c r="E512" s="8" t="s">
        <v>91</v>
      </c>
      <c r="F512" s="8" t="s">
        <v>318</v>
      </c>
      <c r="G512" s="7" t="s">
        <v>1050</v>
      </c>
      <c r="H512" s="7" t="s">
        <v>1051</v>
      </c>
      <c r="I512" s="8">
        <v>1267.0</v>
      </c>
      <c r="J512" s="8">
        <v>2.8</v>
      </c>
      <c r="K512" s="8" t="s">
        <v>583</v>
      </c>
      <c r="L512" s="8" t="s">
        <v>322</v>
      </c>
      <c r="M512" s="8" t="s">
        <v>323</v>
      </c>
      <c r="N512" s="8">
        <v>80.4</v>
      </c>
      <c r="O512" s="14">
        <f t="shared" si="1"/>
        <v>44896</v>
      </c>
      <c r="P512" s="15">
        <f>IFERROR(VLOOKUP(K512,Formula!$A$11:$B$20,2,FALSE),Formula!$C$26)</f>
        <v>0.95</v>
      </c>
      <c r="Q512" s="15">
        <f>IF(AND(ISNUMBER(J512),J512&gt;0),1/J512,IF(AND(ISNUMBER(I512),I512&gt;0),SQRT(MIN(I512,Formula!$C$27))/Formula!$C$24,1/Formula!$C$25))</f>
        <v>0.3571428571</v>
      </c>
      <c r="R512" s="15">
        <f t="shared" si="2"/>
        <v>0.3392857143</v>
      </c>
      <c r="S512" s="15">
        <f>IF(H512&lt;&gt;"",EXP(-Formula!$C$28*(EOMONTH(H512,0)-H512)),EXP(-Formula!$C$28*(EOMONTH(D512,0)-D512)))</f>
        <v>0.5769498104</v>
      </c>
      <c r="T512" s="15">
        <f t="shared" si="3"/>
        <v>0.4082482905</v>
      </c>
      <c r="U512" s="15">
        <f t="shared" si="4"/>
        <v>0.0799149411</v>
      </c>
      <c r="V512" s="16">
        <f>IF(AND(L512="Among all respondents",NOT(OR(K512="Online poll in Telegram channel",K512="Website online poll",K512="CAWI (Computer Assisted Web Interviewing)"))),1/(1-MIN(MAX(Formula!$C$33+(YEAR(D512)-Formula!$C$34)/(Formula!$C$35-Formula!$C$34)*(Formula!$C$32-Formula!$C$33),Formula!$C$33),Formula!$C$32)),1)</f>
        <v>1</v>
      </c>
      <c r="W512" s="17">
        <f t="shared" si="5"/>
        <v>80.4</v>
      </c>
    </row>
    <row r="513" ht="15.75" customHeight="1">
      <c r="A513" s="8" t="s">
        <v>1052</v>
      </c>
      <c r="B513" s="7" t="s">
        <v>1048</v>
      </c>
      <c r="C513" s="13" t="s">
        <v>1049</v>
      </c>
      <c r="D513" s="7" t="s">
        <v>108</v>
      </c>
      <c r="E513" s="8" t="s">
        <v>91</v>
      </c>
      <c r="F513" s="8" t="s">
        <v>318</v>
      </c>
      <c r="G513" s="7" t="s">
        <v>1050</v>
      </c>
      <c r="H513" s="7" t="s">
        <v>1051</v>
      </c>
      <c r="I513" s="8">
        <v>1267.0</v>
      </c>
      <c r="J513" s="8">
        <v>2.8</v>
      </c>
      <c r="K513" s="8" t="s">
        <v>583</v>
      </c>
      <c r="L513" s="8" t="s">
        <v>322</v>
      </c>
      <c r="M513" s="8" t="s">
        <v>329</v>
      </c>
      <c r="N513" s="8">
        <v>8.1</v>
      </c>
      <c r="O513" s="14">
        <f t="shared" si="1"/>
        <v>44896</v>
      </c>
      <c r="P513" s="15">
        <f>IFERROR(VLOOKUP(K513,Formula!$A$11:$B$20,2,FALSE),Formula!$C$26)</f>
        <v>0.95</v>
      </c>
      <c r="Q513" s="15">
        <f>IF(AND(ISNUMBER(J513),J513&gt;0),1/J513,IF(AND(ISNUMBER(I513),I513&gt;0),SQRT(MIN(I513,Formula!$C$27))/Formula!$C$24,1/Formula!$C$25))</f>
        <v>0.3571428571</v>
      </c>
      <c r="R513" s="15">
        <f t="shared" si="2"/>
        <v>0.3392857143</v>
      </c>
      <c r="S513" s="15">
        <f>IF(H513&lt;&gt;"",EXP(-Formula!$C$28*(EOMONTH(H513,0)-H513)),EXP(-Formula!$C$28*(EOMONTH(D513,0)-D513)))</f>
        <v>0.5769498104</v>
      </c>
      <c r="T513" s="15">
        <f t="shared" si="3"/>
        <v>0.4082482905</v>
      </c>
      <c r="U513" s="15">
        <f t="shared" si="4"/>
        <v>0.0799149411</v>
      </c>
      <c r="V513" s="16">
        <f>IF(AND(L513="Among all respondents",NOT(OR(K513="Online poll in Telegram channel",K513="Website online poll",K513="CAWI (Computer Assisted Web Interviewing)"))),1/(1-MIN(MAX(Formula!$C$33+(YEAR(D513)-Formula!$C$34)/(Formula!$C$35-Formula!$C$34)*(Formula!$C$32-Formula!$C$33),Formula!$C$33),Formula!$C$32)),1)</f>
        <v>1</v>
      </c>
      <c r="W513" s="17">
        <f t="shared" si="5"/>
        <v>8.1</v>
      </c>
    </row>
    <row r="514" ht="15.75" customHeight="1">
      <c r="A514" s="8" t="s">
        <v>1053</v>
      </c>
      <c r="B514" s="7" t="s">
        <v>1048</v>
      </c>
      <c r="C514" s="13" t="s">
        <v>1049</v>
      </c>
      <c r="D514" s="7" t="s">
        <v>108</v>
      </c>
      <c r="E514" s="8" t="s">
        <v>91</v>
      </c>
      <c r="F514" s="8" t="s">
        <v>318</v>
      </c>
      <c r="G514" s="7" t="s">
        <v>1050</v>
      </c>
      <c r="H514" s="7" t="s">
        <v>1051</v>
      </c>
      <c r="I514" s="8">
        <v>1267.0</v>
      </c>
      <c r="J514" s="8">
        <v>2.8</v>
      </c>
      <c r="K514" s="8" t="s">
        <v>583</v>
      </c>
      <c r="L514" s="8" t="s">
        <v>322</v>
      </c>
      <c r="M514" s="8" t="s">
        <v>339</v>
      </c>
      <c r="N514" s="8">
        <v>4.3</v>
      </c>
      <c r="O514" s="14">
        <f t="shared" si="1"/>
        <v>44896</v>
      </c>
      <c r="P514" s="15">
        <f>IFERROR(VLOOKUP(K514,Formula!$A$11:$B$20,2,FALSE),Formula!$C$26)</f>
        <v>0.95</v>
      </c>
      <c r="Q514" s="15">
        <f>IF(AND(ISNUMBER(J514),J514&gt;0),1/J514,IF(AND(ISNUMBER(I514),I514&gt;0),SQRT(MIN(I514,Formula!$C$27))/Formula!$C$24,1/Formula!$C$25))</f>
        <v>0.3571428571</v>
      </c>
      <c r="R514" s="15">
        <f t="shared" si="2"/>
        <v>0.3392857143</v>
      </c>
      <c r="S514" s="15">
        <f>IF(H514&lt;&gt;"",EXP(-Formula!$C$28*(EOMONTH(H514,0)-H514)),EXP(-Formula!$C$28*(EOMONTH(D514,0)-D514)))</f>
        <v>0.5769498104</v>
      </c>
      <c r="T514" s="15">
        <f t="shared" si="3"/>
        <v>0.4082482905</v>
      </c>
      <c r="U514" s="15">
        <f t="shared" si="4"/>
        <v>0.0799149411</v>
      </c>
      <c r="V514" s="16">
        <f>IF(AND(L514="Among all respondents",NOT(OR(K514="Online poll in Telegram channel",K514="Website online poll",K514="CAWI (Computer Assisted Web Interviewing)"))),1/(1-MIN(MAX(Formula!$C$33+(YEAR(D514)-Formula!$C$34)/(Formula!$C$35-Formula!$C$34)*(Formula!$C$32-Formula!$C$33),Formula!$C$33),Formula!$C$32)),1)</f>
        <v>1</v>
      </c>
      <c r="W514" s="17">
        <f t="shared" si="5"/>
        <v>4.3</v>
      </c>
    </row>
    <row r="515" ht="15.75" customHeight="1">
      <c r="A515" s="8" t="s">
        <v>1054</v>
      </c>
      <c r="B515" s="7" t="s">
        <v>1048</v>
      </c>
      <c r="C515" s="13" t="s">
        <v>1049</v>
      </c>
      <c r="D515" s="7" t="s">
        <v>108</v>
      </c>
      <c r="E515" s="8" t="s">
        <v>91</v>
      </c>
      <c r="F515" s="8" t="s">
        <v>318</v>
      </c>
      <c r="G515" s="7" t="s">
        <v>1050</v>
      </c>
      <c r="H515" s="7" t="s">
        <v>1051</v>
      </c>
      <c r="I515" s="8">
        <v>1267.0</v>
      </c>
      <c r="J515" s="8">
        <v>2.8</v>
      </c>
      <c r="K515" s="8" t="s">
        <v>583</v>
      </c>
      <c r="L515" s="8" t="s">
        <v>322</v>
      </c>
      <c r="M515" s="8" t="s">
        <v>337</v>
      </c>
      <c r="N515" s="8">
        <v>1.2</v>
      </c>
      <c r="O515" s="14">
        <f t="shared" si="1"/>
        <v>44896</v>
      </c>
      <c r="P515" s="15">
        <f>IFERROR(VLOOKUP(K515,Formula!$A$11:$B$20,2,FALSE),Formula!$C$26)</f>
        <v>0.95</v>
      </c>
      <c r="Q515" s="15">
        <f>IF(AND(ISNUMBER(J515),J515&gt;0),1/J515,IF(AND(ISNUMBER(I515),I515&gt;0),SQRT(MIN(I515,Formula!$C$27))/Formula!$C$24,1/Formula!$C$25))</f>
        <v>0.3571428571</v>
      </c>
      <c r="R515" s="15">
        <f t="shared" si="2"/>
        <v>0.3392857143</v>
      </c>
      <c r="S515" s="15">
        <f>IF(H515&lt;&gt;"",EXP(-Formula!$C$28*(EOMONTH(H515,0)-H515)),EXP(-Formula!$C$28*(EOMONTH(D515,0)-D515)))</f>
        <v>0.5769498104</v>
      </c>
      <c r="T515" s="15">
        <f t="shared" si="3"/>
        <v>0.4082482905</v>
      </c>
      <c r="U515" s="15">
        <f t="shared" si="4"/>
        <v>0.0799149411</v>
      </c>
      <c r="V515" s="16">
        <f>IF(AND(L515="Among all respondents",NOT(OR(K515="Online poll in Telegram channel",K515="Website online poll",K515="CAWI (Computer Assisted Web Interviewing)"))),1/(1-MIN(MAX(Formula!$C$33+(YEAR(D515)-Formula!$C$34)/(Formula!$C$35-Formula!$C$34)*(Formula!$C$32-Formula!$C$33),Formula!$C$33),Formula!$C$32)),1)</f>
        <v>1</v>
      </c>
      <c r="W515" s="17">
        <f t="shared" si="5"/>
        <v>1.2</v>
      </c>
    </row>
    <row r="516" ht="15.75" customHeight="1">
      <c r="A516" s="8" t="s">
        <v>1055</v>
      </c>
      <c r="B516" s="7" t="s">
        <v>1048</v>
      </c>
      <c r="C516" s="13" t="s">
        <v>1049</v>
      </c>
      <c r="D516" s="7" t="s">
        <v>108</v>
      </c>
      <c r="E516" s="8" t="s">
        <v>91</v>
      </c>
      <c r="F516" s="8" t="s">
        <v>318</v>
      </c>
      <c r="G516" s="7" t="s">
        <v>1050</v>
      </c>
      <c r="H516" s="7" t="s">
        <v>1051</v>
      </c>
      <c r="I516" s="8">
        <v>1267.0</v>
      </c>
      <c r="J516" s="8">
        <v>2.8</v>
      </c>
      <c r="K516" s="8" t="s">
        <v>583</v>
      </c>
      <c r="L516" s="8" t="s">
        <v>322</v>
      </c>
      <c r="M516" s="8" t="s">
        <v>333</v>
      </c>
      <c r="N516" s="8">
        <v>1.1</v>
      </c>
      <c r="O516" s="14">
        <f t="shared" si="1"/>
        <v>44896</v>
      </c>
      <c r="P516" s="15">
        <f>IFERROR(VLOOKUP(K516,Formula!$A$11:$B$20,2,FALSE),Formula!$C$26)</f>
        <v>0.95</v>
      </c>
      <c r="Q516" s="15">
        <f>IF(AND(ISNUMBER(J516),J516&gt;0),1/J516,IF(AND(ISNUMBER(I516),I516&gt;0),SQRT(MIN(I516,Formula!$C$27))/Formula!$C$24,1/Formula!$C$25))</f>
        <v>0.3571428571</v>
      </c>
      <c r="R516" s="15">
        <f t="shared" si="2"/>
        <v>0.3392857143</v>
      </c>
      <c r="S516" s="15">
        <f>IF(H516&lt;&gt;"",EXP(-Formula!$C$28*(EOMONTH(H516,0)-H516)),EXP(-Formula!$C$28*(EOMONTH(D516,0)-D516)))</f>
        <v>0.5769498104</v>
      </c>
      <c r="T516" s="15">
        <f t="shared" si="3"/>
        <v>0.4082482905</v>
      </c>
      <c r="U516" s="15">
        <f t="shared" si="4"/>
        <v>0.0799149411</v>
      </c>
      <c r="V516" s="16">
        <f>IF(AND(L516="Among all respondents",NOT(OR(K516="Online poll in Telegram channel",K516="Website online poll",K516="CAWI (Computer Assisted Web Interviewing)"))),1/(1-MIN(MAX(Formula!$C$33+(YEAR(D516)-Formula!$C$34)/(Formula!$C$35-Formula!$C$34)*(Formula!$C$32-Formula!$C$33),Formula!$C$33),Formula!$C$32)),1)</f>
        <v>1</v>
      </c>
      <c r="W516" s="17">
        <f t="shared" si="5"/>
        <v>1.1</v>
      </c>
    </row>
    <row r="517" ht="15.75" customHeight="1">
      <c r="A517" s="8" t="s">
        <v>1056</v>
      </c>
      <c r="B517" s="7" t="s">
        <v>1048</v>
      </c>
      <c r="C517" s="13" t="s">
        <v>1049</v>
      </c>
      <c r="D517" s="7" t="s">
        <v>108</v>
      </c>
      <c r="E517" s="8" t="s">
        <v>91</v>
      </c>
      <c r="F517" s="8" t="s">
        <v>318</v>
      </c>
      <c r="G517" s="7" t="s">
        <v>1050</v>
      </c>
      <c r="H517" s="7" t="s">
        <v>1051</v>
      </c>
      <c r="I517" s="8">
        <v>1267.0</v>
      </c>
      <c r="J517" s="8">
        <v>2.8</v>
      </c>
      <c r="K517" s="8" t="s">
        <v>583</v>
      </c>
      <c r="L517" s="8" t="s">
        <v>322</v>
      </c>
      <c r="M517" s="8" t="s">
        <v>828</v>
      </c>
      <c r="N517" s="8">
        <v>0.3</v>
      </c>
      <c r="O517" s="14">
        <f t="shared" si="1"/>
        <v>44896</v>
      </c>
      <c r="P517" s="15">
        <f>IFERROR(VLOOKUP(K517,Formula!$A$11:$B$20,2,FALSE),Formula!$C$26)</f>
        <v>0.95</v>
      </c>
      <c r="Q517" s="15">
        <f>IF(AND(ISNUMBER(J517),J517&gt;0),1/J517,IF(AND(ISNUMBER(I517),I517&gt;0),SQRT(MIN(I517,Formula!$C$27))/Formula!$C$24,1/Formula!$C$25))</f>
        <v>0.3571428571</v>
      </c>
      <c r="R517" s="15">
        <f t="shared" si="2"/>
        <v>0.3392857143</v>
      </c>
      <c r="S517" s="15">
        <f>IF(H517&lt;&gt;"",EXP(-Formula!$C$28*(EOMONTH(H517,0)-H517)),EXP(-Formula!$C$28*(EOMONTH(D517,0)-D517)))</f>
        <v>0.5769498104</v>
      </c>
      <c r="T517" s="15">
        <f t="shared" si="3"/>
        <v>0.4082482905</v>
      </c>
      <c r="U517" s="15">
        <f t="shared" si="4"/>
        <v>0.0799149411</v>
      </c>
      <c r="V517" s="16">
        <f>IF(AND(L517="Among all respondents",NOT(OR(K517="Online poll in Telegram channel",K517="Website online poll",K517="CAWI (Computer Assisted Web Interviewing)"))),1/(1-MIN(MAX(Formula!$C$33+(YEAR(D517)-Formula!$C$34)/(Formula!$C$35-Formula!$C$34)*(Formula!$C$32-Formula!$C$33),Formula!$C$33),Formula!$C$32)),1)</f>
        <v>1</v>
      </c>
      <c r="W517" s="17">
        <f t="shared" si="5"/>
        <v>0.3</v>
      </c>
    </row>
    <row r="518" ht="15.75" customHeight="1">
      <c r="A518" s="8" t="s">
        <v>1057</v>
      </c>
      <c r="B518" s="7" t="s">
        <v>1058</v>
      </c>
      <c r="C518" s="13" t="s">
        <v>1059</v>
      </c>
      <c r="D518" s="7" t="s">
        <v>109</v>
      </c>
      <c r="E518" s="8" t="s">
        <v>85</v>
      </c>
      <c r="F518" s="8" t="s">
        <v>318</v>
      </c>
      <c r="G518" s="7" t="s">
        <v>1060</v>
      </c>
      <c r="H518" s="7" t="s">
        <v>109</v>
      </c>
      <c r="I518" s="8">
        <v>49500.0</v>
      </c>
      <c r="K518" s="8" t="s">
        <v>877</v>
      </c>
      <c r="L518" s="8" t="s">
        <v>322</v>
      </c>
      <c r="M518" s="8" t="s">
        <v>323</v>
      </c>
      <c r="N518" s="8">
        <v>67.0</v>
      </c>
      <c r="O518" s="14">
        <f t="shared" si="1"/>
        <v>44896</v>
      </c>
      <c r="P518" s="15">
        <f>IFERROR(VLOOKUP(K518,Formula!$A$11:$B$20,2,FALSE),Formula!$C$26)</f>
        <v>0.2</v>
      </c>
      <c r="Q518" s="15">
        <f>IF(AND(ISNUMBER(J518),J518&gt;0),1/J518,IF(AND(ISNUMBER(I518),I518&gt;0),SQRT(MIN(I518,Formula!$C$27))/Formula!$C$24,1/Formula!$C$25))</f>
        <v>0.7215375318</v>
      </c>
      <c r="R518" s="15">
        <f t="shared" si="2"/>
        <v>0.1443075064</v>
      </c>
      <c r="S518" s="15">
        <f>IF(H518&lt;&gt;"",EXP(-Formula!$C$28*(EOMONTH(H518,0)-H518)),EXP(-Formula!$C$28*(EOMONTH(D518,0)-D518)))</f>
        <v>0.2592402606</v>
      </c>
      <c r="T518" s="15">
        <f t="shared" si="3"/>
        <v>0.3535533906</v>
      </c>
      <c r="U518" s="15">
        <f t="shared" si="4"/>
        <v>0.01322654391</v>
      </c>
      <c r="V518" s="16">
        <f>IF(AND(L518="Among all respondents",NOT(OR(K518="Online poll in Telegram channel",K518="Website online poll",K518="CAWI (Computer Assisted Web Interviewing)"))),1/(1-MIN(MAX(Formula!$C$33+(YEAR(D518)-Formula!$C$34)/(Formula!$C$35-Formula!$C$34)*(Formula!$C$32-Formula!$C$33),Formula!$C$33),Formula!$C$32)),1)</f>
        <v>1</v>
      </c>
      <c r="W518" s="17">
        <f t="shared" si="5"/>
        <v>67</v>
      </c>
    </row>
    <row r="519" ht="15.75" customHeight="1">
      <c r="A519" s="8" t="s">
        <v>1061</v>
      </c>
      <c r="B519" s="7" t="s">
        <v>1058</v>
      </c>
      <c r="C519" s="13" t="s">
        <v>1059</v>
      </c>
      <c r="D519" s="7" t="s">
        <v>109</v>
      </c>
      <c r="E519" s="8" t="s">
        <v>85</v>
      </c>
      <c r="F519" s="8" t="s">
        <v>318</v>
      </c>
      <c r="G519" s="7" t="s">
        <v>1060</v>
      </c>
      <c r="H519" s="7" t="s">
        <v>109</v>
      </c>
      <c r="I519" s="8">
        <v>49500.0</v>
      </c>
      <c r="K519" s="8" t="s">
        <v>877</v>
      </c>
      <c r="L519" s="8" t="s">
        <v>322</v>
      </c>
      <c r="M519" s="8" t="s">
        <v>325</v>
      </c>
      <c r="N519" s="8">
        <v>9.0</v>
      </c>
      <c r="O519" s="14">
        <f t="shared" si="1"/>
        <v>44896</v>
      </c>
      <c r="P519" s="15">
        <f>IFERROR(VLOOKUP(K519,Formula!$A$11:$B$20,2,FALSE),Formula!$C$26)</f>
        <v>0.2</v>
      </c>
      <c r="Q519" s="15">
        <f>IF(AND(ISNUMBER(J519),J519&gt;0),1/J519,IF(AND(ISNUMBER(I519),I519&gt;0),SQRT(MIN(I519,Formula!$C$27))/Formula!$C$24,1/Formula!$C$25))</f>
        <v>0.7215375318</v>
      </c>
      <c r="R519" s="15">
        <f t="shared" si="2"/>
        <v>0.1443075064</v>
      </c>
      <c r="S519" s="15">
        <f>IF(H519&lt;&gt;"",EXP(-Formula!$C$28*(EOMONTH(H519,0)-H519)),EXP(-Formula!$C$28*(EOMONTH(D519,0)-D519)))</f>
        <v>0.2592402606</v>
      </c>
      <c r="T519" s="15">
        <f t="shared" si="3"/>
        <v>0.3535533906</v>
      </c>
      <c r="U519" s="15">
        <f t="shared" si="4"/>
        <v>0.01322654391</v>
      </c>
      <c r="V519" s="16">
        <f>IF(AND(L519="Among all respondents",NOT(OR(K519="Online poll in Telegram channel",K519="Website online poll",K519="CAWI (Computer Assisted Web Interviewing)"))),1/(1-MIN(MAX(Formula!$C$33+(YEAR(D519)-Formula!$C$34)/(Formula!$C$35-Formula!$C$34)*(Formula!$C$32-Formula!$C$33),Formula!$C$33),Formula!$C$32)),1)</f>
        <v>1</v>
      </c>
      <c r="W519" s="17">
        <f t="shared" si="5"/>
        <v>9</v>
      </c>
    </row>
    <row r="520" ht="15.75" customHeight="1">
      <c r="A520" s="8" t="s">
        <v>1062</v>
      </c>
      <c r="B520" s="7" t="s">
        <v>1058</v>
      </c>
      <c r="C520" s="13" t="s">
        <v>1059</v>
      </c>
      <c r="D520" s="7" t="s">
        <v>109</v>
      </c>
      <c r="E520" s="8" t="s">
        <v>85</v>
      </c>
      <c r="F520" s="8" t="s">
        <v>318</v>
      </c>
      <c r="G520" s="7" t="s">
        <v>1060</v>
      </c>
      <c r="H520" s="7" t="s">
        <v>109</v>
      </c>
      <c r="I520" s="8">
        <v>49500.0</v>
      </c>
      <c r="K520" s="8" t="s">
        <v>877</v>
      </c>
      <c r="L520" s="8" t="s">
        <v>322</v>
      </c>
      <c r="M520" s="8" t="s">
        <v>329</v>
      </c>
      <c r="N520" s="8">
        <v>6.0</v>
      </c>
      <c r="O520" s="14">
        <f t="shared" si="1"/>
        <v>44896</v>
      </c>
      <c r="P520" s="15">
        <f>IFERROR(VLOOKUP(K520,Formula!$A$11:$B$20,2,FALSE),Formula!$C$26)</f>
        <v>0.2</v>
      </c>
      <c r="Q520" s="15">
        <f>IF(AND(ISNUMBER(J520),J520&gt;0),1/J520,IF(AND(ISNUMBER(I520),I520&gt;0),SQRT(MIN(I520,Formula!$C$27))/Formula!$C$24,1/Formula!$C$25))</f>
        <v>0.7215375318</v>
      </c>
      <c r="R520" s="15">
        <f t="shared" si="2"/>
        <v>0.1443075064</v>
      </c>
      <c r="S520" s="15">
        <f>IF(H520&lt;&gt;"",EXP(-Formula!$C$28*(EOMONTH(H520,0)-H520)),EXP(-Formula!$C$28*(EOMONTH(D520,0)-D520)))</f>
        <v>0.2592402606</v>
      </c>
      <c r="T520" s="15">
        <f t="shared" si="3"/>
        <v>0.3535533906</v>
      </c>
      <c r="U520" s="15">
        <f t="shared" si="4"/>
        <v>0.01322654391</v>
      </c>
      <c r="V520" s="16">
        <f>IF(AND(L520="Among all respondents",NOT(OR(K520="Online poll in Telegram channel",K520="Website online poll",K520="CAWI (Computer Assisted Web Interviewing)"))),1/(1-MIN(MAX(Formula!$C$33+(YEAR(D520)-Formula!$C$34)/(Formula!$C$35-Formula!$C$34)*(Formula!$C$32-Formula!$C$33),Formula!$C$33),Formula!$C$32)),1)</f>
        <v>1</v>
      </c>
      <c r="W520" s="17">
        <f t="shared" si="5"/>
        <v>6</v>
      </c>
    </row>
    <row r="521" ht="15.75" customHeight="1">
      <c r="A521" s="8" t="s">
        <v>1063</v>
      </c>
      <c r="B521" s="7" t="s">
        <v>1058</v>
      </c>
      <c r="C521" s="13" t="s">
        <v>1059</v>
      </c>
      <c r="D521" s="7" t="s">
        <v>109</v>
      </c>
      <c r="E521" s="8" t="s">
        <v>85</v>
      </c>
      <c r="F521" s="8" t="s">
        <v>318</v>
      </c>
      <c r="G521" s="7" t="s">
        <v>1060</v>
      </c>
      <c r="H521" s="7" t="s">
        <v>109</v>
      </c>
      <c r="I521" s="8">
        <v>49500.0</v>
      </c>
      <c r="K521" s="8" t="s">
        <v>877</v>
      </c>
      <c r="L521" s="8" t="s">
        <v>322</v>
      </c>
      <c r="M521" s="8" t="s">
        <v>337</v>
      </c>
      <c r="N521" s="8">
        <v>3.0</v>
      </c>
      <c r="O521" s="14">
        <f t="shared" si="1"/>
        <v>44896</v>
      </c>
      <c r="P521" s="15">
        <f>IFERROR(VLOOKUP(K521,Formula!$A$11:$B$20,2,FALSE),Formula!$C$26)</f>
        <v>0.2</v>
      </c>
      <c r="Q521" s="15">
        <f>IF(AND(ISNUMBER(J521),J521&gt;0),1/J521,IF(AND(ISNUMBER(I521),I521&gt;0),SQRT(MIN(I521,Formula!$C$27))/Formula!$C$24,1/Formula!$C$25))</f>
        <v>0.7215375318</v>
      </c>
      <c r="R521" s="15">
        <f t="shared" si="2"/>
        <v>0.1443075064</v>
      </c>
      <c r="S521" s="15">
        <f>IF(H521&lt;&gt;"",EXP(-Formula!$C$28*(EOMONTH(H521,0)-H521)),EXP(-Formula!$C$28*(EOMONTH(D521,0)-D521)))</f>
        <v>0.2592402606</v>
      </c>
      <c r="T521" s="15">
        <f t="shared" si="3"/>
        <v>0.3535533906</v>
      </c>
      <c r="U521" s="15">
        <f t="shared" si="4"/>
        <v>0.01322654391</v>
      </c>
      <c r="V521" s="16">
        <f>IF(AND(L521="Among all respondents",NOT(OR(K521="Online poll in Telegram channel",K521="Website online poll",K521="CAWI (Computer Assisted Web Interviewing)"))),1/(1-MIN(MAX(Formula!$C$33+(YEAR(D521)-Formula!$C$34)/(Formula!$C$35-Formula!$C$34)*(Formula!$C$32-Formula!$C$33),Formula!$C$33),Formula!$C$32)),1)</f>
        <v>1</v>
      </c>
      <c r="W521" s="17">
        <f t="shared" si="5"/>
        <v>3</v>
      </c>
    </row>
    <row r="522" ht="15.75" customHeight="1">
      <c r="A522" s="8" t="s">
        <v>1064</v>
      </c>
      <c r="B522" s="7" t="s">
        <v>1058</v>
      </c>
      <c r="C522" s="13" t="s">
        <v>1059</v>
      </c>
      <c r="D522" s="7" t="s">
        <v>109</v>
      </c>
      <c r="E522" s="8" t="s">
        <v>85</v>
      </c>
      <c r="F522" s="8" t="s">
        <v>318</v>
      </c>
      <c r="G522" s="7" t="s">
        <v>1060</v>
      </c>
      <c r="H522" s="7" t="s">
        <v>109</v>
      </c>
      <c r="I522" s="8">
        <v>49500.0</v>
      </c>
      <c r="K522" s="8" t="s">
        <v>877</v>
      </c>
      <c r="L522" s="8" t="s">
        <v>322</v>
      </c>
      <c r="M522" s="8" t="s">
        <v>339</v>
      </c>
      <c r="N522" s="8">
        <v>3.0</v>
      </c>
      <c r="O522" s="14">
        <f t="shared" si="1"/>
        <v>44896</v>
      </c>
      <c r="P522" s="15">
        <f>IFERROR(VLOOKUP(K522,Formula!$A$11:$B$20,2,FALSE),Formula!$C$26)</f>
        <v>0.2</v>
      </c>
      <c r="Q522" s="15">
        <f>IF(AND(ISNUMBER(J522),J522&gt;0),1/J522,IF(AND(ISNUMBER(I522),I522&gt;0),SQRT(MIN(I522,Formula!$C$27))/Formula!$C$24,1/Formula!$C$25))</f>
        <v>0.7215375318</v>
      </c>
      <c r="R522" s="15">
        <f t="shared" si="2"/>
        <v>0.1443075064</v>
      </c>
      <c r="S522" s="15">
        <f>IF(H522&lt;&gt;"",EXP(-Formula!$C$28*(EOMONTH(H522,0)-H522)),EXP(-Formula!$C$28*(EOMONTH(D522,0)-D522)))</f>
        <v>0.2592402606</v>
      </c>
      <c r="T522" s="15">
        <f t="shared" si="3"/>
        <v>0.3535533906</v>
      </c>
      <c r="U522" s="15">
        <f t="shared" si="4"/>
        <v>0.01322654391</v>
      </c>
      <c r="V522" s="16">
        <f>IF(AND(L522="Among all respondents",NOT(OR(K522="Online poll in Telegram channel",K522="Website online poll",K522="CAWI (Computer Assisted Web Interviewing)"))),1/(1-MIN(MAX(Formula!$C$33+(YEAR(D522)-Formula!$C$34)/(Formula!$C$35-Formula!$C$34)*(Formula!$C$32-Formula!$C$33),Formula!$C$33),Formula!$C$32)),1)</f>
        <v>1</v>
      </c>
      <c r="W522" s="17">
        <f t="shared" si="5"/>
        <v>3</v>
      </c>
    </row>
    <row r="523" ht="15.75" customHeight="1">
      <c r="A523" s="8" t="s">
        <v>1065</v>
      </c>
      <c r="B523" s="7" t="s">
        <v>1058</v>
      </c>
      <c r="C523" s="13" t="s">
        <v>1059</v>
      </c>
      <c r="D523" s="7" t="s">
        <v>109</v>
      </c>
      <c r="E523" s="8" t="s">
        <v>85</v>
      </c>
      <c r="F523" s="8" t="s">
        <v>318</v>
      </c>
      <c r="G523" s="7" t="s">
        <v>1060</v>
      </c>
      <c r="H523" s="7" t="s">
        <v>109</v>
      </c>
      <c r="I523" s="8">
        <v>49500.0</v>
      </c>
      <c r="K523" s="8" t="s">
        <v>877</v>
      </c>
      <c r="L523" s="8" t="s">
        <v>322</v>
      </c>
      <c r="M523" s="8" t="s">
        <v>341</v>
      </c>
      <c r="N523" s="8">
        <v>2.0</v>
      </c>
      <c r="O523" s="14">
        <f t="shared" si="1"/>
        <v>44896</v>
      </c>
      <c r="P523" s="15">
        <f>IFERROR(VLOOKUP(K523,Formula!$A$11:$B$20,2,FALSE),Formula!$C$26)</f>
        <v>0.2</v>
      </c>
      <c r="Q523" s="15">
        <f>IF(AND(ISNUMBER(J523),J523&gt;0),1/J523,IF(AND(ISNUMBER(I523),I523&gt;0),SQRT(MIN(I523,Formula!$C$27))/Formula!$C$24,1/Formula!$C$25))</f>
        <v>0.7215375318</v>
      </c>
      <c r="R523" s="15">
        <f t="shared" si="2"/>
        <v>0.1443075064</v>
      </c>
      <c r="S523" s="15">
        <f>IF(H523&lt;&gt;"",EXP(-Formula!$C$28*(EOMONTH(H523,0)-H523)),EXP(-Formula!$C$28*(EOMONTH(D523,0)-D523)))</f>
        <v>0.2592402606</v>
      </c>
      <c r="T523" s="15">
        <f t="shared" si="3"/>
        <v>0.3535533906</v>
      </c>
      <c r="U523" s="15">
        <f t="shared" si="4"/>
        <v>0.01322654391</v>
      </c>
      <c r="V523" s="16">
        <f>IF(AND(L523="Among all respondents",NOT(OR(K523="Online poll in Telegram channel",K523="Website online poll",K523="CAWI (Computer Assisted Web Interviewing)"))),1/(1-MIN(MAX(Formula!$C$33+(YEAR(D523)-Formula!$C$34)/(Formula!$C$35-Formula!$C$34)*(Formula!$C$32-Formula!$C$33),Formula!$C$33),Formula!$C$32)),1)</f>
        <v>1</v>
      </c>
      <c r="W523" s="17">
        <f t="shared" si="5"/>
        <v>2</v>
      </c>
    </row>
    <row r="524" ht="15.75" customHeight="1">
      <c r="A524" s="8" t="s">
        <v>1066</v>
      </c>
      <c r="B524" s="7" t="s">
        <v>1058</v>
      </c>
      <c r="C524" s="13" t="s">
        <v>1059</v>
      </c>
      <c r="D524" s="7" t="s">
        <v>109</v>
      </c>
      <c r="E524" s="8" t="s">
        <v>85</v>
      </c>
      <c r="F524" s="8" t="s">
        <v>318</v>
      </c>
      <c r="G524" s="7" t="s">
        <v>1060</v>
      </c>
      <c r="H524" s="7" t="s">
        <v>109</v>
      </c>
      <c r="I524" s="8">
        <v>49500.0</v>
      </c>
      <c r="K524" s="8" t="s">
        <v>877</v>
      </c>
      <c r="L524" s="8" t="s">
        <v>322</v>
      </c>
      <c r="M524" s="8" t="s">
        <v>362</v>
      </c>
      <c r="N524" s="8">
        <v>1.0</v>
      </c>
      <c r="O524" s="14">
        <f t="shared" si="1"/>
        <v>44896</v>
      </c>
      <c r="P524" s="15">
        <f>IFERROR(VLOOKUP(K524,Formula!$A$11:$B$20,2,FALSE),Formula!$C$26)</f>
        <v>0.2</v>
      </c>
      <c r="Q524" s="15">
        <f>IF(AND(ISNUMBER(J524),J524&gt;0),1/J524,IF(AND(ISNUMBER(I524),I524&gt;0),SQRT(MIN(I524,Formula!$C$27))/Formula!$C$24,1/Formula!$C$25))</f>
        <v>0.7215375318</v>
      </c>
      <c r="R524" s="15">
        <f t="shared" si="2"/>
        <v>0.1443075064</v>
      </c>
      <c r="S524" s="15">
        <f>IF(H524&lt;&gt;"",EXP(-Formula!$C$28*(EOMONTH(H524,0)-H524)),EXP(-Formula!$C$28*(EOMONTH(D524,0)-D524)))</f>
        <v>0.2592402606</v>
      </c>
      <c r="T524" s="15">
        <f t="shared" si="3"/>
        <v>0.3535533906</v>
      </c>
      <c r="U524" s="15">
        <f t="shared" si="4"/>
        <v>0.01322654391</v>
      </c>
      <c r="V524" s="16">
        <f>IF(AND(L524="Among all respondents",NOT(OR(K524="Online poll in Telegram channel",K524="Website online poll",K524="CAWI (Computer Assisted Web Interviewing)"))),1/(1-MIN(MAX(Formula!$C$33+(YEAR(D524)-Formula!$C$34)/(Formula!$C$35-Formula!$C$34)*(Formula!$C$32-Formula!$C$33),Formula!$C$33),Formula!$C$32)),1)</f>
        <v>1</v>
      </c>
      <c r="W524" s="17">
        <f t="shared" si="5"/>
        <v>1</v>
      </c>
    </row>
    <row r="525" ht="15.75" customHeight="1">
      <c r="A525" s="8" t="s">
        <v>1067</v>
      </c>
      <c r="B525" s="7" t="s">
        <v>1058</v>
      </c>
      <c r="C525" s="13" t="s">
        <v>1059</v>
      </c>
      <c r="D525" s="7" t="s">
        <v>109</v>
      </c>
      <c r="E525" s="8" t="s">
        <v>85</v>
      </c>
      <c r="F525" s="8" t="s">
        <v>318</v>
      </c>
      <c r="G525" s="7" t="s">
        <v>1060</v>
      </c>
      <c r="H525" s="7" t="s">
        <v>109</v>
      </c>
      <c r="I525" s="8">
        <v>49500.0</v>
      </c>
      <c r="K525" s="8" t="s">
        <v>877</v>
      </c>
      <c r="L525" s="8" t="s">
        <v>322</v>
      </c>
      <c r="M525" s="8" t="s">
        <v>333</v>
      </c>
      <c r="N525" s="8">
        <v>1.0</v>
      </c>
      <c r="O525" s="14">
        <f t="shared" si="1"/>
        <v>44896</v>
      </c>
      <c r="P525" s="15">
        <f>IFERROR(VLOOKUP(K525,Formula!$A$11:$B$20,2,FALSE),Formula!$C$26)</f>
        <v>0.2</v>
      </c>
      <c r="Q525" s="15">
        <f>IF(AND(ISNUMBER(J525),J525&gt;0),1/J525,IF(AND(ISNUMBER(I525),I525&gt;0),SQRT(MIN(I525,Formula!$C$27))/Formula!$C$24,1/Formula!$C$25))</f>
        <v>0.7215375318</v>
      </c>
      <c r="R525" s="15">
        <f t="shared" si="2"/>
        <v>0.1443075064</v>
      </c>
      <c r="S525" s="15">
        <f>IF(H525&lt;&gt;"",EXP(-Formula!$C$28*(EOMONTH(H525,0)-H525)),EXP(-Formula!$C$28*(EOMONTH(D525,0)-D525)))</f>
        <v>0.2592402606</v>
      </c>
      <c r="T525" s="15">
        <f t="shared" si="3"/>
        <v>0.3535533906</v>
      </c>
      <c r="U525" s="15">
        <f t="shared" si="4"/>
        <v>0.01322654391</v>
      </c>
      <c r="V525" s="16">
        <f>IF(AND(L525="Among all respondents",NOT(OR(K525="Online poll in Telegram channel",K525="Website online poll",K525="CAWI (Computer Assisted Web Interviewing)"))),1/(1-MIN(MAX(Formula!$C$33+(YEAR(D525)-Formula!$C$34)/(Formula!$C$35-Formula!$C$34)*(Formula!$C$32-Formula!$C$33),Formula!$C$33),Formula!$C$32)),1)</f>
        <v>1</v>
      </c>
      <c r="W525" s="17">
        <f t="shared" si="5"/>
        <v>1</v>
      </c>
    </row>
    <row r="526" ht="15.75" customHeight="1">
      <c r="A526" s="8" t="s">
        <v>1068</v>
      </c>
      <c r="B526" s="7" t="s">
        <v>1069</v>
      </c>
      <c r="C526" s="13" t="s">
        <v>1070</v>
      </c>
      <c r="D526" s="7" t="s">
        <v>114</v>
      </c>
      <c r="E526" s="8" t="s">
        <v>115</v>
      </c>
      <c r="F526" s="8" t="s">
        <v>318</v>
      </c>
      <c r="G526" s="7" t="s">
        <v>116</v>
      </c>
      <c r="H526" s="7" t="s">
        <v>1071</v>
      </c>
      <c r="I526" s="8">
        <v>2037.0</v>
      </c>
      <c r="J526" s="8">
        <v>2.2</v>
      </c>
      <c r="K526" s="8" t="s">
        <v>321</v>
      </c>
      <c r="L526" s="8" t="s">
        <v>322</v>
      </c>
      <c r="M526" s="8" t="s">
        <v>323</v>
      </c>
      <c r="N526" s="8">
        <v>73.5</v>
      </c>
      <c r="O526" s="14">
        <f t="shared" si="1"/>
        <v>44866</v>
      </c>
      <c r="P526" s="15">
        <f>IFERROR(VLOOKUP(K526,Formula!$A$11:$B$20,2,FALSE),Formula!$C$26)</f>
        <v>0.9</v>
      </c>
      <c r="Q526" s="15">
        <f>IF(AND(ISNUMBER(J526),J526&gt;0),1/J526,IF(AND(ISNUMBER(I526),I526&gt;0),SQRT(MIN(I526,Formula!$C$27))/Formula!$C$24,1/Formula!$C$25))</f>
        <v>0.4545454545</v>
      </c>
      <c r="R526" s="15">
        <f t="shared" si="2"/>
        <v>0.4090909091</v>
      </c>
      <c r="S526" s="15">
        <f>IF(H526&lt;&gt;"",EXP(-Formula!$C$28*(EOMONTH(H526,0)-H526)),EXP(-Formula!$C$28*(EOMONTH(D526,0)-D526)))</f>
        <v>0.4493289641</v>
      </c>
      <c r="T526" s="15">
        <f t="shared" si="3"/>
        <v>0.316227766</v>
      </c>
      <c r="U526" s="15">
        <f t="shared" si="4"/>
        <v>0.05812784776</v>
      </c>
      <c r="V526" s="16">
        <f>IF(AND(L526="Among all respondents",NOT(OR(K526="Online poll in Telegram channel",K526="Website online poll",K526="CAWI (Computer Assisted Web Interviewing)"))),1/(1-MIN(MAX(Formula!$C$33+(YEAR(D526)-Formula!$C$34)/(Formula!$C$35-Formula!$C$34)*(Formula!$C$32-Formula!$C$33),Formula!$C$33),Formula!$C$32)),1)</f>
        <v>1</v>
      </c>
      <c r="W526" s="17">
        <f t="shared" si="5"/>
        <v>73.5</v>
      </c>
    </row>
    <row r="527" ht="15.75" customHeight="1">
      <c r="A527" s="8" t="s">
        <v>1072</v>
      </c>
      <c r="B527" s="7" t="s">
        <v>1069</v>
      </c>
      <c r="C527" s="13" t="s">
        <v>1070</v>
      </c>
      <c r="D527" s="7" t="s">
        <v>114</v>
      </c>
      <c r="E527" s="8" t="s">
        <v>115</v>
      </c>
      <c r="F527" s="8" t="s">
        <v>318</v>
      </c>
      <c r="G527" s="7" t="s">
        <v>116</v>
      </c>
      <c r="H527" s="7" t="s">
        <v>1071</v>
      </c>
      <c r="I527" s="8">
        <v>2037.0</v>
      </c>
      <c r="J527" s="8">
        <v>2.2</v>
      </c>
      <c r="K527" s="8" t="s">
        <v>321</v>
      </c>
      <c r="L527" s="8" t="s">
        <v>322</v>
      </c>
      <c r="M527" s="8" t="s">
        <v>325</v>
      </c>
      <c r="N527" s="8">
        <v>11.6</v>
      </c>
      <c r="O527" s="14">
        <f t="shared" si="1"/>
        <v>44866</v>
      </c>
      <c r="P527" s="15">
        <f>IFERROR(VLOOKUP(K527,Formula!$A$11:$B$20,2,FALSE),Formula!$C$26)</f>
        <v>0.9</v>
      </c>
      <c r="Q527" s="15">
        <f>IF(AND(ISNUMBER(J527),J527&gt;0),1/J527,IF(AND(ISNUMBER(I527),I527&gt;0),SQRT(MIN(I527,Formula!$C$27))/Formula!$C$24,1/Formula!$C$25))</f>
        <v>0.4545454545</v>
      </c>
      <c r="R527" s="15">
        <f t="shared" si="2"/>
        <v>0.4090909091</v>
      </c>
      <c r="S527" s="15">
        <f>IF(H527&lt;&gt;"",EXP(-Formula!$C$28*(EOMONTH(H527,0)-H527)),EXP(-Formula!$C$28*(EOMONTH(D527,0)-D527)))</f>
        <v>0.4493289641</v>
      </c>
      <c r="T527" s="15">
        <f t="shared" si="3"/>
        <v>0.316227766</v>
      </c>
      <c r="U527" s="15">
        <f t="shared" si="4"/>
        <v>0.05812784776</v>
      </c>
      <c r="V527" s="16">
        <f>IF(AND(L527="Among all respondents",NOT(OR(K527="Online poll in Telegram channel",K527="Website online poll",K527="CAWI (Computer Assisted Web Interviewing)"))),1/(1-MIN(MAX(Formula!$C$33+(YEAR(D527)-Formula!$C$34)/(Formula!$C$35-Formula!$C$34)*(Formula!$C$32-Formula!$C$33),Formula!$C$33),Formula!$C$32)),1)</f>
        <v>1</v>
      </c>
      <c r="W527" s="17">
        <f t="shared" si="5"/>
        <v>11.6</v>
      </c>
    </row>
    <row r="528" ht="15.75" customHeight="1">
      <c r="A528" s="8" t="s">
        <v>1073</v>
      </c>
      <c r="B528" s="7" t="s">
        <v>1069</v>
      </c>
      <c r="C528" s="13" t="s">
        <v>1070</v>
      </c>
      <c r="D528" s="7" t="s">
        <v>114</v>
      </c>
      <c r="E528" s="8" t="s">
        <v>115</v>
      </c>
      <c r="F528" s="8" t="s">
        <v>318</v>
      </c>
      <c r="G528" s="7" t="s">
        <v>116</v>
      </c>
      <c r="H528" s="7" t="s">
        <v>1071</v>
      </c>
      <c r="I528" s="8">
        <v>2037.0</v>
      </c>
      <c r="J528" s="8">
        <v>2.2</v>
      </c>
      <c r="K528" s="8" t="s">
        <v>321</v>
      </c>
      <c r="L528" s="8" t="s">
        <v>322</v>
      </c>
      <c r="M528" s="8" t="s">
        <v>329</v>
      </c>
      <c r="N528" s="8">
        <v>5.3</v>
      </c>
      <c r="O528" s="14">
        <f t="shared" si="1"/>
        <v>44866</v>
      </c>
      <c r="P528" s="15">
        <f>IFERROR(VLOOKUP(K528,Formula!$A$11:$B$20,2,FALSE),Formula!$C$26)</f>
        <v>0.9</v>
      </c>
      <c r="Q528" s="15">
        <f>IF(AND(ISNUMBER(J528),J528&gt;0),1/J528,IF(AND(ISNUMBER(I528),I528&gt;0),SQRT(MIN(I528,Formula!$C$27))/Formula!$C$24,1/Formula!$C$25))</f>
        <v>0.4545454545</v>
      </c>
      <c r="R528" s="15">
        <f t="shared" si="2"/>
        <v>0.4090909091</v>
      </c>
      <c r="S528" s="15">
        <f>IF(H528&lt;&gt;"",EXP(-Formula!$C$28*(EOMONTH(H528,0)-H528)),EXP(-Formula!$C$28*(EOMONTH(D528,0)-D528)))</f>
        <v>0.4493289641</v>
      </c>
      <c r="T528" s="15">
        <f t="shared" si="3"/>
        <v>0.316227766</v>
      </c>
      <c r="U528" s="15">
        <f t="shared" si="4"/>
        <v>0.05812784776</v>
      </c>
      <c r="V528" s="16">
        <f>IF(AND(L528="Among all respondents",NOT(OR(K528="Online poll in Telegram channel",K528="Website online poll",K528="CAWI (Computer Assisted Web Interviewing)"))),1/(1-MIN(MAX(Formula!$C$33+(YEAR(D528)-Formula!$C$34)/(Formula!$C$35-Formula!$C$34)*(Formula!$C$32-Formula!$C$33),Formula!$C$33),Formula!$C$32)),1)</f>
        <v>1</v>
      </c>
      <c r="W528" s="17">
        <f t="shared" si="5"/>
        <v>5.3</v>
      </c>
    </row>
    <row r="529" ht="15.75" customHeight="1">
      <c r="A529" s="8" t="s">
        <v>1074</v>
      </c>
      <c r="B529" s="7" t="s">
        <v>1069</v>
      </c>
      <c r="C529" s="13" t="s">
        <v>1070</v>
      </c>
      <c r="D529" s="7" t="s">
        <v>114</v>
      </c>
      <c r="E529" s="8" t="s">
        <v>115</v>
      </c>
      <c r="F529" s="8" t="s">
        <v>318</v>
      </c>
      <c r="G529" s="7" t="s">
        <v>116</v>
      </c>
      <c r="H529" s="7" t="s">
        <v>1071</v>
      </c>
      <c r="I529" s="8">
        <v>2037.0</v>
      </c>
      <c r="J529" s="8">
        <v>2.2</v>
      </c>
      <c r="K529" s="8" t="s">
        <v>321</v>
      </c>
      <c r="L529" s="8" t="s">
        <v>322</v>
      </c>
      <c r="M529" s="8" t="s">
        <v>339</v>
      </c>
      <c r="N529" s="8">
        <v>3.6</v>
      </c>
      <c r="O529" s="14">
        <f t="shared" si="1"/>
        <v>44866</v>
      </c>
      <c r="P529" s="15">
        <f>IFERROR(VLOOKUP(K529,Formula!$A$11:$B$20,2,FALSE),Formula!$C$26)</f>
        <v>0.9</v>
      </c>
      <c r="Q529" s="15">
        <f>IF(AND(ISNUMBER(J529),J529&gt;0),1/J529,IF(AND(ISNUMBER(I529),I529&gt;0),SQRT(MIN(I529,Formula!$C$27))/Formula!$C$24,1/Formula!$C$25))</f>
        <v>0.4545454545</v>
      </c>
      <c r="R529" s="15">
        <f t="shared" si="2"/>
        <v>0.4090909091</v>
      </c>
      <c r="S529" s="15">
        <f>IF(H529&lt;&gt;"",EXP(-Formula!$C$28*(EOMONTH(H529,0)-H529)),EXP(-Formula!$C$28*(EOMONTH(D529,0)-D529)))</f>
        <v>0.4493289641</v>
      </c>
      <c r="T529" s="15">
        <f t="shared" si="3"/>
        <v>0.316227766</v>
      </c>
      <c r="U529" s="15">
        <f t="shared" si="4"/>
        <v>0.05812784776</v>
      </c>
      <c r="V529" s="16">
        <f>IF(AND(L529="Among all respondents",NOT(OR(K529="Online poll in Telegram channel",K529="Website online poll",K529="CAWI (Computer Assisted Web Interviewing)"))),1/(1-MIN(MAX(Formula!$C$33+(YEAR(D529)-Formula!$C$34)/(Formula!$C$35-Formula!$C$34)*(Formula!$C$32-Formula!$C$33),Formula!$C$33),Formula!$C$32)),1)</f>
        <v>1</v>
      </c>
      <c r="W529" s="17">
        <f t="shared" si="5"/>
        <v>3.6</v>
      </c>
    </row>
    <row r="530" ht="15.75" customHeight="1">
      <c r="A530" s="8" t="s">
        <v>1075</v>
      </c>
      <c r="B530" s="7" t="s">
        <v>1069</v>
      </c>
      <c r="C530" s="13" t="s">
        <v>1070</v>
      </c>
      <c r="D530" s="7" t="s">
        <v>114</v>
      </c>
      <c r="E530" s="8" t="s">
        <v>115</v>
      </c>
      <c r="F530" s="8" t="s">
        <v>318</v>
      </c>
      <c r="G530" s="7" t="s">
        <v>116</v>
      </c>
      <c r="H530" s="7" t="s">
        <v>1071</v>
      </c>
      <c r="I530" s="8">
        <v>2037.0</v>
      </c>
      <c r="J530" s="8">
        <v>2.2</v>
      </c>
      <c r="K530" s="8" t="s">
        <v>321</v>
      </c>
      <c r="L530" s="8" t="s">
        <v>322</v>
      </c>
      <c r="M530" s="8" t="s">
        <v>828</v>
      </c>
      <c r="N530" s="8">
        <v>1.5</v>
      </c>
      <c r="O530" s="14">
        <f t="shared" si="1"/>
        <v>44866</v>
      </c>
      <c r="P530" s="15">
        <f>IFERROR(VLOOKUP(K530,Formula!$A$11:$B$20,2,FALSE),Formula!$C$26)</f>
        <v>0.9</v>
      </c>
      <c r="Q530" s="15">
        <f>IF(AND(ISNUMBER(J530),J530&gt;0),1/J530,IF(AND(ISNUMBER(I530),I530&gt;0),SQRT(MIN(I530,Formula!$C$27))/Formula!$C$24,1/Formula!$C$25))</f>
        <v>0.4545454545</v>
      </c>
      <c r="R530" s="15">
        <f t="shared" si="2"/>
        <v>0.4090909091</v>
      </c>
      <c r="S530" s="15">
        <f>IF(H530&lt;&gt;"",EXP(-Formula!$C$28*(EOMONTH(H530,0)-H530)),EXP(-Formula!$C$28*(EOMONTH(D530,0)-D530)))</f>
        <v>0.4493289641</v>
      </c>
      <c r="T530" s="15">
        <f t="shared" si="3"/>
        <v>0.316227766</v>
      </c>
      <c r="U530" s="15">
        <f t="shared" si="4"/>
        <v>0.05812784776</v>
      </c>
      <c r="V530" s="16">
        <f>IF(AND(L530="Among all respondents",NOT(OR(K530="Online poll in Telegram channel",K530="Website online poll",K530="CAWI (Computer Assisted Web Interviewing)"))),1/(1-MIN(MAX(Formula!$C$33+(YEAR(D530)-Formula!$C$34)/(Formula!$C$35-Formula!$C$34)*(Formula!$C$32-Formula!$C$33),Formula!$C$33),Formula!$C$32)),1)</f>
        <v>1</v>
      </c>
      <c r="W530" s="17">
        <f t="shared" si="5"/>
        <v>1.5</v>
      </c>
    </row>
    <row r="531" ht="15.75" customHeight="1">
      <c r="A531" s="8" t="s">
        <v>1076</v>
      </c>
      <c r="B531" s="7" t="s">
        <v>1069</v>
      </c>
      <c r="C531" s="13" t="s">
        <v>1070</v>
      </c>
      <c r="D531" s="7" t="s">
        <v>114</v>
      </c>
      <c r="E531" s="8" t="s">
        <v>115</v>
      </c>
      <c r="F531" s="8" t="s">
        <v>318</v>
      </c>
      <c r="G531" s="7" t="s">
        <v>116</v>
      </c>
      <c r="H531" s="7" t="s">
        <v>1071</v>
      </c>
      <c r="I531" s="8">
        <v>2037.0</v>
      </c>
      <c r="J531" s="8">
        <v>2.2</v>
      </c>
      <c r="K531" s="8" t="s">
        <v>321</v>
      </c>
      <c r="L531" s="8" t="s">
        <v>322</v>
      </c>
      <c r="M531" s="8" t="s">
        <v>337</v>
      </c>
      <c r="N531" s="8">
        <v>1.1</v>
      </c>
      <c r="O531" s="14">
        <f t="shared" si="1"/>
        <v>44866</v>
      </c>
      <c r="P531" s="15">
        <f>IFERROR(VLOOKUP(K531,Formula!$A$11:$B$20,2,FALSE),Formula!$C$26)</f>
        <v>0.9</v>
      </c>
      <c r="Q531" s="15">
        <f>IF(AND(ISNUMBER(J531),J531&gt;0),1/J531,IF(AND(ISNUMBER(I531),I531&gt;0),SQRT(MIN(I531,Formula!$C$27))/Formula!$C$24,1/Formula!$C$25))</f>
        <v>0.4545454545</v>
      </c>
      <c r="R531" s="15">
        <f t="shared" si="2"/>
        <v>0.4090909091</v>
      </c>
      <c r="S531" s="15">
        <f>IF(H531&lt;&gt;"",EXP(-Formula!$C$28*(EOMONTH(H531,0)-H531)),EXP(-Formula!$C$28*(EOMONTH(D531,0)-D531)))</f>
        <v>0.4493289641</v>
      </c>
      <c r="T531" s="15">
        <f t="shared" si="3"/>
        <v>0.316227766</v>
      </c>
      <c r="U531" s="15">
        <f t="shared" si="4"/>
        <v>0.05812784776</v>
      </c>
      <c r="V531" s="16">
        <f>IF(AND(L531="Among all respondents",NOT(OR(K531="Online poll in Telegram channel",K531="Website online poll",K531="CAWI (Computer Assisted Web Interviewing)"))),1/(1-MIN(MAX(Formula!$C$33+(YEAR(D531)-Formula!$C$34)/(Formula!$C$35-Formula!$C$34)*(Formula!$C$32-Formula!$C$33),Formula!$C$33),Formula!$C$32)),1)</f>
        <v>1</v>
      </c>
      <c r="W531" s="17">
        <f t="shared" si="5"/>
        <v>1.1</v>
      </c>
    </row>
    <row r="532" ht="15.75" customHeight="1">
      <c r="A532" s="8" t="s">
        <v>1077</v>
      </c>
      <c r="B532" s="7" t="s">
        <v>1069</v>
      </c>
      <c r="C532" s="13" t="s">
        <v>1070</v>
      </c>
      <c r="D532" s="7" t="s">
        <v>114</v>
      </c>
      <c r="E532" s="8" t="s">
        <v>115</v>
      </c>
      <c r="F532" s="8" t="s">
        <v>318</v>
      </c>
      <c r="G532" s="7" t="s">
        <v>116</v>
      </c>
      <c r="H532" s="7" t="s">
        <v>1071</v>
      </c>
      <c r="I532" s="8">
        <v>2037.0</v>
      </c>
      <c r="J532" s="8">
        <v>2.2</v>
      </c>
      <c r="K532" s="8" t="s">
        <v>321</v>
      </c>
      <c r="L532" s="8" t="s">
        <v>322</v>
      </c>
      <c r="M532" s="8" t="s">
        <v>365</v>
      </c>
      <c r="N532" s="8">
        <v>1.0</v>
      </c>
      <c r="O532" s="14">
        <f t="shared" si="1"/>
        <v>44866</v>
      </c>
      <c r="P532" s="15">
        <f>IFERROR(VLOOKUP(K532,Formula!$A$11:$B$20,2,FALSE),Formula!$C$26)</f>
        <v>0.9</v>
      </c>
      <c r="Q532" s="15">
        <f>IF(AND(ISNUMBER(J532),J532&gt;0),1/J532,IF(AND(ISNUMBER(I532),I532&gt;0),SQRT(MIN(I532,Formula!$C$27))/Formula!$C$24,1/Formula!$C$25))</f>
        <v>0.4545454545</v>
      </c>
      <c r="R532" s="15">
        <f t="shared" si="2"/>
        <v>0.4090909091</v>
      </c>
      <c r="S532" s="15">
        <f>IF(H532&lt;&gt;"",EXP(-Formula!$C$28*(EOMONTH(H532,0)-H532)),EXP(-Formula!$C$28*(EOMONTH(D532,0)-D532)))</f>
        <v>0.4493289641</v>
      </c>
      <c r="T532" s="15">
        <f t="shared" si="3"/>
        <v>0.316227766</v>
      </c>
      <c r="U532" s="15">
        <f t="shared" si="4"/>
        <v>0.05812784776</v>
      </c>
      <c r="V532" s="16">
        <f>IF(AND(L532="Among all respondents",NOT(OR(K532="Online poll in Telegram channel",K532="Website online poll",K532="CAWI (Computer Assisted Web Interviewing)"))),1/(1-MIN(MAX(Formula!$C$33+(YEAR(D532)-Formula!$C$34)/(Formula!$C$35-Formula!$C$34)*(Formula!$C$32-Formula!$C$33),Formula!$C$33),Formula!$C$32)),1)</f>
        <v>1</v>
      </c>
      <c r="W532" s="17">
        <f t="shared" si="5"/>
        <v>1</v>
      </c>
    </row>
    <row r="533" ht="15.75" customHeight="1">
      <c r="A533" s="8" t="s">
        <v>1078</v>
      </c>
      <c r="B533" s="7" t="s">
        <v>1069</v>
      </c>
      <c r="C533" s="13" t="s">
        <v>1070</v>
      </c>
      <c r="D533" s="7" t="s">
        <v>114</v>
      </c>
      <c r="E533" s="8" t="s">
        <v>115</v>
      </c>
      <c r="F533" s="8" t="s">
        <v>318</v>
      </c>
      <c r="G533" s="7" t="s">
        <v>116</v>
      </c>
      <c r="H533" s="7" t="s">
        <v>1071</v>
      </c>
      <c r="I533" s="8">
        <v>2037.0</v>
      </c>
      <c r="J533" s="8">
        <v>2.2</v>
      </c>
      <c r="K533" s="8" t="s">
        <v>321</v>
      </c>
      <c r="L533" s="8" t="s">
        <v>322</v>
      </c>
      <c r="M533" s="8" t="s">
        <v>362</v>
      </c>
      <c r="N533" s="8">
        <v>0.6</v>
      </c>
      <c r="O533" s="14">
        <f t="shared" si="1"/>
        <v>44866</v>
      </c>
      <c r="P533" s="15">
        <f>IFERROR(VLOOKUP(K533,Formula!$A$11:$B$20,2,FALSE),Formula!$C$26)</f>
        <v>0.9</v>
      </c>
      <c r="Q533" s="15">
        <f>IF(AND(ISNUMBER(J533),J533&gt;0),1/J533,IF(AND(ISNUMBER(I533),I533&gt;0),SQRT(MIN(I533,Formula!$C$27))/Formula!$C$24,1/Formula!$C$25))</f>
        <v>0.4545454545</v>
      </c>
      <c r="R533" s="15">
        <f t="shared" si="2"/>
        <v>0.4090909091</v>
      </c>
      <c r="S533" s="15">
        <f>IF(H533&lt;&gt;"",EXP(-Formula!$C$28*(EOMONTH(H533,0)-H533)),EXP(-Formula!$C$28*(EOMONTH(D533,0)-D533)))</f>
        <v>0.4493289641</v>
      </c>
      <c r="T533" s="15">
        <f t="shared" si="3"/>
        <v>0.316227766</v>
      </c>
      <c r="U533" s="15">
        <f t="shared" si="4"/>
        <v>0.05812784776</v>
      </c>
      <c r="V533" s="16">
        <f>IF(AND(L533="Among all respondents",NOT(OR(K533="Online poll in Telegram channel",K533="Website online poll",K533="CAWI (Computer Assisted Web Interviewing)"))),1/(1-MIN(MAX(Formula!$C$33+(YEAR(D533)-Formula!$C$34)/(Formula!$C$35-Formula!$C$34)*(Formula!$C$32-Formula!$C$33),Formula!$C$33),Formula!$C$32)),1)</f>
        <v>1</v>
      </c>
      <c r="W533" s="17">
        <f t="shared" si="5"/>
        <v>0.6</v>
      </c>
    </row>
    <row r="534" ht="15.75" customHeight="1">
      <c r="A534" s="8" t="s">
        <v>1079</v>
      </c>
      <c r="B534" s="7" t="s">
        <v>1069</v>
      </c>
      <c r="C534" s="13" t="s">
        <v>1070</v>
      </c>
      <c r="D534" s="7" t="s">
        <v>114</v>
      </c>
      <c r="E534" s="8" t="s">
        <v>115</v>
      </c>
      <c r="F534" s="8" t="s">
        <v>318</v>
      </c>
      <c r="G534" s="7" t="s">
        <v>116</v>
      </c>
      <c r="H534" s="7" t="s">
        <v>1071</v>
      </c>
      <c r="I534" s="8">
        <v>2037.0</v>
      </c>
      <c r="J534" s="8">
        <v>2.2</v>
      </c>
      <c r="K534" s="8" t="s">
        <v>321</v>
      </c>
      <c r="L534" s="8" t="s">
        <v>322</v>
      </c>
      <c r="M534" s="8" t="s">
        <v>343</v>
      </c>
      <c r="N534" s="8">
        <v>0.5</v>
      </c>
      <c r="O534" s="14">
        <f t="shared" si="1"/>
        <v>44866</v>
      </c>
      <c r="P534" s="15">
        <f>IFERROR(VLOOKUP(K534,Formula!$A$11:$B$20,2,FALSE),Formula!$C$26)</f>
        <v>0.9</v>
      </c>
      <c r="Q534" s="15">
        <f>IF(AND(ISNUMBER(J534),J534&gt;0),1/J534,IF(AND(ISNUMBER(I534),I534&gt;0),SQRT(MIN(I534,Formula!$C$27))/Formula!$C$24,1/Formula!$C$25))</f>
        <v>0.4545454545</v>
      </c>
      <c r="R534" s="15">
        <f t="shared" si="2"/>
        <v>0.4090909091</v>
      </c>
      <c r="S534" s="15">
        <f>IF(H534&lt;&gt;"",EXP(-Formula!$C$28*(EOMONTH(H534,0)-H534)),EXP(-Formula!$C$28*(EOMONTH(D534,0)-D534)))</f>
        <v>0.4493289641</v>
      </c>
      <c r="T534" s="15">
        <f t="shared" si="3"/>
        <v>0.316227766</v>
      </c>
      <c r="U534" s="15">
        <f t="shared" si="4"/>
        <v>0.05812784776</v>
      </c>
      <c r="V534" s="16">
        <f>IF(AND(L534="Among all respondents",NOT(OR(K534="Online poll in Telegram channel",K534="Website online poll",K534="CAWI (Computer Assisted Web Interviewing)"))),1/(1-MIN(MAX(Formula!$C$33+(YEAR(D534)-Formula!$C$34)/(Formula!$C$35-Formula!$C$34)*(Formula!$C$32-Formula!$C$33),Formula!$C$33),Formula!$C$32)),1)</f>
        <v>1</v>
      </c>
      <c r="W534" s="17">
        <f t="shared" si="5"/>
        <v>0.5</v>
      </c>
    </row>
    <row r="535" ht="15.75" customHeight="1">
      <c r="A535" s="8" t="s">
        <v>1080</v>
      </c>
      <c r="B535" s="7" t="s">
        <v>1069</v>
      </c>
      <c r="C535" s="13" t="s">
        <v>1070</v>
      </c>
      <c r="D535" s="7" t="s">
        <v>114</v>
      </c>
      <c r="E535" s="8" t="s">
        <v>115</v>
      </c>
      <c r="F535" s="8" t="s">
        <v>318</v>
      </c>
      <c r="G535" s="7" t="s">
        <v>116</v>
      </c>
      <c r="H535" s="7" t="s">
        <v>1071</v>
      </c>
      <c r="I535" s="8">
        <v>2037.0</v>
      </c>
      <c r="J535" s="8">
        <v>2.2</v>
      </c>
      <c r="K535" s="8" t="s">
        <v>321</v>
      </c>
      <c r="L535" s="8" t="s">
        <v>322</v>
      </c>
      <c r="M535" s="8" t="s">
        <v>388</v>
      </c>
      <c r="N535" s="8">
        <v>0.2</v>
      </c>
      <c r="O535" s="14">
        <f t="shared" si="1"/>
        <v>44866</v>
      </c>
      <c r="P535" s="15">
        <f>IFERROR(VLOOKUP(K535,Formula!$A$11:$B$20,2,FALSE),Formula!$C$26)</f>
        <v>0.9</v>
      </c>
      <c r="Q535" s="15">
        <f>IF(AND(ISNUMBER(J535),J535&gt;0),1/J535,IF(AND(ISNUMBER(I535),I535&gt;0),SQRT(MIN(I535,Formula!$C$27))/Formula!$C$24,1/Formula!$C$25))</f>
        <v>0.4545454545</v>
      </c>
      <c r="R535" s="15">
        <f t="shared" si="2"/>
        <v>0.4090909091</v>
      </c>
      <c r="S535" s="15">
        <f>IF(H535&lt;&gt;"",EXP(-Formula!$C$28*(EOMONTH(H535,0)-H535)),EXP(-Formula!$C$28*(EOMONTH(D535,0)-D535)))</f>
        <v>0.4493289641</v>
      </c>
      <c r="T535" s="15">
        <f t="shared" si="3"/>
        <v>0.316227766</v>
      </c>
      <c r="U535" s="15">
        <f t="shared" si="4"/>
        <v>0.05812784776</v>
      </c>
      <c r="V535" s="16">
        <f>IF(AND(L535="Among all respondents",NOT(OR(K535="Online poll in Telegram channel",K535="Website online poll",K535="CAWI (Computer Assisted Web Interviewing)"))),1/(1-MIN(MAX(Formula!$C$33+(YEAR(D535)-Formula!$C$34)/(Formula!$C$35-Formula!$C$34)*(Formula!$C$32-Formula!$C$33),Formula!$C$33),Formula!$C$32)),1)</f>
        <v>1</v>
      </c>
      <c r="W535" s="17">
        <f t="shared" si="5"/>
        <v>0.2</v>
      </c>
    </row>
    <row r="536" ht="15.75" customHeight="1">
      <c r="A536" s="8" t="s">
        <v>1081</v>
      </c>
      <c r="B536" s="7" t="s">
        <v>1082</v>
      </c>
      <c r="C536" s="13" t="s">
        <v>1083</v>
      </c>
      <c r="D536" s="7" t="s">
        <v>113</v>
      </c>
      <c r="E536" s="8" t="s">
        <v>85</v>
      </c>
      <c r="F536" s="8" t="s">
        <v>318</v>
      </c>
      <c r="G536" s="7" t="s">
        <v>1084</v>
      </c>
      <c r="H536" s="7" t="s">
        <v>113</v>
      </c>
      <c r="I536" s="8">
        <v>49400.0</v>
      </c>
      <c r="K536" s="8" t="s">
        <v>877</v>
      </c>
      <c r="L536" s="8" t="s">
        <v>322</v>
      </c>
      <c r="M536" s="8" t="s">
        <v>323</v>
      </c>
      <c r="N536" s="8">
        <v>68.0</v>
      </c>
      <c r="O536" s="14">
        <f t="shared" si="1"/>
        <v>44866</v>
      </c>
      <c r="P536" s="15">
        <f>IFERROR(VLOOKUP(K536,Formula!$A$11:$B$20,2,FALSE),Formula!$C$26)</f>
        <v>0.2</v>
      </c>
      <c r="Q536" s="15">
        <f>IF(AND(ISNUMBER(J536),J536&gt;0),1/J536,IF(AND(ISNUMBER(I536),I536&gt;0),SQRT(MIN(I536,Formula!$C$27))/Formula!$C$24,1/Formula!$C$25))</f>
        <v>0.7215375318</v>
      </c>
      <c r="R536" s="15">
        <f t="shared" si="2"/>
        <v>0.1443075064</v>
      </c>
      <c r="S536" s="15">
        <f>IF(H536&lt;&gt;"",EXP(-Formula!$C$28*(EOMONTH(H536,0)-H536)),EXP(-Formula!$C$28*(EOMONTH(D536,0)-D536)))</f>
        <v>0.3011942119</v>
      </c>
      <c r="T536" s="15">
        <f t="shared" si="3"/>
        <v>0.3535533906</v>
      </c>
      <c r="U536" s="15">
        <f t="shared" si="4"/>
        <v>0.01536705163</v>
      </c>
      <c r="V536" s="16">
        <f>IF(AND(L536="Among all respondents",NOT(OR(K536="Online poll in Telegram channel",K536="Website online poll",K536="CAWI (Computer Assisted Web Interviewing)"))),1/(1-MIN(MAX(Formula!$C$33+(YEAR(D536)-Formula!$C$34)/(Formula!$C$35-Formula!$C$34)*(Formula!$C$32-Formula!$C$33),Formula!$C$33),Formula!$C$32)),1)</f>
        <v>1</v>
      </c>
      <c r="W536" s="17">
        <f t="shared" si="5"/>
        <v>68</v>
      </c>
    </row>
    <row r="537" ht="15.75" customHeight="1">
      <c r="A537" s="8" t="s">
        <v>1085</v>
      </c>
      <c r="B537" s="7" t="s">
        <v>1082</v>
      </c>
      <c r="C537" s="13" t="s">
        <v>1083</v>
      </c>
      <c r="D537" s="7" t="s">
        <v>113</v>
      </c>
      <c r="E537" s="8" t="s">
        <v>85</v>
      </c>
      <c r="F537" s="8" t="s">
        <v>318</v>
      </c>
      <c r="G537" s="7" t="s">
        <v>1084</v>
      </c>
      <c r="H537" s="7" t="s">
        <v>113</v>
      </c>
      <c r="I537" s="8">
        <v>49400.0</v>
      </c>
      <c r="K537" s="8" t="s">
        <v>877</v>
      </c>
      <c r="L537" s="8" t="s">
        <v>322</v>
      </c>
      <c r="M537" s="8" t="s">
        <v>325</v>
      </c>
      <c r="N537" s="8">
        <v>9.0</v>
      </c>
      <c r="O537" s="14">
        <f t="shared" si="1"/>
        <v>44866</v>
      </c>
      <c r="P537" s="15">
        <f>IFERROR(VLOOKUP(K537,Formula!$A$11:$B$20,2,FALSE),Formula!$C$26)</f>
        <v>0.2</v>
      </c>
      <c r="Q537" s="15">
        <f>IF(AND(ISNUMBER(J537),J537&gt;0),1/J537,IF(AND(ISNUMBER(I537),I537&gt;0),SQRT(MIN(I537,Formula!$C$27))/Formula!$C$24,1/Formula!$C$25))</f>
        <v>0.7215375318</v>
      </c>
      <c r="R537" s="15">
        <f t="shared" si="2"/>
        <v>0.1443075064</v>
      </c>
      <c r="S537" s="15">
        <f>IF(H537&lt;&gt;"",EXP(-Formula!$C$28*(EOMONTH(H537,0)-H537)),EXP(-Formula!$C$28*(EOMONTH(D537,0)-D537)))</f>
        <v>0.3011942119</v>
      </c>
      <c r="T537" s="15">
        <f t="shared" si="3"/>
        <v>0.3535533906</v>
      </c>
      <c r="U537" s="15">
        <f t="shared" si="4"/>
        <v>0.01536705163</v>
      </c>
      <c r="V537" s="16">
        <f>IF(AND(L537="Among all respondents",NOT(OR(K537="Online poll in Telegram channel",K537="Website online poll",K537="CAWI (Computer Assisted Web Interviewing)"))),1/(1-MIN(MAX(Formula!$C$33+(YEAR(D537)-Formula!$C$34)/(Formula!$C$35-Formula!$C$34)*(Formula!$C$32-Formula!$C$33),Formula!$C$33),Formula!$C$32)),1)</f>
        <v>1</v>
      </c>
      <c r="W537" s="17">
        <f t="shared" si="5"/>
        <v>9</v>
      </c>
    </row>
    <row r="538" ht="15.75" customHeight="1">
      <c r="A538" s="8" t="s">
        <v>1086</v>
      </c>
      <c r="B538" s="7" t="s">
        <v>1082</v>
      </c>
      <c r="C538" s="13" t="s">
        <v>1083</v>
      </c>
      <c r="D538" s="7" t="s">
        <v>113</v>
      </c>
      <c r="E538" s="8" t="s">
        <v>85</v>
      </c>
      <c r="F538" s="8" t="s">
        <v>318</v>
      </c>
      <c r="G538" s="7" t="s">
        <v>1084</v>
      </c>
      <c r="H538" s="7" t="s">
        <v>113</v>
      </c>
      <c r="I538" s="8">
        <v>49400.0</v>
      </c>
      <c r="K538" s="8" t="s">
        <v>877</v>
      </c>
      <c r="L538" s="8" t="s">
        <v>322</v>
      </c>
      <c r="M538" s="8" t="s">
        <v>329</v>
      </c>
      <c r="N538" s="8">
        <v>6.0</v>
      </c>
      <c r="O538" s="14">
        <f t="shared" si="1"/>
        <v>44866</v>
      </c>
      <c r="P538" s="15">
        <f>IFERROR(VLOOKUP(K538,Formula!$A$11:$B$20,2,FALSE),Formula!$C$26)</f>
        <v>0.2</v>
      </c>
      <c r="Q538" s="15">
        <f>IF(AND(ISNUMBER(J538),J538&gt;0),1/J538,IF(AND(ISNUMBER(I538),I538&gt;0),SQRT(MIN(I538,Formula!$C$27))/Formula!$C$24,1/Formula!$C$25))</f>
        <v>0.7215375318</v>
      </c>
      <c r="R538" s="15">
        <f t="shared" si="2"/>
        <v>0.1443075064</v>
      </c>
      <c r="S538" s="15">
        <f>IF(H538&lt;&gt;"",EXP(-Formula!$C$28*(EOMONTH(H538,0)-H538)),EXP(-Formula!$C$28*(EOMONTH(D538,0)-D538)))</f>
        <v>0.3011942119</v>
      </c>
      <c r="T538" s="15">
        <f t="shared" si="3"/>
        <v>0.3535533906</v>
      </c>
      <c r="U538" s="15">
        <f t="shared" si="4"/>
        <v>0.01536705163</v>
      </c>
      <c r="V538" s="16">
        <f>IF(AND(L538="Among all respondents",NOT(OR(K538="Online poll in Telegram channel",K538="Website online poll",K538="CAWI (Computer Assisted Web Interviewing)"))),1/(1-MIN(MAX(Formula!$C$33+(YEAR(D538)-Formula!$C$34)/(Formula!$C$35-Formula!$C$34)*(Formula!$C$32-Formula!$C$33),Formula!$C$33),Formula!$C$32)),1)</f>
        <v>1</v>
      </c>
      <c r="W538" s="17">
        <f t="shared" si="5"/>
        <v>6</v>
      </c>
    </row>
    <row r="539" ht="15.75" customHeight="1">
      <c r="A539" s="8" t="s">
        <v>1087</v>
      </c>
      <c r="B539" s="7" t="s">
        <v>1082</v>
      </c>
      <c r="C539" s="13" t="s">
        <v>1083</v>
      </c>
      <c r="D539" s="7" t="s">
        <v>113</v>
      </c>
      <c r="E539" s="8" t="s">
        <v>85</v>
      </c>
      <c r="F539" s="8" t="s">
        <v>318</v>
      </c>
      <c r="G539" s="7" t="s">
        <v>1084</v>
      </c>
      <c r="H539" s="7" t="s">
        <v>113</v>
      </c>
      <c r="I539" s="8">
        <v>49400.0</v>
      </c>
      <c r="K539" s="8" t="s">
        <v>877</v>
      </c>
      <c r="L539" s="8" t="s">
        <v>322</v>
      </c>
      <c r="M539" s="8" t="s">
        <v>339</v>
      </c>
      <c r="N539" s="8">
        <v>3.0</v>
      </c>
      <c r="O539" s="14">
        <f t="shared" si="1"/>
        <v>44866</v>
      </c>
      <c r="P539" s="15">
        <f>IFERROR(VLOOKUP(K539,Formula!$A$11:$B$20,2,FALSE),Formula!$C$26)</f>
        <v>0.2</v>
      </c>
      <c r="Q539" s="15">
        <f>IF(AND(ISNUMBER(J539),J539&gt;0),1/J539,IF(AND(ISNUMBER(I539),I539&gt;0),SQRT(MIN(I539,Formula!$C$27))/Formula!$C$24,1/Formula!$C$25))</f>
        <v>0.7215375318</v>
      </c>
      <c r="R539" s="15">
        <f t="shared" si="2"/>
        <v>0.1443075064</v>
      </c>
      <c r="S539" s="15">
        <f>IF(H539&lt;&gt;"",EXP(-Formula!$C$28*(EOMONTH(H539,0)-H539)),EXP(-Formula!$C$28*(EOMONTH(D539,0)-D539)))</f>
        <v>0.3011942119</v>
      </c>
      <c r="T539" s="15">
        <f t="shared" si="3"/>
        <v>0.3535533906</v>
      </c>
      <c r="U539" s="15">
        <f t="shared" si="4"/>
        <v>0.01536705163</v>
      </c>
      <c r="V539" s="16">
        <f>IF(AND(L539="Among all respondents",NOT(OR(K539="Online poll in Telegram channel",K539="Website online poll",K539="CAWI (Computer Assisted Web Interviewing)"))),1/(1-MIN(MAX(Formula!$C$33+(YEAR(D539)-Formula!$C$34)/(Formula!$C$35-Formula!$C$34)*(Formula!$C$32-Formula!$C$33),Formula!$C$33),Formula!$C$32)),1)</f>
        <v>1</v>
      </c>
      <c r="W539" s="17">
        <f t="shared" si="5"/>
        <v>3</v>
      </c>
    </row>
    <row r="540" ht="15.75" customHeight="1">
      <c r="A540" s="8" t="s">
        <v>1088</v>
      </c>
      <c r="B540" s="7" t="s">
        <v>1082</v>
      </c>
      <c r="C540" s="13" t="s">
        <v>1083</v>
      </c>
      <c r="D540" s="7" t="s">
        <v>113</v>
      </c>
      <c r="E540" s="8" t="s">
        <v>85</v>
      </c>
      <c r="F540" s="8" t="s">
        <v>318</v>
      </c>
      <c r="G540" s="7" t="s">
        <v>1084</v>
      </c>
      <c r="H540" s="7" t="s">
        <v>113</v>
      </c>
      <c r="I540" s="8">
        <v>49400.0</v>
      </c>
      <c r="K540" s="8" t="s">
        <v>877</v>
      </c>
      <c r="L540" s="8" t="s">
        <v>322</v>
      </c>
      <c r="M540" s="8" t="s">
        <v>341</v>
      </c>
      <c r="N540" s="8">
        <v>2.0</v>
      </c>
      <c r="O540" s="14">
        <f t="shared" si="1"/>
        <v>44866</v>
      </c>
      <c r="P540" s="15">
        <f>IFERROR(VLOOKUP(K540,Formula!$A$11:$B$20,2,FALSE),Formula!$C$26)</f>
        <v>0.2</v>
      </c>
      <c r="Q540" s="15">
        <f>IF(AND(ISNUMBER(J540),J540&gt;0),1/J540,IF(AND(ISNUMBER(I540),I540&gt;0),SQRT(MIN(I540,Formula!$C$27))/Formula!$C$24,1/Formula!$C$25))</f>
        <v>0.7215375318</v>
      </c>
      <c r="R540" s="15">
        <f t="shared" si="2"/>
        <v>0.1443075064</v>
      </c>
      <c r="S540" s="15">
        <f>IF(H540&lt;&gt;"",EXP(-Formula!$C$28*(EOMONTH(H540,0)-H540)),EXP(-Formula!$C$28*(EOMONTH(D540,0)-D540)))</f>
        <v>0.3011942119</v>
      </c>
      <c r="T540" s="15">
        <f t="shared" si="3"/>
        <v>0.3535533906</v>
      </c>
      <c r="U540" s="15">
        <f t="shared" si="4"/>
        <v>0.01536705163</v>
      </c>
      <c r="V540" s="16">
        <f>IF(AND(L540="Among all respondents",NOT(OR(K540="Online poll in Telegram channel",K540="Website online poll",K540="CAWI (Computer Assisted Web Interviewing)"))),1/(1-MIN(MAX(Formula!$C$33+(YEAR(D540)-Formula!$C$34)/(Formula!$C$35-Formula!$C$34)*(Formula!$C$32-Formula!$C$33),Formula!$C$33),Formula!$C$32)),1)</f>
        <v>1</v>
      </c>
      <c r="W540" s="17">
        <f t="shared" si="5"/>
        <v>2</v>
      </c>
    </row>
    <row r="541" ht="15.75" customHeight="1">
      <c r="A541" s="8" t="s">
        <v>1089</v>
      </c>
      <c r="B541" s="7" t="s">
        <v>1082</v>
      </c>
      <c r="C541" s="13" t="s">
        <v>1083</v>
      </c>
      <c r="D541" s="7" t="s">
        <v>113</v>
      </c>
      <c r="E541" s="8" t="s">
        <v>85</v>
      </c>
      <c r="F541" s="8" t="s">
        <v>318</v>
      </c>
      <c r="G541" s="7" t="s">
        <v>1084</v>
      </c>
      <c r="H541" s="7" t="s">
        <v>113</v>
      </c>
      <c r="I541" s="8">
        <v>49400.0</v>
      </c>
      <c r="K541" s="8" t="s">
        <v>877</v>
      </c>
      <c r="L541" s="8" t="s">
        <v>322</v>
      </c>
      <c r="M541" s="8" t="s">
        <v>362</v>
      </c>
      <c r="N541" s="8">
        <v>2.0</v>
      </c>
      <c r="O541" s="14">
        <f t="shared" si="1"/>
        <v>44866</v>
      </c>
      <c r="P541" s="15">
        <f>IFERROR(VLOOKUP(K541,Formula!$A$11:$B$20,2,FALSE),Formula!$C$26)</f>
        <v>0.2</v>
      </c>
      <c r="Q541" s="15">
        <f>IF(AND(ISNUMBER(J541),J541&gt;0),1/J541,IF(AND(ISNUMBER(I541),I541&gt;0),SQRT(MIN(I541,Formula!$C$27))/Formula!$C$24,1/Formula!$C$25))</f>
        <v>0.7215375318</v>
      </c>
      <c r="R541" s="15">
        <f t="shared" si="2"/>
        <v>0.1443075064</v>
      </c>
      <c r="S541" s="15">
        <f>IF(H541&lt;&gt;"",EXP(-Formula!$C$28*(EOMONTH(H541,0)-H541)),EXP(-Formula!$C$28*(EOMONTH(D541,0)-D541)))</f>
        <v>0.3011942119</v>
      </c>
      <c r="T541" s="15">
        <f t="shared" si="3"/>
        <v>0.3535533906</v>
      </c>
      <c r="U541" s="15">
        <f t="shared" si="4"/>
        <v>0.01536705163</v>
      </c>
      <c r="V541" s="16">
        <f>IF(AND(L541="Among all respondents",NOT(OR(K541="Online poll in Telegram channel",K541="Website online poll",K541="CAWI (Computer Assisted Web Interviewing)"))),1/(1-MIN(MAX(Formula!$C$33+(YEAR(D541)-Formula!$C$34)/(Formula!$C$35-Formula!$C$34)*(Formula!$C$32-Formula!$C$33),Formula!$C$33),Formula!$C$32)),1)</f>
        <v>1</v>
      </c>
      <c r="W541" s="17">
        <f t="shared" si="5"/>
        <v>2</v>
      </c>
    </row>
    <row r="542" ht="15.75" customHeight="1">
      <c r="A542" s="8" t="s">
        <v>1090</v>
      </c>
      <c r="B542" s="7" t="s">
        <v>1082</v>
      </c>
      <c r="C542" s="13" t="s">
        <v>1083</v>
      </c>
      <c r="D542" s="7" t="s">
        <v>113</v>
      </c>
      <c r="E542" s="8" t="s">
        <v>85</v>
      </c>
      <c r="F542" s="8" t="s">
        <v>318</v>
      </c>
      <c r="G542" s="7" t="s">
        <v>1084</v>
      </c>
      <c r="H542" s="7" t="s">
        <v>113</v>
      </c>
      <c r="I542" s="8">
        <v>49400.0</v>
      </c>
      <c r="K542" s="8" t="s">
        <v>877</v>
      </c>
      <c r="L542" s="8" t="s">
        <v>322</v>
      </c>
      <c r="M542" s="8" t="s">
        <v>337</v>
      </c>
      <c r="N542" s="8">
        <v>1.0</v>
      </c>
      <c r="O542" s="14">
        <f t="shared" si="1"/>
        <v>44866</v>
      </c>
      <c r="P542" s="15">
        <f>IFERROR(VLOOKUP(K542,Formula!$A$11:$B$20,2,FALSE),Formula!$C$26)</f>
        <v>0.2</v>
      </c>
      <c r="Q542" s="15">
        <f>IF(AND(ISNUMBER(J542),J542&gt;0),1/J542,IF(AND(ISNUMBER(I542),I542&gt;0),SQRT(MIN(I542,Formula!$C$27))/Formula!$C$24,1/Formula!$C$25))</f>
        <v>0.7215375318</v>
      </c>
      <c r="R542" s="15">
        <f t="shared" si="2"/>
        <v>0.1443075064</v>
      </c>
      <c r="S542" s="15">
        <f>IF(H542&lt;&gt;"",EXP(-Formula!$C$28*(EOMONTH(H542,0)-H542)),EXP(-Formula!$C$28*(EOMONTH(D542,0)-D542)))</f>
        <v>0.3011942119</v>
      </c>
      <c r="T542" s="15">
        <f t="shared" si="3"/>
        <v>0.3535533906</v>
      </c>
      <c r="U542" s="15">
        <f t="shared" si="4"/>
        <v>0.01536705163</v>
      </c>
      <c r="V542" s="16">
        <f>IF(AND(L542="Among all respondents",NOT(OR(K542="Online poll in Telegram channel",K542="Website online poll",K542="CAWI (Computer Assisted Web Interviewing)"))),1/(1-MIN(MAX(Formula!$C$33+(YEAR(D542)-Formula!$C$34)/(Formula!$C$35-Formula!$C$34)*(Formula!$C$32-Formula!$C$33),Formula!$C$33),Formula!$C$32)),1)</f>
        <v>1</v>
      </c>
      <c r="W542" s="17">
        <f t="shared" si="5"/>
        <v>1</v>
      </c>
    </row>
    <row r="543" ht="15.75" customHeight="1">
      <c r="A543" s="8" t="s">
        <v>1091</v>
      </c>
      <c r="B543" s="7" t="s">
        <v>1082</v>
      </c>
      <c r="C543" s="13" t="s">
        <v>1083</v>
      </c>
      <c r="D543" s="7" t="s">
        <v>113</v>
      </c>
      <c r="E543" s="8" t="s">
        <v>85</v>
      </c>
      <c r="F543" s="8" t="s">
        <v>318</v>
      </c>
      <c r="G543" s="7" t="s">
        <v>1084</v>
      </c>
      <c r="H543" s="7" t="s">
        <v>113</v>
      </c>
      <c r="I543" s="8">
        <v>49400.0</v>
      </c>
      <c r="K543" s="8" t="s">
        <v>877</v>
      </c>
      <c r="L543" s="8" t="s">
        <v>322</v>
      </c>
      <c r="M543" s="8" t="s">
        <v>333</v>
      </c>
      <c r="N543" s="8">
        <v>0.7</v>
      </c>
      <c r="O543" s="14">
        <f t="shared" si="1"/>
        <v>44866</v>
      </c>
      <c r="P543" s="15">
        <f>IFERROR(VLOOKUP(K543,Formula!$A$11:$B$20,2,FALSE),Formula!$C$26)</f>
        <v>0.2</v>
      </c>
      <c r="Q543" s="15">
        <f>IF(AND(ISNUMBER(J543),J543&gt;0),1/J543,IF(AND(ISNUMBER(I543),I543&gt;0),SQRT(MIN(I543,Formula!$C$27))/Formula!$C$24,1/Formula!$C$25))</f>
        <v>0.7215375318</v>
      </c>
      <c r="R543" s="15">
        <f t="shared" si="2"/>
        <v>0.1443075064</v>
      </c>
      <c r="S543" s="15">
        <f>IF(H543&lt;&gt;"",EXP(-Formula!$C$28*(EOMONTH(H543,0)-H543)),EXP(-Formula!$C$28*(EOMONTH(D543,0)-D543)))</f>
        <v>0.3011942119</v>
      </c>
      <c r="T543" s="15">
        <f t="shared" si="3"/>
        <v>0.3535533906</v>
      </c>
      <c r="U543" s="15">
        <f t="shared" si="4"/>
        <v>0.01536705163</v>
      </c>
      <c r="V543" s="16">
        <f>IF(AND(L543="Among all respondents",NOT(OR(K543="Online poll in Telegram channel",K543="Website online poll",K543="CAWI (Computer Assisted Web Interviewing)"))),1/(1-MIN(MAX(Formula!$C$33+(YEAR(D543)-Formula!$C$34)/(Formula!$C$35-Formula!$C$34)*(Formula!$C$32-Formula!$C$33),Formula!$C$33),Formula!$C$32)),1)</f>
        <v>1</v>
      </c>
      <c r="W543" s="17">
        <f t="shared" si="5"/>
        <v>0.7</v>
      </c>
    </row>
    <row r="544" ht="15.75" customHeight="1">
      <c r="A544" s="8" t="s">
        <v>1092</v>
      </c>
      <c r="B544" s="7" t="s">
        <v>1093</v>
      </c>
      <c r="C544" s="13" t="s">
        <v>1094</v>
      </c>
      <c r="D544" s="7" t="s">
        <v>111</v>
      </c>
      <c r="E544" s="8" t="s">
        <v>91</v>
      </c>
      <c r="F544" s="8" t="s">
        <v>318</v>
      </c>
      <c r="G544" s="7" t="s">
        <v>1095</v>
      </c>
      <c r="H544" s="7" t="s">
        <v>1096</v>
      </c>
      <c r="I544" s="8">
        <v>1502.0</v>
      </c>
      <c r="J544" s="8">
        <v>2.5</v>
      </c>
      <c r="K544" s="8" t="s">
        <v>321</v>
      </c>
      <c r="L544" s="8" t="s">
        <v>322</v>
      </c>
      <c r="M544" s="8" t="s">
        <v>323</v>
      </c>
      <c r="N544" s="8">
        <v>76.5</v>
      </c>
      <c r="O544" s="14">
        <f t="shared" si="1"/>
        <v>44866</v>
      </c>
      <c r="P544" s="15">
        <f>IFERROR(VLOOKUP(K544,Formula!$A$11:$B$20,2,FALSE),Formula!$C$26)</f>
        <v>0.9</v>
      </c>
      <c r="Q544" s="15">
        <f>IF(AND(ISNUMBER(J544),J544&gt;0),1/J544,IF(AND(ISNUMBER(I544),I544&gt;0),SQRT(MIN(I544,Formula!$C$27))/Formula!$C$24,1/Formula!$C$25))</f>
        <v>0.4</v>
      </c>
      <c r="R544" s="15">
        <f t="shared" si="2"/>
        <v>0.36</v>
      </c>
      <c r="S544" s="15">
        <f>IF(H544&lt;&gt;"",EXP(-Formula!$C$28*(EOMONTH(H544,0)-H544)),EXP(-Formula!$C$28*(EOMONTH(D544,0)-D544)))</f>
        <v>0.8607079764</v>
      </c>
      <c r="T544" s="15">
        <f t="shared" si="3"/>
        <v>0.3333333333</v>
      </c>
      <c r="U544" s="15">
        <f t="shared" si="4"/>
        <v>0.1032849572</v>
      </c>
      <c r="V544" s="16">
        <f>IF(AND(L544="Among all respondents",NOT(OR(K544="Online poll in Telegram channel",K544="Website online poll",K544="CAWI (Computer Assisted Web Interviewing)"))),1/(1-MIN(MAX(Formula!$C$33+(YEAR(D544)-Formula!$C$34)/(Formula!$C$35-Formula!$C$34)*(Formula!$C$32-Formula!$C$33),Formula!$C$33),Formula!$C$32)),1)</f>
        <v>1</v>
      </c>
      <c r="W544" s="17">
        <f t="shared" si="5"/>
        <v>76.5</v>
      </c>
    </row>
    <row r="545" ht="15.75" customHeight="1">
      <c r="A545" s="8" t="s">
        <v>1097</v>
      </c>
      <c r="B545" s="7" t="s">
        <v>1093</v>
      </c>
      <c r="C545" s="13" t="s">
        <v>1094</v>
      </c>
      <c r="D545" s="7" t="s">
        <v>111</v>
      </c>
      <c r="E545" s="8" t="s">
        <v>91</v>
      </c>
      <c r="F545" s="8" t="s">
        <v>318</v>
      </c>
      <c r="G545" s="7" t="s">
        <v>1095</v>
      </c>
      <c r="H545" s="7" t="s">
        <v>1096</v>
      </c>
      <c r="I545" s="8">
        <v>1502.0</v>
      </c>
      <c r="J545" s="8">
        <v>2.5</v>
      </c>
      <c r="K545" s="8" t="s">
        <v>321</v>
      </c>
      <c r="L545" s="8" t="s">
        <v>322</v>
      </c>
      <c r="M545" s="8" t="s">
        <v>329</v>
      </c>
      <c r="N545" s="8">
        <v>7.1</v>
      </c>
      <c r="O545" s="14">
        <f t="shared" si="1"/>
        <v>44866</v>
      </c>
      <c r="P545" s="15">
        <f>IFERROR(VLOOKUP(K545,Formula!$A$11:$B$20,2,FALSE),Formula!$C$26)</f>
        <v>0.9</v>
      </c>
      <c r="Q545" s="15">
        <f>IF(AND(ISNUMBER(J545),J545&gt;0),1/J545,IF(AND(ISNUMBER(I545),I545&gt;0),SQRT(MIN(I545,Formula!$C$27))/Formula!$C$24,1/Formula!$C$25))</f>
        <v>0.4</v>
      </c>
      <c r="R545" s="15">
        <f t="shared" si="2"/>
        <v>0.36</v>
      </c>
      <c r="S545" s="15">
        <f>IF(H545&lt;&gt;"",EXP(-Formula!$C$28*(EOMONTH(H545,0)-H545)),EXP(-Formula!$C$28*(EOMONTH(D545,0)-D545)))</f>
        <v>0.8607079764</v>
      </c>
      <c r="T545" s="15">
        <f t="shared" si="3"/>
        <v>0.3333333333</v>
      </c>
      <c r="U545" s="15">
        <f t="shared" si="4"/>
        <v>0.1032849572</v>
      </c>
      <c r="V545" s="16">
        <f>IF(AND(L545="Among all respondents",NOT(OR(K545="Online poll in Telegram channel",K545="Website online poll",K545="CAWI (Computer Assisted Web Interviewing)"))),1/(1-MIN(MAX(Formula!$C$33+(YEAR(D545)-Formula!$C$34)/(Formula!$C$35-Formula!$C$34)*(Formula!$C$32-Formula!$C$33),Formula!$C$33),Formula!$C$32)),1)</f>
        <v>1</v>
      </c>
      <c r="W545" s="17">
        <f t="shared" si="5"/>
        <v>7.1</v>
      </c>
    </row>
    <row r="546" ht="15.75" customHeight="1">
      <c r="A546" s="8" t="s">
        <v>1098</v>
      </c>
      <c r="B546" s="7" t="s">
        <v>1093</v>
      </c>
      <c r="C546" s="13" t="s">
        <v>1094</v>
      </c>
      <c r="D546" s="7" t="s">
        <v>111</v>
      </c>
      <c r="E546" s="8" t="s">
        <v>91</v>
      </c>
      <c r="F546" s="8" t="s">
        <v>318</v>
      </c>
      <c r="G546" s="7" t="s">
        <v>1095</v>
      </c>
      <c r="H546" s="7" t="s">
        <v>1096</v>
      </c>
      <c r="I546" s="8">
        <v>1502.0</v>
      </c>
      <c r="J546" s="8">
        <v>2.5</v>
      </c>
      <c r="K546" s="8" t="s">
        <v>321</v>
      </c>
      <c r="L546" s="8" t="s">
        <v>322</v>
      </c>
      <c r="M546" s="8" t="s">
        <v>339</v>
      </c>
      <c r="N546" s="8">
        <v>5.9</v>
      </c>
      <c r="O546" s="14">
        <f t="shared" si="1"/>
        <v>44866</v>
      </c>
      <c r="P546" s="15">
        <f>IFERROR(VLOOKUP(K546,Formula!$A$11:$B$20,2,FALSE),Formula!$C$26)</f>
        <v>0.9</v>
      </c>
      <c r="Q546" s="15">
        <f>IF(AND(ISNUMBER(J546),J546&gt;0),1/J546,IF(AND(ISNUMBER(I546),I546&gt;0),SQRT(MIN(I546,Formula!$C$27))/Formula!$C$24,1/Formula!$C$25))</f>
        <v>0.4</v>
      </c>
      <c r="R546" s="15">
        <f t="shared" si="2"/>
        <v>0.36</v>
      </c>
      <c r="S546" s="15">
        <f>IF(H546&lt;&gt;"",EXP(-Formula!$C$28*(EOMONTH(H546,0)-H546)),EXP(-Formula!$C$28*(EOMONTH(D546,0)-D546)))</f>
        <v>0.8607079764</v>
      </c>
      <c r="T546" s="15">
        <f t="shared" si="3"/>
        <v>0.3333333333</v>
      </c>
      <c r="U546" s="15">
        <f t="shared" si="4"/>
        <v>0.1032849572</v>
      </c>
      <c r="V546" s="16">
        <f>IF(AND(L546="Among all respondents",NOT(OR(K546="Online poll in Telegram channel",K546="Website online poll",K546="CAWI (Computer Assisted Web Interviewing)"))),1/(1-MIN(MAX(Formula!$C$33+(YEAR(D546)-Formula!$C$34)/(Formula!$C$35-Formula!$C$34)*(Formula!$C$32-Formula!$C$33),Formula!$C$33),Formula!$C$32)),1)</f>
        <v>1</v>
      </c>
      <c r="W546" s="17">
        <f t="shared" si="5"/>
        <v>5.9</v>
      </c>
    </row>
    <row r="547" ht="15.75" customHeight="1">
      <c r="A547" s="8" t="s">
        <v>1099</v>
      </c>
      <c r="B547" s="7" t="s">
        <v>1093</v>
      </c>
      <c r="C547" s="13" t="s">
        <v>1094</v>
      </c>
      <c r="D547" s="7" t="s">
        <v>111</v>
      </c>
      <c r="E547" s="8" t="s">
        <v>91</v>
      </c>
      <c r="F547" s="8" t="s">
        <v>318</v>
      </c>
      <c r="G547" s="7" t="s">
        <v>1095</v>
      </c>
      <c r="H547" s="7" t="s">
        <v>1096</v>
      </c>
      <c r="I547" s="8">
        <v>1502.0</v>
      </c>
      <c r="J547" s="8">
        <v>2.5</v>
      </c>
      <c r="K547" s="8" t="s">
        <v>321</v>
      </c>
      <c r="L547" s="8" t="s">
        <v>322</v>
      </c>
      <c r="M547" s="8" t="s">
        <v>337</v>
      </c>
      <c r="N547" s="8">
        <v>3.0</v>
      </c>
      <c r="O547" s="14">
        <f t="shared" si="1"/>
        <v>44866</v>
      </c>
      <c r="P547" s="15">
        <f>IFERROR(VLOOKUP(K547,Formula!$A$11:$B$20,2,FALSE),Formula!$C$26)</f>
        <v>0.9</v>
      </c>
      <c r="Q547" s="15">
        <f>IF(AND(ISNUMBER(J547),J547&gt;0),1/J547,IF(AND(ISNUMBER(I547),I547&gt;0),SQRT(MIN(I547,Formula!$C$27))/Formula!$C$24,1/Formula!$C$25))</f>
        <v>0.4</v>
      </c>
      <c r="R547" s="15">
        <f t="shared" si="2"/>
        <v>0.36</v>
      </c>
      <c r="S547" s="15">
        <f>IF(H547&lt;&gt;"",EXP(-Formula!$C$28*(EOMONTH(H547,0)-H547)),EXP(-Formula!$C$28*(EOMONTH(D547,0)-D547)))</f>
        <v>0.8607079764</v>
      </c>
      <c r="T547" s="15">
        <f t="shared" si="3"/>
        <v>0.3333333333</v>
      </c>
      <c r="U547" s="15">
        <f t="shared" si="4"/>
        <v>0.1032849572</v>
      </c>
      <c r="V547" s="16">
        <f>IF(AND(L547="Among all respondents",NOT(OR(K547="Online poll in Telegram channel",K547="Website online poll",K547="CAWI (Computer Assisted Web Interviewing)"))),1/(1-MIN(MAX(Formula!$C$33+(YEAR(D547)-Formula!$C$34)/(Formula!$C$35-Formula!$C$34)*(Formula!$C$32-Formula!$C$33),Formula!$C$33),Formula!$C$32)),1)</f>
        <v>1</v>
      </c>
      <c r="W547" s="17">
        <f t="shared" si="5"/>
        <v>3</v>
      </c>
    </row>
    <row r="548" ht="15.75" customHeight="1">
      <c r="A548" s="8" t="s">
        <v>1100</v>
      </c>
      <c r="B548" s="7" t="s">
        <v>1093</v>
      </c>
      <c r="C548" s="13" t="s">
        <v>1094</v>
      </c>
      <c r="D548" s="7" t="s">
        <v>111</v>
      </c>
      <c r="E548" s="8" t="s">
        <v>91</v>
      </c>
      <c r="F548" s="8" t="s">
        <v>318</v>
      </c>
      <c r="G548" s="7" t="s">
        <v>1095</v>
      </c>
      <c r="H548" s="7" t="s">
        <v>1096</v>
      </c>
      <c r="I548" s="8">
        <v>1502.0</v>
      </c>
      <c r="J548" s="8">
        <v>2.5</v>
      </c>
      <c r="K548" s="8" t="s">
        <v>321</v>
      </c>
      <c r="L548" s="8" t="s">
        <v>322</v>
      </c>
      <c r="M548" s="8" t="s">
        <v>333</v>
      </c>
      <c r="N548" s="8">
        <v>2.1</v>
      </c>
      <c r="O548" s="14">
        <f t="shared" si="1"/>
        <v>44866</v>
      </c>
      <c r="P548" s="15">
        <f>IFERROR(VLOOKUP(K548,Formula!$A$11:$B$20,2,FALSE),Formula!$C$26)</f>
        <v>0.9</v>
      </c>
      <c r="Q548" s="15">
        <f>IF(AND(ISNUMBER(J548),J548&gt;0),1/J548,IF(AND(ISNUMBER(I548),I548&gt;0),SQRT(MIN(I548,Formula!$C$27))/Formula!$C$24,1/Formula!$C$25))</f>
        <v>0.4</v>
      </c>
      <c r="R548" s="15">
        <f t="shared" si="2"/>
        <v>0.36</v>
      </c>
      <c r="S548" s="15">
        <f>IF(H548&lt;&gt;"",EXP(-Formula!$C$28*(EOMONTH(H548,0)-H548)),EXP(-Formula!$C$28*(EOMONTH(D548,0)-D548)))</f>
        <v>0.8607079764</v>
      </c>
      <c r="T548" s="15">
        <f t="shared" si="3"/>
        <v>0.3333333333</v>
      </c>
      <c r="U548" s="15">
        <f t="shared" si="4"/>
        <v>0.1032849572</v>
      </c>
      <c r="V548" s="16">
        <f>IF(AND(L548="Among all respondents",NOT(OR(K548="Online poll in Telegram channel",K548="Website online poll",K548="CAWI (Computer Assisted Web Interviewing)"))),1/(1-MIN(MAX(Formula!$C$33+(YEAR(D548)-Formula!$C$34)/(Formula!$C$35-Formula!$C$34)*(Formula!$C$32-Formula!$C$33),Formula!$C$33),Formula!$C$32)),1)</f>
        <v>1</v>
      </c>
      <c r="W548" s="17">
        <f t="shared" si="5"/>
        <v>2.1</v>
      </c>
    </row>
    <row r="549" ht="15.75" customHeight="1">
      <c r="A549" s="8" t="s">
        <v>1101</v>
      </c>
      <c r="B549" s="7" t="s">
        <v>1093</v>
      </c>
      <c r="C549" s="13" t="s">
        <v>1094</v>
      </c>
      <c r="D549" s="7" t="s">
        <v>111</v>
      </c>
      <c r="E549" s="8" t="s">
        <v>91</v>
      </c>
      <c r="F549" s="8" t="s">
        <v>318</v>
      </c>
      <c r="G549" s="7" t="s">
        <v>1095</v>
      </c>
      <c r="H549" s="7" t="s">
        <v>1096</v>
      </c>
      <c r="I549" s="8">
        <v>1502.0</v>
      </c>
      <c r="J549" s="8">
        <v>2.5</v>
      </c>
      <c r="K549" s="8" t="s">
        <v>321</v>
      </c>
      <c r="L549" s="8" t="s">
        <v>322</v>
      </c>
      <c r="M549" s="8" t="s">
        <v>828</v>
      </c>
      <c r="N549" s="8">
        <v>2.0</v>
      </c>
      <c r="O549" s="14">
        <f t="shared" si="1"/>
        <v>44866</v>
      </c>
      <c r="P549" s="15">
        <f>IFERROR(VLOOKUP(K549,Formula!$A$11:$B$20,2,FALSE),Formula!$C$26)</f>
        <v>0.9</v>
      </c>
      <c r="Q549" s="15">
        <f>IF(AND(ISNUMBER(J549),J549&gt;0),1/J549,IF(AND(ISNUMBER(I549),I549&gt;0),SQRT(MIN(I549,Formula!$C$27))/Formula!$C$24,1/Formula!$C$25))</f>
        <v>0.4</v>
      </c>
      <c r="R549" s="15">
        <f t="shared" si="2"/>
        <v>0.36</v>
      </c>
      <c r="S549" s="15">
        <f>IF(H549&lt;&gt;"",EXP(-Formula!$C$28*(EOMONTH(H549,0)-H549)),EXP(-Formula!$C$28*(EOMONTH(D549,0)-D549)))</f>
        <v>0.8607079764</v>
      </c>
      <c r="T549" s="15">
        <f t="shared" si="3"/>
        <v>0.3333333333</v>
      </c>
      <c r="U549" s="15">
        <f t="shared" si="4"/>
        <v>0.1032849572</v>
      </c>
      <c r="V549" s="16">
        <f>IF(AND(L549="Among all respondents",NOT(OR(K549="Online poll in Telegram channel",K549="Website online poll",K549="CAWI (Computer Assisted Web Interviewing)"))),1/(1-MIN(MAX(Formula!$C$33+(YEAR(D549)-Formula!$C$34)/(Formula!$C$35-Formula!$C$34)*(Formula!$C$32-Formula!$C$33),Formula!$C$33),Formula!$C$32)),1)</f>
        <v>1</v>
      </c>
      <c r="W549" s="17">
        <f t="shared" si="5"/>
        <v>2</v>
      </c>
    </row>
    <row r="550" ht="15.75" customHeight="1">
      <c r="A550" s="8" t="s">
        <v>1102</v>
      </c>
      <c r="B550" s="7" t="s">
        <v>1093</v>
      </c>
      <c r="C550" s="13" t="s">
        <v>1094</v>
      </c>
      <c r="D550" s="7" t="s">
        <v>111</v>
      </c>
      <c r="E550" s="8" t="s">
        <v>91</v>
      </c>
      <c r="F550" s="8" t="s">
        <v>318</v>
      </c>
      <c r="G550" s="7" t="s">
        <v>1095</v>
      </c>
      <c r="H550" s="7" t="s">
        <v>1096</v>
      </c>
      <c r="I550" s="8">
        <v>1502.0</v>
      </c>
      <c r="J550" s="8">
        <v>2.5</v>
      </c>
      <c r="K550" s="8" t="s">
        <v>321</v>
      </c>
      <c r="L550" s="8" t="s">
        <v>322</v>
      </c>
      <c r="M550" s="8" t="s">
        <v>386</v>
      </c>
      <c r="N550" s="8">
        <v>1.1</v>
      </c>
      <c r="O550" s="14">
        <f t="shared" si="1"/>
        <v>44866</v>
      </c>
      <c r="P550" s="15">
        <f>IFERROR(VLOOKUP(K550,Formula!$A$11:$B$20,2,FALSE),Formula!$C$26)</f>
        <v>0.9</v>
      </c>
      <c r="Q550" s="15">
        <f>IF(AND(ISNUMBER(J550),J550&gt;0),1/J550,IF(AND(ISNUMBER(I550),I550&gt;0),SQRT(MIN(I550,Formula!$C$27))/Formula!$C$24,1/Formula!$C$25))</f>
        <v>0.4</v>
      </c>
      <c r="R550" s="15">
        <f t="shared" si="2"/>
        <v>0.36</v>
      </c>
      <c r="S550" s="15">
        <f>IF(H550&lt;&gt;"",EXP(-Formula!$C$28*(EOMONTH(H550,0)-H550)),EXP(-Formula!$C$28*(EOMONTH(D550,0)-D550)))</f>
        <v>0.8607079764</v>
      </c>
      <c r="T550" s="15">
        <f t="shared" si="3"/>
        <v>0.3333333333</v>
      </c>
      <c r="U550" s="15">
        <f t="shared" si="4"/>
        <v>0.1032849572</v>
      </c>
      <c r="V550" s="16">
        <f>IF(AND(L550="Among all respondents",NOT(OR(K550="Online poll in Telegram channel",K550="Website online poll",K550="CAWI (Computer Assisted Web Interviewing)"))),1/(1-MIN(MAX(Formula!$C$33+(YEAR(D550)-Formula!$C$34)/(Formula!$C$35-Formula!$C$34)*(Formula!$C$32-Formula!$C$33),Formula!$C$33),Formula!$C$32)),1)</f>
        <v>1</v>
      </c>
      <c r="W550" s="17">
        <f t="shared" si="5"/>
        <v>1.1</v>
      </c>
    </row>
    <row r="551" ht="15.75" customHeight="1">
      <c r="A551" s="8" t="s">
        <v>1103</v>
      </c>
      <c r="B551" s="7" t="s">
        <v>1093</v>
      </c>
      <c r="C551" s="13" t="s">
        <v>1094</v>
      </c>
      <c r="D551" s="7" t="s">
        <v>111</v>
      </c>
      <c r="E551" s="8" t="s">
        <v>91</v>
      </c>
      <c r="F551" s="8" t="s">
        <v>318</v>
      </c>
      <c r="G551" s="7" t="s">
        <v>1095</v>
      </c>
      <c r="H551" s="7" t="s">
        <v>1096</v>
      </c>
      <c r="I551" s="8">
        <v>1502.0</v>
      </c>
      <c r="J551" s="8">
        <v>2.5</v>
      </c>
      <c r="K551" s="8" t="s">
        <v>321</v>
      </c>
      <c r="L551" s="8" t="s">
        <v>322</v>
      </c>
      <c r="M551" s="8" t="s">
        <v>359</v>
      </c>
      <c r="N551" s="8">
        <v>0.8</v>
      </c>
      <c r="O551" s="14">
        <f t="shared" si="1"/>
        <v>44866</v>
      </c>
      <c r="P551" s="15">
        <f>IFERROR(VLOOKUP(K551,Formula!$A$11:$B$20,2,FALSE),Formula!$C$26)</f>
        <v>0.9</v>
      </c>
      <c r="Q551" s="15">
        <f>IF(AND(ISNUMBER(J551),J551&gt;0),1/J551,IF(AND(ISNUMBER(I551),I551&gt;0),SQRT(MIN(I551,Formula!$C$27))/Formula!$C$24,1/Formula!$C$25))</f>
        <v>0.4</v>
      </c>
      <c r="R551" s="15">
        <f t="shared" si="2"/>
        <v>0.36</v>
      </c>
      <c r="S551" s="15">
        <f>IF(H551&lt;&gt;"",EXP(-Formula!$C$28*(EOMONTH(H551,0)-H551)),EXP(-Formula!$C$28*(EOMONTH(D551,0)-D551)))</f>
        <v>0.8607079764</v>
      </c>
      <c r="T551" s="15">
        <f t="shared" si="3"/>
        <v>0.3333333333</v>
      </c>
      <c r="U551" s="15">
        <f t="shared" si="4"/>
        <v>0.1032849572</v>
      </c>
      <c r="V551" s="16">
        <f>IF(AND(L551="Among all respondents",NOT(OR(K551="Online poll in Telegram channel",K551="Website online poll",K551="CAWI (Computer Assisted Web Interviewing)"))),1/(1-MIN(MAX(Formula!$C$33+(YEAR(D551)-Formula!$C$34)/(Formula!$C$35-Formula!$C$34)*(Formula!$C$32-Formula!$C$33),Formula!$C$33),Formula!$C$32)),1)</f>
        <v>1</v>
      </c>
      <c r="W551" s="17">
        <f t="shared" si="5"/>
        <v>0.8</v>
      </c>
    </row>
    <row r="552" ht="15.75" customHeight="1">
      <c r="A552" s="8" t="s">
        <v>1104</v>
      </c>
      <c r="B552" s="7" t="s">
        <v>1093</v>
      </c>
      <c r="C552" s="13" t="s">
        <v>1094</v>
      </c>
      <c r="D552" s="7" t="s">
        <v>111</v>
      </c>
      <c r="E552" s="8" t="s">
        <v>91</v>
      </c>
      <c r="F552" s="8" t="s">
        <v>318</v>
      </c>
      <c r="G552" s="7" t="s">
        <v>1095</v>
      </c>
      <c r="H552" s="7" t="s">
        <v>1096</v>
      </c>
      <c r="I552" s="8">
        <v>1502.0</v>
      </c>
      <c r="J552" s="8">
        <v>2.5</v>
      </c>
      <c r="K552" s="8" t="s">
        <v>321</v>
      </c>
      <c r="L552" s="8" t="s">
        <v>322</v>
      </c>
      <c r="M552" s="8" t="s">
        <v>388</v>
      </c>
      <c r="N552" s="8">
        <v>0.5</v>
      </c>
      <c r="O552" s="14">
        <f t="shared" si="1"/>
        <v>44866</v>
      </c>
      <c r="P552" s="15">
        <f>IFERROR(VLOOKUP(K552,Formula!$A$11:$B$20,2,FALSE),Formula!$C$26)</f>
        <v>0.9</v>
      </c>
      <c r="Q552" s="15">
        <f>IF(AND(ISNUMBER(J552),J552&gt;0),1/J552,IF(AND(ISNUMBER(I552),I552&gt;0),SQRT(MIN(I552,Formula!$C$27))/Formula!$C$24,1/Formula!$C$25))</f>
        <v>0.4</v>
      </c>
      <c r="R552" s="15">
        <f t="shared" si="2"/>
        <v>0.36</v>
      </c>
      <c r="S552" s="15">
        <f>IF(H552&lt;&gt;"",EXP(-Formula!$C$28*(EOMONTH(H552,0)-H552)),EXP(-Formula!$C$28*(EOMONTH(D552,0)-D552)))</f>
        <v>0.8607079764</v>
      </c>
      <c r="T552" s="15">
        <f t="shared" si="3"/>
        <v>0.3333333333</v>
      </c>
      <c r="U552" s="15">
        <f t="shared" si="4"/>
        <v>0.1032849572</v>
      </c>
      <c r="V552" s="16">
        <f>IF(AND(L552="Among all respondents",NOT(OR(K552="Online poll in Telegram channel",K552="Website online poll",K552="CAWI (Computer Assisted Web Interviewing)"))),1/(1-MIN(MAX(Formula!$C$33+(YEAR(D552)-Formula!$C$34)/(Formula!$C$35-Formula!$C$34)*(Formula!$C$32-Formula!$C$33),Formula!$C$33),Formula!$C$32)),1)</f>
        <v>1</v>
      </c>
      <c r="W552" s="17">
        <f t="shared" si="5"/>
        <v>0.5</v>
      </c>
    </row>
    <row r="553" ht="15.75" customHeight="1">
      <c r="A553" s="8" t="s">
        <v>1105</v>
      </c>
      <c r="B553" s="7" t="s">
        <v>1106</v>
      </c>
      <c r="C553" s="13" t="s">
        <v>1107</v>
      </c>
      <c r="D553" s="7" t="s">
        <v>118</v>
      </c>
      <c r="E553" s="8" t="s">
        <v>85</v>
      </c>
      <c r="F553" s="8" t="s">
        <v>318</v>
      </c>
      <c r="G553" s="7" t="s">
        <v>1108</v>
      </c>
      <c r="H553" s="7" t="s">
        <v>118</v>
      </c>
      <c r="I553" s="8">
        <v>78200.0</v>
      </c>
      <c r="K553" s="8" t="s">
        <v>877</v>
      </c>
      <c r="L553" s="8" t="s">
        <v>373</v>
      </c>
      <c r="M553" s="8" t="s">
        <v>323</v>
      </c>
      <c r="N553" s="8">
        <v>67.0</v>
      </c>
      <c r="O553" s="14">
        <f t="shared" si="1"/>
        <v>44835</v>
      </c>
      <c r="P553" s="15">
        <f>IFERROR(VLOOKUP(K553,Formula!$A$11:$B$20,2,FALSE),Formula!$C$26)</f>
        <v>0.2</v>
      </c>
      <c r="Q553" s="15">
        <f>IF(AND(ISNUMBER(J553),J553&gt;0),1/J553,IF(AND(ISNUMBER(I553),I553&gt;0),SQRT(MIN(I553,Formula!$C$27))/Formula!$C$24,1/Formula!$C$25))</f>
        <v>0.7215375318</v>
      </c>
      <c r="R553" s="15">
        <f t="shared" si="2"/>
        <v>0.1443075064</v>
      </c>
      <c r="S553" s="15">
        <f>IF(H553&lt;&gt;"",EXP(-Formula!$C$28*(EOMONTH(H553,0)-H553)),EXP(-Formula!$C$28*(EOMONTH(D553,0)-D553)))</f>
        <v>0.4065696597</v>
      </c>
      <c r="T553" s="15">
        <f t="shared" si="3"/>
        <v>0.3535533906</v>
      </c>
      <c r="U553" s="15">
        <f t="shared" si="4"/>
        <v>0.02074334999</v>
      </c>
      <c r="V553" s="16">
        <f>IF(AND(L553="Among all respondents",NOT(OR(K553="Online poll in Telegram channel",K553="Website online poll",K553="CAWI (Computer Assisted Web Interviewing)"))),1/(1-MIN(MAX(Formula!$C$33+(YEAR(D553)-Formula!$C$34)/(Formula!$C$35-Formula!$C$34)*(Formula!$C$32-Formula!$C$33),Formula!$C$33),Formula!$C$32)),1)</f>
        <v>1</v>
      </c>
      <c r="W553" s="17">
        <f t="shared" si="5"/>
        <v>67</v>
      </c>
    </row>
    <row r="554" ht="15.75" customHeight="1">
      <c r="A554" s="8" t="s">
        <v>1109</v>
      </c>
      <c r="B554" s="7" t="s">
        <v>1106</v>
      </c>
      <c r="C554" s="13" t="s">
        <v>1107</v>
      </c>
      <c r="D554" s="7" t="s">
        <v>118</v>
      </c>
      <c r="E554" s="8" t="s">
        <v>85</v>
      </c>
      <c r="F554" s="8" t="s">
        <v>318</v>
      </c>
      <c r="G554" s="7" t="s">
        <v>1108</v>
      </c>
      <c r="H554" s="7" t="s">
        <v>118</v>
      </c>
      <c r="I554" s="8">
        <v>78200.0</v>
      </c>
      <c r="K554" s="8" t="s">
        <v>877</v>
      </c>
      <c r="L554" s="8" t="s">
        <v>373</v>
      </c>
      <c r="M554" s="8" t="s">
        <v>325</v>
      </c>
      <c r="N554" s="8">
        <v>7.0</v>
      </c>
      <c r="O554" s="14">
        <f t="shared" si="1"/>
        <v>44835</v>
      </c>
      <c r="P554" s="15">
        <f>IFERROR(VLOOKUP(K554,Formula!$A$11:$B$20,2,FALSE),Formula!$C$26)</f>
        <v>0.2</v>
      </c>
      <c r="Q554" s="15">
        <f>IF(AND(ISNUMBER(J554),J554&gt;0),1/J554,IF(AND(ISNUMBER(I554),I554&gt;0),SQRT(MIN(I554,Formula!$C$27))/Formula!$C$24,1/Formula!$C$25))</f>
        <v>0.7215375318</v>
      </c>
      <c r="R554" s="15">
        <f t="shared" si="2"/>
        <v>0.1443075064</v>
      </c>
      <c r="S554" s="15">
        <f>IF(H554&lt;&gt;"",EXP(-Formula!$C$28*(EOMONTH(H554,0)-H554)),EXP(-Formula!$C$28*(EOMONTH(D554,0)-D554)))</f>
        <v>0.4065696597</v>
      </c>
      <c r="T554" s="15">
        <f t="shared" si="3"/>
        <v>0.3535533906</v>
      </c>
      <c r="U554" s="15">
        <f t="shared" si="4"/>
        <v>0.02074334999</v>
      </c>
      <c r="V554" s="16">
        <f>IF(AND(L554="Among all respondents",NOT(OR(K554="Online poll in Telegram channel",K554="Website online poll",K554="CAWI (Computer Assisted Web Interviewing)"))),1/(1-MIN(MAX(Formula!$C$33+(YEAR(D554)-Formula!$C$34)/(Formula!$C$35-Formula!$C$34)*(Formula!$C$32-Formula!$C$33),Formula!$C$33),Formula!$C$32)),1)</f>
        <v>1</v>
      </c>
      <c r="W554" s="17">
        <f t="shared" si="5"/>
        <v>7</v>
      </c>
    </row>
    <row r="555" ht="15.75" customHeight="1">
      <c r="A555" s="8" t="s">
        <v>1110</v>
      </c>
      <c r="B555" s="7" t="s">
        <v>1106</v>
      </c>
      <c r="C555" s="13" t="s">
        <v>1107</v>
      </c>
      <c r="D555" s="7" t="s">
        <v>118</v>
      </c>
      <c r="E555" s="8" t="s">
        <v>85</v>
      </c>
      <c r="F555" s="8" t="s">
        <v>318</v>
      </c>
      <c r="G555" s="7" t="s">
        <v>1108</v>
      </c>
      <c r="H555" s="7" t="s">
        <v>118</v>
      </c>
      <c r="I555" s="8">
        <v>78200.0</v>
      </c>
      <c r="K555" s="8" t="s">
        <v>877</v>
      </c>
      <c r="L555" s="8" t="s">
        <v>373</v>
      </c>
      <c r="M555" s="8" t="s">
        <v>329</v>
      </c>
      <c r="N555" s="8">
        <v>5.0</v>
      </c>
      <c r="O555" s="14">
        <f t="shared" si="1"/>
        <v>44835</v>
      </c>
      <c r="P555" s="15">
        <f>IFERROR(VLOOKUP(K555,Formula!$A$11:$B$20,2,FALSE),Formula!$C$26)</f>
        <v>0.2</v>
      </c>
      <c r="Q555" s="15">
        <f>IF(AND(ISNUMBER(J555),J555&gt;0),1/J555,IF(AND(ISNUMBER(I555),I555&gt;0),SQRT(MIN(I555,Formula!$C$27))/Formula!$C$24,1/Formula!$C$25))</f>
        <v>0.7215375318</v>
      </c>
      <c r="R555" s="15">
        <f t="shared" si="2"/>
        <v>0.1443075064</v>
      </c>
      <c r="S555" s="15">
        <f>IF(H555&lt;&gt;"",EXP(-Formula!$C$28*(EOMONTH(H555,0)-H555)),EXP(-Formula!$C$28*(EOMONTH(D555,0)-D555)))</f>
        <v>0.4065696597</v>
      </c>
      <c r="T555" s="15">
        <f t="shared" si="3"/>
        <v>0.3535533906</v>
      </c>
      <c r="U555" s="15">
        <f t="shared" si="4"/>
        <v>0.02074334999</v>
      </c>
      <c r="V555" s="16">
        <f>IF(AND(L555="Among all respondents",NOT(OR(K555="Online poll in Telegram channel",K555="Website online poll",K555="CAWI (Computer Assisted Web Interviewing)"))),1/(1-MIN(MAX(Formula!$C$33+(YEAR(D555)-Formula!$C$34)/(Formula!$C$35-Formula!$C$34)*(Formula!$C$32-Formula!$C$33),Formula!$C$33),Formula!$C$32)),1)</f>
        <v>1</v>
      </c>
      <c r="W555" s="17">
        <f t="shared" si="5"/>
        <v>5</v>
      </c>
    </row>
    <row r="556" ht="15.75" customHeight="1">
      <c r="A556" s="8" t="s">
        <v>1111</v>
      </c>
      <c r="B556" s="7" t="s">
        <v>1106</v>
      </c>
      <c r="C556" s="13" t="s">
        <v>1107</v>
      </c>
      <c r="D556" s="7" t="s">
        <v>118</v>
      </c>
      <c r="E556" s="8" t="s">
        <v>85</v>
      </c>
      <c r="F556" s="8" t="s">
        <v>318</v>
      </c>
      <c r="G556" s="7" t="s">
        <v>1108</v>
      </c>
      <c r="H556" s="7" t="s">
        <v>118</v>
      </c>
      <c r="I556" s="8">
        <v>78200.0</v>
      </c>
      <c r="K556" s="8" t="s">
        <v>877</v>
      </c>
      <c r="L556" s="8" t="s">
        <v>373</v>
      </c>
      <c r="M556" s="8" t="s">
        <v>339</v>
      </c>
      <c r="N556" s="8">
        <v>4.0</v>
      </c>
      <c r="O556" s="14">
        <f t="shared" si="1"/>
        <v>44835</v>
      </c>
      <c r="P556" s="15">
        <f>IFERROR(VLOOKUP(K556,Formula!$A$11:$B$20,2,FALSE),Formula!$C$26)</f>
        <v>0.2</v>
      </c>
      <c r="Q556" s="15">
        <f>IF(AND(ISNUMBER(J556),J556&gt;0),1/J556,IF(AND(ISNUMBER(I556),I556&gt;0),SQRT(MIN(I556,Formula!$C$27))/Formula!$C$24,1/Formula!$C$25))</f>
        <v>0.7215375318</v>
      </c>
      <c r="R556" s="15">
        <f t="shared" si="2"/>
        <v>0.1443075064</v>
      </c>
      <c r="S556" s="15">
        <f>IF(H556&lt;&gt;"",EXP(-Formula!$C$28*(EOMONTH(H556,0)-H556)),EXP(-Formula!$C$28*(EOMONTH(D556,0)-D556)))</f>
        <v>0.4065696597</v>
      </c>
      <c r="T556" s="15">
        <f t="shared" si="3"/>
        <v>0.3535533906</v>
      </c>
      <c r="U556" s="15">
        <f t="shared" si="4"/>
        <v>0.02074334999</v>
      </c>
      <c r="V556" s="16">
        <f>IF(AND(L556="Among all respondents",NOT(OR(K556="Online poll in Telegram channel",K556="Website online poll",K556="CAWI (Computer Assisted Web Interviewing)"))),1/(1-MIN(MAX(Formula!$C$33+(YEAR(D556)-Formula!$C$34)/(Formula!$C$35-Formula!$C$34)*(Formula!$C$32-Formula!$C$33),Formula!$C$33),Formula!$C$32)),1)</f>
        <v>1</v>
      </c>
      <c r="W556" s="17">
        <f t="shared" si="5"/>
        <v>4</v>
      </c>
    </row>
    <row r="557" ht="15.75" customHeight="1">
      <c r="A557" s="8" t="s">
        <v>1112</v>
      </c>
      <c r="B557" s="7" t="s">
        <v>1106</v>
      </c>
      <c r="C557" s="13" t="s">
        <v>1107</v>
      </c>
      <c r="D557" s="7" t="s">
        <v>118</v>
      </c>
      <c r="E557" s="8" t="s">
        <v>85</v>
      </c>
      <c r="F557" s="8" t="s">
        <v>318</v>
      </c>
      <c r="G557" s="7" t="s">
        <v>1108</v>
      </c>
      <c r="H557" s="7" t="s">
        <v>118</v>
      </c>
      <c r="I557" s="8">
        <v>78200.0</v>
      </c>
      <c r="K557" s="8" t="s">
        <v>877</v>
      </c>
      <c r="L557" s="8" t="s">
        <v>373</v>
      </c>
      <c r="M557" s="8" t="s">
        <v>341</v>
      </c>
      <c r="N557" s="8">
        <v>3.0</v>
      </c>
      <c r="O557" s="14">
        <f t="shared" si="1"/>
        <v>44835</v>
      </c>
      <c r="P557" s="15">
        <f>IFERROR(VLOOKUP(K557,Formula!$A$11:$B$20,2,FALSE),Formula!$C$26)</f>
        <v>0.2</v>
      </c>
      <c r="Q557" s="15">
        <f>IF(AND(ISNUMBER(J557),J557&gt;0),1/J557,IF(AND(ISNUMBER(I557),I557&gt;0),SQRT(MIN(I557,Formula!$C$27))/Formula!$C$24,1/Formula!$C$25))</f>
        <v>0.7215375318</v>
      </c>
      <c r="R557" s="15">
        <f t="shared" si="2"/>
        <v>0.1443075064</v>
      </c>
      <c r="S557" s="15">
        <f>IF(H557&lt;&gt;"",EXP(-Formula!$C$28*(EOMONTH(H557,0)-H557)),EXP(-Formula!$C$28*(EOMONTH(D557,0)-D557)))</f>
        <v>0.4065696597</v>
      </c>
      <c r="T557" s="15">
        <f t="shared" si="3"/>
        <v>0.3535533906</v>
      </c>
      <c r="U557" s="15">
        <f t="shared" si="4"/>
        <v>0.02074334999</v>
      </c>
      <c r="V557" s="16">
        <f>IF(AND(L557="Among all respondents",NOT(OR(K557="Online poll in Telegram channel",K557="Website online poll",K557="CAWI (Computer Assisted Web Interviewing)"))),1/(1-MIN(MAX(Formula!$C$33+(YEAR(D557)-Formula!$C$34)/(Formula!$C$35-Formula!$C$34)*(Formula!$C$32-Formula!$C$33),Formula!$C$33),Formula!$C$32)),1)</f>
        <v>1</v>
      </c>
      <c r="W557" s="17">
        <f t="shared" si="5"/>
        <v>3</v>
      </c>
    </row>
    <row r="558" ht="15.75" customHeight="1">
      <c r="A558" s="8" t="s">
        <v>1113</v>
      </c>
      <c r="B558" s="7" t="s">
        <v>1106</v>
      </c>
      <c r="C558" s="13" t="s">
        <v>1107</v>
      </c>
      <c r="D558" s="7" t="s">
        <v>118</v>
      </c>
      <c r="E558" s="8" t="s">
        <v>85</v>
      </c>
      <c r="F558" s="8" t="s">
        <v>318</v>
      </c>
      <c r="G558" s="7" t="s">
        <v>1108</v>
      </c>
      <c r="H558" s="7" t="s">
        <v>118</v>
      </c>
      <c r="I558" s="8">
        <v>78200.0</v>
      </c>
      <c r="K558" s="8" t="s">
        <v>877</v>
      </c>
      <c r="L558" s="8" t="s">
        <v>373</v>
      </c>
      <c r="M558" s="8" t="s">
        <v>362</v>
      </c>
      <c r="N558" s="8">
        <v>2.0</v>
      </c>
      <c r="O558" s="14">
        <f t="shared" si="1"/>
        <v>44835</v>
      </c>
      <c r="P558" s="15">
        <f>IFERROR(VLOOKUP(K558,Formula!$A$11:$B$20,2,FALSE),Formula!$C$26)</f>
        <v>0.2</v>
      </c>
      <c r="Q558" s="15">
        <f>IF(AND(ISNUMBER(J558),J558&gt;0),1/J558,IF(AND(ISNUMBER(I558),I558&gt;0),SQRT(MIN(I558,Formula!$C$27))/Formula!$C$24,1/Formula!$C$25))</f>
        <v>0.7215375318</v>
      </c>
      <c r="R558" s="15">
        <f t="shared" si="2"/>
        <v>0.1443075064</v>
      </c>
      <c r="S558" s="15">
        <f>IF(H558&lt;&gt;"",EXP(-Formula!$C$28*(EOMONTH(H558,0)-H558)),EXP(-Formula!$C$28*(EOMONTH(D558,0)-D558)))</f>
        <v>0.4065696597</v>
      </c>
      <c r="T558" s="15">
        <f t="shared" si="3"/>
        <v>0.3535533906</v>
      </c>
      <c r="U558" s="15">
        <f t="shared" si="4"/>
        <v>0.02074334999</v>
      </c>
      <c r="V558" s="16">
        <f>IF(AND(L558="Among all respondents",NOT(OR(K558="Online poll in Telegram channel",K558="Website online poll",K558="CAWI (Computer Assisted Web Interviewing)"))),1/(1-MIN(MAX(Formula!$C$33+(YEAR(D558)-Formula!$C$34)/(Formula!$C$35-Formula!$C$34)*(Formula!$C$32-Formula!$C$33),Formula!$C$33),Formula!$C$32)),1)</f>
        <v>1</v>
      </c>
      <c r="W558" s="17">
        <f t="shared" si="5"/>
        <v>2</v>
      </c>
    </row>
    <row r="559" ht="15.75" customHeight="1">
      <c r="A559" s="8" t="s">
        <v>1114</v>
      </c>
      <c r="B559" s="7" t="s">
        <v>1106</v>
      </c>
      <c r="C559" s="13" t="s">
        <v>1107</v>
      </c>
      <c r="D559" s="7" t="s">
        <v>118</v>
      </c>
      <c r="E559" s="8" t="s">
        <v>85</v>
      </c>
      <c r="F559" s="8" t="s">
        <v>318</v>
      </c>
      <c r="G559" s="7" t="s">
        <v>1108</v>
      </c>
      <c r="H559" s="7" t="s">
        <v>118</v>
      </c>
      <c r="I559" s="8">
        <v>78200.0</v>
      </c>
      <c r="K559" s="8" t="s">
        <v>877</v>
      </c>
      <c r="L559" s="8" t="s">
        <v>373</v>
      </c>
      <c r="M559" s="8" t="s">
        <v>337</v>
      </c>
      <c r="N559" s="8">
        <v>1.0</v>
      </c>
      <c r="O559" s="14">
        <f t="shared" si="1"/>
        <v>44835</v>
      </c>
      <c r="P559" s="15">
        <f>IFERROR(VLOOKUP(K559,Formula!$A$11:$B$20,2,FALSE),Formula!$C$26)</f>
        <v>0.2</v>
      </c>
      <c r="Q559" s="15">
        <f>IF(AND(ISNUMBER(J559),J559&gt;0),1/J559,IF(AND(ISNUMBER(I559),I559&gt;0),SQRT(MIN(I559,Formula!$C$27))/Formula!$C$24,1/Formula!$C$25))</f>
        <v>0.7215375318</v>
      </c>
      <c r="R559" s="15">
        <f t="shared" si="2"/>
        <v>0.1443075064</v>
      </c>
      <c r="S559" s="15">
        <f>IF(H559&lt;&gt;"",EXP(-Formula!$C$28*(EOMONTH(H559,0)-H559)),EXP(-Formula!$C$28*(EOMONTH(D559,0)-D559)))</f>
        <v>0.4065696597</v>
      </c>
      <c r="T559" s="15">
        <f t="shared" si="3"/>
        <v>0.3535533906</v>
      </c>
      <c r="U559" s="15">
        <f t="shared" si="4"/>
        <v>0.02074334999</v>
      </c>
      <c r="V559" s="16">
        <f>IF(AND(L559="Among all respondents",NOT(OR(K559="Online poll in Telegram channel",K559="Website online poll",K559="CAWI (Computer Assisted Web Interviewing)"))),1/(1-MIN(MAX(Formula!$C$33+(YEAR(D559)-Formula!$C$34)/(Formula!$C$35-Formula!$C$34)*(Formula!$C$32-Formula!$C$33),Formula!$C$33),Formula!$C$32)),1)</f>
        <v>1</v>
      </c>
      <c r="W559" s="17">
        <f t="shared" si="5"/>
        <v>1</v>
      </c>
    </row>
    <row r="560" ht="15.75" customHeight="1">
      <c r="A560" s="8" t="s">
        <v>1115</v>
      </c>
      <c r="B560" s="7" t="s">
        <v>1106</v>
      </c>
      <c r="C560" s="13" t="s">
        <v>1107</v>
      </c>
      <c r="D560" s="7" t="s">
        <v>118</v>
      </c>
      <c r="E560" s="8" t="s">
        <v>85</v>
      </c>
      <c r="F560" s="8" t="s">
        <v>318</v>
      </c>
      <c r="G560" s="7" t="s">
        <v>1108</v>
      </c>
      <c r="H560" s="7" t="s">
        <v>118</v>
      </c>
      <c r="I560" s="8">
        <v>78200.0</v>
      </c>
      <c r="K560" s="8" t="s">
        <v>877</v>
      </c>
      <c r="L560" s="8" t="s">
        <v>373</v>
      </c>
      <c r="M560" s="8" t="s">
        <v>333</v>
      </c>
      <c r="N560" s="8">
        <v>1.0</v>
      </c>
      <c r="O560" s="14">
        <f t="shared" si="1"/>
        <v>44835</v>
      </c>
      <c r="P560" s="15">
        <f>IFERROR(VLOOKUP(K560,Formula!$A$11:$B$20,2,FALSE),Formula!$C$26)</f>
        <v>0.2</v>
      </c>
      <c r="Q560" s="15">
        <f>IF(AND(ISNUMBER(J560),J560&gt;0),1/J560,IF(AND(ISNUMBER(I560),I560&gt;0),SQRT(MIN(I560,Formula!$C$27))/Formula!$C$24,1/Formula!$C$25))</f>
        <v>0.7215375318</v>
      </c>
      <c r="R560" s="15">
        <f t="shared" si="2"/>
        <v>0.1443075064</v>
      </c>
      <c r="S560" s="15">
        <f>IF(H560&lt;&gt;"",EXP(-Formula!$C$28*(EOMONTH(H560,0)-H560)),EXP(-Formula!$C$28*(EOMONTH(D560,0)-D560)))</f>
        <v>0.4065696597</v>
      </c>
      <c r="T560" s="15">
        <f t="shared" si="3"/>
        <v>0.3535533906</v>
      </c>
      <c r="U560" s="15">
        <f t="shared" si="4"/>
        <v>0.02074334999</v>
      </c>
      <c r="V560" s="16">
        <f>IF(AND(L560="Among all respondents",NOT(OR(K560="Online poll in Telegram channel",K560="Website online poll",K560="CAWI (Computer Assisted Web Interviewing)"))),1/(1-MIN(MAX(Formula!$C$33+(YEAR(D560)-Formula!$C$34)/(Formula!$C$35-Formula!$C$34)*(Formula!$C$32-Formula!$C$33),Formula!$C$33),Formula!$C$32)),1)</f>
        <v>1</v>
      </c>
      <c r="W560" s="17">
        <f t="shared" si="5"/>
        <v>1</v>
      </c>
    </row>
    <row r="561" ht="15.75" customHeight="1">
      <c r="A561" s="8" t="s">
        <v>1116</v>
      </c>
      <c r="B561" s="7" t="s">
        <v>1117</v>
      </c>
      <c r="C561" s="13" t="s">
        <v>1118</v>
      </c>
      <c r="D561" s="7" t="s">
        <v>116</v>
      </c>
      <c r="E561" s="8" t="s">
        <v>91</v>
      </c>
      <c r="F561" s="8" t="s">
        <v>318</v>
      </c>
      <c r="G561" s="7" t="s">
        <v>1119</v>
      </c>
      <c r="H561" s="7" t="s">
        <v>1120</v>
      </c>
      <c r="I561" s="8">
        <v>1502.0</v>
      </c>
      <c r="J561" s="8">
        <v>2.5</v>
      </c>
      <c r="K561" s="8" t="s">
        <v>583</v>
      </c>
      <c r="L561" s="8" t="s">
        <v>322</v>
      </c>
      <c r="M561" s="8" t="s">
        <v>323</v>
      </c>
      <c r="N561" s="8">
        <v>75.0</v>
      </c>
      <c r="O561" s="14">
        <f t="shared" si="1"/>
        <v>44835</v>
      </c>
      <c r="P561" s="15">
        <f>IFERROR(VLOOKUP(K561,Formula!$A$11:$B$20,2,FALSE),Formula!$C$26)</f>
        <v>0.95</v>
      </c>
      <c r="Q561" s="15">
        <f>IF(AND(ISNUMBER(J561),J561&gt;0),1/J561,IF(AND(ISNUMBER(I561),I561&gt;0),SQRT(MIN(I561,Formula!$C$27))/Formula!$C$24,1/Formula!$C$25))</f>
        <v>0.4</v>
      </c>
      <c r="R561" s="15">
        <f t="shared" si="2"/>
        <v>0.38</v>
      </c>
      <c r="S561" s="15">
        <f>IF(H561&lt;&gt;"",EXP(-Formula!$C$28*(EOMONTH(H561,0)-H561)),EXP(-Formula!$C$28*(EOMONTH(D561,0)-D561)))</f>
        <v>1</v>
      </c>
      <c r="T561" s="15">
        <f t="shared" si="3"/>
        <v>0.3333333333</v>
      </c>
      <c r="U561" s="15">
        <f t="shared" si="4"/>
        <v>0.1266666667</v>
      </c>
      <c r="V561" s="16">
        <f>IF(AND(L561="Among all respondents",NOT(OR(K561="Online poll in Telegram channel",K561="Website online poll",K561="CAWI (Computer Assisted Web Interviewing)"))),1/(1-MIN(MAX(Formula!$C$33+(YEAR(D561)-Formula!$C$34)/(Formula!$C$35-Formula!$C$34)*(Formula!$C$32-Formula!$C$33),Formula!$C$33),Formula!$C$32)),1)</f>
        <v>1</v>
      </c>
      <c r="W561" s="17">
        <f t="shared" si="5"/>
        <v>75</v>
      </c>
    </row>
    <row r="562" ht="15.75" customHeight="1">
      <c r="A562" s="8" t="s">
        <v>1121</v>
      </c>
      <c r="B562" s="7" t="s">
        <v>1117</v>
      </c>
      <c r="C562" s="13" t="s">
        <v>1118</v>
      </c>
      <c r="D562" s="7" t="s">
        <v>116</v>
      </c>
      <c r="E562" s="8" t="s">
        <v>91</v>
      </c>
      <c r="F562" s="8" t="s">
        <v>318</v>
      </c>
      <c r="G562" s="7" t="s">
        <v>1119</v>
      </c>
      <c r="H562" s="7" t="s">
        <v>1120</v>
      </c>
      <c r="I562" s="8">
        <v>1502.0</v>
      </c>
      <c r="J562" s="8">
        <v>2.5</v>
      </c>
      <c r="K562" s="8" t="s">
        <v>583</v>
      </c>
      <c r="L562" s="8" t="s">
        <v>322</v>
      </c>
      <c r="M562" s="8" t="s">
        <v>329</v>
      </c>
      <c r="N562" s="8">
        <v>7.1</v>
      </c>
      <c r="O562" s="14">
        <f t="shared" si="1"/>
        <v>44835</v>
      </c>
      <c r="P562" s="15">
        <f>IFERROR(VLOOKUP(K562,Formula!$A$11:$B$20,2,FALSE),Formula!$C$26)</f>
        <v>0.95</v>
      </c>
      <c r="Q562" s="15">
        <f>IF(AND(ISNUMBER(J562),J562&gt;0),1/J562,IF(AND(ISNUMBER(I562),I562&gt;0),SQRT(MIN(I562,Formula!$C$27))/Formula!$C$24,1/Formula!$C$25))</f>
        <v>0.4</v>
      </c>
      <c r="R562" s="15">
        <f t="shared" si="2"/>
        <v>0.38</v>
      </c>
      <c r="S562" s="15">
        <f>IF(H562&lt;&gt;"",EXP(-Formula!$C$28*(EOMONTH(H562,0)-H562)),EXP(-Formula!$C$28*(EOMONTH(D562,0)-D562)))</f>
        <v>1</v>
      </c>
      <c r="T562" s="15">
        <f t="shared" si="3"/>
        <v>0.3333333333</v>
      </c>
      <c r="U562" s="15">
        <f t="shared" si="4"/>
        <v>0.1266666667</v>
      </c>
      <c r="V562" s="16">
        <f>IF(AND(L562="Among all respondents",NOT(OR(K562="Online poll in Telegram channel",K562="Website online poll",K562="CAWI (Computer Assisted Web Interviewing)"))),1/(1-MIN(MAX(Formula!$C$33+(YEAR(D562)-Formula!$C$34)/(Formula!$C$35-Formula!$C$34)*(Formula!$C$32-Formula!$C$33),Formula!$C$33),Formula!$C$32)),1)</f>
        <v>1</v>
      </c>
      <c r="W562" s="17">
        <f t="shared" si="5"/>
        <v>7.1</v>
      </c>
    </row>
    <row r="563" ht="15.75" customHeight="1">
      <c r="A563" s="8" t="s">
        <v>1122</v>
      </c>
      <c r="B563" s="7" t="s">
        <v>1117</v>
      </c>
      <c r="C563" s="13" t="s">
        <v>1118</v>
      </c>
      <c r="D563" s="7" t="s">
        <v>116</v>
      </c>
      <c r="E563" s="8" t="s">
        <v>91</v>
      </c>
      <c r="F563" s="8" t="s">
        <v>318</v>
      </c>
      <c r="G563" s="7" t="s">
        <v>1119</v>
      </c>
      <c r="H563" s="7" t="s">
        <v>1120</v>
      </c>
      <c r="I563" s="8">
        <v>1502.0</v>
      </c>
      <c r="J563" s="8">
        <v>2.5</v>
      </c>
      <c r="K563" s="8" t="s">
        <v>583</v>
      </c>
      <c r="L563" s="8" t="s">
        <v>322</v>
      </c>
      <c r="M563" s="8" t="s">
        <v>339</v>
      </c>
      <c r="N563" s="8">
        <v>5.5</v>
      </c>
      <c r="O563" s="14">
        <f t="shared" si="1"/>
        <v>44835</v>
      </c>
      <c r="P563" s="15">
        <f>IFERROR(VLOOKUP(K563,Formula!$A$11:$B$20,2,FALSE),Formula!$C$26)</f>
        <v>0.95</v>
      </c>
      <c r="Q563" s="15">
        <f>IF(AND(ISNUMBER(J563),J563&gt;0),1/J563,IF(AND(ISNUMBER(I563),I563&gt;0),SQRT(MIN(I563,Formula!$C$27))/Formula!$C$24,1/Formula!$C$25))</f>
        <v>0.4</v>
      </c>
      <c r="R563" s="15">
        <f t="shared" si="2"/>
        <v>0.38</v>
      </c>
      <c r="S563" s="15">
        <f>IF(H563&lt;&gt;"",EXP(-Formula!$C$28*(EOMONTH(H563,0)-H563)),EXP(-Formula!$C$28*(EOMONTH(D563,0)-D563)))</f>
        <v>1</v>
      </c>
      <c r="T563" s="15">
        <f t="shared" si="3"/>
        <v>0.3333333333</v>
      </c>
      <c r="U563" s="15">
        <f t="shared" si="4"/>
        <v>0.1266666667</v>
      </c>
      <c r="V563" s="16">
        <f>IF(AND(L563="Among all respondents",NOT(OR(K563="Online poll in Telegram channel",K563="Website online poll",K563="CAWI (Computer Assisted Web Interviewing)"))),1/(1-MIN(MAX(Formula!$C$33+(YEAR(D563)-Formula!$C$34)/(Formula!$C$35-Formula!$C$34)*(Formula!$C$32-Formula!$C$33),Formula!$C$33),Formula!$C$32)),1)</f>
        <v>1</v>
      </c>
      <c r="W563" s="17">
        <f t="shared" si="5"/>
        <v>5.5</v>
      </c>
    </row>
    <row r="564" ht="15.75" customHeight="1">
      <c r="A564" s="8" t="s">
        <v>1123</v>
      </c>
      <c r="B564" s="7" t="s">
        <v>1117</v>
      </c>
      <c r="C564" s="13" t="s">
        <v>1118</v>
      </c>
      <c r="D564" s="7" t="s">
        <v>116</v>
      </c>
      <c r="E564" s="8" t="s">
        <v>91</v>
      </c>
      <c r="F564" s="8" t="s">
        <v>318</v>
      </c>
      <c r="G564" s="7" t="s">
        <v>1119</v>
      </c>
      <c r="H564" s="7" t="s">
        <v>1120</v>
      </c>
      <c r="I564" s="8">
        <v>1502.0</v>
      </c>
      <c r="J564" s="8">
        <v>2.5</v>
      </c>
      <c r="K564" s="8" t="s">
        <v>583</v>
      </c>
      <c r="L564" s="8" t="s">
        <v>322</v>
      </c>
      <c r="M564" s="8" t="s">
        <v>337</v>
      </c>
      <c r="N564" s="8">
        <v>2.8</v>
      </c>
      <c r="O564" s="14">
        <f t="shared" si="1"/>
        <v>44835</v>
      </c>
      <c r="P564" s="15">
        <f>IFERROR(VLOOKUP(K564,Formula!$A$11:$B$20,2,FALSE),Formula!$C$26)</f>
        <v>0.95</v>
      </c>
      <c r="Q564" s="15">
        <f>IF(AND(ISNUMBER(J564),J564&gt;0),1/J564,IF(AND(ISNUMBER(I564),I564&gt;0),SQRT(MIN(I564,Formula!$C$27))/Formula!$C$24,1/Formula!$C$25))</f>
        <v>0.4</v>
      </c>
      <c r="R564" s="15">
        <f t="shared" si="2"/>
        <v>0.38</v>
      </c>
      <c r="S564" s="15">
        <f>IF(H564&lt;&gt;"",EXP(-Formula!$C$28*(EOMONTH(H564,0)-H564)),EXP(-Formula!$C$28*(EOMONTH(D564,0)-D564)))</f>
        <v>1</v>
      </c>
      <c r="T564" s="15">
        <f t="shared" si="3"/>
        <v>0.3333333333</v>
      </c>
      <c r="U564" s="15">
        <f t="shared" si="4"/>
        <v>0.1266666667</v>
      </c>
      <c r="V564" s="16">
        <f>IF(AND(L564="Among all respondents",NOT(OR(K564="Online poll in Telegram channel",K564="Website online poll",K564="CAWI (Computer Assisted Web Interviewing)"))),1/(1-MIN(MAX(Formula!$C$33+(YEAR(D564)-Formula!$C$34)/(Formula!$C$35-Formula!$C$34)*(Formula!$C$32-Formula!$C$33),Formula!$C$33),Formula!$C$32)),1)</f>
        <v>1</v>
      </c>
      <c r="W564" s="17">
        <f t="shared" si="5"/>
        <v>2.8</v>
      </c>
    </row>
    <row r="565" ht="15.75" customHeight="1">
      <c r="A565" s="8" t="s">
        <v>1124</v>
      </c>
      <c r="B565" s="7" t="s">
        <v>1117</v>
      </c>
      <c r="C565" s="13" t="s">
        <v>1118</v>
      </c>
      <c r="D565" s="7" t="s">
        <v>116</v>
      </c>
      <c r="E565" s="8" t="s">
        <v>91</v>
      </c>
      <c r="F565" s="8" t="s">
        <v>318</v>
      </c>
      <c r="G565" s="7" t="s">
        <v>1119</v>
      </c>
      <c r="H565" s="7" t="s">
        <v>1120</v>
      </c>
      <c r="I565" s="8">
        <v>1502.0</v>
      </c>
      <c r="J565" s="8">
        <v>2.5</v>
      </c>
      <c r="K565" s="8" t="s">
        <v>583</v>
      </c>
      <c r="L565" s="8" t="s">
        <v>322</v>
      </c>
      <c r="M565" s="8" t="s">
        <v>828</v>
      </c>
      <c r="N565" s="8">
        <v>2.8</v>
      </c>
      <c r="O565" s="14">
        <f t="shared" si="1"/>
        <v>44835</v>
      </c>
      <c r="P565" s="15">
        <f>IFERROR(VLOOKUP(K565,Formula!$A$11:$B$20,2,FALSE),Formula!$C$26)</f>
        <v>0.95</v>
      </c>
      <c r="Q565" s="15">
        <f>IF(AND(ISNUMBER(J565),J565&gt;0),1/J565,IF(AND(ISNUMBER(I565),I565&gt;0),SQRT(MIN(I565,Formula!$C$27))/Formula!$C$24,1/Formula!$C$25))</f>
        <v>0.4</v>
      </c>
      <c r="R565" s="15">
        <f t="shared" si="2"/>
        <v>0.38</v>
      </c>
      <c r="S565" s="15">
        <f>IF(H565&lt;&gt;"",EXP(-Formula!$C$28*(EOMONTH(H565,0)-H565)),EXP(-Formula!$C$28*(EOMONTH(D565,0)-D565)))</f>
        <v>1</v>
      </c>
      <c r="T565" s="15">
        <f t="shared" si="3"/>
        <v>0.3333333333</v>
      </c>
      <c r="U565" s="15">
        <f t="shared" si="4"/>
        <v>0.1266666667</v>
      </c>
      <c r="V565" s="16">
        <f>IF(AND(L565="Among all respondents",NOT(OR(K565="Online poll in Telegram channel",K565="Website online poll",K565="CAWI (Computer Assisted Web Interviewing)"))),1/(1-MIN(MAX(Formula!$C$33+(YEAR(D565)-Formula!$C$34)/(Formula!$C$35-Formula!$C$34)*(Formula!$C$32-Formula!$C$33),Formula!$C$33),Formula!$C$32)),1)</f>
        <v>1</v>
      </c>
      <c r="W565" s="17">
        <f t="shared" si="5"/>
        <v>2.8</v>
      </c>
    </row>
    <row r="566" ht="15.75" customHeight="1">
      <c r="A566" s="8" t="s">
        <v>1125</v>
      </c>
      <c r="B566" s="7" t="s">
        <v>1117</v>
      </c>
      <c r="C566" s="13" t="s">
        <v>1118</v>
      </c>
      <c r="D566" s="7" t="s">
        <v>116</v>
      </c>
      <c r="E566" s="8" t="s">
        <v>91</v>
      </c>
      <c r="F566" s="8" t="s">
        <v>318</v>
      </c>
      <c r="G566" s="7" t="s">
        <v>1119</v>
      </c>
      <c r="H566" s="7" t="s">
        <v>1120</v>
      </c>
      <c r="I566" s="8">
        <v>1502.0</v>
      </c>
      <c r="J566" s="8">
        <v>2.5</v>
      </c>
      <c r="K566" s="8" t="s">
        <v>583</v>
      </c>
      <c r="L566" s="8" t="s">
        <v>322</v>
      </c>
      <c r="M566" s="8" t="s">
        <v>333</v>
      </c>
      <c r="N566" s="8">
        <v>2.4</v>
      </c>
      <c r="O566" s="14">
        <f t="shared" si="1"/>
        <v>44835</v>
      </c>
      <c r="P566" s="15">
        <f>IFERROR(VLOOKUP(K566,Formula!$A$11:$B$20,2,FALSE),Formula!$C$26)</f>
        <v>0.95</v>
      </c>
      <c r="Q566" s="15">
        <f>IF(AND(ISNUMBER(J566),J566&gt;0),1/J566,IF(AND(ISNUMBER(I566),I566&gt;0),SQRT(MIN(I566,Formula!$C$27))/Formula!$C$24,1/Formula!$C$25))</f>
        <v>0.4</v>
      </c>
      <c r="R566" s="15">
        <f t="shared" si="2"/>
        <v>0.38</v>
      </c>
      <c r="S566" s="15">
        <f>IF(H566&lt;&gt;"",EXP(-Formula!$C$28*(EOMONTH(H566,0)-H566)),EXP(-Formula!$C$28*(EOMONTH(D566,0)-D566)))</f>
        <v>1</v>
      </c>
      <c r="T566" s="15">
        <f t="shared" si="3"/>
        <v>0.3333333333</v>
      </c>
      <c r="U566" s="15">
        <f t="shared" si="4"/>
        <v>0.1266666667</v>
      </c>
      <c r="V566" s="16">
        <f>IF(AND(L566="Among all respondents",NOT(OR(K566="Online poll in Telegram channel",K566="Website online poll",K566="CAWI (Computer Assisted Web Interviewing)"))),1/(1-MIN(MAX(Formula!$C$33+(YEAR(D566)-Formula!$C$34)/(Formula!$C$35-Formula!$C$34)*(Formula!$C$32-Formula!$C$33),Formula!$C$33),Formula!$C$32)),1)</f>
        <v>1</v>
      </c>
      <c r="W566" s="17">
        <f t="shared" si="5"/>
        <v>2.4</v>
      </c>
    </row>
    <row r="567" ht="15.75" customHeight="1">
      <c r="A567" s="8" t="s">
        <v>1126</v>
      </c>
      <c r="B567" s="7" t="s">
        <v>1117</v>
      </c>
      <c r="C567" s="13" t="s">
        <v>1118</v>
      </c>
      <c r="D567" s="7" t="s">
        <v>116</v>
      </c>
      <c r="E567" s="8" t="s">
        <v>91</v>
      </c>
      <c r="F567" s="8" t="s">
        <v>318</v>
      </c>
      <c r="G567" s="7" t="s">
        <v>1119</v>
      </c>
      <c r="H567" s="7" t="s">
        <v>1120</v>
      </c>
      <c r="I567" s="8">
        <v>1502.0</v>
      </c>
      <c r="J567" s="8">
        <v>2.5</v>
      </c>
      <c r="K567" s="8" t="s">
        <v>583</v>
      </c>
      <c r="L567" s="8" t="s">
        <v>322</v>
      </c>
      <c r="M567" s="8" t="s">
        <v>386</v>
      </c>
      <c r="N567" s="8">
        <v>1.2</v>
      </c>
      <c r="O567" s="14">
        <f t="shared" si="1"/>
        <v>44835</v>
      </c>
      <c r="P567" s="15">
        <f>IFERROR(VLOOKUP(K567,Formula!$A$11:$B$20,2,FALSE),Formula!$C$26)</f>
        <v>0.95</v>
      </c>
      <c r="Q567" s="15">
        <f>IF(AND(ISNUMBER(J567),J567&gt;0),1/J567,IF(AND(ISNUMBER(I567),I567&gt;0),SQRT(MIN(I567,Formula!$C$27))/Formula!$C$24,1/Formula!$C$25))</f>
        <v>0.4</v>
      </c>
      <c r="R567" s="15">
        <f t="shared" si="2"/>
        <v>0.38</v>
      </c>
      <c r="S567" s="15">
        <f>IF(H567&lt;&gt;"",EXP(-Formula!$C$28*(EOMONTH(H567,0)-H567)),EXP(-Formula!$C$28*(EOMONTH(D567,0)-D567)))</f>
        <v>1</v>
      </c>
      <c r="T567" s="15">
        <f t="shared" si="3"/>
        <v>0.3333333333</v>
      </c>
      <c r="U567" s="15">
        <f t="shared" si="4"/>
        <v>0.1266666667</v>
      </c>
      <c r="V567" s="16">
        <f>IF(AND(L567="Among all respondents",NOT(OR(K567="Online poll in Telegram channel",K567="Website online poll",K567="CAWI (Computer Assisted Web Interviewing)"))),1/(1-MIN(MAX(Formula!$C$33+(YEAR(D567)-Formula!$C$34)/(Formula!$C$35-Formula!$C$34)*(Formula!$C$32-Formula!$C$33),Formula!$C$33),Formula!$C$32)),1)</f>
        <v>1</v>
      </c>
      <c r="W567" s="17">
        <f t="shared" si="5"/>
        <v>1.2</v>
      </c>
    </row>
    <row r="568" ht="15.75" customHeight="1">
      <c r="A568" s="8" t="s">
        <v>1127</v>
      </c>
      <c r="B568" s="7" t="s">
        <v>1117</v>
      </c>
      <c r="C568" s="13" t="s">
        <v>1118</v>
      </c>
      <c r="D568" s="7" t="s">
        <v>116</v>
      </c>
      <c r="E568" s="8" t="s">
        <v>91</v>
      </c>
      <c r="F568" s="8" t="s">
        <v>318</v>
      </c>
      <c r="G568" s="7" t="s">
        <v>1119</v>
      </c>
      <c r="H568" s="7" t="s">
        <v>1120</v>
      </c>
      <c r="I568" s="8">
        <v>1502.0</v>
      </c>
      <c r="J568" s="8">
        <v>2.5</v>
      </c>
      <c r="K568" s="8" t="s">
        <v>583</v>
      </c>
      <c r="L568" s="8" t="s">
        <v>322</v>
      </c>
      <c r="M568" s="8" t="s">
        <v>359</v>
      </c>
      <c r="N568" s="8">
        <v>1.1</v>
      </c>
      <c r="O568" s="14">
        <f t="shared" si="1"/>
        <v>44835</v>
      </c>
      <c r="P568" s="15">
        <f>IFERROR(VLOOKUP(K568,Formula!$A$11:$B$20,2,FALSE),Formula!$C$26)</f>
        <v>0.95</v>
      </c>
      <c r="Q568" s="15">
        <f>IF(AND(ISNUMBER(J568),J568&gt;0),1/J568,IF(AND(ISNUMBER(I568),I568&gt;0),SQRT(MIN(I568,Formula!$C$27))/Formula!$C$24,1/Formula!$C$25))</f>
        <v>0.4</v>
      </c>
      <c r="R568" s="15">
        <f t="shared" si="2"/>
        <v>0.38</v>
      </c>
      <c r="S568" s="15">
        <f>IF(H568&lt;&gt;"",EXP(-Formula!$C$28*(EOMONTH(H568,0)-H568)),EXP(-Formula!$C$28*(EOMONTH(D568,0)-D568)))</f>
        <v>1</v>
      </c>
      <c r="T568" s="15">
        <f t="shared" si="3"/>
        <v>0.3333333333</v>
      </c>
      <c r="U568" s="15">
        <f t="shared" si="4"/>
        <v>0.1266666667</v>
      </c>
      <c r="V568" s="16">
        <f>IF(AND(L568="Among all respondents",NOT(OR(K568="Online poll in Telegram channel",K568="Website online poll",K568="CAWI (Computer Assisted Web Interviewing)"))),1/(1-MIN(MAX(Formula!$C$33+(YEAR(D568)-Formula!$C$34)/(Formula!$C$35-Formula!$C$34)*(Formula!$C$32-Formula!$C$33),Formula!$C$33),Formula!$C$32)),1)</f>
        <v>1</v>
      </c>
      <c r="W568" s="17">
        <f t="shared" si="5"/>
        <v>1.1</v>
      </c>
    </row>
    <row r="569" ht="15.75" customHeight="1">
      <c r="A569" s="8" t="s">
        <v>1128</v>
      </c>
      <c r="B569" s="7" t="s">
        <v>1117</v>
      </c>
      <c r="C569" s="13" t="s">
        <v>1118</v>
      </c>
      <c r="D569" s="7" t="s">
        <v>116</v>
      </c>
      <c r="E569" s="8" t="s">
        <v>91</v>
      </c>
      <c r="F569" s="8" t="s">
        <v>318</v>
      </c>
      <c r="G569" s="7" t="s">
        <v>1119</v>
      </c>
      <c r="H569" s="7" t="s">
        <v>1120</v>
      </c>
      <c r="I569" s="8">
        <v>1502.0</v>
      </c>
      <c r="J569" s="8">
        <v>2.5</v>
      </c>
      <c r="K569" s="8" t="s">
        <v>583</v>
      </c>
      <c r="L569" s="8" t="s">
        <v>322</v>
      </c>
      <c r="M569" s="8" t="s">
        <v>388</v>
      </c>
      <c r="N569" s="8">
        <v>0.5</v>
      </c>
      <c r="O569" s="14">
        <f t="shared" si="1"/>
        <v>44835</v>
      </c>
      <c r="P569" s="15">
        <f>IFERROR(VLOOKUP(K569,Formula!$A$11:$B$20,2,FALSE),Formula!$C$26)</f>
        <v>0.95</v>
      </c>
      <c r="Q569" s="15">
        <f>IF(AND(ISNUMBER(J569),J569&gt;0),1/J569,IF(AND(ISNUMBER(I569),I569&gt;0),SQRT(MIN(I569,Formula!$C$27))/Formula!$C$24,1/Formula!$C$25))</f>
        <v>0.4</v>
      </c>
      <c r="R569" s="15">
        <f t="shared" si="2"/>
        <v>0.38</v>
      </c>
      <c r="S569" s="15">
        <f>IF(H569&lt;&gt;"",EXP(-Formula!$C$28*(EOMONTH(H569,0)-H569)),EXP(-Formula!$C$28*(EOMONTH(D569,0)-D569)))</f>
        <v>1</v>
      </c>
      <c r="T569" s="15">
        <f t="shared" si="3"/>
        <v>0.3333333333</v>
      </c>
      <c r="U569" s="15">
        <f t="shared" si="4"/>
        <v>0.1266666667</v>
      </c>
      <c r="V569" s="16">
        <f>IF(AND(L569="Among all respondents",NOT(OR(K569="Online poll in Telegram channel",K569="Website online poll",K569="CAWI (Computer Assisted Web Interviewing)"))),1/(1-MIN(MAX(Formula!$C$33+(YEAR(D569)-Formula!$C$34)/(Formula!$C$35-Formula!$C$34)*(Formula!$C$32-Formula!$C$33),Formula!$C$33),Formula!$C$32)),1)</f>
        <v>1</v>
      </c>
      <c r="W569" s="17">
        <f t="shared" si="5"/>
        <v>0.5</v>
      </c>
    </row>
    <row r="570" ht="15.75" customHeight="1">
      <c r="A570" s="8" t="s">
        <v>1129</v>
      </c>
      <c r="B570" s="7" t="s">
        <v>1130</v>
      </c>
      <c r="C570" s="13" t="s">
        <v>1131</v>
      </c>
      <c r="D570" s="7" t="s">
        <v>119</v>
      </c>
      <c r="E570" s="8" t="s">
        <v>91</v>
      </c>
      <c r="F570" s="8" t="s">
        <v>318</v>
      </c>
      <c r="G570" s="7" t="s">
        <v>1132</v>
      </c>
      <c r="H570" s="7" t="s">
        <v>1133</v>
      </c>
      <c r="I570" s="8">
        <v>1510.0</v>
      </c>
      <c r="J570" s="8">
        <v>2.5</v>
      </c>
      <c r="K570" s="8" t="s">
        <v>321</v>
      </c>
      <c r="L570" s="8" t="s">
        <v>322</v>
      </c>
      <c r="M570" s="8" t="s">
        <v>323</v>
      </c>
      <c r="N570" s="8">
        <v>71.4</v>
      </c>
      <c r="O570" s="14">
        <f t="shared" si="1"/>
        <v>44805</v>
      </c>
      <c r="P570" s="15">
        <f>IFERROR(VLOOKUP(K570,Formula!$A$11:$B$20,2,FALSE),Formula!$C$26)</f>
        <v>0.9</v>
      </c>
      <c r="Q570" s="15">
        <f>IF(AND(ISNUMBER(J570),J570&gt;0),1/J570,IF(AND(ISNUMBER(I570),I570&gt;0),SQRT(MIN(I570,Formula!$C$27))/Formula!$C$24,1/Formula!$C$25))</f>
        <v>0.4</v>
      </c>
      <c r="R570" s="15">
        <f t="shared" si="2"/>
        <v>0.36</v>
      </c>
      <c r="S570" s="15">
        <f>IF(H570&lt;&gt;"",EXP(-Formula!$C$28*(EOMONTH(H570,0)-H570)),EXP(-Formula!$C$28*(EOMONTH(D570,0)-D570)))</f>
        <v>1</v>
      </c>
      <c r="T570" s="15">
        <f t="shared" si="3"/>
        <v>0.3333333333</v>
      </c>
      <c r="U570" s="15">
        <f t="shared" si="4"/>
        <v>0.12</v>
      </c>
      <c r="V570" s="16">
        <f>IF(AND(L570="Among all respondents",NOT(OR(K570="Online poll in Telegram channel",K570="Website online poll",K570="CAWI (Computer Assisted Web Interviewing)"))),1/(1-MIN(MAX(Formula!$C$33+(YEAR(D570)-Formula!$C$34)/(Formula!$C$35-Formula!$C$34)*(Formula!$C$32-Formula!$C$33),Formula!$C$33),Formula!$C$32)),1)</f>
        <v>1</v>
      </c>
      <c r="W570" s="17">
        <f t="shared" si="5"/>
        <v>71.4</v>
      </c>
    </row>
    <row r="571" ht="15.75" customHeight="1">
      <c r="A571" s="8" t="s">
        <v>1134</v>
      </c>
      <c r="B571" s="7" t="s">
        <v>1130</v>
      </c>
      <c r="C571" s="13" t="s">
        <v>1131</v>
      </c>
      <c r="D571" s="7" t="s">
        <v>119</v>
      </c>
      <c r="E571" s="8" t="s">
        <v>91</v>
      </c>
      <c r="F571" s="8" t="s">
        <v>318</v>
      </c>
      <c r="G571" s="7" t="s">
        <v>1132</v>
      </c>
      <c r="H571" s="7" t="s">
        <v>1133</v>
      </c>
      <c r="I571" s="8">
        <v>1510.0</v>
      </c>
      <c r="J571" s="8">
        <v>2.5</v>
      </c>
      <c r="K571" s="8" t="s">
        <v>321</v>
      </c>
      <c r="L571" s="8" t="s">
        <v>322</v>
      </c>
      <c r="M571" s="8" t="s">
        <v>329</v>
      </c>
      <c r="N571" s="8">
        <v>6.9</v>
      </c>
      <c r="O571" s="14">
        <f t="shared" si="1"/>
        <v>44805</v>
      </c>
      <c r="P571" s="15">
        <f>IFERROR(VLOOKUP(K571,Formula!$A$11:$B$20,2,FALSE),Formula!$C$26)</f>
        <v>0.9</v>
      </c>
      <c r="Q571" s="15">
        <f>IF(AND(ISNUMBER(J571),J571&gt;0),1/J571,IF(AND(ISNUMBER(I571),I571&gt;0),SQRT(MIN(I571,Formula!$C$27))/Formula!$C$24,1/Formula!$C$25))</f>
        <v>0.4</v>
      </c>
      <c r="R571" s="15">
        <f t="shared" si="2"/>
        <v>0.36</v>
      </c>
      <c r="S571" s="15">
        <f>IF(H571&lt;&gt;"",EXP(-Formula!$C$28*(EOMONTH(H571,0)-H571)),EXP(-Formula!$C$28*(EOMONTH(D571,0)-D571)))</f>
        <v>1</v>
      </c>
      <c r="T571" s="15">
        <f t="shared" si="3"/>
        <v>0.3333333333</v>
      </c>
      <c r="U571" s="15">
        <f t="shared" si="4"/>
        <v>0.12</v>
      </c>
      <c r="V571" s="16">
        <f>IF(AND(L571="Among all respondents",NOT(OR(K571="Online poll in Telegram channel",K571="Website online poll",K571="CAWI (Computer Assisted Web Interviewing)"))),1/(1-MIN(MAX(Formula!$C$33+(YEAR(D571)-Formula!$C$34)/(Formula!$C$35-Formula!$C$34)*(Formula!$C$32-Formula!$C$33),Formula!$C$33),Formula!$C$32)),1)</f>
        <v>1</v>
      </c>
      <c r="W571" s="17">
        <f t="shared" si="5"/>
        <v>6.9</v>
      </c>
    </row>
    <row r="572" ht="15.75" customHeight="1">
      <c r="A572" s="8" t="s">
        <v>1135</v>
      </c>
      <c r="B572" s="7" t="s">
        <v>1130</v>
      </c>
      <c r="C572" s="13" t="s">
        <v>1131</v>
      </c>
      <c r="D572" s="7" t="s">
        <v>119</v>
      </c>
      <c r="E572" s="8" t="s">
        <v>91</v>
      </c>
      <c r="F572" s="8" t="s">
        <v>318</v>
      </c>
      <c r="G572" s="7" t="s">
        <v>1132</v>
      </c>
      <c r="H572" s="7" t="s">
        <v>1133</v>
      </c>
      <c r="I572" s="8">
        <v>1510.0</v>
      </c>
      <c r="J572" s="8">
        <v>2.5</v>
      </c>
      <c r="K572" s="8" t="s">
        <v>321</v>
      </c>
      <c r="L572" s="8" t="s">
        <v>322</v>
      </c>
      <c r="M572" s="8" t="s">
        <v>339</v>
      </c>
      <c r="N572" s="8">
        <v>6.2</v>
      </c>
      <c r="O572" s="14">
        <f t="shared" si="1"/>
        <v>44805</v>
      </c>
      <c r="P572" s="15">
        <f>IFERROR(VLOOKUP(K572,Formula!$A$11:$B$20,2,FALSE),Formula!$C$26)</f>
        <v>0.9</v>
      </c>
      <c r="Q572" s="15">
        <f>IF(AND(ISNUMBER(J572),J572&gt;0),1/J572,IF(AND(ISNUMBER(I572),I572&gt;0),SQRT(MIN(I572,Formula!$C$27))/Formula!$C$24,1/Formula!$C$25))</f>
        <v>0.4</v>
      </c>
      <c r="R572" s="15">
        <f t="shared" si="2"/>
        <v>0.36</v>
      </c>
      <c r="S572" s="15">
        <f>IF(H572&lt;&gt;"",EXP(-Formula!$C$28*(EOMONTH(H572,0)-H572)),EXP(-Formula!$C$28*(EOMONTH(D572,0)-D572)))</f>
        <v>1</v>
      </c>
      <c r="T572" s="15">
        <f t="shared" si="3"/>
        <v>0.3333333333</v>
      </c>
      <c r="U572" s="15">
        <f t="shared" si="4"/>
        <v>0.12</v>
      </c>
      <c r="V572" s="16">
        <f>IF(AND(L572="Among all respondents",NOT(OR(K572="Online poll in Telegram channel",K572="Website online poll",K572="CAWI (Computer Assisted Web Interviewing)"))),1/(1-MIN(MAX(Formula!$C$33+(YEAR(D572)-Formula!$C$34)/(Formula!$C$35-Formula!$C$34)*(Formula!$C$32-Formula!$C$33),Formula!$C$33),Formula!$C$32)),1)</f>
        <v>1</v>
      </c>
      <c r="W572" s="17">
        <f t="shared" si="5"/>
        <v>6.2</v>
      </c>
    </row>
    <row r="573" ht="15.75" customHeight="1">
      <c r="A573" s="8" t="s">
        <v>1136</v>
      </c>
      <c r="B573" s="7" t="s">
        <v>1130</v>
      </c>
      <c r="C573" s="13" t="s">
        <v>1131</v>
      </c>
      <c r="D573" s="7" t="s">
        <v>119</v>
      </c>
      <c r="E573" s="8" t="s">
        <v>91</v>
      </c>
      <c r="F573" s="8" t="s">
        <v>318</v>
      </c>
      <c r="G573" s="7" t="s">
        <v>1132</v>
      </c>
      <c r="H573" s="7" t="s">
        <v>1133</v>
      </c>
      <c r="I573" s="8">
        <v>1510.0</v>
      </c>
      <c r="J573" s="8">
        <v>2.5</v>
      </c>
      <c r="K573" s="8" t="s">
        <v>321</v>
      </c>
      <c r="L573" s="8" t="s">
        <v>322</v>
      </c>
      <c r="M573" s="8" t="s">
        <v>337</v>
      </c>
      <c r="N573" s="8">
        <v>3.7</v>
      </c>
      <c r="O573" s="14">
        <f t="shared" si="1"/>
        <v>44805</v>
      </c>
      <c r="P573" s="15">
        <f>IFERROR(VLOOKUP(K573,Formula!$A$11:$B$20,2,FALSE),Formula!$C$26)</f>
        <v>0.9</v>
      </c>
      <c r="Q573" s="15">
        <f>IF(AND(ISNUMBER(J573),J573&gt;0),1/J573,IF(AND(ISNUMBER(I573),I573&gt;0),SQRT(MIN(I573,Formula!$C$27))/Formula!$C$24,1/Formula!$C$25))</f>
        <v>0.4</v>
      </c>
      <c r="R573" s="15">
        <f t="shared" si="2"/>
        <v>0.36</v>
      </c>
      <c r="S573" s="15">
        <f>IF(H573&lt;&gt;"",EXP(-Formula!$C$28*(EOMONTH(H573,0)-H573)),EXP(-Formula!$C$28*(EOMONTH(D573,0)-D573)))</f>
        <v>1</v>
      </c>
      <c r="T573" s="15">
        <f t="shared" si="3"/>
        <v>0.3333333333</v>
      </c>
      <c r="U573" s="15">
        <f t="shared" si="4"/>
        <v>0.12</v>
      </c>
      <c r="V573" s="16">
        <f>IF(AND(L573="Among all respondents",NOT(OR(K573="Online poll in Telegram channel",K573="Website online poll",K573="CAWI (Computer Assisted Web Interviewing)"))),1/(1-MIN(MAX(Formula!$C$33+(YEAR(D573)-Formula!$C$34)/(Formula!$C$35-Formula!$C$34)*(Formula!$C$32-Formula!$C$33),Formula!$C$33),Formula!$C$32)),1)</f>
        <v>1</v>
      </c>
      <c r="W573" s="17">
        <f t="shared" si="5"/>
        <v>3.7</v>
      </c>
    </row>
    <row r="574" ht="15.75" customHeight="1">
      <c r="A574" s="8" t="s">
        <v>1137</v>
      </c>
      <c r="B574" s="7" t="s">
        <v>1130</v>
      </c>
      <c r="C574" s="13" t="s">
        <v>1131</v>
      </c>
      <c r="D574" s="7" t="s">
        <v>119</v>
      </c>
      <c r="E574" s="8" t="s">
        <v>91</v>
      </c>
      <c r="F574" s="8" t="s">
        <v>318</v>
      </c>
      <c r="G574" s="7" t="s">
        <v>1132</v>
      </c>
      <c r="H574" s="7" t="s">
        <v>1133</v>
      </c>
      <c r="I574" s="8">
        <v>1510.0</v>
      </c>
      <c r="J574" s="8">
        <v>2.5</v>
      </c>
      <c r="K574" s="8" t="s">
        <v>321</v>
      </c>
      <c r="L574" s="8" t="s">
        <v>322</v>
      </c>
      <c r="M574" s="8" t="s">
        <v>333</v>
      </c>
      <c r="N574" s="8">
        <v>3.2</v>
      </c>
      <c r="O574" s="14">
        <f t="shared" si="1"/>
        <v>44805</v>
      </c>
      <c r="P574" s="15">
        <f>IFERROR(VLOOKUP(K574,Formula!$A$11:$B$20,2,FALSE),Formula!$C$26)</f>
        <v>0.9</v>
      </c>
      <c r="Q574" s="15">
        <f>IF(AND(ISNUMBER(J574),J574&gt;0),1/J574,IF(AND(ISNUMBER(I574),I574&gt;0),SQRT(MIN(I574,Formula!$C$27))/Formula!$C$24,1/Formula!$C$25))</f>
        <v>0.4</v>
      </c>
      <c r="R574" s="15">
        <f t="shared" si="2"/>
        <v>0.36</v>
      </c>
      <c r="S574" s="15">
        <f>IF(H574&lt;&gt;"",EXP(-Formula!$C$28*(EOMONTH(H574,0)-H574)),EXP(-Formula!$C$28*(EOMONTH(D574,0)-D574)))</f>
        <v>1</v>
      </c>
      <c r="T574" s="15">
        <f t="shared" si="3"/>
        <v>0.3333333333</v>
      </c>
      <c r="U574" s="15">
        <f t="shared" si="4"/>
        <v>0.12</v>
      </c>
      <c r="V574" s="16">
        <f>IF(AND(L574="Among all respondents",NOT(OR(K574="Online poll in Telegram channel",K574="Website online poll",K574="CAWI (Computer Assisted Web Interviewing)"))),1/(1-MIN(MAX(Formula!$C$33+(YEAR(D574)-Formula!$C$34)/(Formula!$C$35-Formula!$C$34)*(Formula!$C$32-Formula!$C$33),Formula!$C$33),Formula!$C$32)),1)</f>
        <v>1</v>
      </c>
      <c r="W574" s="17">
        <f t="shared" si="5"/>
        <v>3.2</v>
      </c>
    </row>
    <row r="575" ht="15.75" customHeight="1">
      <c r="A575" s="8" t="s">
        <v>1138</v>
      </c>
      <c r="B575" s="7" t="s">
        <v>1130</v>
      </c>
      <c r="C575" s="13" t="s">
        <v>1131</v>
      </c>
      <c r="D575" s="7" t="s">
        <v>119</v>
      </c>
      <c r="E575" s="8" t="s">
        <v>91</v>
      </c>
      <c r="F575" s="8" t="s">
        <v>318</v>
      </c>
      <c r="G575" s="7" t="s">
        <v>1132</v>
      </c>
      <c r="H575" s="7" t="s">
        <v>1133</v>
      </c>
      <c r="I575" s="8">
        <v>1510.0</v>
      </c>
      <c r="J575" s="8">
        <v>2.5</v>
      </c>
      <c r="K575" s="8" t="s">
        <v>321</v>
      </c>
      <c r="L575" s="8" t="s">
        <v>322</v>
      </c>
      <c r="M575" s="8" t="s">
        <v>828</v>
      </c>
      <c r="N575" s="8">
        <v>2.9</v>
      </c>
      <c r="O575" s="14">
        <f t="shared" si="1"/>
        <v>44805</v>
      </c>
      <c r="P575" s="15">
        <f>IFERROR(VLOOKUP(K575,Formula!$A$11:$B$20,2,FALSE),Formula!$C$26)</f>
        <v>0.9</v>
      </c>
      <c r="Q575" s="15">
        <f>IF(AND(ISNUMBER(J575),J575&gt;0),1/J575,IF(AND(ISNUMBER(I575),I575&gt;0),SQRT(MIN(I575,Formula!$C$27))/Formula!$C$24,1/Formula!$C$25))</f>
        <v>0.4</v>
      </c>
      <c r="R575" s="15">
        <f t="shared" si="2"/>
        <v>0.36</v>
      </c>
      <c r="S575" s="15">
        <f>IF(H575&lt;&gt;"",EXP(-Formula!$C$28*(EOMONTH(H575,0)-H575)),EXP(-Formula!$C$28*(EOMONTH(D575,0)-D575)))</f>
        <v>1</v>
      </c>
      <c r="T575" s="15">
        <f t="shared" si="3"/>
        <v>0.3333333333</v>
      </c>
      <c r="U575" s="15">
        <f t="shared" si="4"/>
        <v>0.12</v>
      </c>
      <c r="V575" s="16">
        <f>IF(AND(L575="Among all respondents",NOT(OR(K575="Online poll in Telegram channel",K575="Website online poll",K575="CAWI (Computer Assisted Web Interviewing)"))),1/(1-MIN(MAX(Formula!$C$33+(YEAR(D575)-Formula!$C$34)/(Formula!$C$35-Formula!$C$34)*(Formula!$C$32-Formula!$C$33),Formula!$C$33),Formula!$C$32)),1)</f>
        <v>1</v>
      </c>
      <c r="W575" s="17">
        <f t="shared" si="5"/>
        <v>2.9</v>
      </c>
    </row>
    <row r="576" ht="15.75" customHeight="1">
      <c r="A576" s="8" t="s">
        <v>1139</v>
      </c>
      <c r="B576" s="7" t="s">
        <v>1130</v>
      </c>
      <c r="C576" s="13" t="s">
        <v>1131</v>
      </c>
      <c r="D576" s="7" t="s">
        <v>119</v>
      </c>
      <c r="E576" s="8" t="s">
        <v>91</v>
      </c>
      <c r="F576" s="8" t="s">
        <v>318</v>
      </c>
      <c r="G576" s="7" t="s">
        <v>1132</v>
      </c>
      <c r="H576" s="7" t="s">
        <v>1133</v>
      </c>
      <c r="I576" s="8">
        <v>1510.0</v>
      </c>
      <c r="J576" s="8">
        <v>2.5</v>
      </c>
      <c r="K576" s="8" t="s">
        <v>321</v>
      </c>
      <c r="L576" s="8" t="s">
        <v>322</v>
      </c>
      <c r="M576" s="8" t="s">
        <v>386</v>
      </c>
      <c r="N576" s="8">
        <v>1.9</v>
      </c>
      <c r="O576" s="14">
        <f t="shared" si="1"/>
        <v>44805</v>
      </c>
      <c r="P576" s="15">
        <f>IFERROR(VLOOKUP(K576,Formula!$A$11:$B$20,2,FALSE),Formula!$C$26)</f>
        <v>0.9</v>
      </c>
      <c r="Q576" s="15">
        <f>IF(AND(ISNUMBER(J576),J576&gt;0),1/J576,IF(AND(ISNUMBER(I576),I576&gt;0),SQRT(MIN(I576,Formula!$C$27))/Formula!$C$24,1/Formula!$C$25))</f>
        <v>0.4</v>
      </c>
      <c r="R576" s="15">
        <f t="shared" si="2"/>
        <v>0.36</v>
      </c>
      <c r="S576" s="15">
        <f>IF(H576&lt;&gt;"",EXP(-Formula!$C$28*(EOMONTH(H576,0)-H576)),EXP(-Formula!$C$28*(EOMONTH(D576,0)-D576)))</f>
        <v>1</v>
      </c>
      <c r="T576" s="15">
        <f t="shared" si="3"/>
        <v>0.3333333333</v>
      </c>
      <c r="U576" s="15">
        <f t="shared" si="4"/>
        <v>0.12</v>
      </c>
      <c r="V576" s="16">
        <f>IF(AND(L576="Among all respondents",NOT(OR(K576="Online poll in Telegram channel",K576="Website online poll",K576="CAWI (Computer Assisted Web Interviewing)"))),1/(1-MIN(MAX(Formula!$C$33+(YEAR(D576)-Formula!$C$34)/(Formula!$C$35-Formula!$C$34)*(Formula!$C$32-Formula!$C$33),Formula!$C$33),Formula!$C$32)),1)</f>
        <v>1</v>
      </c>
      <c r="W576" s="17">
        <f t="shared" si="5"/>
        <v>1.9</v>
      </c>
    </row>
    <row r="577" ht="15.75" customHeight="1">
      <c r="A577" s="8" t="s">
        <v>1140</v>
      </c>
      <c r="B577" s="7" t="s">
        <v>1130</v>
      </c>
      <c r="C577" s="13" t="s">
        <v>1131</v>
      </c>
      <c r="D577" s="7" t="s">
        <v>119</v>
      </c>
      <c r="E577" s="8" t="s">
        <v>91</v>
      </c>
      <c r="F577" s="8" t="s">
        <v>318</v>
      </c>
      <c r="G577" s="7" t="s">
        <v>1132</v>
      </c>
      <c r="H577" s="7" t="s">
        <v>1133</v>
      </c>
      <c r="I577" s="8">
        <v>1510.0</v>
      </c>
      <c r="J577" s="8">
        <v>2.5</v>
      </c>
      <c r="K577" s="8" t="s">
        <v>321</v>
      </c>
      <c r="L577" s="8" t="s">
        <v>322</v>
      </c>
      <c r="M577" s="8" t="s">
        <v>359</v>
      </c>
      <c r="N577" s="8">
        <v>1.4</v>
      </c>
      <c r="O577" s="14">
        <f t="shared" si="1"/>
        <v>44805</v>
      </c>
      <c r="P577" s="15">
        <f>IFERROR(VLOOKUP(K577,Formula!$A$11:$B$20,2,FALSE),Formula!$C$26)</f>
        <v>0.9</v>
      </c>
      <c r="Q577" s="15">
        <f>IF(AND(ISNUMBER(J577),J577&gt;0),1/J577,IF(AND(ISNUMBER(I577),I577&gt;0),SQRT(MIN(I577,Formula!$C$27))/Formula!$C$24,1/Formula!$C$25))</f>
        <v>0.4</v>
      </c>
      <c r="R577" s="15">
        <f t="shared" si="2"/>
        <v>0.36</v>
      </c>
      <c r="S577" s="15">
        <f>IF(H577&lt;&gt;"",EXP(-Formula!$C$28*(EOMONTH(H577,0)-H577)),EXP(-Formula!$C$28*(EOMONTH(D577,0)-D577)))</f>
        <v>1</v>
      </c>
      <c r="T577" s="15">
        <f t="shared" si="3"/>
        <v>0.3333333333</v>
      </c>
      <c r="U577" s="15">
        <f t="shared" si="4"/>
        <v>0.12</v>
      </c>
      <c r="V577" s="16">
        <f>IF(AND(L577="Among all respondents",NOT(OR(K577="Online poll in Telegram channel",K577="Website online poll",K577="CAWI (Computer Assisted Web Interviewing)"))),1/(1-MIN(MAX(Formula!$C$33+(YEAR(D577)-Formula!$C$34)/(Formula!$C$35-Formula!$C$34)*(Formula!$C$32-Formula!$C$33),Formula!$C$33),Formula!$C$32)),1)</f>
        <v>1</v>
      </c>
      <c r="W577" s="17">
        <f t="shared" si="5"/>
        <v>1.4</v>
      </c>
    </row>
    <row r="578" ht="15.75" customHeight="1">
      <c r="A578" s="8" t="s">
        <v>1141</v>
      </c>
      <c r="B578" s="7" t="s">
        <v>1130</v>
      </c>
      <c r="C578" s="13" t="s">
        <v>1131</v>
      </c>
      <c r="D578" s="7" t="s">
        <v>119</v>
      </c>
      <c r="E578" s="8" t="s">
        <v>91</v>
      </c>
      <c r="F578" s="8" t="s">
        <v>318</v>
      </c>
      <c r="G578" s="7" t="s">
        <v>1132</v>
      </c>
      <c r="H578" s="7" t="s">
        <v>1133</v>
      </c>
      <c r="I578" s="8">
        <v>1510.0</v>
      </c>
      <c r="J578" s="8">
        <v>2.5</v>
      </c>
      <c r="K578" s="8" t="s">
        <v>321</v>
      </c>
      <c r="L578" s="8" t="s">
        <v>322</v>
      </c>
      <c r="M578" s="8" t="s">
        <v>388</v>
      </c>
      <c r="N578" s="8">
        <v>0.4</v>
      </c>
      <c r="O578" s="14">
        <f t="shared" si="1"/>
        <v>44805</v>
      </c>
      <c r="P578" s="15">
        <f>IFERROR(VLOOKUP(K578,Formula!$A$11:$B$20,2,FALSE),Formula!$C$26)</f>
        <v>0.9</v>
      </c>
      <c r="Q578" s="15">
        <f>IF(AND(ISNUMBER(J578),J578&gt;0),1/J578,IF(AND(ISNUMBER(I578),I578&gt;0),SQRT(MIN(I578,Formula!$C$27))/Formula!$C$24,1/Formula!$C$25))</f>
        <v>0.4</v>
      </c>
      <c r="R578" s="15">
        <f t="shared" si="2"/>
        <v>0.36</v>
      </c>
      <c r="S578" s="15">
        <f>IF(H578&lt;&gt;"",EXP(-Formula!$C$28*(EOMONTH(H578,0)-H578)),EXP(-Formula!$C$28*(EOMONTH(D578,0)-D578)))</f>
        <v>1</v>
      </c>
      <c r="T578" s="15">
        <f t="shared" si="3"/>
        <v>0.3333333333</v>
      </c>
      <c r="U578" s="15">
        <f t="shared" si="4"/>
        <v>0.12</v>
      </c>
      <c r="V578" s="16">
        <f>IF(AND(L578="Among all respondents",NOT(OR(K578="Online poll in Telegram channel",K578="Website online poll",K578="CAWI (Computer Assisted Web Interviewing)"))),1/(1-MIN(MAX(Formula!$C$33+(YEAR(D578)-Formula!$C$34)/(Formula!$C$35-Formula!$C$34)*(Formula!$C$32-Formula!$C$33),Formula!$C$33),Formula!$C$32)),1)</f>
        <v>1</v>
      </c>
      <c r="W578" s="17">
        <f t="shared" si="5"/>
        <v>0.4</v>
      </c>
    </row>
    <row r="579" ht="15.75" customHeight="1">
      <c r="A579" s="8" t="s">
        <v>1142</v>
      </c>
      <c r="B579" s="7" t="s">
        <v>1143</v>
      </c>
      <c r="C579" s="13" t="s">
        <v>1144</v>
      </c>
      <c r="D579" s="7" t="s">
        <v>121</v>
      </c>
      <c r="E579" s="8" t="s">
        <v>27</v>
      </c>
      <c r="F579" s="8" t="s">
        <v>318</v>
      </c>
      <c r="G579" s="7" t="s">
        <v>1145</v>
      </c>
      <c r="H579" s="7" t="s">
        <v>1146</v>
      </c>
      <c r="I579" s="8">
        <v>1000.0</v>
      </c>
      <c r="J579" s="8">
        <v>3.1</v>
      </c>
      <c r="K579" s="8" t="s">
        <v>321</v>
      </c>
      <c r="L579" s="8" t="s">
        <v>373</v>
      </c>
      <c r="M579" s="8" t="s">
        <v>323</v>
      </c>
      <c r="N579" s="8">
        <v>67.0</v>
      </c>
      <c r="O579" s="14">
        <f t="shared" si="1"/>
        <v>44774</v>
      </c>
      <c r="P579" s="15">
        <f>IFERROR(VLOOKUP(K579,Formula!$A$11:$B$20,2,FALSE),Formula!$C$26)</f>
        <v>0.9</v>
      </c>
      <c r="Q579" s="15">
        <f>IF(AND(ISNUMBER(J579),J579&gt;0),1/J579,IF(AND(ISNUMBER(I579),I579&gt;0),SQRT(MIN(I579,Formula!$C$27))/Formula!$C$24,1/Formula!$C$25))</f>
        <v>0.3225806452</v>
      </c>
      <c r="R579" s="15">
        <f t="shared" si="2"/>
        <v>0.2903225806</v>
      </c>
      <c r="S579" s="15">
        <f>IF(H579&lt;&gt;"",EXP(-Formula!$C$28*(EOMONTH(H579,0)-H579)),EXP(-Formula!$C$28*(EOMONTH(D579,0)-D579)))</f>
        <v>0.5220457768</v>
      </c>
      <c r="T579" s="15">
        <f t="shared" si="3"/>
        <v>0.2236067977</v>
      </c>
      <c r="U579" s="15">
        <f t="shared" si="4"/>
        <v>0.03389022128</v>
      </c>
      <c r="V579" s="16">
        <f>IF(AND(L579="Among all respondents",NOT(OR(K579="Online poll in Telegram channel",K579="Website online poll",K579="CAWI (Computer Assisted Web Interviewing)"))),1/(1-MIN(MAX(Formula!$C$33+(YEAR(D579)-Formula!$C$34)/(Formula!$C$35-Formula!$C$34)*(Formula!$C$32-Formula!$C$33),Formula!$C$33),Formula!$C$32)),1)</f>
        <v>1.052631579</v>
      </c>
      <c r="W579" s="17">
        <f t="shared" si="5"/>
        <v>70.52631579</v>
      </c>
    </row>
    <row r="580" ht="15.75" customHeight="1">
      <c r="A580" s="8" t="s">
        <v>1147</v>
      </c>
      <c r="B580" s="7" t="s">
        <v>1143</v>
      </c>
      <c r="C580" s="13" t="s">
        <v>1144</v>
      </c>
      <c r="D580" s="7" t="s">
        <v>121</v>
      </c>
      <c r="E580" s="8" t="s">
        <v>27</v>
      </c>
      <c r="F580" s="8" t="s">
        <v>318</v>
      </c>
      <c r="G580" s="7" t="s">
        <v>1145</v>
      </c>
      <c r="H580" s="7" t="s">
        <v>1146</v>
      </c>
      <c r="I580" s="8">
        <v>1000.0</v>
      </c>
      <c r="J580" s="8">
        <v>3.1</v>
      </c>
      <c r="K580" s="8" t="s">
        <v>321</v>
      </c>
      <c r="L580" s="8" t="s">
        <v>373</v>
      </c>
      <c r="M580" s="8" t="s">
        <v>329</v>
      </c>
      <c r="N580" s="8">
        <v>5.0</v>
      </c>
      <c r="O580" s="14">
        <f t="shared" si="1"/>
        <v>44774</v>
      </c>
      <c r="P580" s="15">
        <f>IFERROR(VLOOKUP(K580,Formula!$A$11:$B$20,2,FALSE),Formula!$C$26)</f>
        <v>0.9</v>
      </c>
      <c r="Q580" s="15">
        <f>IF(AND(ISNUMBER(J580),J580&gt;0),1/J580,IF(AND(ISNUMBER(I580),I580&gt;0),SQRT(MIN(I580,Formula!$C$27))/Formula!$C$24,1/Formula!$C$25))</f>
        <v>0.3225806452</v>
      </c>
      <c r="R580" s="15">
        <f t="shared" si="2"/>
        <v>0.2903225806</v>
      </c>
      <c r="S580" s="15">
        <f>IF(H580&lt;&gt;"",EXP(-Formula!$C$28*(EOMONTH(H580,0)-H580)),EXP(-Formula!$C$28*(EOMONTH(D580,0)-D580)))</f>
        <v>0.5220457768</v>
      </c>
      <c r="T580" s="15">
        <f t="shared" si="3"/>
        <v>0.2236067977</v>
      </c>
      <c r="U580" s="15">
        <f t="shared" si="4"/>
        <v>0.03389022128</v>
      </c>
      <c r="V580" s="16">
        <f>IF(AND(L580="Among all respondents",NOT(OR(K580="Online poll in Telegram channel",K580="Website online poll",K580="CAWI (Computer Assisted Web Interviewing)"))),1/(1-MIN(MAX(Formula!$C$33+(YEAR(D580)-Formula!$C$34)/(Formula!$C$35-Formula!$C$34)*(Formula!$C$32-Formula!$C$33),Formula!$C$33),Formula!$C$32)),1)</f>
        <v>1.052631579</v>
      </c>
      <c r="W580" s="17">
        <f t="shared" si="5"/>
        <v>5.263157895</v>
      </c>
    </row>
    <row r="581" ht="15.75" customHeight="1">
      <c r="A581" s="8" t="s">
        <v>1148</v>
      </c>
      <c r="B581" s="7" t="s">
        <v>1143</v>
      </c>
      <c r="C581" s="13" t="s">
        <v>1144</v>
      </c>
      <c r="D581" s="7" t="s">
        <v>121</v>
      </c>
      <c r="E581" s="8" t="s">
        <v>27</v>
      </c>
      <c r="F581" s="8" t="s">
        <v>318</v>
      </c>
      <c r="G581" s="7" t="s">
        <v>1145</v>
      </c>
      <c r="H581" s="7" t="s">
        <v>1146</v>
      </c>
      <c r="I581" s="8">
        <v>1000.0</v>
      </c>
      <c r="J581" s="8">
        <v>3.1</v>
      </c>
      <c r="K581" s="8" t="s">
        <v>321</v>
      </c>
      <c r="L581" s="8" t="s">
        <v>373</v>
      </c>
      <c r="M581" s="8" t="s">
        <v>339</v>
      </c>
      <c r="N581" s="8">
        <v>5.0</v>
      </c>
      <c r="O581" s="14">
        <f t="shared" si="1"/>
        <v>44774</v>
      </c>
      <c r="P581" s="15">
        <f>IFERROR(VLOOKUP(K581,Formula!$A$11:$B$20,2,FALSE),Formula!$C$26)</f>
        <v>0.9</v>
      </c>
      <c r="Q581" s="15">
        <f>IF(AND(ISNUMBER(J581),J581&gt;0),1/J581,IF(AND(ISNUMBER(I581),I581&gt;0),SQRT(MIN(I581,Formula!$C$27))/Formula!$C$24,1/Formula!$C$25))</f>
        <v>0.3225806452</v>
      </c>
      <c r="R581" s="15">
        <f t="shared" si="2"/>
        <v>0.2903225806</v>
      </c>
      <c r="S581" s="15">
        <f>IF(H581&lt;&gt;"",EXP(-Formula!$C$28*(EOMONTH(H581,0)-H581)),EXP(-Formula!$C$28*(EOMONTH(D581,0)-D581)))</f>
        <v>0.5220457768</v>
      </c>
      <c r="T581" s="15">
        <f t="shared" si="3"/>
        <v>0.2236067977</v>
      </c>
      <c r="U581" s="15">
        <f t="shared" si="4"/>
        <v>0.03389022128</v>
      </c>
      <c r="V581" s="16">
        <f>IF(AND(L581="Among all respondents",NOT(OR(K581="Online poll in Telegram channel",K581="Website online poll",K581="CAWI (Computer Assisted Web Interviewing)"))),1/(1-MIN(MAX(Formula!$C$33+(YEAR(D581)-Formula!$C$34)/(Formula!$C$35-Formula!$C$34)*(Formula!$C$32-Formula!$C$33),Formula!$C$33),Formula!$C$32)),1)</f>
        <v>1.052631579</v>
      </c>
      <c r="W581" s="17">
        <f t="shared" si="5"/>
        <v>5.263157895</v>
      </c>
    </row>
    <row r="582" ht="15.75" customHeight="1">
      <c r="A582" s="8" t="s">
        <v>1149</v>
      </c>
      <c r="B582" s="7" t="s">
        <v>1143</v>
      </c>
      <c r="C582" s="13" t="s">
        <v>1144</v>
      </c>
      <c r="D582" s="7" t="s">
        <v>121</v>
      </c>
      <c r="E582" s="8" t="s">
        <v>27</v>
      </c>
      <c r="F582" s="8" t="s">
        <v>318</v>
      </c>
      <c r="G582" s="7" t="s">
        <v>1145</v>
      </c>
      <c r="H582" s="7" t="s">
        <v>1146</v>
      </c>
      <c r="I582" s="8">
        <v>1000.0</v>
      </c>
      <c r="J582" s="8">
        <v>3.1</v>
      </c>
      <c r="K582" s="8" t="s">
        <v>321</v>
      </c>
      <c r="L582" s="8" t="s">
        <v>373</v>
      </c>
      <c r="M582" s="8" t="s">
        <v>386</v>
      </c>
      <c r="N582" s="8">
        <v>1.0</v>
      </c>
      <c r="O582" s="14">
        <f t="shared" si="1"/>
        <v>44774</v>
      </c>
      <c r="P582" s="15">
        <f>IFERROR(VLOOKUP(K582,Formula!$A$11:$B$20,2,FALSE),Formula!$C$26)</f>
        <v>0.9</v>
      </c>
      <c r="Q582" s="15">
        <f>IF(AND(ISNUMBER(J582),J582&gt;0),1/J582,IF(AND(ISNUMBER(I582),I582&gt;0),SQRT(MIN(I582,Formula!$C$27))/Formula!$C$24,1/Formula!$C$25))</f>
        <v>0.3225806452</v>
      </c>
      <c r="R582" s="15">
        <f t="shared" si="2"/>
        <v>0.2903225806</v>
      </c>
      <c r="S582" s="15">
        <f>IF(H582&lt;&gt;"",EXP(-Formula!$C$28*(EOMONTH(H582,0)-H582)),EXP(-Formula!$C$28*(EOMONTH(D582,0)-D582)))</f>
        <v>0.5220457768</v>
      </c>
      <c r="T582" s="15">
        <f t="shared" si="3"/>
        <v>0.2236067977</v>
      </c>
      <c r="U582" s="15">
        <f t="shared" si="4"/>
        <v>0.03389022128</v>
      </c>
      <c r="V582" s="16">
        <f>IF(AND(L582="Among all respondents",NOT(OR(K582="Online poll in Telegram channel",K582="Website online poll",K582="CAWI (Computer Assisted Web Interviewing)"))),1/(1-MIN(MAX(Formula!$C$33+(YEAR(D582)-Formula!$C$34)/(Formula!$C$35-Formula!$C$34)*(Formula!$C$32-Formula!$C$33),Formula!$C$33),Formula!$C$32)),1)</f>
        <v>1.052631579</v>
      </c>
      <c r="W582" s="17">
        <f t="shared" si="5"/>
        <v>1.052631579</v>
      </c>
    </row>
    <row r="583" ht="15.75" customHeight="1">
      <c r="A583" s="8" t="s">
        <v>1150</v>
      </c>
      <c r="B583" s="7" t="s">
        <v>1143</v>
      </c>
      <c r="C583" s="13" t="s">
        <v>1144</v>
      </c>
      <c r="D583" s="7" t="s">
        <v>121</v>
      </c>
      <c r="E583" s="8" t="s">
        <v>27</v>
      </c>
      <c r="F583" s="8" t="s">
        <v>318</v>
      </c>
      <c r="G583" s="7" t="s">
        <v>1145</v>
      </c>
      <c r="H583" s="7" t="s">
        <v>1146</v>
      </c>
      <c r="I583" s="8">
        <v>1000.0</v>
      </c>
      <c r="J583" s="8">
        <v>3.1</v>
      </c>
      <c r="K583" s="8" t="s">
        <v>321</v>
      </c>
      <c r="L583" s="8" t="s">
        <v>373</v>
      </c>
      <c r="M583" s="8" t="s">
        <v>337</v>
      </c>
      <c r="N583" s="8">
        <v>1.0</v>
      </c>
      <c r="O583" s="14">
        <f t="shared" si="1"/>
        <v>44774</v>
      </c>
      <c r="P583" s="15">
        <f>IFERROR(VLOOKUP(K583,Formula!$A$11:$B$20,2,FALSE),Formula!$C$26)</f>
        <v>0.9</v>
      </c>
      <c r="Q583" s="15">
        <f>IF(AND(ISNUMBER(J583),J583&gt;0),1/J583,IF(AND(ISNUMBER(I583),I583&gt;0),SQRT(MIN(I583,Formula!$C$27))/Formula!$C$24,1/Formula!$C$25))</f>
        <v>0.3225806452</v>
      </c>
      <c r="R583" s="15">
        <f t="shared" si="2"/>
        <v>0.2903225806</v>
      </c>
      <c r="S583" s="15">
        <f>IF(H583&lt;&gt;"",EXP(-Formula!$C$28*(EOMONTH(H583,0)-H583)),EXP(-Formula!$C$28*(EOMONTH(D583,0)-D583)))</f>
        <v>0.5220457768</v>
      </c>
      <c r="T583" s="15">
        <f t="shared" si="3"/>
        <v>0.2236067977</v>
      </c>
      <c r="U583" s="15">
        <f t="shared" si="4"/>
        <v>0.03389022128</v>
      </c>
      <c r="V583" s="16">
        <f>IF(AND(L583="Among all respondents",NOT(OR(K583="Online poll in Telegram channel",K583="Website online poll",K583="CAWI (Computer Assisted Web Interviewing)"))),1/(1-MIN(MAX(Formula!$C$33+(YEAR(D583)-Formula!$C$34)/(Formula!$C$35-Formula!$C$34)*(Formula!$C$32-Formula!$C$33),Formula!$C$33),Formula!$C$32)),1)</f>
        <v>1.052631579</v>
      </c>
      <c r="W583" s="17">
        <f t="shared" si="5"/>
        <v>1.052631579</v>
      </c>
    </row>
    <row r="584" ht="15.75" customHeight="1">
      <c r="A584" s="8" t="s">
        <v>1151</v>
      </c>
      <c r="B584" s="7" t="s">
        <v>1143</v>
      </c>
      <c r="C584" s="13" t="s">
        <v>1144</v>
      </c>
      <c r="D584" s="7" t="s">
        <v>121</v>
      </c>
      <c r="E584" s="8" t="s">
        <v>27</v>
      </c>
      <c r="F584" s="8" t="s">
        <v>318</v>
      </c>
      <c r="G584" s="7" t="s">
        <v>1145</v>
      </c>
      <c r="H584" s="7" t="s">
        <v>1146</v>
      </c>
      <c r="I584" s="8">
        <v>1000.0</v>
      </c>
      <c r="J584" s="8">
        <v>3.1</v>
      </c>
      <c r="K584" s="8" t="s">
        <v>321</v>
      </c>
      <c r="L584" s="8" t="s">
        <v>373</v>
      </c>
      <c r="M584" s="8" t="s">
        <v>828</v>
      </c>
      <c r="N584" s="8">
        <v>1.0</v>
      </c>
      <c r="O584" s="14">
        <f t="shared" si="1"/>
        <v>44774</v>
      </c>
      <c r="P584" s="15">
        <f>IFERROR(VLOOKUP(K584,Formula!$A$11:$B$20,2,FALSE),Formula!$C$26)</f>
        <v>0.9</v>
      </c>
      <c r="Q584" s="15">
        <f>IF(AND(ISNUMBER(J584),J584&gt;0),1/J584,IF(AND(ISNUMBER(I584),I584&gt;0),SQRT(MIN(I584,Formula!$C$27))/Formula!$C$24,1/Formula!$C$25))</f>
        <v>0.3225806452</v>
      </c>
      <c r="R584" s="15">
        <f t="shared" si="2"/>
        <v>0.2903225806</v>
      </c>
      <c r="S584" s="15">
        <f>IF(H584&lt;&gt;"",EXP(-Formula!$C$28*(EOMONTH(H584,0)-H584)),EXP(-Formula!$C$28*(EOMONTH(D584,0)-D584)))</f>
        <v>0.5220457768</v>
      </c>
      <c r="T584" s="15">
        <f t="shared" si="3"/>
        <v>0.2236067977</v>
      </c>
      <c r="U584" s="15">
        <f t="shared" si="4"/>
        <v>0.03389022128</v>
      </c>
      <c r="V584" s="16">
        <f>IF(AND(L584="Among all respondents",NOT(OR(K584="Online poll in Telegram channel",K584="Website online poll",K584="CAWI (Computer Assisted Web Interviewing)"))),1/(1-MIN(MAX(Formula!$C$33+(YEAR(D584)-Formula!$C$34)/(Formula!$C$35-Formula!$C$34)*(Formula!$C$32-Formula!$C$33),Formula!$C$33),Formula!$C$32)),1)</f>
        <v>1.052631579</v>
      </c>
      <c r="W584" s="17">
        <f t="shared" si="5"/>
        <v>1.052631579</v>
      </c>
    </row>
    <row r="585" ht="15.75" customHeight="1">
      <c r="A585" s="8" t="s">
        <v>1152</v>
      </c>
      <c r="B585" s="7" t="s">
        <v>1143</v>
      </c>
      <c r="C585" s="13" t="s">
        <v>1144</v>
      </c>
      <c r="D585" s="7" t="s">
        <v>121</v>
      </c>
      <c r="E585" s="8" t="s">
        <v>27</v>
      </c>
      <c r="F585" s="8" t="s">
        <v>318</v>
      </c>
      <c r="G585" s="7" t="s">
        <v>1145</v>
      </c>
      <c r="H585" s="7" t="s">
        <v>1146</v>
      </c>
      <c r="I585" s="8">
        <v>1000.0</v>
      </c>
      <c r="J585" s="8">
        <v>3.1</v>
      </c>
      <c r="K585" s="8" t="s">
        <v>321</v>
      </c>
      <c r="L585" s="8" t="s">
        <v>373</v>
      </c>
      <c r="M585" s="8" t="s">
        <v>1153</v>
      </c>
      <c r="N585" s="8">
        <v>1.0</v>
      </c>
      <c r="O585" s="14">
        <f t="shared" si="1"/>
        <v>44774</v>
      </c>
      <c r="P585" s="15">
        <f>IFERROR(VLOOKUP(K585,Formula!$A$11:$B$20,2,FALSE),Formula!$C$26)</f>
        <v>0.9</v>
      </c>
      <c r="Q585" s="15">
        <f>IF(AND(ISNUMBER(J585),J585&gt;0),1/J585,IF(AND(ISNUMBER(I585),I585&gt;0),SQRT(MIN(I585,Formula!$C$27))/Formula!$C$24,1/Formula!$C$25))</f>
        <v>0.3225806452</v>
      </c>
      <c r="R585" s="15">
        <f t="shared" si="2"/>
        <v>0.2903225806</v>
      </c>
      <c r="S585" s="15">
        <f>IF(H585&lt;&gt;"",EXP(-Formula!$C$28*(EOMONTH(H585,0)-H585)),EXP(-Formula!$C$28*(EOMONTH(D585,0)-D585)))</f>
        <v>0.5220457768</v>
      </c>
      <c r="T585" s="15">
        <f t="shared" si="3"/>
        <v>0.2236067977</v>
      </c>
      <c r="U585" s="15">
        <f t="shared" si="4"/>
        <v>0.03389022128</v>
      </c>
      <c r="V585" s="16">
        <f>IF(AND(L585="Among all respondents",NOT(OR(K585="Online poll in Telegram channel",K585="Website online poll",K585="CAWI (Computer Assisted Web Interviewing)"))),1/(1-MIN(MAX(Formula!$C$33+(YEAR(D585)-Formula!$C$34)/(Formula!$C$35-Formula!$C$34)*(Formula!$C$32-Formula!$C$33),Formula!$C$33),Formula!$C$32)),1)</f>
        <v>1.052631579</v>
      </c>
      <c r="W585" s="17">
        <f t="shared" si="5"/>
        <v>1.052631579</v>
      </c>
    </row>
    <row r="586" ht="15.75" customHeight="1">
      <c r="A586" s="8" t="s">
        <v>1154</v>
      </c>
      <c r="B586" s="7" t="s">
        <v>1143</v>
      </c>
      <c r="C586" s="13" t="s">
        <v>1144</v>
      </c>
      <c r="D586" s="7" t="s">
        <v>121</v>
      </c>
      <c r="E586" s="8" t="s">
        <v>27</v>
      </c>
      <c r="F586" s="8" t="s">
        <v>318</v>
      </c>
      <c r="G586" s="7" t="s">
        <v>1145</v>
      </c>
      <c r="H586" s="7" t="s">
        <v>1146</v>
      </c>
      <c r="I586" s="8">
        <v>1000.0</v>
      </c>
      <c r="J586" s="8">
        <v>3.1</v>
      </c>
      <c r="K586" s="8" t="s">
        <v>321</v>
      </c>
      <c r="L586" s="8" t="s">
        <v>373</v>
      </c>
      <c r="M586" s="8" t="s">
        <v>333</v>
      </c>
      <c r="N586" s="8">
        <v>1.0</v>
      </c>
      <c r="O586" s="14">
        <f t="shared" si="1"/>
        <v>44774</v>
      </c>
      <c r="P586" s="15">
        <f>IFERROR(VLOOKUP(K586,Formula!$A$11:$B$20,2,FALSE),Formula!$C$26)</f>
        <v>0.9</v>
      </c>
      <c r="Q586" s="15">
        <f>IF(AND(ISNUMBER(J586),J586&gt;0),1/J586,IF(AND(ISNUMBER(I586),I586&gt;0),SQRT(MIN(I586,Formula!$C$27))/Formula!$C$24,1/Formula!$C$25))</f>
        <v>0.3225806452</v>
      </c>
      <c r="R586" s="15">
        <f t="shared" si="2"/>
        <v>0.2903225806</v>
      </c>
      <c r="S586" s="15">
        <f>IF(H586&lt;&gt;"",EXP(-Formula!$C$28*(EOMONTH(H586,0)-H586)),EXP(-Formula!$C$28*(EOMONTH(D586,0)-D586)))</f>
        <v>0.5220457768</v>
      </c>
      <c r="T586" s="15">
        <f t="shared" si="3"/>
        <v>0.2236067977</v>
      </c>
      <c r="U586" s="15">
        <f t="shared" si="4"/>
        <v>0.03389022128</v>
      </c>
      <c r="V586" s="16">
        <f>IF(AND(L586="Among all respondents",NOT(OR(K586="Online poll in Telegram channel",K586="Website online poll",K586="CAWI (Computer Assisted Web Interviewing)"))),1/(1-MIN(MAX(Formula!$C$33+(YEAR(D586)-Formula!$C$34)/(Formula!$C$35-Formula!$C$34)*(Formula!$C$32-Formula!$C$33),Formula!$C$33),Formula!$C$32)),1)</f>
        <v>1.052631579</v>
      </c>
      <c r="W586" s="17">
        <f t="shared" si="5"/>
        <v>1.052631579</v>
      </c>
    </row>
    <row r="587" ht="15.75" customHeight="1">
      <c r="A587" s="8" t="s">
        <v>1155</v>
      </c>
      <c r="B587" s="7" t="s">
        <v>1143</v>
      </c>
      <c r="C587" s="13" t="s">
        <v>1144</v>
      </c>
      <c r="D587" s="7" t="s">
        <v>121</v>
      </c>
      <c r="E587" s="8" t="s">
        <v>27</v>
      </c>
      <c r="F587" s="8" t="s">
        <v>318</v>
      </c>
      <c r="G587" s="7" t="s">
        <v>1145</v>
      </c>
      <c r="H587" s="7" t="s">
        <v>1146</v>
      </c>
      <c r="I587" s="8">
        <v>1000.0</v>
      </c>
      <c r="J587" s="8">
        <v>3.1</v>
      </c>
      <c r="K587" s="8" t="s">
        <v>321</v>
      </c>
      <c r="L587" s="8" t="s">
        <v>373</v>
      </c>
      <c r="M587" s="8" t="s">
        <v>345</v>
      </c>
      <c r="N587" s="8">
        <v>1.0</v>
      </c>
      <c r="O587" s="14">
        <f t="shared" si="1"/>
        <v>44774</v>
      </c>
      <c r="P587" s="15">
        <f>IFERROR(VLOOKUP(K587,Formula!$A$11:$B$20,2,FALSE),Formula!$C$26)</f>
        <v>0.9</v>
      </c>
      <c r="Q587" s="15">
        <f>IF(AND(ISNUMBER(J587),J587&gt;0),1/J587,IF(AND(ISNUMBER(I587),I587&gt;0),SQRT(MIN(I587,Formula!$C$27))/Formula!$C$24,1/Formula!$C$25))</f>
        <v>0.3225806452</v>
      </c>
      <c r="R587" s="15">
        <f t="shared" si="2"/>
        <v>0.2903225806</v>
      </c>
      <c r="S587" s="15">
        <f>IF(H587&lt;&gt;"",EXP(-Formula!$C$28*(EOMONTH(H587,0)-H587)),EXP(-Formula!$C$28*(EOMONTH(D587,0)-D587)))</f>
        <v>0.5220457768</v>
      </c>
      <c r="T587" s="15">
        <f t="shared" si="3"/>
        <v>0.2236067977</v>
      </c>
      <c r="U587" s="15">
        <f t="shared" si="4"/>
        <v>0.03389022128</v>
      </c>
      <c r="V587" s="16">
        <f>IF(AND(L587="Among all respondents",NOT(OR(K587="Online poll in Telegram channel",K587="Website online poll",K587="CAWI (Computer Assisted Web Interviewing)"))),1/(1-MIN(MAX(Formula!$C$33+(YEAR(D587)-Formula!$C$34)/(Formula!$C$35-Formula!$C$34)*(Formula!$C$32-Formula!$C$33),Formula!$C$33),Formula!$C$32)),1)</f>
        <v>1.052631579</v>
      </c>
      <c r="W587" s="17">
        <f t="shared" si="5"/>
        <v>1.052631579</v>
      </c>
    </row>
    <row r="588" ht="15.75" customHeight="1">
      <c r="A588" s="8" t="s">
        <v>1156</v>
      </c>
      <c r="B588" s="7" t="s">
        <v>1157</v>
      </c>
      <c r="C588" s="13" t="s">
        <v>1158</v>
      </c>
      <c r="D588" s="7" t="s">
        <v>125</v>
      </c>
      <c r="E588" s="8" t="s">
        <v>27</v>
      </c>
      <c r="F588" s="8" t="s">
        <v>318</v>
      </c>
      <c r="G588" s="7" t="s">
        <v>1159</v>
      </c>
      <c r="H588" s="7" t="s">
        <v>1160</v>
      </c>
      <c r="I588" s="8">
        <v>1018.0</v>
      </c>
      <c r="J588" s="8">
        <v>3.1</v>
      </c>
      <c r="K588" s="8" t="s">
        <v>321</v>
      </c>
      <c r="L588" s="8" t="s">
        <v>373</v>
      </c>
      <c r="M588" s="8" t="s">
        <v>323</v>
      </c>
      <c r="N588" s="8">
        <v>65.0</v>
      </c>
      <c r="O588" s="14">
        <f t="shared" si="1"/>
        <v>44774</v>
      </c>
      <c r="P588" s="15">
        <f>IFERROR(VLOOKUP(K588,Formula!$A$11:$B$20,2,FALSE),Formula!$C$26)</f>
        <v>0.9</v>
      </c>
      <c r="Q588" s="15">
        <f>IF(AND(ISNUMBER(J588),J588&gt;0),1/J588,IF(AND(ISNUMBER(I588),I588&gt;0),SQRT(MIN(I588,Formula!$C$27))/Formula!$C$24,1/Formula!$C$25))</f>
        <v>0.3225806452</v>
      </c>
      <c r="R588" s="15">
        <f t="shared" si="2"/>
        <v>0.2903225806</v>
      </c>
      <c r="S588" s="15">
        <f>IF(H588&lt;&gt;"",EXP(-Formula!$C$28*(EOMONTH(H588,0)-H588)),EXP(-Formula!$C$28*(EOMONTH(D588,0)-D588)))</f>
        <v>0.7408182207</v>
      </c>
      <c r="T588" s="15">
        <f t="shared" si="3"/>
        <v>0.2236067977</v>
      </c>
      <c r="U588" s="15">
        <f t="shared" si="4"/>
        <v>0.04809251324</v>
      </c>
      <c r="V588" s="16">
        <f>IF(AND(L588="Among all respondents",NOT(OR(K588="Online poll in Telegram channel",K588="Website online poll",K588="CAWI (Computer Assisted Web Interviewing)"))),1/(1-MIN(MAX(Formula!$C$33+(YEAR(D588)-Formula!$C$34)/(Formula!$C$35-Formula!$C$34)*(Formula!$C$32-Formula!$C$33),Formula!$C$33),Formula!$C$32)),1)</f>
        <v>1.052631579</v>
      </c>
      <c r="W588" s="17">
        <f t="shared" si="5"/>
        <v>68.42105263</v>
      </c>
    </row>
    <row r="589" ht="15.75" customHeight="1">
      <c r="A589" s="8" t="s">
        <v>1161</v>
      </c>
      <c r="B589" s="7" t="s">
        <v>1157</v>
      </c>
      <c r="C589" s="13" t="s">
        <v>1158</v>
      </c>
      <c r="D589" s="7" t="s">
        <v>125</v>
      </c>
      <c r="E589" s="8" t="s">
        <v>27</v>
      </c>
      <c r="F589" s="8" t="s">
        <v>318</v>
      </c>
      <c r="G589" s="7" t="s">
        <v>1159</v>
      </c>
      <c r="H589" s="7" t="s">
        <v>1160</v>
      </c>
      <c r="I589" s="8">
        <v>1018.0</v>
      </c>
      <c r="J589" s="8">
        <v>3.1</v>
      </c>
      <c r="K589" s="8" t="s">
        <v>321</v>
      </c>
      <c r="L589" s="8" t="s">
        <v>373</v>
      </c>
      <c r="M589" s="8" t="s">
        <v>329</v>
      </c>
      <c r="N589" s="8">
        <v>6.0</v>
      </c>
      <c r="O589" s="14">
        <f t="shared" si="1"/>
        <v>44774</v>
      </c>
      <c r="P589" s="15">
        <f>IFERROR(VLOOKUP(K589,Formula!$A$11:$B$20,2,FALSE),Formula!$C$26)</f>
        <v>0.9</v>
      </c>
      <c r="Q589" s="15">
        <f>IF(AND(ISNUMBER(J589),J589&gt;0),1/J589,IF(AND(ISNUMBER(I589),I589&gt;0),SQRT(MIN(I589,Formula!$C$27))/Formula!$C$24,1/Formula!$C$25))</f>
        <v>0.3225806452</v>
      </c>
      <c r="R589" s="15">
        <f t="shared" si="2"/>
        <v>0.2903225806</v>
      </c>
      <c r="S589" s="15">
        <f>IF(H589&lt;&gt;"",EXP(-Formula!$C$28*(EOMONTH(H589,0)-H589)),EXP(-Formula!$C$28*(EOMONTH(D589,0)-D589)))</f>
        <v>0.7408182207</v>
      </c>
      <c r="T589" s="15">
        <f t="shared" si="3"/>
        <v>0.2236067977</v>
      </c>
      <c r="U589" s="15">
        <f t="shared" si="4"/>
        <v>0.04809251324</v>
      </c>
      <c r="V589" s="16">
        <f>IF(AND(L589="Among all respondents",NOT(OR(K589="Online poll in Telegram channel",K589="Website online poll",K589="CAWI (Computer Assisted Web Interviewing)"))),1/(1-MIN(MAX(Formula!$C$33+(YEAR(D589)-Formula!$C$34)/(Formula!$C$35-Formula!$C$34)*(Formula!$C$32-Formula!$C$33),Formula!$C$33),Formula!$C$32)),1)</f>
        <v>1.052631579</v>
      </c>
      <c r="W589" s="17">
        <f t="shared" si="5"/>
        <v>6.315789474</v>
      </c>
    </row>
    <row r="590" ht="15.75" customHeight="1">
      <c r="A590" s="8" t="s">
        <v>1162</v>
      </c>
      <c r="B590" s="7" t="s">
        <v>1157</v>
      </c>
      <c r="C590" s="13" t="s">
        <v>1158</v>
      </c>
      <c r="D590" s="7" t="s">
        <v>125</v>
      </c>
      <c r="E590" s="8" t="s">
        <v>27</v>
      </c>
      <c r="F590" s="8" t="s">
        <v>318</v>
      </c>
      <c r="G590" s="7" t="s">
        <v>1159</v>
      </c>
      <c r="H590" s="7" t="s">
        <v>1160</v>
      </c>
      <c r="I590" s="8">
        <v>1018.0</v>
      </c>
      <c r="J590" s="8">
        <v>3.1</v>
      </c>
      <c r="K590" s="8" t="s">
        <v>321</v>
      </c>
      <c r="L590" s="8" t="s">
        <v>373</v>
      </c>
      <c r="M590" s="8" t="s">
        <v>339</v>
      </c>
      <c r="N590" s="8">
        <v>4.0</v>
      </c>
      <c r="O590" s="14">
        <f t="shared" si="1"/>
        <v>44774</v>
      </c>
      <c r="P590" s="15">
        <f>IFERROR(VLOOKUP(K590,Formula!$A$11:$B$20,2,FALSE),Formula!$C$26)</f>
        <v>0.9</v>
      </c>
      <c r="Q590" s="15">
        <f>IF(AND(ISNUMBER(J590),J590&gt;0),1/J590,IF(AND(ISNUMBER(I590),I590&gt;0),SQRT(MIN(I590,Formula!$C$27))/Formula!$C$24,1/Formula!$C$25))</f>
        <v>0.3225806452</v>
      </c>
      <c r="R590" s="15">
        <f t="shared" si="2"/>
        <v>0.2903225806</v>
      </c>
      <c r="S590" s="15">
        <f>IF(H590&lt;&gt;"",EXP(-Formula!$C$28*(EOMONTH(H590,0)-H590)),EXP(-Formula!$C$28*(EOMONTH(D590,0)-D590)))</f>
        <v>0.7408182207</v>
      </c>
      <c r="T590" s="15">
        <f t="shared" si="3"/>
        <v>0.2236067977</v>
      </c>
      <c r="U590" s="15">
        <f t="shared" si="4"/>
        <v>0.04809251324</v>
      </c>
      <c r="V590" s="16">
        <f>IF(AND(L590="Among all respondents",NOT(OR(K590="Online poll in Telegram channel",K590="Website online poll",K590="CAWI (Computer Assisted Web Interviewing)"))),1/(1-MIN(MAX(Formula!$C$33+(YEAR(D590)-Formula!$C$34)/(Formula!$C$35-Formula!$C$34)*(Formula!$C$32-Formula!$C$33),Formula!$C$33),Formula!$C$32)),1)</f>
        <v>1.052631579</v>
      </c>
      <c r="W590" s="17">
        <f t="shared" si="5"/>
        <v>4.210526316</v>
      </c>
    </row>
    <row r="591" ht="15.75" customHeight="1">
      <c r="A591" s="8" t="s">
        <v>1163</v>
      </c>
      <c r="B591" s="7" t="s">
        <v>1157</v>
      </c>
      <c r="C591" s="13" t="s">
        <v>1158</v>
      </c>
      <c r="D591" s="7" t="s">
        <v>125</v>
      </c>
      <c r="E591" s="8" t="s">
        <v>27</v>
      </c>
      <c r="F591" s="8" t="s">
        <v>318</v>
      </c>
      <c r="G591" s="7" t="s">
        <v>1159</v>
      </c>
      <c r="H591" s="7" t="s">
        <v>1160</v>
      </c>
      <c r="I591" s="8">
        <v>1018.0</v>
      </c>
      <c r="J591" s="8">
        <v>3.1</v>
      </c>
      <c r="K591" s="8" t="s">
        <v>321</v>
      </c>
      <c r="L591" s="8" t="s">
        <v>373</v>
      </c>
      <c r="M591" s="8" t="s">
        <v>828</v>
      </c>
      <c r="N591" s="8">
        <v>2.0</v>
      </c>
      <c r="O591" s="14">
        <f t="shared" si="1"/>
        <v>44774</v>
      </c>
      <c r="P591" s="15">
        <f>IFERROR(VLOOKUP(K591,Formula!$A$11:$B$20,2,FALSE),Formula!$C$26)</f>
        <v>0.9</v>
      </c>
      <c r="Q591" s="15">
        <f>IF(AND(ISNUMBER(J591),J591&gt;0),1/J591,IF(AND(ISNUMBER(I591),I591&gt;0),SQRT(MIN(I591,Formula!$C$27))/Formula!$C$24,1/Formula!$C$25))</f>
        <v>0.3225806452</v>
      </c>
      <c r="R591" s="15">
        <f t="shared" si="2"/>
        <v>0.2903225806</v>
      </c>
      <c r="S591" s="15">
        <f>IF(H591&lt;&gt;"",EXP(-Formula!$C$28*(EOMONTH(H591,0)-H591)),EXP(-Formula!$C$28*(EOMONTH(D591,0)-D591)))</f>
        <v>0.7408182207</v>
      </c>
      <c r="T591" s="15">
        <f t="shared" si="3"/>
        <v>0.2236067977</v>
      </c>
      <c r="U591" s="15">
        <f t="shared" si="4"/>
        <v>0.04809251324</v>
      </c>
      <c r="V591" s="16">
        <f>IF(AND(L591="Among all respondents",NOT(OR(K591="Online poll in Telegram channel",K591="Website online poll",K591="CAWI (Computer Assisted Web Interviewing)"))),1/(1-MIN(MAX(Formula!$C$33+(YEAR(D591)-Formula!$C$34)/(Formula!$C$35-Formula!$C$34)*(Formula!$C$32-Formula!$C$33),Formula!$C$33),Formula!$C$32)),1)</f>
        <v>1.052631579</v>
      </c>
      <c r="W591" s="17">
        <f t="shared" si="5"/>
        <v>2.105263158</v>
      </c>
    </row>
    <row r="592" ht="15.75" customHeight="1">
      <c r="A592" s="8" t="s">
        <v>1164</v>
      </c>
      <c r="B592" s="7" t="s">
        <v>1157</v>
      </c>
      <c r="C592" s="13" t="s">
        <v>1158</v>
      </c>
      <c r="D592" s="7" t="s">
        <v>125</v>
      </c>
      <c r="E592" s="8" t="s">
        <v>27</v>
      </c>
      <c r="F592" s="8" t="s">
        <v>318</v>
      </c>
      <c r="G592" s="7" t="s">
        <v>1159</v>
      </c>
      <c r="H592" s="7" t="s">
        <v>1160</v>
      </c>
      <c r="I592" s="8">
        <v>1018.0</v>
      </c>
      <c r="J592" s="8">
        <v>3.1</v>
      </c>
      <c r="K592" s="8" t="s">
        <v>321</v>
      </c>
      <c r="L592" s="8" t="s">
        <v>373</v>
      </c>
      <c r="M592" s="8" t="s">
        <v>386</v>
      </c>
      <c r="N592" s="8">
        <v>1.0</v>
      </c>
      <c r="O592" s="14">
        <f t="shared" si="1"/>
        <v>44774</v>
      </c>
      <c r="P592" s="15">
        <f>IFERROR(VLOOKUP(K592,Formula!$A$11:$B$20,2,FALSE),Formula!$C$26)</f>
        <v>0.9</v>
      </c>
      <c r="Q592" s="15">
        <f>IF(AND(ISNUMBER(J592),J592&gt;0),1/J592,IF(AND(ISNUMBER(I592),I592&gt;0),SQRT(MIN(I592,Formula!$C$27))/Formula!$C$24,1/Formula!$C$25))</f>
        <v>0.3225806452</v>
      </c>
      <c r="R592" s="15">
        <f t="shared" si="2"/>
        <v>0.2903225806</v>
      </c>
      <c r="S592" s="15">
        <f>IF(H592&lt;&gt;"",EXP(-Formula!$C$28*(EOMONTH(H592,0)-H592)),EXP(-Formula!$C$28*(EOMONTH(D592,0)-D592)))</f>
        <v>0.7408182207</v>
      </c>
      <c r="T592" s="15">
        <f t="shared" si="3"/>
        <v>0.2236067977</v>
      </c>
      <c r="U592" s="15">
        <f t="shared" si="4"/>
        <v>0.04809251324</v>
      </c>
      <c r="V592" s="16">
        <f>IF(AND(L592="Among all respondents",NOT(OR(K592="Online poll in Telegram channel",K592="Website online poll",K592="CAWI (Computer Assisted Web Interviewing)"))),1/(1-MIN(MAX(Formula!$C$33+(YEAR(D592)-Formula!$C$34)/(Formula!$C$35-Formula!$C$34)*(Formula!$C$32-Formula!$C$33),Formula!$C$33),Formula!$C$32)),1)</f>
        <v>1.052631579</v>
      </c>
      <c r="W592" s="17">
        <f t="shared" si="5"/>
        <v>1.052631579</v>
      </c>
    </row>
    <row r="593" ht="15.75" customHeight="1">
      <c r="A593" s="8" t="s">
        <v>1165</v>
      </c>
      <c r="B593" s="7" t="s">
        <v>1157</v>
      </c>
      <c r="C593" s="13" t="s">
        <v>1158</v>
      </c>
      <c r="D593" s="7" t="s">
        <v>125</v>
      </c>
      <c r="E593" s="8" t="s">
        <v>27</v>
      </c>
      <c r="F593" s="8" t="s">
        <v>318</v>
      </c>
      <c r="G593" s="7" t="s">
        <v>1159</v>
      </c>
      <c r="H593" s="7" t="s">
        <v>1160</v>
      </c>
      <c r="I593" s="8">
        <v>1018.0</v>
      </c>
      <c r="J593" s="8">
        <v>3.1</v>
      </c>
      <c r="K593" s="8" t="s">
        <v>321</v>
      </c>
      <c r="L593" s="8" t="s">
        <v>373</v>
      </c>
      <c r="M593" s="8" t="s">
        <v>337</v>
      </c>
      <c r="N593" s="8">
        <v>1.0</v>
      </c>
      <c r="O593" s="14">
        <f t="shared" si="1"/>
        <v>44774</v>
      </c>
      <c r="P593" s="15">
        <f>IFERROR(VLOOKUP(K593,Formula!$A$11:$B$20,2,FALSE),Formula!$C$26)</f>
        <v>0.9</v>
      </c>
      <c r="Q593" s="15">
        <f>IF(AND(ISNUMBER(J593),J593&gt;0),1/J593,IF(AND(ISNUMBER(I593),I593&gt;0),SQRT(MIN(I593,Formula!$C$27))/Formula!$C$24,1/Formula!$C$25))</f>
        <v>0.3225806452</v>
      </c>
      <c r="R593" s="15">
        <f t="shared" si="2"/>
        <v>0.2903225806</v>
      </c>
      <c r="S593" s="15">
        <f>IF(H593&lt;&gt;"",EXP(-Formula!$C$28*(EOMONTH(H593,0)-H593)),EXP(-Formula!$C$28*(EOMONTH(D593,0)-D593)))</f>
        <v>0.7408182207</v>
      </c>
      <c r="T593" s="15">
        <f t="shared" si="3"/>
        <v>0.2236067977</v>
      </c>
      <c r="U593" s="15">
        <f t="shared" si="4"/>
        <v>0.04809251324</v>
      </c>
      <c r="V593" s="16">
        <f>IF(AND(L593="Among all respondents",NOT(OR(K593="Online poll in Telegram channel",K593="Website online poll",K593="CAWI (Computer Assisted Web Interviewing)"))),1/(1-MIN(MAX(Formula!$C$33+(YEAR(D593)-Formula!$C$34)/(Formula!$C$35-Formula!$C$34)*(Formula!$C$32-Formula!$C$33),Formula!$C$33),Formula!$C$32)),1)</f>
        <v>1.052631579</v>
      </c>
      <c r="W593" s="17">
        <f t="shared" si="5"/>
        <v>1.052631579</v>
      </c>
    </row>
    <row r="594" ht="15.75" customHeight="1">
      <c r="A594" s="8" t="s">
        <v>1166</v>
      </c>
      <c r="B594" s="7" t="s">
        <v>1157</v>
      </c>
      <c r="C594" s="13" t="s">
        <v>1158</v>
      </c>
      <c r="D594" s="7" t="s">
        <v>125</v>
      </c>
      <c r="E594" s="8" t="s">
        <v>27</v>
      </c>
      <c r="F594" s="8" t="s">
        <v>318</v>
      </c>
      <c r="G594" s="7" t="s">
        <v>1159</v>
      </c>
      <c r="H594" s="7" t="s">
        <v>1160</v>
      </c>
      <c r="I594" s="8">
        <v>1018.0</v>
      </c>
      <c r="J594" s="8">
        <v>3.1</v>
      </c>
      <c r="K594" s="8" t="s">
        <v>321</v>
      </c>
      <c r="L594" s="8" t="s">
        <v>373</v>
      </c>
      <c r="M594" s="8" t="s">
        <v>1153</v>
      </c>
      <c r="N594" s="8">
        <v>1.0</v>
      </c>
      <c r="O594" s="14">
        <f t="shared" si="1"/>
        <v>44774</v>
      </c>
      <c r="P594" s="15">
        <f>IFERROR(VLOOKUP(K594,Formula!$A$11:$B$20,2,FALSE),Formula!$C$26)</f>
        <v>0.9</v>
      </c>
      <c r="Q594" s="15">
        <f>IF(AND(ISNUMBER(J594),J594&gt;0),1/J594,IF(AND(ISNUMBER(I594),I594&gt;0),SQRT(MIN(I594,Formula!$C$27))/Formula!$C$24,1/Formula!$C$25))</f>
        <v>0.3225806452</v>
      </c>
      <c r="R594" s="15">
        <f t="shared" si="2"/>
        <v>0.2903225806</v>
      </c>
      <c r="S594" s="15">
        <f>IF(H594&lt;&gt;"",EXP(-Formula!$C$28*(EOMONTH(H594,0)-H594)),EXP(-Formula!$C$28*(EOMONTH(D594,0)-D594)))</f>
        <v>0.7408182207</v>
      </c>
      <c r="T594" s="15">
        <f t="shared" si="3"/>
        <v>0.2236067977</v>
      </c>
      <c r="U594" s="15">
        <f t="shared" si="4"/>
        <v>0.04809251324</v>
      </c>
      <c r="V594" s="16">
        <f>IF(AND(L594="Among all respondents",NOT(OR(K594="Online poll in Telegram channel",K594="Website online poll",K594="CAWI (Computer Assisted Web Interviewing)"))),1/(1-MIN(MAX(Formula!$C$33+(YEAR(D594)-Formula!$C$34)/(Formula!$C$35-Formula!$C$34)*(Formula!$C$32-Formula!$C$33),Formula!$C$33),Formula!$C$32)),1)</f>
        <v>1.052631579</v>
      </c>
      <c r="W594" s="17">
        <f t="shared" si="5"/>
        <v>1.052631579</v>
      </c>
    </row>
    <row r="595" ht="15.75" customHeight="1">
      <c r="A595" s="8" t="s">
        <v>1167</v>
      </c>
      <c r="B595" s="7" t="s">
        <v>1157</v>
      </c>
      <c r="C595" s="13" t="s">
        <v>1158</v>
      </c>
      <c r="D595" s="7" t="s">
        <v>125</v>
      </c>
      <c r="E595" s="8" t="s">
        <v>27</v>
      </c>
      <c r="F595" s="8" t="s">
        <v>318</v>
      </c>
      <c r="G595" s="7" t="s">
        <v>1159</v>
      </c>
      <c r="H595" s="7" t="s">
        <v>1160</v>
      </c>
      <c r="I595" s="8">
        <v>1018.0</v>
      </c>
      <c r="J595" s="8">
        <v>3.1</v>
      </c>
      <c r="K595" s="8" t="s">
        <v>321</v>
      </c>
      <c r="L595" s="8" t="s">
        <v>373</v>
      </c>
      <c r="M595" s="8" t="s">
        <v>333</v>
      </c>
      <c r="N595" s="8">
        <v>1.0</v>
      </c>
      <c r="O595" s="14">
        <f t="shared" si="1"/>
        <v>44774</v>
      </c>
      <c r="P595" s="15">
        <f>IFERROR(VLOOKUP(K595,Formula!$A$11:$B$20,2,FALSE),Formula!$C$26)</f>
        <v>0.9</v>
      </c>
      <c r="Q595" s="15">
        <f>IF(AND(ISNUMBER(J595),J595&gt;0),1/J595,IF(AND(ISNUMBER(I595),I595&gt;0),SQRT(MIN(I595,Formula!$C$27))/Formula!$C$24,1/Formula!$C$25))</f>
        <v>0.3225806452</v>
      </c>
      <c r="R595" s="15">
        <f t="shared" si="2"/>
        <v>0.2903225806</v>
      </c>
      <c r="S595" s="15">
        <f>IF(H595&lt;&gt;"",EXP(-Formula!$C$28*(EOMONTH(H595,0)-H595)),EXP(-Formula!$C$28*(EOMONTH(D595,0)-D595)))</f>
        <v>0.7408182207</v>
      </c>
      <c r="T595" s="15">
        <f t="shared" si="3"/>
        <v>0.2236067977</v>
      </c>
      <c r="U595" s="15">
        <f t="shared" si="4"/>
        <v>0.04809251324</v>
      </c>
      <c r="V595" s="16">
        <f>IF(AND(L595="Among all respondents",NOT(OR(K595="Online poll in Telegram channel",K595="Website online poll",K595="CAWI (Computer Assisted Web Interviewing)"))),1/(1-MIN(MAX(Formula!$C$33+(YEAR(D595)-Formula!$C$34)/(Formula!$C$35-Formula!$C$34)*(Formula!$C$32-Formula!$C$33),Formula!$C$33),Formula!$C$32)),1)</f>
        <v>1.052631579</v>
      </c>
      <c r="W595" s="17">
        <f t="shared" si="5"/>
        <v>1.052631579</v>
      </c>
    </row>
    <row r="596" ht="15.75" customHeight="1">
      <c r="A596" s="8" t="s">
        <v>1168</v>
      </c>
      <c r="B596" s="7" t="s">
        <v>1157</v>
      </c>
      <c r="C596" s="13" t="s">
        <v>1158</v>
      </c>
      <c r="D596" s="7" t="s">
        <v>125</v>
      </c>
      <c r="E596" s="8" t="s">
        <v>27</v>
      </c>
      <c r="F596" s="8" t="s">
        <v>318</v>
      </c>
      <c r="G596" s="7" t="s">
        <v>1159</v>
      </c>
      <c r="H596" s="7" t="s">
        <v>1160</v>
      </c>
      <c r="I596" s="8">
        <v>1018.0</v>
      </c>
      <c r="J596" s="8">
        <v>3.1</v>
      </c>
      <c r="K596" s="8" t="s">
        <v>321</v>
      </c>
      <c r="L596" s="8" t="s">
        <v>373</v>
      </c>
      <c r="M596" s="8" t="s">
        <v>343</v>
      </c>
      <c r="N596" s="8">
        <v>1.0</v>
      </c>
      <c r="O596" s="14">
        <f t="shared" si="1"/>
        <v>44774</v>
      </c>
      <c r="P596" s="15">
        <f>IFERROR(VLOOKUP(K596,Formula!$A$11:$B$20,2,FALSE),Formula!$C$26)</f>
        <v>0.9</v>
      </c>
      <c r="Q596" s="15">
        <f>IF(AND(ISNUMBER(J596),J596&gt;0),1/J596,IF(AND(ISNUMBER(I596),I596&gt;0),SQRT(MIN(I596,Formula!$C$27))/Formula!$C$24,1/Formula!$C$25))</f>
        <v>0.3225806452</v>
      </c>
      <c r="R596" s="15">
        <f t="shared" si="2"/>
        <v>0.2903225806</v>
      </c>
      <c r="S596" s="15">
        <f>IF(H596&lt;&gt;"",EXP(-Formula!$C$28*(EOMONTH(H596,0)-H596)),EXP(-Formula!$C$28*(EOMONTH(D596,0)-D596)))</f>
        <v>0.7408182207</v>
      </c>
      <c r="T596" s="15">
        <f t="shared" si="3"/>
        <v>0.2236067977</v>
      </c>
      <c r="U596" s="15">
        <f t="shared" si="4"/>
        <v>0.04809251324</v>
      </c>
      <c r="V596" s="16">
        <f>IF(AND(L596="Among all respondents",NOT(OR(K596="Online poll in Telegram channel",K596="Website online poll",K596="CAWI (Computer Assisted Web Interviewing)"))),1/(1-MIN(MAX(Formula!$C$33+(YEAR(D596)-Formula!$C$34)/(Formula!$C$35-Formula!$C$34)*(Formula!$C$32-Formula!$C$33),Formula!$C$33),Formula!$C$32)),1)</f>
        <v>1.052631579</v>
      </c>
      <c r="W596" s="17">
        <f t="shared" si="5"/>
        <v>1.052631579</v>
      </c>
    </row>
    <row r="597" ht="15.75" customHeight="1">
      <c r="A597" s="8" t="s">
        <v>1169</v>
      </c>
      <c r="B597" s="7" t="s">
        <v>1157</v>
      </c>
      <c r="C597" s="13" t="s">
        <v>1158</v>
      </c>
      <c r="D597" s="7" t="s">
        <v>125</v>
      </c>
      <c r="E597" s="8" t="s">
        <v>27</v>
      </c>
      <c r="F597" s="8" t="s">
        <v>318</v>
      </c>
      <c r="G597" s="7" t="s">
        <v>1159</v>
      </c>
      <c r="H597" s="7" t="s">
        <v>1160</v>
      </c>
      <c r="I597" s="8">
        <v>1018.0</v>
      </c>
      <c r="J597" s="8">
        <v>3.1</v>
      </c>
      <c r="K597" s="8" t="s">
        <v>321</v>
      </c>
      <c r="L597" s="8" t="s">
        <v>373</v>
      </c>
      <c r="M597" s="8" t="s">
        <v>365</v>
      </c>
      <c r="N597" s="8">
        <v>1.0</v>
      </c>
      <c r="O597" s="14">
        <f t="shared" si="1"/>
        <v>44774</v>
      </c>
      <c r="P597" s="15">
        <f>IFERROR(VLOOKUP(K597,Formula!$A$11:$B$20,2,FALSE),Formula!$C$26)</f>
        <v>0.9</v>
      </c>
      <c r="Q597" s="15">
        <f>IF(AND(ISNUMBER(J597),J597&gt;0),1/J597,IF(AND(ISNUMBER(I597),I597&gt;0),SQRT(MIN(I597,Formula!$C$27))/Formula!$C$24,1/Formula!$C$25))</f>
        <v>0.3225806452</v>
      </c>
      <c r="R597" s="15">
        <f t="shared" si="2"/>
        <v>0.2903225806</v>
      </c>
      <c r="S597" s="15">
        <f>IF(H597&lt;&gt;"",EXP(-Formula!$C$28*(EOMONTH(H597,0)-H597)),EXP(-Formula!$C$28*(EOMONTH(D597,0)-D597)))</f>
        <v>0.7408182207</v>
      </c>
      <c r="T597" s="15">
        <f t="shared" si="3"/>
        <v>0.2236067977</v>
      </c>
      <c r="U597" s="15">
        <f t="shared" si="4"/>
        <v>0.04809251324</v>
      </c>
      <c r="V597" s="16">
        <f>IF(AND(L597="Among all respondents",NOT(OR(K597="Online poll in Telegram channel",K597="Website online poll",K597="CAWI (Computer Assisted Web Interviewing)"))),1/(1-MIN(MAX(Formula!$C$33+(YEAR(D597)-Formula!$C$34)/(Formula!$C$35-Formula!$C$34)*(Formula!$C$32-Formula!$C$33),Formula!$C$33),Formula!$C$32)),1)</f>
        <v>1.052631579</v>
      </c>
      <c r="W597" s="17">
        <f t="shared" si="5"/>
        <v>1.052631579</v>
      </c>
    </row>
    <row r="598" ht="15.75" customHeight="1">
      <c r="A598" s="8" t="s">
        <v>1170</v>
      </c>
      <c r="B598" s="7" t="s">
        <v>1157</v>
      </c>
      <c r="C598" s="13" t="s">
        <v>1158</v>
      </c>
      <c r="D598" s="7" t="s">
        <v>125</v>
      </c>
      <c r="E598" s="8" t="s">
        <v>27</v>
      </c>
      <c r="F598" s="8" t="s">
        <v>318</v>
      </c>
      <c r="G598" s="7" t="s">
        <v>1159</v>
      </c>
      <c r="H598" s="7" t="s">
        <v>1160</v>
      </c>
      <c r="I598" s="8">
        <v>1018.0</v>
      </c>
      <c r="J598" s="8">
        <v>3.1</v>
      </c>
      <c r="K598" s="8" t="s">
        <v>321</v>
      </c>
      <c r="L598" s="8" t="s">
        <v>373</v>
      </c>
      <c r="M598" s="8" t="s">
        <v>1171</v>
      </c>
      <c r="N598" s="8">
        <v>1.0</v>
      </c>
      <c r="O598" s="14">
        <f t="shared" si="1"/>
        <v>44774</v>
      </c>
      <c r="P598" s="15">
        <f>IFERROR(VLOOKUP(K598,Formula!$A$11:$B$20,2,FALSE),Formula!$C$26)</f>
        <v>0.9</v>
      </c>
      <c r="Q598" s="15">
        <f>IF(AND(ISNUMBER(J598),J598&gt;0),1/J598,IF(AND(ISNUMBER(I598),I598&gt;0),SQRT(MIN(I598,Formula!$C$27))/Formula!$C$24,1/Formula!$C$25))</f>
        <v>0.3225806452</v>
      </c>
      <c r="R598" s="15">
        <f t="shared" si="2"/>
        <v>0.2903225806</v>
      </c>
      <c r="S598" s="15">
        <f>IF(H598&lt;&gt;"",EXP(-Formula!$C$28*(EOMONTH(H598,0)-H598)),EXP(-Formula!$C$28*(EOMONTH(D598,0)-D598)))</f>
        <v>0.7408182207</v>
      </c>
      <c r="T598" s="15">
        <f t="shared" si="3"/>
        <v>0.2236067977</v>
      </c>
      <c r="U598" s="15">
        <f t="shared" si="4"/>
        <v>0.04809251324</v>
      </c>
      <c r="V598" s="16">
        <f>IF(AND(L598="Among all respondents",NOT(OR(K598="Online poll in Telegram channel",K598="Website online poll",K598="CAWI (Computer Assisted Web Interviewing)"))),1/(1-MIN(MAX(Formula!$C$33+(YEAR(D598)-Formula!$C$34)/(Formula!$C$35-Formula!$C$34)*(Formula!$C$32-Formula!$C$33),Formula!$C$33),Formula!$C$32)),1)</f>
        <v>1.052631579</v>
      </c>
      <c r="W598" s="17">
        <f t="shared" si="5"/>
        <v>1.052631579</v>
      </c>
    </row>
    <row r="599" ht="15.75" customHeight="1">
      <c r="A599" s="8" t="s">
        <v>1172</v>
      </c>
      <c r="B599" s="7" t="s">
        <v>1173</v>
      </c>
      <c r="C599" s="13" t="s">
        <v>1174</v>
      </c>
      <c r="D599" s="7" t="s">
        <v>120</v>
      </c>
      <c r="E599" s="8" t="s">
        <v>91</v>
      </c>
      <c r="F599" s="8" t="s">
        <v>318</v>
      </c>
      <c r="G599" s="7" t="s">
        <v>1175</v>
      </c>
      <c r="H599" s="7" t="s">
        <v>1176</v>
      </c>
      <c r="I599" s="8">
        <v>1507.0</v>
      </c>
      <c r="J599" s="8">
        <v>2.5</v>
      </c>
      <c r="K599" s="8" t="s">
        <v>321</v>
      </c>
      <c r="L599" s="8" t="s">
        <v>322</v>
      </c>
      <c r="M599" s="8" t="s">
        <v>323</v>
      </c>
      <c r="N599" s="8">
        <v>74.1</v>
      </c>
      <c r="O599" s="14">
        <f t="shared" si="1"/>
        <v>44774</v>
      </c>
      <c r="P599" s="15">
        <f>IFERROR(VLOOKUP(K599,Formula!$A$11:$B$20,2,FALSE),Formula!$C$26)</f>
        <v>0.9</v>
      </c>
      <c r="Q599" s="15">
        <f>IF(AND(ISNUMBER(J599),J599&gt;0),1/J599,IF(AND(ISNUMBER(I599),I599&gt;0),SQRT(MIN(I599,Formula!$C$27))/Formula!$C$24,1/Formula!$C$25))</f>
        <v>0.4</v>
      </c>
      <c r="R599" s="15">
        <f t="shared" si="2"/>
        <v>0.36</v>
      </c>
      <c r="S599" s="15">
        <f>IF(H599&lt;&gt;"",EXP(-Formula!$C$28*(EOMONTH(H599,0)-H599)),EXP(-Formula!$C$28*(EOMONTH(D599,0)-D599)))</f>
        <v>0.9512294245</v>
      </c>
      <c r="T599" s="15">
        <f t="shared" si="3"/>
        <v>0.3333333333</v>
      </c>
      <c r="U599" s="15">
        <f t="shared" si="4"/>
        <v>0.1141475309</v>
      </c>
      <c r="V599" s="16">
        <f>IF(AND(L599="Among all respondents",NOT(OR(K599="Online poll in Telegram channel",K599="Website online poll",K599="CAWI (Computer Assisted Web Interviewing)"))),1/(1-MIN(MAX(Formula!$C$33+(YEAR(D599)-Formula!$C$34)/(Formula!$C$35-Formula!$C$34)*(Formula!$C$32-Formula!$C$33),Formula!$C$33),Formula!$C$32)),1)</f>
        <v>1</v>
      </c>
      <c r="W599" s="17">
        <f t="shared" si="5"/>
        <v>74.1</v>
      </c>
    </row>
    <row r="600" ht="15.75" customHeight="1">
      <c r="A600" s="8" t="s">
        <v>1177</v>
      </c>
      <c r="B600" s="7" t="s">
        <v>1173</v>
      </c>
      <c r="C600" s="13" t="s">
        <v>1174</v>
      </c>
      <c r="D600" s="7" t="s">
        <v>120</v>
      </c>
      <c r="E600" s="8" t="s">
        <v>91</v>
      </c>
      <c r="F600" s="8" t="s">
        <v>318</v>
      </c>
      <c r="G600" s="7" t="s">
        <v>1175</v>
      </c>
      <c r="H600" s="7" t="s">
        <v>1176</v>
      </c>
      <c r="I600" s="8">
        <v>1507.0</v>
      </c>
      <c r="J600" s="8">
        <v>2.5</v>
      </c>
      <c r="K600" s="8" t="s">
        <v>321</v>
      </c>
      <c r="L600" s="8" t="s">
        <v>322</v>
      </c>
      <c r="M600" s="8" t="s">
        <v>339</v>
      </c>
      <c r="N600" s="8">
        <v>7.2</v>
      </c>
      <c r="O600" s="14">
        <f t="shared" si="1"/>
        <v>44774</v>
      </c>
      <c r="P600" s="15">
        <f>IFERROR(VLOOKUP(K600,Formula!$A$11:$B$20,2,FALSE),Formula!$C$26)</f>
        <v>0.9</v>
      </c>
      <c r="Q600" s="15">
        <f>IF(AND(ISNUMBER(J600),J600&gt;0),1/J600,IF(AND(ISNUMBER(I600),I600&gt;0),SQRT(MIN(I600,Formula!$C$27))/Formula!$C$24,1/Formula!$C$25))</f>
        <v>0.4</v>
      </c>
      <c r="R600" s="15">
        <f t="shared" si="2"/>
        <v>0.36</v>
      </c>
      <c r="S600" s="15">
        <f>IF(H600&lt;&gt;"",EXP(-Formula!$C$28*(EOMONTH(H600,0)-H600)),EXP(-Formula!$C$28*(EOMONTH(D600,0)-D600)))</f>
        <v>0.9512294245</v>
      </c>
      <c r="T600" s="15">
        <f t="shared" si="3"/>
        <v>0.3333333333</v>
      </c>
      <c r="U600" s="15">
        <f t="shared" si="4"/>
        <v>0.1141475309</v>
      </c>
      <c r="V600" s="16">
        <f>IF(AND(L600="Among all respondents",NOT(OR(K600="Online poll in Telegram channel",K600="Website online poll",K600="CAWI (Computer Assisted Web Interviewing)"))),1/(1-MIN(MAX(Formula!$C$33+(YEAR(D600)-Formula!$C$34)/(Formula!$C$35-Formula!$C$34)*(Formula!$C$32-Formula!$C$33),Formula!$C$33),Formula!$C$32)),1)</f>
        <v>1</v>
      </c>
      <c r="W600" s="17">
        <f t="shared" si="5"/>
        <v>7.2</v>
      </c>
    </row>
    <row r="601" ht="15.75" customHeight="1">
      <c r="A601" s="8" t="s">
        <v>1178</v>
      </c>
      <c r="B601" s="7" t="s">
        <v>1173</v>
      </c>
      <c r="C601" s="13" t="s">
        <v>1174</v>
      </c>
      <c r="D601" s="7" t="s">
        <v>120</v>
      </c>
      <c r="E601" s="8" t="s">
        <v>91</v>
      </c>
      <c r="F601" s="8" t="s">
        <v>318</v>
      </c>
      <c r="G601" s="7" t="s">
        <v>1175</v>
      </c>
      <c r="H601" s="7" t="s">
        <v>1176</v>
      </c>
      <c r="I601" s="8">
        <v>1507.0</v>
      </c>
      <c r="J601" s="8">
        <v>2.5</v>
      </c>
      <c r="K601" s="8" t="s">
        <v>321</v>
      </c>
      <c r="L601" s="8" t="s">
        <v>322</v>
      </c>
      <c r="M601" s="8" t="s">
        <v>329</v>
      </c>
      <c r="N601" s="8">
        <v>6.5</v>
      </c>
      <c r="O601" s="14">
        <f t="shared" si="1"/>
        <v>44774</v>
      </c>
      <c r="P601" s="15">
        <f>IFERROR(VLOOKUP(K601,Formula!$A$11:$B$20,2,FALSE),Formula!$C$26)</f>
        <v>0.9</v>
      </c>
      <c r="Q601" s="15">
        <f>IF(AND(ISNUMBER(J601),J601&gt;0),1/J601,IF(AND(ISNUMBER(I601),I601&gt;0),SQRT(MIN(I601,Formula!$C$27))/Formula!$C$24,1/Formula!$C$25))</f>
        <v>0.4</v>
      </c>
      <c r="R601" s="15">
        <f t="shared" si="2"/>
        <v>0.36</v>
      </c>
      <c r="S601" s="15">
        <f>IF(H601&lt;&gt;"",EXP(-Formula!$C$28*(EOMONTH(H601,0)-H601)),EXP(-Formula!$C$28*(EOMONTH(D601,0)-D601)))</f>
        <v>0.9512294245</v>
      </c>
      <c r="T601" s="15">
        <f t="shared" si="3"/>
        <v>0.3333333333</v>
      </c>
      <c r="U601" s="15">
        <f t="shared" si="4"/>
        <v>0.1141475309</v>
      </c>
      <c r="V601" s="16">
        <f>IF(AND(L601="Among all respondents",NOT(OR(K601="Online poll in Telegram channel",K601="Website online poll",K601="CAWI (Computer Assisted Web Interviewing)"))),1/(1-MIN(MAX(Formula!$C$33+(YEAR(D601)-Formula!$C$34)/(Formula!$C$35-Formula!$C$34)*(Formula!$C$32-Formula!$C$33),Formula!$C$33),Formula!$C$32)),1)</f>
        <v>1</v>
      </c>
      <c r="W601" s="17">
        <f t="shared" si="5"/>
        <v>6.5</v>
      </c>
    </row>
    <row r="602" ht="15.75" customHeight="1">
      <c r="A602" s="8" t="s">
        <v>1179</v>
      </c>
      <c r="B602" s="7" t="s">
        <v>1173</v>
      </c>
      <c r="C602" s="13" t="s">
        <v>1174</v>
      </c>
      <c r="D602" s="7" t="s">
        <v>120</v>
      </c>
      <c r="E602" s="8" t="s">
        <v>91</v>
      </c>
      <c r="F602" s="8" t="s">
        <v>318</v>
      </c>
      <c r="G602" s="7" t="s">
        <v>1175</v>
      </c>
      <c r="H602" s="7" t="s">
        <v>1176</v>
      </c>
      <c r="I602" s="8">
        <v>1507.0</v>
      </c>
      <c r="J602" s="8">
        <v>2.5</v>
      </c>
      <c r="K602" s="8" t="s">
        <v>321</v>
      </c>
      <c r="L602" s="8" t="s">
        <v>322</v>
      </c>
      <c r="M602" s="8" t="s">
        <v>333</v>
      </c>
      <c r="N602" s="8">
        <v>2.5</v>
      </c>
      <c r="O602" s="14">
        <f t="shared" si="1"/>
        <v>44774</v>
      </c>
      <c r="P602" s="15">
        <f>IFERROR(VLOOKUP(K602,Formula!$A$11:$B$20,2,FALSE),Formula!$C$26)</f>
        <v>0.9</v>
      </c>
      <c r="Q602" s="15">
        <f>IF(AND(ISNUMBER(J602),J602&gt;0),1/J602,IF(AND(ISNUMBER(I602),I602&gt;0),SQRT(MIN(I602,Formula!$C$27))/Formula!$C$24,1/Formula!$C$25))</f>
        <v>0.4</v>
      </c>
      <c r="R602" s="15">
        <f t="shared" si="2"/>
        <v>0.36</v>
      </c>
      <c r="S602" s="15">
        <f>IF(H602&lt;&gt;"",EXP(-Formula!$C$28*(EOMONTH(H602,0)-H602)),EXP(-Formula!$C$28*(EOMONTH(D602,0)-D602)))</f>
        <v>0.9512294245</v>
      </c>
      <c r="T602" s="15">
        <f t="shared" si="3"/>
        <v>0.3333333333</v>
      </c>
      <c r="U602" s="15">
        <f t="shared" si="4"/>
        <v>0.1141475309</v>
      </c>
      <c r="V602" s="16">
        <f>IF(AND(L602="Among all respondents",NOT(OR(K602="Online poll in Telegram channel",K602="Website online poll",K602="CAWI (Computer Assisted Web Interviewing)"))),1/(1-MIN(MAX(Formula!$C$33+(YEAR(D602)-Formula!$C$34)/(Formula!$C$35-Formula!$C$34)*(Formula!$C$32-Formula!$C$33),Formula!$C$33),Formula!$C$32)),1)</f>
        <v>1</v>
      </c>
      <c r="W602" s="17">
        <f t="shared" si="5"/>
        <v>2.5</v>
      </c>
    </row>
    <row r="603" ht="15.75" customHeight="1">
      <c r="A603" s="8" t="s">
        <v>1180</v>
      </c>
      <c r="B603" s="7" t="s">
        <v>1173</v>
      </c>
      <c r="C603" s="13" t="s">
        <v>1174</v>
      </c>
      <c r="D603" s="7" t="s">
        <v>120</v>
      </c>
      <c r="E603" s="8" t="s">
        <v>91</v>
      </c>
      <c r="F603" s="8" t="s">
        <v>318</v>
      </c>
      <c r="G603" s="7" t="s">
        <v>1175</v>
      </c>
      <c r="H603" s="7" t="s">
        <v>1176</v>
      </c>
      <c r="I603" s="8">
        <v>1507.0</v>
      </c>
      <c r="J603" s="8">
        <v>2.5</v>
      </c>
      <c r="K603" s="8" t="s">
        <v>321</v>
      </c>
      <c r="L603" s="8" t="s">
        <v>322</v>
      </c>
      <c r="M603" s="8" t="s">
        <v>337</v>
      </c>
      <c r="N603" s="8">
        <v>2.3</v>
      </c>
      <c r="O603" s="14">
        <f t="shared" si="1"/>
        <v>44774</v>
      </c>
      <c r="P603" s="15">
        <f>IFERROR(VLOOKUP(K603,Formula!$A$11:$B$20,2,FALSE),Formula!$C$26)</f>
        <v>0.9</v>
      </c>
      <c r="Q603" s="15">
        <f>IF(AND(ISNUMBER(J603),J603&gt;0),1/J603,IF(AND(ISNUMBER(I603),I603&gt;0),SQRT(MIN(I603,Formula!$C$27))/Formula!$C$24,1/Formula!$C$25))</f>
        <v>0.4</v>
      </c>
      <c r="R603" s="15">
        <f t="shared" si="2"/>
        <v>0.36</v>
      </c>
      <c r="S603" s="15">
        <f>IF(H603&lt;&gt;"",EXP(-Formula!$C$28*(EOMONTH(H603,0)-H603)),EXP(-Formula!$C$28*(EOMONTH(D603,0)-D603)))</f>
        <v>0.9512294245</v>
      </c>
      <c r="T603" s="15">
        <f t="shared" si="3"/>
        <v>0.3333333333</v>
      </c>
      <c r="U603" s="15">
        <f t="shared" si="4"/>
        <v>0.1141475309</v>
      </c>
      <c r="V603" s="16">
        <f>IF(AND(L603="Among all respondents",NOT(OR(K603="Online poll in Telegram channel",K603="Website online poll",K603="CAWI (Computer Assisted Web Interviewing)"))),1/(1-MIN(MAX(Formula!$C$33+(YEAR(D603)-Formula!$C$34)/(Formula!$C$35-Formula!$C$34)*(Formula!$C$32-Formula!$C$33),Formula!$C$33),Formula!$C$32)),1)</f>
        <v>1</v>
      </c>
      <c r="W603" s="17">
        <f t="shared" si="5"/>
        <v>2.3</v>
      </c>
    </row>
    <row r="604" ht="15.75" customHeight="1">
      <c r="A604" s="8" t="s">
        <v>1181</v>
      </c>
      <c r="B604" s="7" t="s">
        <v>1173</v>
      </c>
      <c r="C604" s="13" t="s">
        <v>1174</v>
      </c>
      <c r="D604" s="7" t="s">
        <v>120</v>
      </c>
      <c r="E604" s="8" t="s">
        <v>91</v>
      </c>
      <c r="F604" s="8" t="s">
        <v>318</v>
      </c>
      <c r="G604" s="7" t="s">
        <v>1175</v>
      </c>
      <c r="H604" s="7" t="s">
        <v>1176</v>
      </c>
      <c r="I604" s="8">
        <v>1507.0</v>
      </c>
      <c r="J604" s="8">
        <v>2.5</v>
      </c>
      <c r="K604" s="8" t="s">
        <v>321</v>
      </c>
      <c r="L604" s="8" t="s">
        <v>322</v>
      </c>
      <c r="M604" s="8" t="s">
        <v>386</v>
      </c>
      <c r="N604" s="8">
        <v>2.2</v>
      </c>
      <c r="O604" s="14">
        <f t="shared" si="1"/>
        <v>44774</v>
      </c>
      <c r="P604" s="15">
        <f>IFERROR(VLOOKUP(K604,Formula!$A$11:$B$20,2,FALSE),Formula!$C$26)</f>
        <v>0.9</v>
      </c>
      <c r="Q604" s="15">
        <f>IF(AND(ISNUMBER(J604),J604&gt;0),1/J604,IF(AND(ISNUMBER(I604),I604&gt;0),SQRT(MIN(I604,Formula!$C$27))/Formula!$C$24,1/Formula!$C$25))</f>
        <v>0.4</v>
      </c>
      <c r="R604" s="15">
        <f t="shared" si="2"/>
        <v>0.36</v>
      </c>
      <c r="S604" s="15">
        <f>IF(H604&lt;&gt;"",EXP(-Formula!$C$28*(EOMONTH(H604,0)-H604)),EXP(-Formula!$C$28*(EOMONTH(D604,0)-D604)))</f>
        <v>0.9512294245</v>
      </c>
      <c r="T604" s="15">
        <f t="shared" si="3"/>
        <v>0.3333333333</v>
      </c>
      <c r="U604" s="15">
        <f t="shared" si="4"/>
        <v>0.1141475309</v>
      </c>
      <c r="V604" s="16">
        <f>IF(AND(L604="Among all respondents",NOT(OR(K604="Online poll in Telegram channel",K604="Website online poll",K604="CAWI (Computer Assisted Web Interviewing)"))),1/(1-MIN(MAX(Formula!$C$33+(YEAR(D604)-Formula!$C$34)/(Formula!$C$35-Formula!$C$34)*(Formula!$C$32-Formula!$C$33),Formula!$C$33),Formula!$C$32)),1)</f>
        <v>1</v>
      </c>
      <c r="W604" s="17">
        <f t="shared" si="5"/>
        <v>2.2</v>
      </c>
    </row>
    <row r="605" ht="15.75" customHeight="1">
      <c r="A605" s="8" t="s">
        <v>1182</v>
      </c>
      <c r="B605" s="7" t="s">
        <v>1173</v>
      </c>
      <c r="C605" s="13" t="s">
        <v>1174</v>
      </c>
      <c r="D605" s="7" t="s">
        <v>120</v>
      </c>
      <c r="E605" s="8" t="s">
        <v>91</v>
      </c>
      <c r="F605" s="8" t="s">
        <v>318</v>
      </c>
      <c r="G605" s="7" t="s">
        <v>1175</v>
      </c>
      <c r="H605" s="7" t="s">
        <v>1176</v>
      </c>
      <c r="I605" s="8">
        <v>1507.0</v>
      </c>
      <c r="J605" s="8">
        <v>2.5</v>
      </c>
      <c r="K605" s="8" t="s">
        <v>321</v>
      </c>
      <c r="L605" s="8" t="s">
        <v>322</v>
      </c>
      <c r="M605" s="8" t="s">
        <v>828</v>
      </c>
      <c r="N605" s="8">
        <v>2.2</v>
      </c>
      <c r="O605" s="14">
        <f t="shared" si="1"/>
        <v>44774</v>
      </c>
      <c r="P605" s="15">
        <f>IFERROR(VLOOKUP(K605,Formula!$A$11:$B$20,2,FALSE),Formula!$C$26)</f>
        <v>0.9</v>
      </c>
      <c r="Q605" s="15">
        <f>IF(AND(ISNUMBER(J605),J605&gt;0),1/J605,IF(AND(ISNUMBER(I605),I605&gt;0),SQRT(MIN(I605,Formula!$C$27))/Formula!$C$24,1/Formula!$C$25))</f>
        <v>0.4</v>
      </c>
      <c r="R605" s="15">
        <f t="shared" si="2"/>
        <v>0.36</v>
      </c>
      <c r="S605" s="15">
        <f>IF(H605&lt;&gt;"",EXP(-Formula!$C$28*(EOMONTH(H605,0)-H605)),EXP(-Formula!$C$28*(EOMONTH(D605,0)-D605)))</f>
        <v>0.9512294245</v>
      </c>
      <c r="T605" s="15">
        <f t="shared" si="3"/>
        <v>0.3333333333</v>
      </c>
      <c r="U605" s="15">
        <f t="shared" si="4"/>
        <v>0.1141475309</v>
      </c>
      <c r="V605" s="16">
        <f>IF(AND(L605="Among all respondents",NOT(OR(K605="Online poll in Telegram channel",K605="Website online poll",K605="CAWI (Computer Assisted Web Interviewing)"))),1/(1-MIN(MAX(Formula!$C$33+(YEAR(D605)-Formula!$C$34)/(Formula!$C$35-Formula!$C$34)*(Formula!$C$32-Formula!$C$33),Formula!$C$33),Formula!$C$32)),1)</f>
        <v>1</v>
      </c>
      <c r="W605" s="17">
        <f t="shared" si="5"/>
        <v>2.2</v>
      </c>
    </row>
    <row r="606" ht="15.75" customHeight="1">
      <c r="A606" s="8" t="s">
        <v>1183</v>
      </c>
      <c r="B606" s="7" t="s">
        <v>1173</v>
      </c>
      <c r="C606" s="13" t="s">
        <v>1174</v>
      </c>
      <c r="D606" s="7" t="s">
        <v>120</v>
      </c>
      <c r="E606" s="8" t="s">
        <v>91</v>
      </c>
      <c r="F606" s="8" t="s">
        <v>318</v>
      </c>
      <c r="G606" s="7" t="s">
        <v>1175</v>
      </c>
      <c r="H606" s="7" t="s">
        <v>1176</v>
      </c>
      <c r="I606" s="8">
        <v>1507.0</v>
      </c>
      <c r="J606" s="8">
        <v>2.5</v>
      </c>
      <c r="K606" s="8" t="s">
        <v>321</v>
      </c>
      <c r="L606" s="8" t="s">
        <v>322</v>
      </c>
      <c r="M606" s="8" t="s">
        <v>359</v>
      </c>
      <c r="N606" s="8">
        <v>1.1</v>
      </c>
      <c r="O606" s="14">
        <f t="shared" si="1"/>
        <v>44774</v>
      </c>
      <c r="P606" s="15">
        <f>IFERROR(VLOOKUP(K606,Formula!$A$11:$B$20,2,FALSE),Formula!$C$26)</f>
        <v>0.9</v>
      </c>
      <c r="Q606" s="15">
        <f>IF(AND(ISNUMBER(J606),J606&gt;0),1/J606,IF(AND(ISNUMBER(I606),I606&gt;0),SQRT(MIN(I606,Formula!$C$27))/Formula!$C$24,1/Formula!$C$25))</f>
        <v>0.4</v>
      </c>
      <c r="R606" s="15">
        <f t="shared" si="2"/>
        <v>0.36</v>
      </c>
      <c r="S606" s="15">
        <f>IF(H606&lt;&gt;"",EXP(-Formula!$C$28*(EOMONTH(H606,0)-H606)),EXP(-Formula!$C$28*(EOMONTH(D606,0)-D606)))</f>
        <v>0.9512294245</v>
      </c>
      <c r="T606" s="15">
        <f t="shared" si="3"/>
        <v>0.3333333333</v>
      </c>
      <c r="U606" s="15">
        <f t="shared" si="4"/>
        <v>0.1141475309</v>
      </c>
      <c r="V606" s="16">
        <f>IF(AND(L606="Among all respondents",NOT(OR(K606="Online poll in Telegram channel",K606="Website online poll",K606="CAWI (Computer Assisted Web Interviewing)"))),1/(1-MIN(MAX(Formula!$C$33+(YEAR(D606)-Formula!$C$34)/(Formula!$C$35-Formula!$C$34)*(Formula!$C$32-Formula!$C$33),Formula!$C$33),Formula!$C$32)),1)</f>
        <v>1</v>
      </c>
      <c r="W606" s="17">
        <f t="shared" si="5"/>
        <v>1.1</v>
      </c>
    </row>
    <row r="607" ht="15.75" customHeight="1">
      <c r="A607" s="8" t="s">
        <v>1184</v>
      </c>
      <c r="B607" s="7" t="s">
        <v>1173</v>
      </c>
      <c r="C607" s="13" t="s">
        <v>1174</v>
      </c>
      <c r="D607" s="7" t="s">
        <v>120</v>
      </c>
      <c r="E607" s="8" t="s">
        <v>91</v>
      </c>
      <c r="F607" s="8" t="s">
        <v>318</v>
      </c>
      <c r="G607" s="7" t="s">
        <v>1175</v>
      </c>
      <c r="H607" s="7" t="s">
        <v>1176</v>
      </c>
      <c r="I607" s="8">
        <v>1507.0</v>
      </c>
      <c r="J607" s="8">
        <v>2.5</v>
      </c>
      <c r="K607" s="8" t="s">
        <v>321</v>
      </c>
      <c r="L607" s="8" t="s">
        <v>322</v>
      </c>
      <c r="M607" s="8" t="s">
        <v>388</v>
      </c>
      <c r="N607" s="8">
        <v>0.6</v>
      </c>
      <c r="O607" s="14">
        <f t="shared" si="1"/>
        <v>44774</v>
      </c>
      <c r="P607" s="15">
        <f>IFERROR(VLOOKUP(K607,Formula!$A$11:$B$20,2,FALSE),Formula!$C$26)</f>
        <v>0.9</v>
      </c>
      <c r="Q607" s="15">
        <f>IF(AND(ISNUMBER(J607),J607&gt;0),1/J607,IF(AND(ISNUMBER(I607),I607&gt;0),SQRT(MIN(I607,Formula!$C$27))/Formula!$C$24,1/Formula!$C$25))</f>
        <v>0.4</v>
      </c>
      <c r="R607" s="15">
        <f t="shared" si="2"/>
        <v>0.36</v>
      </c>
      <c r="S607" s="15">
        <f>IF(H607&lt;&gt;"",EXP(-Formula!$C$28*(EOMONTH(H607,0)-H607)),EXP(-Formula!$C$28*(EOMONTH(D607,0)-D607)))</f>
        <v>0.9512294245</v>
      </c>
      <c r="T607" s="15">
        <f t="shared" si="3"/>
        <v>0.3333333333</v>
      </c>
      <c r="U607" s="15">
        <f t="shared" si="4"/>
        <v>0.1141475309</v>
      </c>
      <c r="V607" s="16">
        <f>IF(AND(L607="Among all respondents",NOT(OR(K607="Online poll in Telegram channel",K607="Website online poll",K607="CAWI (Computer Assisted Web Interviewing)"))),1/(1-MIN(MAX(Formula!$C$33+(YEAR(D607)-Formula!$C$34)/(Formula!$C$35-Formula!$C$34)*(Formula!$C$32-Formula!$C$33),Formula!$C$33),Formula!$C$32)),1)</f>
        <v>1</v>
      </c>
      <c r="W607" s="17">
        <f t="shared" si="5"/>
        <v>0.6</v>
      </c>
    </row>
    <row r="608" ht="15.75" customHeight="1">
      <c r="A608" s="8" t="s">
        <v>1185</v>
      </c>
      <c r="B608" s="7" t="s">
        <v>1186</v>
      </c>
      <c r="C608" s="13" t="s">
        <v>1187</v>
      </c>
      <c r="D608" s="7" t="s">
        <v>126</v>
      </c>
      <c r="E608" s="8" t="s">
        <v>27</v>
      </c>
      <c r="F608" s="8" t="s">
        <v>318</v>
      </c>
      <c r="G608" s="7" t="s">
        <v>124</v>
      </c>
      <c r="H608" s="7" t="s">
        <v>126</v>
      </c>
      <c r="I608" s="8">
        <v>1000.0</v>
      </c>
      <c r="J608" s="8">
        <v>3.1</v>
      </c>
      <c r="K608" s="8" t="s">
        <v>321</v>
      </c>
      <c r="L608" s="8" t="s">
        <v>373</v>
      </c>
      <c r="M608" s="8" t="s">
        <v>323</v>
      </c>
      <c r="N608" s="8">
        <v>70.0</v>
      </c>
      <c r="O608" s="14">
        <f t="shared" si="1"/>
        <v>44713</v>
      </c>
      <c r="P608" s="15">
        <f>IFERROR(VLOOKUP(K608,Formula!$A$11:$B$20,2,FALSE),Formula!$C$26)</f>
        <v>0.9</v>
      </c>
      <c r="Q608" s="15">
        <f>IF(AND(ISNUMBER(J608),J608&gt;0),1/J608,IF(AND(ISNUMBER(I608),I608&gt;0),SQRT(MIN(I608,Formula!$C$27))/Formula!$C$24,1/Formula!$C$25))</f>
        <v>0.3225806452</v>
      </c>
      <c r="R608" s="15">
        <f t="shared" si="2"/>
        <v>0.2903225806</v>
      </c>
      <c r="S608" s="15">
        <f>IF(H608&lt;&gt;"",EXP(-Formula!$C$28*(EOMONTH(H608,0)-H608)),EXP(-Formula!$C$28*(EOMONTH(D608,0)-D608)))</f>
        <v>1</v>
      </c>
      <c r="T608" s="15">
        <f t="shared" si="3"/>
        <v>0.2357022604</v>
      </c>
      <c r="U608" s="15">
        <f t="shared" si="4"/>
        <v>0.0684296885</v>
      </c>
      <c r="V608" s="16">
        <f>IF(AND(L608="Among all respondents",NOT(OR(K608="Online poll in Telegram channel",K608="Website online poll",K608="CAWI (Computer Assisted Web Interviewing)"))),1/(1-MIN(MAX(Formula!$C$33+(YEAR(D608)-Formula!$C$34)/(Formula!$C$35-Formula!$C$34)*(Formula!$C$32-Formula!$C$33),Formula!$C$33),Formula!$C$32)),1)</f>
        <v>1.052631579</v>
      </c>
      <c r="W608" s="17">
        <f t="shared" si="5"/>
        <v>73.68421053</v>
      </c>
    </row>
    <row r="609" ht="15.75" customHeight="1">
      <c r="A609" s="8" t="s">
        <v>1188</v>
      </c>
      <c r="B609" s="7" t="s">
        <v>1186</v>
      </c>
      <c r="C609" s="13" t="s">
        <v>1187</v>
      </c>
      <c r="D609" s="7" t="s">
        <v>126</v>
      </c>
      <c r="E609" s="8" t="s">
        <v>27</v>
      </c>
      <c r="F609" s="8" t="s">
        <v>318</v>
      </c>
      <c r="G609" s="7" t="s">
        <v>124</v>
      </c>
      <c r="H609" s="7" t="s">
        <v>126</v>
      </c>
      <c r="I609" s="8">
        <v>1000.0</v>
      </c>
      <c r="J609" s="8">
        <v>3.1</v>
      </c>
      <c r="K609" s="8" t="s">
        <v>321</v>
      </c>
      <c r="L609" s="8" t="s">
        <v>373</v>
      </c>
      <c r="M609" s="8" t="s">
        <v>329</v>
      </c>
      <c r="N609" s="8">
        <v>5.0</v>
      </c>
      <c r="O609" s="14">
        <f t="shared" si="1"/>
        <v>44713</v>
      </c>
      <c r="P609" s="15">
        <f>IFERROR(VLOOKUP(K609,Formula!$A$11:$B$20,2,FALSE),Formula!$C$26)</f>
        <v>0.9</v>
      </c>
      <c r="Q609" s="15">
        <f>IF(AND(ISNUMBER(J609),J609&gt;0),1/J609,IF(AND(ISNUMBER(I609),I609&gt;0),SQRT(MIN(I609,Formula!$C$27))/Formula!$C$24,1/Formula!$C$25))</f>
        <v>0.3225806452</v>
      </c>
      <c r="R609" s="15">
        <f t="shared" si="2"/>
        <v>0.2903225806</v>
      </c>
      <c r="S609" s="15">
        <f>IF(H609&lt;&gt;"",EXP(-Formula!$C$28*(EOMONTH(H609,0)-H609)),EXP(-Formula!$C$28*(EOMONTH(D609,0)-D609)))</f>
        <v>1</v>
      </c>
      <c r="T609" s="15">
        <f t="shared" si="3"/>
        <v>0.2357022604</v>
      </c>
      <c r="U609" s="15">
        <f t="shared" si="4"/>
        <v>0.0684296885</v>
      </c>
      <c r="V609" s="16">
        <f>IF(AND(L609="Among all respondents",NOT(OR(K609="Online poll in Telegram channel",K609="Website online poll",K609="CAWI (Computer Assisted Web Interviewing)"))),1/(1-MIN(MAX(Formula!$C$33+(YEAR(D609)-Formula!$C$34)/(Formula!$C$35-Formula!$C$34)*(Formula!$C$32-Formula!$C$33),Formula!$C$33),Formula!$C$32)),1)</f>
        <v>1.052631579</v>
      </c>
      <c r="W609" s="17">
        <f t="shared" si="5"/>
        <v>5.263157895</v>
      </c>
    </row>
    <row r="610" ht="15.75" customHeight="1">
      <c r="A610" s="8" t="s">
        <v>1189</v>
      </c>
      <c r="B610" s="7" t="s">
        <v>1186</v>
      </c>
      <c r="C610" s="13" t="s">
        <v>1187</v>
      </c>
      <c r="D610" s="7" t="s">
        <v>126</v>
      </c>
      <c r="E610" s="8" t="s">
        <v>27</v>
      </c>
      <c r="F610" s="8" t="s">
        <v>318</v>
      </c>
      <c r="G610" s="7" t="s">
        <v>124</v>
      </c>
      <c r="H610" s="7" t="s">
        <v>126</v>
      </c>
      <c r="I610" s="8">
        <v>1000.0</v>
      </c>
      <c r="J610" s="8">
        <v>3.1</v>
      </c>
      <c r="K610" s="8" t="s">
        <v>321</v>
      </c>
      <c r="L610" s="8" t="s">
        <v>373</v>
      </c>
      <c r="M610" s="8" t="s">
        <v>339</v>
      </c>
      <c r="N610" s="8">
        <v>3.0</v>
      </c>
      <c r="O610" s="14">
        <f t="shared" si="1"/>
        <v>44713</v>
      </c>
      <c r="P610" s="15">
        <f>IFERROR(VLOOKUP(K610,Formula!$A$11:$B$20,2,FALSE),Formula!$C$26)</f>
        <v>0.9</v>
      </c>
      <c r="Q610" s="15">
        <f>IF(AND(ISNUMBER(J610),J610&gt;0),1/J610,IF(AND(ISNUMBER(I610),I610&gt;0),SQRT(MIN(I610,Formula!$C$27))/Formula!$C$24,1/Formula!$C$25))</f>
        <v>0.3225806452</v>
      </c>
      <c r="R610" s="15">
        <f t="shared" si="2"/>
        <v>0.2903225806</v>
      </c>
      <c r="S610" s="15">
        <f>IF(H610&lt;&gt;"",EXP(-Formula!$C$28*(EOMONTH(H610,0)-H610)),EXP(-Formula!$C$28*(EOMONTH(D610,0)-D610)))</f>
        <v>1</v>
      </c>
      <c r="T610" s="15">
        <f t="shared" si="3"/>
        <v>0.2357022604</v>
      </c>
      <c r="U610" s="15">
        <f t="shared" si="4"/>
        <v>0.0684296885</v>
      </c>
      <c r="V610" s="16">
        <f>IF(AND(L610="Among all respondents",NOT(OR(K610="Online poll in Telegram channel",K610="Website online poll",K610="CAWI (Computer Assisted Web Interviewing)"))),1/(1-MIN(MAX(Formula!$C$33+(YEAR(D610)-Formula!$C$34)/(Formula!$C$35-Formula!$C$34)*(Formula!$C$32-Formula!$C$33),Formula!$C$33),Formula!$C$32)),1)</f>
        <v>1.052631579</v>
      </c>
      <c r="W610" s="17">
        <f t="shared" si="5"/>
        <v>3.157894737</v>
      </c>
    </row>
    <row r="611" ht="15.75" customHeight="1">
      <c r="A611" s="8" t="s">
        <v>1190</v>
      </c>
      <c r="B611" s="7" t="s">
        <v>1186</v>
      </c>
      <c r="C611" s="13" t="s">
        <v>1187</v>
      </c>
      <c r="D611" s="7" t="s">
        <v>126</v>
      </c>
      <c r="E611" s="8" t="s">
        <v>27</v>
      </c>
      <c r="F611" s="8" t="s">
        <v>318</v>
      </c>
      <c r="G611" s="7" t="s">
        <v>124</v>
      </c>
      <c r="H611" s="7" t="s">
        <v>126</v>
      </c>
      <c r="I611" s="8">
        <v>1000.0</v>
      </c>
      <c r="J611" s="8">
        <v>3.1</v>
      </c>
      <c r="K611" s="8" t="s">
        <v>321</v>
      </c>
      <c r="L611" s="8" t="s">
        <v>373</v>
      </c>
      <c r="M611" s="8" t="s">
        <v>337</v>
      </c>
      <c r="N611" s="8">
        <v>2.0</v>
      </c>
      <c r="O611" s="14">
        <f t="shared" si="1"/>
        <v>44713</v>
      </c>
      <c r="P611" s="15">
        <f>IFERROR(VLOOKUP(K611,Formula!$A$11:$B$20,2,FALSE),Formula!$C$26)</f>
        <v>0.9</v>
      </c>
      <c r="Q611" s="15">
        <f>IF(AND(ISNUMBER(J611),J611&gt;0),1/J611,IF(AND(ISNUMBER(I611),I611&gt;0),SQRT(MIN(I611,Formula!$C$27))/Formula!$C$24,1/Formula!$C$25))</f>
        <v>0.3225806452</v>
      </c>
      <c r="R611" s="15">
        <f t="shared" si="2"/>
        <v>0.2903225806</v>
      </c>
      <c r="S611" s="15">
        <f>IF(H611&lt;&gt;"",EXP(-Formula!$C$28*(EOMONTH(H611,0)-H611)),EXP(-Formula!$C$28*(EOMONTH(D611,0)-D611)))</f>
        <v>1</v>
      </c>
      <c r="T611" s="15">
        <f t="shared" si="3"/>
        <v>0.2357022604</v>
      </c>
      <c r="U611" s="15">
        <f t="shared" si="4"/>
        <v>0.0684296885</v>
      </c>
      <c r="V611" s="16">
        <f>IF(AND(L611="Among all respondents",NOT(OR(K611="Online poll in Telegram channel",K611="Website online poll",K611="CAWI (Computer Assisted Web Interviewing)"))),1/(1-MIN(MAX(Formula!$C$33+(YEAR(D611)-Formula!$C$34)/(Formula!$C$35-Formula!$C$34)*(Formula!$C$32-Formula!$C$33),Formula!$C$33),Formula!$C$32)),1)</f>
        <v>1.052631579</v>
      </c>
      <c r="W611" s="17">
        <f t="shared" si="5"/>
        <v>2.105263158</v>
      </c>
    </row>
    <row r="612" ht="15.75" customHeight="1">
      <c r="A612" s="8" t="s">
        <v>1191</v>
      </c>
      <c r="B612" s="7" t="s">
        <v>1186</v>
      </c>
      <c r="C612" s="13" t="s">
        <v>1187</v>
      </c>
      <c r="D612" s="7" t="s">
        <v>126</v>
      </c>
      <c r="E612" s="8" t="s">
        <v>27</v>
      </c>
      <c r="F612" s="8" t="s">
        <v>318</v>
      </c>
      <c r="G612" s="7" t="s">
        <v>124</v>
      </c>
      <c r="H612" s="7" t="s">
        <v>126</v>
      </c>
      <c r="I612" s="8">
        <v>1000.0</v>
      </c>
      <c r="J612" s="8">
        <v>3.1</v>
      </c>
      <c r="K612" s="8" t="s">
        <v>321</v>
      </c>
      <c r="L612" s="8" t="s">
        <v>373</v>
      </c>
      <c r="M612" s="8" t="s">
        <v>386</v>
      </c>
      <c r="N612" s="8">
        <v>1.0</v>
      </c>
      <c r="O612" s="14">
        <f t="shared" si="1"/>
        <v>44713</v>
      </c>
      <c r="P612" s="15">
        <f>IFERROR(VLOOKUP(K612,Formula!$A$11:$B$20,2,FALSE),Formula!$C$26)</f>
        <v>0.9</v>
      </c>
      <c r="Q612" s="15">
        <f>IF(AND(ISNUMBER(J612),J612&gt;0),1/J612,IF(AND(ISNUMBER(I612),I612&gt;0),SQRT(MIN(I612,Formula!$C$27))/Formula!$C$24,1/Formula!$C$25))</f>
        <v>0.3225806452</v>
      </c>
      <c r="R612" s="15">
        <f t="shared" si="2"/>
        <v>0.2903225806</v>
      </c>
      <c r="S612" s="15">
        <f>IF(H612&lt;&gt;"",EXP(-Formula!$C$28*(EOMONTH(H612,0)-H612)),EXP(-Formula!$C$28*(EOMONTH(D612,0)-D612)))</f>
        <v>1</v>
      </c>
      <c r="T612" s="15">
        <f t="shared" si="3"/>
        <v>0.2357022604</v>
      </c>
      <c r="U612" s="15">
        <f t="shared" si="4"/>
        <v>0.0684296885</v>
      </c>
      <c r="V612" s="16">
        <f>IF(AND(L612="Among all respondents",NOT(OR(K612="Online poll in Telegram channel",K612="Website online poll",K612="CAWI (Computer Assisted Web Interviewing)"))),1/(1-MIN(MAX(Formula!$C$33+(YEAR(D612)-Formula!$C$34)/(Formula!$C$35-Formula!$C$34)*(Formula!$C$32-Formula!$C$33),Formula!$C$33),Formula!$C$32)),1)</f>
        <v>1.052631579</v>
      </c>
      <c r="W612" s="17">
        <f t="shared" si="5"/>
        <v>1.052631579</v>
      </c>
    </row>
    <row r="613" ht="15.75" customHeight="1">
      <c r="A613" s="8" t="s">
        <v>1192</v>
      </c>
      <c r="B613" s="7" t="s">
        <v>1186</v>
      </c>
      <c r="C613" s="13" t="s">
        <v>1187</v>
      </c>
      <c r="D613" s="7" t="s">
        <v>126</v>
      </c>
      <c r="E613" s="8" t="s">
        <v>27</v>
      </c>
      <c r="F613" s="8" t="s">
        <v>318</v>
      </c>
      <c r="G613" s="7" t="s">
        <v>124</v>
      </c>
      <c r="H613" s="7" t="s">
        <v>126</v>
      </c>
      <c r="I613" s="8">
        <v>1000.0</v>
      </c>
      <c r="J613" s="8">
        <v>3.1</v>
      </c>
      <c r="K613" s="8" t="s">
        <v>321</v>
      </c>
      <c r="L613" s="8" t="s">
        <v>373</v>
      </c>
      <c r="M613" s="8" t="s">
        <v>828</v>
      </c>
      <c r="N613" s="8">
        <v>1.0</v>
      </c>
      <c r="O613" s="14">
        <f t="shared" si="1"/>
        <v>44713</v>
      </c>
      <c r="P613" s="15">
        <f>IFERROR(VLOOKUP(K613,Formula!$A$11:$B$20,2,FALSE),Formula!$C$26)</f>
        <v>0.9</v>
      </c>
      <c r="Q613" s="15">
        <f>IF(AND(ISNUMBER(J613),J613&gt;0),1/J613,IF(AND(ISNUMBER(I613),I613&gt;0),SQRT(MIN(I613,Formula!$C$27))/Formula!$C$24,1/Formula!$C$25))</f>
        <v>0.3225806452</v>
      </c>
      <c r="R613" s="15">
        <f t="shared" si="2"/>
        <v>0.2903225806</v>
      </c>
      <c r="S613" s="15">
        <f>IF(H613&lt;&gt;"",EXP(-Formula!$C$28*(EOMONTH(H613,0)-H613)),EXP(-Formula!$C$28*(EOMONTH(D613,0)-D613)))</f>
        <v>1</v>
      </c>
      <c r="T613" s="15">
        <f t="shared" si="3"/>
        <v>0.2357022604</v>
      </c>
      <c r="U613" s="15">
        <f t="shared" si="4"/>
        <v>0.0684296885</v>
      </c>
      <c r="V613" s="16">
        <f>IF(AND(L613="Among all respondents",NOT(OR(K613="Online poll in Telegram channel",K613="Website online poll",K613="CAWI (Computer Assisted Web Interviewing)"))),1/(1-MIN(MAX(Formula!$C$33+(YEAR(D613)-Formula!$C$34)/(Formula!$C$35-Formula!$C$34)*(Formula!$C$32-Formula!$C$33),Formula!$C$33),Formula!$C$32)),1)</f>
        <v>1.052631579</v>
      </c>
      <c r="W613" s="17">
        <f t="shared" si="5"/>
        <v>1.052631579</v>
      </c>
    </row>
    <row r="614" ht="15.75" customHeight="1">
      <c r="A614" s="8" t="s">
        <v>1193</v>
      </c>
      <c r="B614" s="7" t="s">
        <v>1186</v>
      </c>
      <c r="C614" s="13" t="s">
        <v>1187</v>
      </c>
      <c r="D614" s="7" t="s">
        <v>126</v>
      </c>
      <c r="E614" s="8" t="s">
        <v>27</v>
      </c>
      <c r="F614" s="8" t="s">
        <v>318</v>
      </c>
      <c r="G614" s="7" t="s">
        <v>124</v>
      </c>
      <c r="H614" s="7" t="s">
        <v>126</v>
      </c>
      <c r="I614" s="8">
        <v>1000.0</v>
      </c>
      <c r="J614" s="8">
        <v>3.1</v>
      </c>
      <c r="K614" s="8" t="s">
        <v>321</v>
      </c>
      <c r="L614" s="8" t="s">
        <v>373</v>
      </c>
      <c r="M614" s="8" t="s">
        <v>1153</v>
      </c>
      <c r="N614" s="8">
        <v>1.0</v>
      </c>
      <c r="O614" s="14">
        <f t="shared" si="1"/>
        <v>44713</v>
      </c>
      <c r="P614" s="15">
        <f>IFERROR(VLOOKUP(K614,Formula!$A$11:$B$20,2,FALSE),Formula!$C$26)</f>
        <v>0.9</v>
      </c>
      <c r="Q614" s="15">
        <f>IF(AND(ISNUMBER(J614),J614&gt;0),1/J614,IF(AND(ISNUMBER(I614),I614&gt;0),SQRT(MIN(I614,Formula!$C$27))/Formula!$C$24,1/Formula!$C$25))</f>
        <v>0.3225806452</v>
      </c>
      <c r="R614" s="15">
        <f t="shared" si="2"/>
        <v>0.2903225806</v>
      </c>
      <c r="S614" s="15">
        <f>IF(H614&lt;&gt;"",EXP(-Formula!$C$28*(EOMONTH(H614,0)-H614)),EXP(-Formula!$C$28*(EOMONTH(D614,0)-D614)))</f>
        <v>1</v>
      </c>
      <c r="T614" s="15">
        <f t="shared" si="3"/>
        <v>0.2357022604</v>
      </c>
      <c r="U614" s="15">
        <f t="shared" si="4"/>
        <v>0.0684296885</v>
      </c>
      <c r="V614" s="16">
        <f>IF(AND(L614="Among all respondents",NOT(OR(K614="Online poll in Telegram channel",K614="Website online poll",K614="CAWI (Computer Assisted Web Interviewing)"))),1/(1-MIN(MAX(Formula!$C$33+(YEAR(D614)-Formula!$C$34)/(Formula!$C$35-Formula!$C$34)*(Formula!$C$32-Formula!$C$33),Formula!$C$33),Formula!$C$32)),1)</f>
        <v>1.052631579</v>
      </c>
      <c r="W614" s="17">
        <f t="shared" si="5"/>
        <v>1.052631579</v>
      </c>
    </row>
    <row r="615" ht="15.75" customHeight="1">
      <c r="A615" s="8" t="s">
        <v>1194</v>
      </c>
      <c r="B615" s="7" t="s">
        <v>1186</v>
      </c>
      <c r="C615" s="13" t="s">
        <v>1187</v>
      </c>
      <c r="D615" s="7" t="s">
        <v>126</v>
      </c>
      <c r="E615" s="8" t="s">
        <v>27</v>
      </c>
      <c r="F615" s="8" t="s">
        <v>318</v>
      </c>
      <c r="G615" s="7" t="s">
        <v>124</v>
      </c>
      <c r="H615" s="7" t="s">
        <v>126</v>
      </c>
      <c r="I615" s="8">
        <v>1000.0</v>
      </c>
      <c r="J615" s="8">
        <v>3.1</v>
      </c>
      <c r="K615" s="8" t="s">
        <v>321</v>
      </c>
      <c r="L615" s="8" t="s">
        <v>373</v>
      </c>
      <c r="M615" s="8" t="s">
        <v>333</v>
      </c>
      <c r="N615" s="8">
        <v>1.0</v>
      </c>
      <c r="O615" s="14">
        <f t="shared" si="1"/>
        <v>44713</v>
      </c>
      <c r="P615" s="15">
        <f>IFERROR(VLOOKUP(K615,Formula!$A$11:$B$20,2,FALSE),Formula!$C$26)</f>
        <v>0.9</v>
      </c>
      <c r="Q615" s="15">
        <f>IF(AND(ISNUMBER(J615),J615&gt;0),1/J615,IF(AND(ISNUMBER(I615),I615&gt;0),SQRT(MIN(I615,Formula!$C$27))/Formula!$C$24,1/Formula!$C$25))</f>
        <v>0.3225806452</v>
      </c>
      <c r="R615" s="15">
        <f t="shared" si="2"/>
        <v>0.2903225806</v>
      </c>
      <c r="S615" s="15">
        <f>IF(H615&lt;&gt;"",EXP(-Formula!$C$28*(EOMONTH(H615,0)-H615)),EXP(-Formula!$C$28*(EOMONTH(D615,0)-D615)))</f>
        <v>1</v>
      </c>
      <c r="T615" s="15">
        <f t="shared" si="3"/>
        <v>0.2357022604</v>
      </c>
      <c r="U615" s="15">
        <f t="shared" si="4"/>
        <v>0.0684296885</v>
      </c>
      <c r="V615" s="16">
        <f>IF(AND(L615="Among all respondents",NOT(OR(K615="Online poll in Telegram channel",K615="Website online poll",K615="CAWI (Computer Assisted Web Interviewing)"))),1/(1-MIN(MAX(Formula!$C$33+(YEAR(D615)-Formula!$C$34)/(Formula!$C$35-Formula!$C$34)*(Formula!$C$32-Formula!$C$33),Formula!$C$33),Formula!$C$32)),1)</f>
        <v>1.052631579</v>
      </c>
      <c r="W615" s="17">
        <f t="shared" si="5"/>
        <v>1.052631579</v>
      </c>
    </row>
    <row r="616" ht="15.75" customHeight="1">
      <c r="A616" s="8" t="s">
        <v>1195</v>
      </c>
      <c r="B616" s="7" t="s">
        <v>1186</v>
      </c>
      <c r="C616" s="13" t="s">
        <v>1187</v>
      </c>
      <c r="D616" s="7" t="s">
        <v>126</v>
      </c>
      <c r="E616" s="8" t="s">
        <v>27</v>
      </c>
      <c r="F616" s="8" t="s">
        <v>318</v>
      </c>
      <c r="G616" s="7" t="s">
        <v>124</v>
      </c>
      <c r="H616" s="7" t="s">
        <v>126</v>
      </c>
      <c r="I616" s="8">
        <v>1000.0</v>
      </c>
      <c r="J616" s="8">
        <v>3.1</v>
      </c>
      <c r="K616" s="8" t="s">
        <v>321</v>
      </c>
      <c r="L616" s="8" t="s">
        <v>373</v>
      </c>
      <c r="M616" s="8" t="s">
        <v>365</v>
      </c>
      <c r="N616" s="8">
        <v>1.0</v>
      </c>
      <c r="O616" s="14">
        <f t="shared" si="1"/>
        <v>44713</v>
      </c>
      <c r="P616" s="15">
        <f>IFERROR(VLOOKUP(K616,Formula!$A$11:$B$20,2,FALSE),Formula!$C$26)</f>
        <v>0.9</v>
      </c>
      <c r="Q616" s="15">
        <f>IF(AND(ISNUMBER(J616),J616&gt;0),1/J616,IF(AND(ISNUMBER(I616),I616&gt;0),SQRT(MIN(I616,Formula!$C$27))/Formula!$C$24,1/Formula!$C$25))</f>
        <v>0.3225806452</v>
      </c>
      <c r="R616" s="15">
        <f t="shared" si="2"/>
        <v>0.2903225806</v>
      </c>
      <c r="S616" s="15">
        <f>IF(H616&lt;&gt;"",EXP(-Formula!$C$28*(EOMONTH(H616,0)-H616)),EXP(-Formula!$C$28*(EOMONTH(D616,0)-D616)))</f>
        <v>1</v>
      </c>
      <c r="T616" s="15">
        <f t="shared" si="3"/>
        <v>0.2357022604</v>
      </c>
      <c r="U616" s="15">
        <f t="shared" si="4"/>
        <v>0.0684296885</v>
      </c>
      <c r="V616" s="16">
        <f>IF(AND(L616="Among all respondents",NOT(OR(K616="Online poll in Telegram channel",K616="Website online poll",K616="CAWI (Computer Assisted Web Interviewing)"))),1/(1-MIN(MAX(Formula!$C$33+(YEAR(D616)-Formula!$C$34)/(Formula!$C$35-Formula!$C$34)*(Formula!$C$32-Formula!$C$33),Formula!$C$33),Formula!$C$32)),1)</f>
        <v>1.052631579</v>
      </c>
      <c r="W616" s="17">
        <f t="shared" si="5"/>
        <v>1.052631579</v>
      </c>
    </row>
    <row r="617" ht="15.75" customHeight="1">
      <c r="A617" s="8" t="s">
        <v>1196</v>
      </c>
      <c r="B617" s="7" t="s">
        <v>1197</v>
      </c>
      <c r="C617" s="13" t="s">
        <v>1198</v>
      </c>
      <c r="D617" s="7" t="s">
        <v>123</v>
      </c>
      <c r="E617" s="8" t="s">
        <v>91</v>
      </c>
      <c r="F617" s="8" t="s">
        <v>318</v>
      </c>
      <c r="G617" s="7" t="s">
        <v>1199</v>
      </c>
      <c r="H617" s="7" t="s">
        <v>1160</v>
      </c>
      <c r="I617" s="8">
        <v>1512.0</v>
      </c>
      <c r="J617" s="8">
        <v>2.5</v>
      </c>
      <c r="K617" s="8" t="s">
        <v>321</v>
      </c>
      <c r="L617" s="8" t="s">
        <v>322</v>
      </c>
      <c r="M617" s="8" t="s">
        <v>323</v>
      </c>
      <c r="N617" s="8">
        <v>74.6</v>
      </c>
      <c r="O617" s="14">
        <f t="shared" si="1"/>
        <v>44713</v>
      </c>
      <c r="P617" s="15">
        <f>IFERROR(VLOOKUP(K617,Formula!$A$11:$B$20,2,FALSE),Formula!$C$26)</f>
        <v>0.9</v>
      </c>
      <c r="Q617" s="15">
        <f>IF(AND(ISNUMBER(J617),J617&gt;0),1/J617,IF(AND(ISNUMBER(I617),I617&gt;0),SQRT(MIN(I617,Formula!$C$27))/Formula!$C$24,1/Formula!$C$25))</f>
        <v>0.4</v>
      </c>
      <c r="R617" s="15">
        <f t="shared" si="2"/>
        <v>0.36</v>
      </c>
      <c r="S617" s="15">
        <f>IF(H617&lt;&gt;"",EXP(-Formula!$C$28*(EOMONTH(H617,0)-H617)),EXP(-Formula!$C$28*(EOMONTH(D617,0)-D617)))</f>
        <v>0.7408182207</v>
      </c>
      <c r="T617" s="15">
        <f t="shared" si="3"/>
        <v>0.316227766</v>
      </c>
      <c r="U617" s="15">
        <f t="shared" si="4"/>
        <v>0.08433622474</v>
      </c>
      <c r="V617" s="16">
        <f>IF(AND(L617="Among all respondents",NOT(OR(K617="Online poll in Telegram channel",K617="Website online poll",K617="CAWI (Computer Assisted Web Interviewing)"))),1/(1-MIN(MAX(Formula!$C$33+(YEAR(D617)-Formula!$C$34)/(Formula!$C$35-Formula!$C$34)*(Formula!$C$32-Formula!$C$33),Formula!$C$33),Formula!$C$32)),1)</f>
        <v>1</v>
      </c>
      <c r="W617" s="17">
        <f t="shared" si="5"/>
        <v>74.6</v>
      </c>
    </row>
    <row r="618" ht="15.75" customHeight="1">
      <c r="A618" s="8" t="s">
        <v>1200</v>
      </c>
      <c r="B618" s="7" t="s">
        <v>1197</v>
      </c>
      <c r="C618" s="13" t="s">
        <v>1198</v>
      </c>
      <c r="D618" s="7" t="s">
        <v>123</v>
      </c>
      <c r="E618" s="8" t="s">
        <v>91</v>
      </c>
      <c r="F618" s="8" t="s">
        <v>318</v>
      </c>
      <c r="G618" s="7" t="s">
        <v>1199</v>
      </c>
      <c r="H618" s="7" t="s">
        <v>1160</v>
      </c>
      <c r="I618" s="8">
        <v>1512.0</v>
      </c>
      <c r="J618" s="8">
        <v>2.5</v>
      </c>
      <c r="K618" s="8" t="s">
        <v>321</v>
      </c>
      <c r="L618" s="8" t="s">
        <v>322</v>
      </c>
      <c r="M618" s="8" t="s">
        <v>329</v>
      </c>
      <c r="N618" s="8">
        <v>7.6</v>
      </c>
      <c r="O618" s="14">
        <f t="shared" si="1"/>
        <v>44713</v>
      </c>
      <c r="P618" s="15">
        <f>IFERROR(VLOOKUP(K618,Formula!$A$11:$B$20,2,FALSE),Formula!$C$26)</f>
        <v>0.9</v>
      </c>
      <c r="Q618" s="15">
        <f>IF(AND(ISNUMBER(J618),J618&gt;0),1/J618,IF(AND(ISNUMBER(I618),I618&gt;0),SQRT(MIN(I618,Formula!$C$27))/Formula!$C$24,1/Formula!$C$25))</f>
        <v>0.4</v>
      </c>
      <c r="R618" s="15">
        <f t="shared" si="2"/>
        <v>0.36</v>
      </c>
      <c r="S618" s="15">
        <f>IF(H618&lt;&gt;"",EXP(-Formula!$C$28*(EOMONTH(H618,0)-H618)),EXP(-Formula!$C$28*(EOMONTH(D618,0)-D618)))</f>
        <v>0.7408182207</v>
      </c>
      <c r="T618" s="15">
        <f t="shared" si="3"/>
        <v>0.316227766</v>
      </c>
      <c r="U618" s="15">
        <f t="shared" si="4"/>
        <v>0.08433622474</v>
      </c>
      <c r="V618" s="16">
        <f>IF(AND(L618="Among all respondents",NOT(OR(K618="Online poll in Telegram channel",K618="Website online poll",K618="CAWI (Computer Assisted Web Interviewing)"))),1/(1-MIN(MAX(Formula!$C$33+(YEAR(D618)-Formula!$C$34)/(Formula!$C$35-Formula!$C$34)*(Formula!$C$32-Formula!$C$33),Formula!$C$33),Formula!$C$32)),1)</f>
        <v>1</v>
      </c>
      <c r="W618" s="17">
        <f t="shared" si="5"/>
        <v>7.6</v>
      </c>
    </row>
    <row r="619" ht="15.75" customHeight="1">
      <c r="A619" s="8" t="s">
        <v>1201</v>
      </c>
      <c r="B619" s="7" t="s">
        <v>1197</v>
      </c>
      <c r="C619" s="13" t="s">
        <v>1198</v>
      </c>
      <c r="D619" s="7" t="s">
        <v>123</v>
      </c>
      <c r="E619" s="8" t="s">
        <v>91</v>
      </c>
      <c r="F619" s="8" t="s">
        <v>318</v>
      </c>
      <c r="G619" s="7" t="s">
        <v>1199</v>
      </c>
      <c r="H619" s="7" t="s">
        <v>1160</v>
      </c>
      <c r="I619" s="8">
        <v>1512.0</v>
      </c>
      <c r="J619" s="8">
        <v>2.5</v>
      </c>
      <c r="K619" s="8" t="s">
        <v>321</v>
      </c>
      <c r="L619" s="8" t="s">
        <v>322</v>
      </c>
      <c r="M619" s="8" t="s">
        <v>339</v>
      </c>
      <c r="N619" s="8">
        <v>4.7</v>
      </c>
      <c r="O619" s="14">
        <f t="shared" si="1"/>
        <v>44713</v>
      </c>
      <c r="P619" s="15">
        <f>IFERROR(VLOOKUP(K619,Formula!$A$11:$B$20,2,FALSE),Formula!$C$26)</f>
        <v>0.9</v>
      </c>
      <c r="Q619" s="15">
        <f>IF(AND(ISNUMBER(J619),J619&gt;0),1/J619,IF(AND(ISNUMBER(I619),I619&gt;0),SQRT(MIN(I619,Formula!$C$27))/Formula!$C$24,1/Formula!$C$25))</f>
        <v>0.4</v>
      </c>
      <c r="R619" s="15">
        <f t="shared" si="2"/>
        <v>0.36</v>
      </c>
      <c r="S619" s="15">
        <f>IF(H619&lt;&gt;"",EXP(-Formula!$C$28*(EOMONTH(H619,0)-H619)),EXP(-Formula!$C$28*(EOMONTH(D619,0)-D619)))</f>
        <v>0.7408182207</v>
      </c>
      <c r="T619" s="15">
        <f t="shared" si="3"/>
        <v>0.316227766</v>
      </c>
      <c r="U619" s="15">
        <f t="shared" si="4"/>
        <v>0.08433622474</v>
      </c>
      <c r="V619" s="16">
        <f>IF(AND(L619="Among all respondents",NOT(OR(K619="Online poll in Telegram channel",K619="Website online poll",K619="CAWI (Computer Assisted Web Interviewing)"))),1/(1-MIN(MAX(Formula!$C$33+(YEAR(D619)-Formula!$C$34)/(Formula!$C$35-Formula!$C$34)*(Formula!$C$32-Formula!$C$33),Formula!$C$33),Formula!$C$32)),1)</f>
        <v>1</v>
      </c>
      <c r="W619" s="17">
        <f t="shared" si="5"/>
        <v>4.7</v>
      </c>
    </row>
    <row r="620" ht="15.75" customHeight="1">
      <c r="A620" s="8" t="s">
        <v>1202</v>
      </c>
      <c r="B620" s="7" t="s">
        <v>1197</v>
      </c>
      <c r="C620" s="13" t="s">
        <v>1198</v>
      </c>
      <c r="D620" s="7" t="s">
        <v>123</v>
      </c>
      <c r="E620" s="8" t="s">
        <v>91</v>
      </c>
      <c r="F620" s="8" t="s">
        <v>318</v>
      </c>
      <c r="G620" s="7" t="s">
        <v>1199</v>
      </c>
      <c r="H620" s="7" t="s">
        <v>1160</v>
      </c>
      <c r="I620" s="8">
        <v>1512.0</v>
      </c>
      <c r="J620" s="8">
        <v>2.5</v>
      </c>
      <c r="K620" s="8" t="s">
        <v>321</v>
      </c>
      <c r="L620" s="8" t="s">
        <v>322</v>
      </c>
      <c r="M620" s="8" t="s">
        <v>333</v>
      </c>
      <c r="N620" s="8">
        <v>3.5</v>
      </c>
      <c r="O620" s="14">
        <f t="shared" si="1"/>
        <v>44713</v>
      </c>
      <c r="P620" s="15">
        <f>IFERROR(VLOOKUP(K620,Formula!$A$11:$B$20,2,FALSE),Formula!$C$26)</f>
        <v>0.9</v>
      </c>
      <c r="Q620" s="15">
        <f>IF(AND(ISNUMBER(J620),J620&gt;0),1/J620,IF(AND(ISNUMBER(I620),I620&gt;0),SQRT(MIN(I620,Formula!$C$27))/Formula!$C$24,1/Formula!$C$25))</f>
        <v>0.4</v>
      </c>
      <c r="R620" s="15">
        <f t="shared" si="2"/>
        <v>0.36</v>
      </c>
      <c r="S620" s="15">
        <f>IF(H620&lt;&gt;"",EXP(-Formula!$C$28*(EOMONTH(H620,0)-H620)),EXP(-Formula!$C$28*(EOMONTH(D620,0)-D620)))</f>
        <v>0.7408182207</v>
      </c>
      <c r="T620" s="15">
        <f t="shared" si="3"/>
        <v>0.316227766</v>
      </c>
      <c r="U620" s="15">
        <f t="shared" si="4"/>
        <v>0.08433622474</v>
      </c>
      <c r="V620" s="16">
        <f>IF(AND(L620="Among all respondents",NOT(OR(K620="Online poll in Telegram channel",K620="Website online poll",K620="CAWI (Computer Assisted Web Interviewing)"))),1/(1-MIN(MAX(Formula!$C$33+(YEAR(D620)-Formula!$C$34)/(Formula!$C$35-Formula!$C$34)*(Formula!$C$32-Formula!$C$33),Formula!$C$33),Formula!$C$32)),1)</f>
        <v>1</v>
      </c>
      <c r="W620" s="17">
        <f t="shared" si="5"/>
        <v>3.5</v>
      </c>
    </row>
    <row r="621" ht="15.75" customHeight="1">
      <c r="A621" s="8" t="s">
        <v>1203</v>
      </c>
      <c r="B621" s="7" t="s">
        <v>1197</v>
      </c>
      <c r="C621" s="13" t="s">
        <v>1198</v>
      </c>
      <c r="D621" s="7" t="s">
        <v>123</v>
      </c>
      <c r="E621" s="8" t="s">
        <v>91</v>
      </c>
      <c r="F621" s="8" t="s">
        <v>318</v>
      </c>
      <c r="G621" s="7" t="s">
        <v>1199</v>
      </c>
      <c r="H621" s="7" t="s">
        <v>1160</v>
      </c>
      <c r="I621" s="8">
        <v>1512.0</v>
      </c>
      <c r="J621" s="8">
        <v>2.5</v>
      </c>
      <c r="K621" s="8" t="s">
        <v>321</v>
      </c>
      <c r="L621" s="8" t="s">
        <v>322</v>
      </c>
      <c r="M621" s="8" t="s">
        <v>337</v>
      </c>
      <c r="N621" s="8">
        <v>2.8</v>
      </c>
      <c r="O621" s="14">
        <f t="shared" si="1"/>
        <v>44713</v>
      </c>
      <c r="P621" s="15">
        <f>IFERROR(VLOOKUP(K621,Formula!$A$11:$B$20,2,FALSE),Formula!$C$26)</f>
        <v>0.9</v>
      </c>
      <c r="Q621" s="15">
        <f>IF(AND(ISNUMBER(J621),J621&gt;0),1/J621,IF(AND(ISNUMBER(I621),I621&gt;0),SQRT(MIN(I621,Formula!$C$27))/Formula!$C$24,1/Formula!$C$25))</f>
        <v>0.4</v>
      </c>
      <c r="R621" s="15">
        <f t="shared" si="2"/>
        <v>0.36</v>
      </c>
      <c r="S621" s="15">
        <f>IF(H621&lt;&gt;"",EXP(-Formula!$C$28*(EOMONTH(H621,0)-H621)),EXP(-Formula!$C$28*(EOMONTH(D621,0)-D621)))</f>
        <v>0.7408182207</v>
      </c>
      <c r="T621" s="15">
        <f t="shared" si="3"/>
        <v>0.316227766</v>
      </c>
      <c r="U621" s="15">
        <f t="shared" si="4"/>
        <v>0.08433622474</v>
      </c>
      <c r="V621" s="16">
        <f>IF(AND(L621="Among all respondents",NOT(OR(K621="Online poll in Telegram channel",K621="Website online poll",K621="CAWI (Computer Assisted Web Interviewing)"))),1/(1-MIN(MAX(Formula!$C$33+(YEAR(D621)-Formula!$C$34)/(Formula!$C$35-Formula!$C$34)*(Formula!$C$32-Formula!$C$33),Formula!$C$33),Formula!$C$32)),1)</f>
        <v>1</v>
      </c>
      <c r="W621" s="17">
        <f t="shared" si="5"/>
        <v>2.8</v>
      </c>
    </row>
    <row r="622" ht="15.75" customHeight="1">
      <c r="A622" s="8" t="s">
        <v>1204</v>
      </c>
      <c r="B622" s="7" t="s">
        <v>1197</v>
      </c>
      <c r="C622" s="13" t="s">
        <v>1198</v>
      </c>
      <c r="D622" s="7" t="s">
        <v>123</v>
      </c>
      <c r="E622" s="8" t="s">
        <v>91</v>
      </c>
      <c r="F622" s="8" t="s">
        <v>318</v>
      </c>
      <c r="G622" s="7" t="s">
        <v>1199</v>
      </c>
      <c r="H622" s="7" t="s">
        <v>1160</v>
      </c>
      <c r="I622" s="8">
        <v>1512.0</v>
      </c>
      <c r="J622" s="8">
        <v>2.5</v>
      </c>
      <c r="K622" s="8" t="s">
        <v>321</v>
      </c>
      <c r="L622" s="8" t="s">
        <v>322</v>
      </c>
      <c r="M622" s="8" t="s">
        <v>386</v>
      </c>
      <c r="N622" s="8">
        <v>1.9</v>
      </c>
      <c r="O622" s="14">
        <f t="shared" si="1"/>
        <v>44713</v>
      </c>
      <c r="P622" s="15">
        <f>IFERROR(VLOOKUP(K622,Formula!$A$11:$B$20,2,FALSE),Formula!$C$26)</f>
        <v>0.9</v>
      </c>
      <c r="Q622" s="15">
        <f>IF(AND(ISNUMBER(J622),J622&gt;0),1/J622,IF(AND(ISNUMBER(I622),I622&gt;0),SQRT(MIN(I622,Formula!$C$27))/Formula!$C$24,1/Formula!$C$25))</f>
        <v>0.4</v>
      </c>
      <c r="R622" s="15">
        <f t="shared" si="2"/>
        <v>0.36</v>
      </c>
      <c r="S622" s="15">
        <f>IF(H622&lt;&gt;"",EXP(-Formula!$C$28*(EOMONTH(H622,0)-H622)),EXP(-Formula!$C$28*(EOMONTH(D622,0)-D622)))</f>
        <v>0.7408182207</v>
      </c>
      <c r="T622" s="15">
        <f t="shared" si="3"/>
        <v>0.316227766</v>
      </c>
      <c r="U622" s="15">
        <f t="shared" si="4"/>
        <v>0.08433622474</v>
      </c>
      <c r="V622" s="16">
        <f>IF(AND(L622="Among all respondents",NOT(OR(K622="Online poll in Telegram channel",K622="Website online poll",K622="CAWI (Computer Assisted Web Interviewing)"))),1/(1-MIN(MAX(Formula!$C$33+(YEAR(D622)-Formula!$C$34)/(Formula!$C$35-Formula!$C$34)*(Formula!$C$32-Formula!$C$33),Formula!$C$33),Formula!$C$32)),1)</f>
        <v>1</v>
      </c>
      <c r="W622" s="17">
        <f t="shared" si="5"/>
        <v>1.9</v>
      </c>
    </row>
    <row r="623" ht="15.75" customHeight="1">
      <c r="A623" s="8" t="s">
        <v>1205</v>
      </c>
      <c r="B623" s="7" t="s">
        <v>1197</v>
      </c>
      <c r="C623" s="13" t="s">
        <v>1198</v>
      </c>
      <c r="D623" s="7" t="s">
        <v>123</v>
      </c>
      <c r="E623" s="8" t="s">
        <v>91</v>
      </c>
      <c r="F623" s="8" t="s">
        <v>318</v>
      </c>
      <c r="G623" s="7" t="s">
        <v>1199</v>
      </c>
      <c r="H623" s="7" t="s">
        <v>1160</v>
      </c>
      <c r="I623" s="8">
        <v>1512.0</v>
      </c>
      <c r="J623" s="8">
        <v>2.5</v>
      </c>
      <c r="K623" s="8" t="s">
        <v>321</v>
      </c>
      <c r="L623" s="8" t="s">
        <v>322</v>
      </c>
      <c r="M623" s="8" t="s">
        <v>828</v>
      </c>
      <c r="N623" s="8">
        <v>1.8</v>
      </c>
      <c r="O623" s="14">
        <f t="shared" si="1"/>
        <v>44713</v>
      </c>
      <c r="P623" s="15">
        <f>IFERROR(VLOOKUP(K623,Formula!$A$11:$B$20,2,FALSE),Formula!$C$26)</f>
        <v>0.9</v>
      </c>
      <c r="Q623" s="15">
        <f>IF(AND(ISNUMBER(J623),J623&gt;0),1/J623,IF(AND(ISNUMBER(I623),I623&gt;0),SQRT(MIN(I623,Formula!$C$27))/Formula!$C$24,1/Formula!$C$25))</f>
        <v>0.4</v>
      </c>
      <c r="R623" s="15">
        <f t="shared" si="2"/>
        <v>0.36</v>
      </c>
      <c r="S623" s="15">
        <f>IF(H623&lt;&gt;"",EXP(-Formula!$C$28*(EOMONTH(H623,0)-H623)),EXP(-Formula!$C$28*(EOMONTH(D623,0)-D623)))</f>
        <v>0.7408182207</v>
      </c>
      <c r="T623" s="15">
        <f t="shared" si="3"/>
        <v>0.316227766</v>
      </c>
      <c r="U623" s="15">
        <f t="shared" si="4"/>
        <v>0.08433622474</v>
      </c>
      <c r="V623" s="16">
        <f>IF(AND(L623="Among all respondents",NOT(OR(K623="Online poll in Telegram channel",K623="Website online poll",K623="CAWI (Computer Assisted Web Interviewing)"))),1/(1-MIN(MAX(Formula!$C$33+(YEAR(D623)-Formula!$C$34)/(Formula!$C$35-Formula!$C$34)*(Formula!$C$32-Formula!$C$33),Formula!$C$33),Formula!$C$32)),1)</f>
        <v>1</v>
      </c>
      <c r="W623" s="17">
        <f t="shared" si="5"/>
        <v>1.8</v>
      </c>
    </row>
    <row r="624" ht="15.75" customHeight="1">
      <c r="A624" s="8" t="s">
        <v>1206</v>
      </c>
      <c r="B624" s="7" t="s">
        <v>1197</v>
      </c>
      <c r="C624" s="13" t="s">
        <v>1198</v>
      </c>
      <c r="D624" s="7" t="s">
        <v>123</v>
      </c>
      <c r="E624" s="8" t="s">
        <v>91</v>
      </c>
      <c r="F624" s="8" t="s">
        <v>318</v>
      </c>
      <c r="G624" s="7" t="s">
        <v>1199</v>
      </c>
      <c r="H624" s="7" t="s">
        <v>1160</v>
      </c>
      <c r="I624" s="8">
        <v>1512.0</v>
      </c>
      <c r="J624" s="8">
        <v>2.5</v>
      </c>
      <c r="K624" s="8" t="s">
        <v>321</v>
      </c>
      <c r="L624" s="8" t="s">
        <v>322</v>
      </c>
      <c r="M624" s="8" t="s">
        <v>359</v>
      </c>
      <c r="N624" s="8">
        <v>1.0</v>
      </c>
      <c r="O624" s="14">
        <f t="shared" si="1"/>
        <v>44713</v>
      </c>
      <c r="P624" s="15">
        <f>IFERROR(VLOOKUP(K624,Formula!$A$11:$B$20,2,FALSE),Formula!$C$26)</f>
        <v>0.9</v>
      </c>
      <c r="Q624" s="15">
        <f>IF(AND(ISNUMBER(J624),J624&gt;0),1/J624,IF(AND(ISNUMBER(I624),I624&gt;0),SQRT(MIN(I624,Formula!$C$27))/Formula!$C$24,1/Formula!$C$25))</f>
        <v>0.4</v>
      </c>
      <c r="R624" s="15">
        <f t="shared" si="2"/>
        <v>0.36</v>
      </c>
      <c r="S624" s="15">
        <f>IF(H624&lt;&gt;"",EXP(-Formula!$C$28*(EOMONTH(H624,0)-H624)),EXP(-Formula!$C$28*(EOMONTH(D624,0)-D624)))</f>
        <v>0.7408182207</v>
      </c>
      <c r="T624" s="15">
        <f t="shared" si="3"/>
        <v>0.316227766</v>
      </c>
      <c r="U624" s="15">
        <f t="shared" si="4"/>
        <v>0.08433622474</v>
      </c>
      <c r="V624" s="16">
        <f>IF(AND(L624="Among all respondents",NOT(OR(K624="Online poll in Telegram channel",K624="Website online poll",K624="CAWI (Computer Assisted Web Interviewing)"))),1/(1-MIN(MAX(Formula!$C$33+(YEAR(D624)-Formula!$C$34)/(Formula!$C$35-Formula!$C$34)*(Formula!$C$32-Formula!$C$33),Formula!$C$33),Formula!$C$32)),1)</f>
        <v>1</v>
      </c>
      <c r="W624" s="17">
        <f t="shared" si="5"/>
        <v>1</v>
      </c>
    </row>
    <row r="625" ht="15.75" customHeight="1">
      <c r="A625" s="8" t="s">
        <v>1207</v>
      </c>
      <c r="B625" s="7" t="s">
        <v>1197</v>
      </c>
      <c r="C625" s="13" t="s">
        <v>1198</v>
      </c>
      <c r="D625" s="7" t="s">
        <v>123</v>
      </c>
      <c r="E625" s="8" t="s">
        <v>91</v>
      </c>
      <c r="F625" s="8" t="s">
        <v>318</v>
      </c>
      <c r="G625" s="7" t="s">
        <v>1199</v>
      </c>
      <c r="H625" s="7" t="s">
        <v>1160</v>
      </c>
      <c r="I625" s="8">
        <v>1512.0</v>
      </c>
      <c r="J625" s="8">
        <v>2.5</v>
      </c>
      <c r="K625" s="8" t="s">
        <v>321</v>
      </c>
      <c r="L625" s="8" t="s">
        <v>322</v>
      </c>
      <c r="M625" s="8" t="s">
        <v>388</v>
      </c>
      <c r="N625" s="8">
        <v>0.8</v>
      </c>
      <c r="O625" s="14">
        <f t="shared" si="1"/>
        <v>44713</v>
      </c>
      <c r="P625" s="15">
        <f>IFERROR(VLOOKUP(K625,Formula!$A$11:$B$20,2,FALSE),Formula!$C$26)</f>
        <v>0.9</v>
      </c>
      <c r="Q625" s="15">
        <f>IF(AND(ISNUMBER(J625),J625&gt;0),1/J625,IF(AND(ISNUMBER(I625),I625&gt;0),SQRT(MIN(I625,Formula!$C$27))/Formula!$C$24,1/Formula!$C$25))</f>
        <v>0.4</v>
      </c>
      <c r="R625" s="15">
        <f t="shared" si="2"/>
        <v>0.36</v>
      </c>
      <c r="S625" s="15">
        <f>IF(H625&lt;&gt;"",EXP(-Formula!$C$28*(EOMONTH(H625,0)-H625)),EXP(-Formula!$C$28*(EOMONTH(D625,0)-D625)))</f>
        <v>0.7408182207</v>
      </c>
      <c r="T625" s="15">
        <f t="shared" si="3"/>
        <v>0.316227766</v>
      </c>
      <c r="U625" s="15">
        <f t="shared" si="4"/>
        <v>0.08433622474</v>
      </c>
      <c r="V625" s="16">
        <f>IF(AND(L625="Among all respondents",NOT(OR(K625="Online poll in Telegram channel",K625="Website online poll",K625="CAWI (Computer Assisted Web Interviewing)"))),1/(1-MIN(MAX(Formula!$C$33+(YEAR(D625)-Formula!$C$34)/(Formula!$C$35-Formula!$C$34)*(Formula!$C$32-Formula!$C$33),Formula!$C$33),Formula!$C$32)),1)</f>
        <v>1</v>
      </c>
      <c r="W625" s="17">
        <f t="shared" si="5"/>
        <v>0.8</v>
      </c>
    </row>
    <row r="626" ht="15.75" customHeight="1">
      <c r="A626" s="8" t="s">
        <v>1208</v>
      </c>
      <c r="B626" s="7" t="s">
        <v>1197</v>
      </c>
      <c r="C626" s="13" t="s">
        <v>1198</v>
      </c>
      <c r="D626" s="7" t="s">
        <v>123</v>
      </c>
      <c r="E626" s="8" t="s">
        <v>91</v>
      </c>
      <c r="F626" s="8" t="s">
        <v>318</v>
      </c>
      <c r="G626" s="7" t="s">
        <v>1199</v>
      </c>
      <c r="H626" s="7" t="s">
        <v>1160</v>
      </c>
      <c r="I626" s="8">
        <v>1512.0</v>
      </c>
      <c r="J626" s="8">
        <v>2.5</v>
      </c>
      <c r="K626" s="8" t="s">
        <v>321</v>
      </c>
      <c r="L626" s="8" t="s">
        <v>322</v>
      </c>
      <c r="M626" s="8" t="s">
        <v>1209</v>
      </c>
      <c r="N626" s="8">
        <v>0.8</v>
      </c>
      <c r="O626" s="14">
        <f t="shared" si="1"/>
        <v>44713</v>
      </c>
      <c r="P626" s="15">
        <f>IFERROR(VLOOKUP(K626,Formula!$A$11:$B$20,2,FALSE),Formula!$C$26)</f>
        <v>0.9</v>
      </c>
      <c r="Q626" s="15">
        <f>IF(AND(ISNUMBER(J626),J626&gt;0),1/J626,IF(AND(ISNUMBER(I626),I626&gt;0),SQRT(MIN(I626,Formula!$C$27))/Formula!$C$24,1/Formula!$C$25))</f>
        <v>0.4</v>
      </c>
      <c r="R626" s="15">
        <f t="shared" si="2"/>
        <v>0.36</v>
      </c>
      <c r="S626" s="15">
        <f>IF(H626&lt;&gt;"",EXP(-Formula!$C$28*(EOMONTH(H626,0)-H626)),EXP(-Formula!$C$28*(EOMONTH(D626,0)-D626)))</f>
        <v>0.7408182207</v>
      </c>
      <c r="T626" s="15">
        <f t="shared" si="3"/>
        <v>0.316227766</v>
      </c>
      <c r="U626" s="15">
        <f t="shared" si="4"/>
        <v>0.08433622474</v>
      </c>
      <c r="V626" s="16">
        <f>IF(AND(L626="Among all respondents",NOT(OR(K626="Online poll in Telegram channel",K626="Website online poll",K626="CAWI (Computer Assisted Web Interviewing)"))),1/(1-MIN(MAX(Formula!$C$33+(YEAR(D626)-Formula!$C$34)/(Formula!$C$35-Formula!$C$34)*(Formula!$C$32-Formula!$C$33),Formula!$C$33),Formula!$C$32)),1)</f>
        <v>1</v>
      </c>
      <c r="W626" s="17">
        <f t="shared" si="5"/>
        <v>0.8</v>
      </c>
    </row>
    <row r="627" ht="15.75" customHeight="1">
      <c r="A627" s="8" t="s">
        <v>1210</v>
      </c>
      <c r="B627" s="7" t="s">
        <v>1211</v>
      </c>
      <c r="C627" s="13" t="s">
        <v>1212</v>
      </c>
      <c r="D627" s="7" t="s">
        <v>124</v>
      </c>
      <c r="E627" s="8" t="s">
        <v>27</v>
      </c>
      <c r="F627" s="8" t="s">
        <v>318</v>
      </c>
      <c r="G627" s="7" t="s">
        <v>1213</v>
      </c>
      <c r="H627" s="7" t="s">
        <v>1214</v>
      </c>
      <c r="I627" s="8">
        <v>1024.0</v>
      </c>
      <c r="J627" s="8">
        <v>3.1</v>
      </c>
      <c r="K627" s="8" t="s">
        <v>321</v>
      </c>
      <c r="L627" s="8" t="s">
        <v>373</v>
      </c>
      <c r="M627" s="8" t="s">
        <v>323</v>
      </c>
      <c r="N627" s="8">
        <v>71.0</v>
      </c>
      <c r="O627" s="14">
        <f t="shared" si="1"/>
        <v>44713</v>
      </c>
      <c r="P627" s="15">
        <f>IFERROR(VLOOKUP(K627,Formula!$A$11:$B$20,2,FALSE),Formula!$C$26)</f>
        <v>0.9</v>
      </c>
      <c r="Q627" s="15">
        <f>IF(AND(ISNUMBER(J627),J627&gt;0),1/J627,IF(AND(ISNUMBER(I627),I627&gt;0),SQRT(MIN(I627,Formula!$C$27))/Formula!$C$24,1/Formula!$C$25))</f>
        <v>0.3225806452</v>
      </c>
      <c r="R627" s="15">
        <f t="shared" si="2"/>
        <v>0.2903225806</v>
      </c>
      <c r="S627" s="15">
        <f>IF(H627&lt;&gt;"",EXP(-Formula!$C$28*(EOMONTH(H627,0)-H627)),EXP(-Formula!$C$28*(EOMONTH(D627,0)-D627)))</f>
        <v>0.904837418</v>
      </c>
      <c r="T627" s="15">
        <f t="shared" si="3"/>
        <v>0.2357022604</v>
      </c>
      <c r="U627" s="15">
        <f t="shared" si="4"/>
        <v>0.06191774266</v>
      </c>
      <c r="V627" s="16">
        <f>IF(AND(L627="Among all respondents",NOT(OR(K627="Online poll in Telegram channel",K627="Website online poll",K627="CAWI (Computer Assisted Web Interviewing)"))),1/(1-MIN(MAX(Formula!$C$33+(YEAR(D627)-Formula!$C$34)/(Formula!$C$35-Formula!$C$34)*(Formula!$C$32-Formula!$C$33),Formula!$C$33),Formula!$C$32)),1)</f>
        <v>1.052631579</v>
      </c>
      <c r="W627" s="17">
        <f t="shared" si="5"/>
        <v>74.73684211</v>
      </c>
    </row>
    <row r="628" ht="15.75" customHeight="1">
      <c r="A628" s="8" t="s">
        <v>1215</v>
      </c>
      <c r="B628" s="7" t="s">
        <v>1211</v>
      </c>
      <c r="C628" s="13" t="s">
        <v>1212</v>
      </c>
      <c r="D628" s="7" t="s">
        <v>124</v>
      </c>
      <c r="E628" s="8" t="s">
        <v>27</v>
      </c>
      <c r="F628" s="8" t="s">
        <v>318</v>
      </c>
      <c r="G628" s="7" t="s">
        <v>1213</v>
      </c>
      <c r="H628" s="7" t="s">
        <v>1214</v>
      </c>
      <c r="I628" s="8">
        <v>1024.0</v>
      </c>
      <c r="J628" s="8">
        <v>3.1</v>
      </c>
      <c r="K628" s="8" t="s">
        <v>321</v>
      </c>
      <c r="L628" s="8" t="s">
        <v>373</v>
      </c>
      <c r="M628" s="8" t="s">
        <v>329</v>
      </c>
      <c r="N628" s="8">
        <v>3.0</v>
      </c>
      <c r="O628" s="14">
        <f t="shared" si="1"/>
        <v>44713</v>
      </c>
      <c r="P628" s="15">
        <f>IFERROR(VLOOKUP(K628,Formula!$A$11:$B$20,2,FALSE),Formula!$C$26)</f>
        <v>0.9</v>
      </c>
      <c r="Q628" s="15">
        <f>IF(AND(ISNUMBER(J628),J628&gt;0),1/J628,IF(AND(ISNUMBER(I628),I628&gt;0),SQRT(MIN(I628,Formula!$C$27))/Formula!$C$24,1/Formula!$C$25))</f>
        <v>0.3225806452</v>
      </c>
      <c r="R628" s="15">
        <f t="shared" si="2"/>
        <v>0.2903225806</v>
      </c>
      <c r="S628" s="15">
        <f>IF(H628&lt;&gt;"",EXP(-Formula!$C$28*(EOMONTH(H628,0)-H628)),EXP(-Formula!$C$28*(EOMONTH(D628,0)-D628)))</f>
        <v>0.904837418</v>
      </c>
      <c r="T628" s="15">
        <f t="shared" si="3"/>
        <v>0.2357022604</v>
      </c>
      <c r="U628" s="15">
        <f t="shared" si="4"/>
        <v>0.06191774266</v>
      </c>
      <c r="V628" s="16">
        <f>IF(AND(L628="Among all respondents",NOT(OR(K628="Online poll in Telegram channel",K628="Website online poll",K628="CAWI (Computer Assisted Web Interviewing)"))),1/(1-MIN(MAX(Formula!$C$33+(YEAR(D628)-Formula!$C$34)/(Formula!$C$35-Formula!$C$34)*(Formula!$C$32-Formula!$C$33),Formula!$C$33),Formula!$C$32)),1)</f>
        <v>1.052631579</v>
      </c>
      <c r="W628" s="17">
        <f t="shared" si="5"/>
        <v>3.157894737</v>
      </c>
    </row>
    <row r="629" ht="15.75" customHeight="1">
      <c r="A629" s="8" t="s">
        <v>1216</v>
      </c>
      <c r="B629" s="7" t="s">
        <v>1211</v>
      </c>
      <c r="C629" s="13" t="s">
        <v>1212</v>
      </c>
      <c r="D629" s="7" t="s">
        <v>124</v>
      </c>
      <c r="E629" s="8" t="s">
        <v>27</v>
      </c>
      <c r="F629" s="8" t="s">
        <v>318</v>
      </c>
      <c r="G629" s="7" t="s">
        <v>1213</v>
      </c>
      <c r="H629" s="7" t="s">
        <v>1214</v>
      </c>
      <c r="I629" s="8">
        <v>1024.0</v>
      </c>
      <c r="J629" s="8">
        <v>3.1</v>
      </c>
      <c r="K629" s="8" t="s">
        <v>321</v>
      </c>
      <c r="L629" s="8" t="s">
        <v>373</v>
      </c>
      <c r="M629" s="8" t="s">
        <v>339</v>
      </c>
      <c r="N629" s="8">
        <v>3.0</v>
      </c>
      <c r="O629" s="14">
        <f t="shared" si="1"/>
        <v>44713</v>
      </c>
      <c r="P629" s="15">
        <f>IFERROR(VLOOKUP(K629,Formula!$A$11:$B$20,2,FALSE),Formula!$C$26)</f>
        <v>0.9</v>
      </c>
      <c r="Q629" s="15">
        <f>IF(AND(ISNUMBER(J629),J629&gt;0),1/J629,IF(AND(ISNUMBER(I629),I629&gt;0),SQRT(MIN(I629,Formula!$C$27))/Formula!$C$24,1/Formula!$C$25))</f>
        <v>0.3225806452</v>
      </c>
      <c r="R629" s="15">
        <f t="shared" si="2"/>
        <v>0.2903225806</v>
      </c>
      <c r="S629" s="15">
        <f>IF(H629&lt;&gt;"",EXP(-Formula!$C$28*(EOMONTH(H629,0)-H629)),EXP(-Formula!$C$28*(EOMONTH(D629,0)-D629)))</f>
        <v>0.904837418</v>
      </c>
      <c r="T629" s="15">
        <f t="shared" si="3"/>
        <v>0.2357022604</v>
      </c>
      <c r="U629" s="15">
        <f t="shared" si="4"/>
        <v>0.06191774266</v>
      </c>
      <c r="V629" s="16">
        <f>IF(AND(L629="Among all respondents",NOT(OR(K629="Online poll in Telegram channel",K629="Website online poll",K629="CAWI (Computer Assisted Web Interviewing)"))),1/(1-MIN(MAX(Formula!$C$33+(YEAR(D629)-Formula!$C$34)/(Formula!$C$35-Formula!$C$34)*(Formula!$C$32-Formula!$C$33),Formula!$C$33),Formula!$C$32)),1)</f>
        <v>1.052631579</v>
      </c>
      <c r="W629" s="17">
        <f t="shared" si="5"/>
        <v>3.157894737</v>
      </c>
    </row>
    <row r="630" ht="15.75" customHeight="1">
      <c r="A630" s="8" t="s">
        <v>1217</v>
      </c>
      <c r="B630" s="7" t="s">
        <v>1211</v>
      </c>
      <c r="C630" s="13" t="s">
        <v>1212</v>
      </c>
      <c r="D630" s="7" t="s">
        <v>124</v>
      </c>
      <c r="E630" s="8" t="s">
        <v>27</v>
      </c>
      <c r="F630" s="8" t="s">
        <v>318</v>
      </c>
      <c r="G630" s="7" t="s">
        <v>1213</v>
      </c>
      <c r="H630" s="7" t="s">
        <v>1214</v>
      </c>
      <c r="I630" s="8">
        <v>1024.0</v>
      </c>
      <c r="J630" s="8">
        <v>3.1</v>
      </c>
      <c r="K630" s="8" t="s">
        <v>321</v>
      </c>
      <c r="L630" s="8" t="s">
        <v>373</v>
      </c>
      <c r="M630" s="8" t="s">
        <v>1153</v>
      </c>
      <c r="N630" s="8">
        <v>2.0</v>
      </c>
      <c r="O630" s="14">
        <f t="shared" si="1"/>
        <v>44713</v>
      </c>
      <c r="P630" s="15">
        <f>IFERROR(VLOOKUP(K630,Formula!$A$11:$B$20,2,FALSE),Formula!$C$26)</f>
        <v>0.9</v>
      </c>
      <c r="Q630" s="15">
        <f>IF(AND(ISNUMBER(J630),J630&gt;0),1/J630,IF(AND(ISNUMBER(I630),I630&gt;0),SQRT(MIN(I630,Formula!$C$27))/Formula!$C$24,1/Formula!$C$25))</f>
        <v>0.3225806452</v>
      </c>
      <c r="R630" s="15">
        <f t="shared" si="2"/>
        <v>0.2903225806</v>
      </c>
      <c r="S630" s="15">
        <f>IF(H630&lt;&gt;"",EXP(-Formula!$C$28*(EOMONTH(H630,0)-H630)),EXP(-Formula!$C$28*(EOMONTH(D630,0)-D630)))</f>
        <v>0.904837418</v>
      </c>
      <c r="T630" s="15">
        <f t="shared" si="3"/>
        <v>0.2357022604</v>
      </c>
      <c r="U630" s="15">
        <f t="shared" si="4"/>
        <v>0.06191774266</v>
      </c>
      <c r="V630" s="16">
        <f>IF(AND(L630="Among all respondents",NOT(OR(K630="Online poll in Telegram channel",K630="Website online poll",K630="CAWI (Computer Assisted Web Interviewing)"))),1/(1-MIN(MAX(Formula!$C$33+(YEAR(D630)-Formula!$C$34)/(Formula!$C$35-Formula!$C$34)*(Formula!$C$32-Formula!$C$33),Formula!$C$33),Formula!$C$32)),1)</f>
        <v>1.052631579</v>
      </c>
      <c r="W630" s="17">
        <f t="shared" si="5"/>
        <v>2.105263158</v>
      </c>
    </row>
    <row r="631" ht="15.75" customHeight="1">
      <c r="A631" s="8" t="s">
        <v>1218</v>
      </c>
      <c r="B631" s="7" t="s">
        <v>1211</v>
      </c>
      <c r="C631" s="13" t="s">
        <v>1212</v>
      </c>
      <c r="D631" s="7" t="s">
        <v>124</v>
      </c>
      <c r="E631" s="8" t="s">
        <v>27</v>
      </c>
      <c r="F631" s="8" t="s">
        <v>318</v>
      </c>
      <c r="G631" s="7" t="s">
        <v>1213</v>
      </c>
      <c r="H631" s="7" t="s">
        <v>1214</v>
      </c>
      <c r="I631" s="8">
        <v>1024.0</v>
      </c>
      <c r="J631" s="8">
        <v>3.1</v>
      </c>
      <c r="K631" s="8" t="s">
        <v>321</v>
      </c>
      <c r="L631" s="8" t="s">
        <v>373</v>
      </c>
      <c r="M631" s="8" t="s">
        <v>333</v>
      </c>
      <c r="N631" s="8">
        <v>2.0</v>
      </c>
      <c r="O631" s="14">
        <f t="shared" si="1"/>
        <v>44713</v>
      </c>
      <c r="P631" s="15">
        <f>IFERROR(VLOOKUP(K631,Formula!$A$11:$B$20,2,FALSE),Formula!$C$26)</f>
        <v>0.9</v>
      </c>
      <c r="Q631" s="15">
        <f>IF(AND(ISNUMBER(J631),J631&gt;0),1/J631,IF(AND(ISNUMBER(I631),I631&gt;0),SQRT(MIN(I631,Formula!$C$27))/Formula!$C$24,1/Formula!$C$25))</f>
        <v>0.3225806452</v>
      </c>
      <c r="R631" s="15">
        <f t="shared" si="2"/>
        <v>0.2903225806</v>
      </c>
      <c r="S631" s="15">
        <f>IF(H631&lt;&gt;"",EXP(-Formula!$C$28*(EOMONTH(H631,0)-H631)),EXP(-Formula!$C$28*(EOMONTH(D631,0)-D631)))</f>
        <v>0.904837418</v>
      </c>
      <c r="T631" s="15">
        <f t="shared" si="3"/>
        <v>0.2357022604</v>
      </c>
      <c r="U631" s="15">
        <f t="shared" si="4"/>
        <v>0.06191774266</v>
      </c>
      <c r="V631" s="16">
        <f>IF(AND(L631="Among all respondents",NOT(OR(K631="Online poll in Telegram channel",K631="Website online poll",K631="CAWI (Computer Assisted Web Interviewing)"))),1/(1-MIN(MAX(Formula!$C$33+(YEAR(D631)-Formula!$C$34)/(Formula!$C$35-Formula!$C$34)*(Formula!$C$32-Formula!$C$33),Formula!$C$33),Formula!$C$32)),1)</f>
        <v>1.052631579</v>
      </c>
      <c r="W631" s="17">
        <f t="shared" si="5"/>
        <v>2.105263158</v>
      </c>
    </row>
    <row r="632" ht="15.75" customHeight="1">
      <c r="A632" s="8" t="s">
        <v>1219</v>
      </c>
      <c r="B632" s="7" t="s">
        <v>1211</v>
      </c>
      <c r="C632" s="13" t="s">
        <v>1212</v>
      </c>
      <c r="D632" s="7" t="s">
        <v>124</v>
      </c>
      <c r="E632" s="8" t="s">
        <v>27</v>
      </c>
      <c r="F632" s="8" t="s">
        <v>318</v>
      </c>
      <c r="G632" s="7" t="s">
        <v>1213</v>
      </c>
      <c r="H632" s="7" t="s">
        <v>1214</v>
      </c>
      <c r="I632" s="8">
        <v>1024.0</v>
      </c>
      <c r="J632" s="8">
        <v>3.1</v>
      </c>
      <c r="K632" s="8" t="s">
        <v>321</v>
      </c>
      <c r="L632" s="8" t="s">
        <v>373</v>
      </c>
      <c r="M632" s="8" t="s">
        <v>386</v>
      </c>
      <c r="N632" s="8">
        <v>1.0</v>
      </c>
      <c r="O632" s="14">
        <f t="shared" si="1"/>
        <v>44713</v>
      </c>
      <c r="P632" s="15">
        <f>IFERROR(VLOOKUP(K632,Formula!$A$11:$B$20,2,FALSE),Formula!$C$26)</f>
        <v>0.9</v>
      </c>
      <c r="Q632" s="15">
        <f>IF(AND(ISNUMBER(J632),J632&gt;0),1/J632,IF(AND(ISNUMBER(I632),I632&gt;0),SQRT(MIN(I632,Formula!$C$27))/Formula!$C$24,1/Formula!$C$25))</f>
        <v>0.3225806452</v>
      </c>
      <c r="R632" s="15">
        <f t="shared" si="2"/>
        <v>0.2903225806</v>
      </c>
      <c r="S632" s="15">
        <f>IF(H632&lt;&gt;"",EXP(-Formula!$C$28*(EOMONTH(H632,0)-H632)),EXP(-Formula!$C$28*(EOMONTH(D632,0)-D632)))</f>
        <v>0.904837418</v>
      </c>
      <c r="T632" s="15">
        <f t="shared" si="3"/>
        <v>0.2357022604</v>
      </c>
      <c r="U632" s="15">
        <f t="shared" si="4"/>
        <v>0.06191774266</v>
      </c>
      <c r="V632" s="16">
        <f>IF(AND(L632="Among all respondents",NOT(OR(K632="Online poll in Telegram channel",K632="Website online poll",K632="CAWI (Computer Assisted Web Interviewing)"))),1/(1-MIN(MAX(Formula!$C$33+(YEAR(D632)-Formula!$C$34)/(Formula!$C$35-Formula!$C$34)*(Formula!$C$32-Formula!$C$33),Formula!$C$33),Formula!$C$32)),1)</f>
        <v>1.052631579</v>
      </c>
      <c r="W632" s="17">
        <f t="shared" si="5"/>
        <v>1.052631579</v>
      </c>
    </row>
    <row r="633" ht="15.75" customHeight="1">
      <c r="A633" s="8" t="s">
        <v>1220</v>
      </c>
      <c r="B633" s="7" t="s">
        <v>1211</v>
      </c>
      <c r="C633" s="13" t="s">
        <v>1212</v>
      </c>
      <c r="D633" s="7" t="s">
        <v>124</v>
      </c>
      <c r="E633" s="8" t="s">
        <v>27</v>
      </c>
      <c r="F633" s="8" t="s">
        <v>318</v>
      </c>
      <c r="G633" s="7" t="s">
        <v>1213</v>
      </c>
      <c r="H633" s="7" t="s">
        <v>1214</v>
      </c>
      <c r="I633" s="8">
        <v>1024.0</v>
      </c>
      <c r="J633" s="8">
        <v>3.1</v>
      </c>
      <c r="K633" s="8" t="s">
        <v>321</v>
      </c>
      <c r="L633" s="8" t="s">
        <v>373</v>
      </c>
      <c r="M633" s="8" t="s">
        <v>828</v>
      </c>
      <c r="N633" s="8">
        <v>1.0</v>
      </c>
      <c r="O633" s="14">
        <f t="shared" si="1"/>
        <v>44713</v>
      </c>
      <c r="P633" s="15">
        <f>IFERROR(VLOOKUP(K633,Formula!$A$11:$B$20,2,FALSE),Formula!$C$26)</f>
        <v>0.9</v>
      </c>
      <c r="Q633" s="15">
        <f>IF(AND(ISNUMBER(J633),J633&gt;0),1/J633,IF(AND(ISNUMBER(I633),I633&gt;0),SQRT(MIN(I633,Formula!$C$27))/Formula!$C$24,1/Formula!$C$25))</f>
        <v>0.3225806452</v>
      </c>
      <c r="R633" s="15">
        <f t="shared" si="2"/>
        <v>0.2903225806</v>
      </c>
      <c r="S633" s="15">
        <f>IF(H633&lt;&gt;"",EXP(-Formula!$C$28*(EOMONTH(H633,0)-H633)),EXP(-Formula!$C$28*(EOMONTH(D633,0)-D633)))</f>
        <v>0.904837418</v>
      </c>
      <c r="T633" s="15">
        <f t="shared" si="3"/>
        <v>0.2357022604</v>
      </c>
      <c r="U633" s="15">
        <f t="shared" si="4"/>
        <v>0.06191774266</v>
      </c>
      <c r="V633" s="16">
        <f>IF(AND(L633="Among all respondents",NOT(OR(K633="Online poll in Telegram channel",K633="Website online poll",K633="CAWI (Computer Assisted Web Interviewing)"))),1/(1-MIN(MAX(Formula!$C$33+(YEAR(D633)-Formula!$C$34)/(Formula!$C$35-Formula!$C$34)*(Formula!$C$32-Formula!$C$33),Formula!$C$33),Formula!$C$32)),1)</f>
        <v>1.052631579</v>
      </c>
      <c r="W633" s="17">
        <f t="shared" si="5"/>
        <v>1.052631579</v>
      </c>
    </row>
    <row r="634" ht="15.75" customHeight="1">
      <c r="A634" s="8" t="s">
        <v>1221</v>
      </c>
      <c r="B634" s="7" t="s">
        <v>1211</v>
      </c>
      <c r="C634" s="13" t="s">
        <v>1212</v>
      </c>
      <c r="D634" s="7" t="s">
        <v>124</v>
      </c>
      <c r="E634" s="8" t="s">
        <v>27</v>
      </c>
      <c r="F634" s="8" t="s">
        <v>318</v>
      </c>
      <c r="G634" s="7" t="s">
        <v>1213</v>
      </c>
      <c r="H634" s="7" t="s">
        <v>1214</v>
      </c>
      <c r="I634" s="8">
        <v>1024.0</v>
      </c>
      <c r="J634" s="8">
        <v>3.1</v>
      </c>
      <c r="K634" s="8" t="s">
        <v>321</v>
      </c>
      <c r="L634" s="8" t="s">
        <v>373</v>
      </c>
      <c r="M634" s="8" t="s">
        <v>337</v>
      </c>
      <c r="N634" s="8">
        <v>1.0</v>
      </c>
      <c r="O634" s="14">
        <f t="shared" si="1"/>
        <v>44713</v>
      </c>
      <c r="P634" s="15">
        <f>IFERROR(VLOOKUP(K634,Formula!$A$11:$B$20,2,FALSE),Formula!$C$26)</f>
        <v>0.9</v>
      </c>
      <c r="Q634" s="15">
        <f>IF(AND(ISNUMBER(J634),J634&gt;0),1/J634,IF(AND(ISNUMBER(I634),I634&gt;0),SQRT(MIN(I634,Formula!$C$27))/Formula!$C$24,1/Formula!$C$25))</f>
        <v>0.3225806452</v>
      </c>
      <c r="R634" s="15">
        <f t="shared" si="2"/>
        <v>0.2903225806</v>
      </c>
      <c r="S634" s="15">
        <f>IF(H634&lt;&gt;"",EXP(-Formula!$C$28*(EOMONTH(H634,0)-H634)),EXP(-Formula!$C$28*(EOMONTH(D634,0)-D634)))</f>
        <v>0.904837418</v>
      </c>
      <c r="T634" s="15">
        <f t="shared" si="3"/>
        <v>0.2357022604</v>
      </c>
      <c r="U634" s="15">
        <f t="shared" si="4"/>
        <v>0.06191774266</v>
      </c>
      <c r="V634" s="16">
        <f>IF(AND(L634="Among all respondents",NOT(OR(K634="Online poll in Telegram channel",K634="Website online poll",K634="CAWI (Computer Assisted Web Interviewing)"))),1/(1-MIN(MAX(Formula!$C$33+(YEAR(D634)-Formula!$C$34)/(Formula!$C$35-Formula!$C$34)*(Formula!$C$32-Formula!$C$33),Formula!$C$33),Formula!$C$32)),1)</f>
        <v>1.052631579</v>
      </c>
      <c r="W634" s="17">
        <f t="shared" si="5"/>
        <v>1.052631579</v>
      </c>
    </row>
    <row r="635" ht="15.75" customHeight="1">
      <c r="A635" s="8" t="s">
        <v>1222</v>
      </c>
      <c r="B635" s="7" t="s">
        <v>1211</v>
      </c>
      <c r="C635" s="13" t="s">
        <v>1212</v>
      </c>
      <c r="D635" s="7" t="s">
        <v>124</v>
      </c>
      <c r="E635" s="8" t="s">
        <v>27</v>
      </c>
      <c r="F635" s="8" t="s">
        <v>318</v>
      </c>
      <c r="G635" s="7" t="s">
        <v>1213</v>
      </c>
      <c r="H635" s="7" t="s">
        <v>1214</v>
      </c>
      <c r="I635" s="8">
        <v>1024.0</v>
      </c>
      <c r="J635" s="8">
        <v>3.1</v>
      </c>
      <c r="K635" s="8" t="s">
        <v>321</v>
      </c>
      <c r="L635" s="8" t="s">
        <v>373</v>
      </c>
      <c r="M635" s="8" t="s">
        <v>365</v>
      </c>
      <c r="N635" s="8">
        <v>1.0</v>
      </c>
      <c r="O635" s="14">
        <f t="shared" si="1"/>
        <v>44713</v>
      </c>
      <c r="P635" s="15">
        <f>IFERROR(VLOOKUP(K635,Formula!$A$11:$B$20,2,FALSE),Formula!$C$26)</f>
        <v>0.9</v>
      </c>
      <c r="Q635" s="15">
        <f>IF(AND(ISNUMBER(J635),J635&gt;0),1/J635,IF(AND(ISNUMBER(I635),I635&gt;0),SQRT(MIN(I635,Formula!$C$27))/Formula!$C$24,1/Formula!$C$25))</f>
        <v>0.3225806452</v>
      </c>
      <c r="R635" s="15">
        <f t="shared" si="2"/>
        <v>0.2903225806</v>
      </c>
      <c r="S635" s="15">
        <f>IF(H635&lt;&gt;"",EXP(-Formula!$C$28*(EOMONTH(H635,0)-H635)),EXP(-Formula!$C$28*(EOMONTH(D635,0)-D635)))</f>
        <v>0.904837418</v>
      </c>
      <c r="T635" s="15">
        <f t="shared" si="3"/>
        <v>0.2357022604</v>
      </c>
      <c r="U635" s="15">
        <f t="shared" si="4"/>
        <v>0.06191774266</v>
      </c>
      <c r="V635" s="16">
        <f>IF(AND(L635="Among all respondents",NOT(OR(K635="Online poll in Telegram channel",K635="Website online poll",K635="CAWI (Computer Assisted Web Interviewing)"))),1/(1-MIN(MAX(Formula!$C$33+(YEAR(D635)-Formula!$C$34)/(Formula!$C$35-Formula!$C$34)*(Formula!$C$32-Formula!$C$33),Formula!$C$33),Formula!$C$32)),1)</f>
        <v>1.052631579</v>
      </c>
      <c r="W635" s="17">
        <f t="shared" si="5"/>
        <v>1.052631579</v>
      </c>
    </row>
    <row r="636" ht="15.75" customHeight="1">
      <c r="A636" s="8" t="s">
        <v>1223</v>
      </c>
      <c r="B636" s="7" t="s">
        <v>1224</v>
      </c>
      <c r="C636" s="13" t="s">
        <v>1225</v>
      </c>
      <c r="D636" s="7" t="s">
        <v>128</v>
      </c>
      <c r="E636" s="8" t="s">
        <v>91</v>
      </c>
      <c r="F636" s="8" t="s">
        <v>318</v>
      </c>
      <c r="G636" s="7" t="s">
        <v>1226</v>
      </c>
      <c r="H636" s="7" t="s">
        <v>1213</v>
      </c>
      <c r="I636" s="8">
        <v>1500.0</v>
      </c>
      <c r="J636" s="8">
        <v>2.5</v>
      </c>
      <c r="K636" s="8" t="s">
        <v>321</v>
      </c>
      <c r="L636" s="8" t="s">
        <v>322</v>
      </c>
      <c r="M636" s="8" t="s">
        <v>323</v>
      </c>
      <c r="N636" s="8">
        <v>66.2</v>
      </c>
      <c r="O636" s="14">
        <f t="shared" si="1"/>
        <v>44682</v>
      </c>
      <c r="P636" s="15">
        <f>IFERROR(VLOOKUP(K636,Formula!$A$11:$B$20,2,FALSE),Formula!$C$26)</f>
        <v>0.9</v>
      </c>
      <c r="Q636" s="15">
        <f>IF(AND(ISNUMBER(J636),J636&gt;0),1/J636,IF(AND(ISNUMBER(I636),I636&gt;0),SQRT(MIN(I636,Formula!$C$27))/Formula!$C$24,1/Formula!$C$25))</f>
        <v>0.4</v>
      </c>
      <c r="R636" s="15">
        <f t="shared" si="2"/>
        <v>0.36</v>
      </c>
      <c r="S636" s="15">
        <f>IF(H636&lt;&gt;"",EXP(-Formula!$C$28*(EOMONTH(H636,0)-H636)),EXP(-Formula!$C$28*(EOMONTH(D636,0)-D636)))</f>
        <v>0.8607079764</v>
      </c>
      <c r="T636" s="15">
        <f t="shared" si="3"/>
        <v>0.316227766</v>
      </c>
      <c r="U636" s="15">
        <f t="shared" si="4"/>
        <v>0.09798471381</v>
      </c>
      <c r="V636" s="16">
        <f>IF(AND(L636="Among all respondents",NOT(OR(K636="Online poll in Telegram channel",K636="Website online poll",K636="CAWI (Computer Assisted Web Interviewing)"))),1/(1-MIN(MAX(Formula!$C$33+(YEAR(D636)-Formula!$C$34)/(Formula!$C$35-Formula!$C$34)*(Formula!$C$32-Formula!$C$33),Formula!$C$33),Formula!$C$32)),1)</f>
        <v>1</v>
      </c>
      <c r="W636" s="17">
        <f t="shared" si="5"/>
        <v>66.2</v>
      </c>
    </row>
    <row r="637" ht="15.75" customHeight="1">
      <c r="A637" s="8" t="s">
        <v>1227</v>
      </c>
      <c r="B637" s="7" t="s">
        <v>1224</v>
      </c>
      <c r="C637" s="13" t="s">
        <v>1225</v>
      </c>
      <c r="D637" s="7" t="s">
        <v>128</v>
      </c>
      <c r="E637" s="8" t="s">
        <v>91</v>
      </c>
      <c r="F637" s="8" t="s">
        <v>318</v>
      </c>
      <c r="G637" s="7" t="s">
        <v>1226</v>
      </c>
      <c r="H637" s="7" t="s">
        <v>1213</v>
      </c>
      <c r="I637" s="8">
        <v>1500.0</v>
      </c>
      <c r="J637" s="8">
        <v>2.5</v>
      </c>
      <c r="K637" s="8" t="s">
        <v>321</v>
      </c>
      <c r="L637" s="8" t="s">
        <v>322</v>
      </c>
      <c r="M637" s="8" t="s">
        <v>329</v>
      </c>
      <c r="N637" s="8">
        <v>10.8</v>
      </c>
      <c r="O637" s="14">
        <f t="shared" si="1"/>
        <v>44682</v>
      </c>
      <c r="P637" s="15">
        <f>IFERROR(VLOOKUP(K637,Formula!$A$11:$B$20,2,FALSE),Formula!$C$26)</f>
        <v>0.9</v>
      </c>
      <c r="Q637" s="15">
        <f>IF(AND(ISNUMBER(J637),J637&gt;0),1/J637,IF(AND(ISNUMBER(I637),I637&gt;0),SQRT(MIN(I637,Formula!$C$27))/Formula!$C$24,1/Formula!$C$25))</f>
        <v>0.4</v>
      </c>
      <c r="R637" s="15">
        <f t="shared" si="2"/>
        <v>0.36</v>
      </c>
      <c r="S637" s="15">
        <f>IF(H637&lt;&gt;"",EXP(-Formula!$C$28*(EOMONTH(H637,0)-H637)),EXP(-Formula!$C$28*(EOMONTH(D637,0)-D637)))</f>
        <v>0.8607079764</v>
      </c>
      <c r="T637" s="15">
        <f t="shared" si="3"/>
        <v>0.316227766</v>
      </c>
      <c r="U637" s="15">
        <f t="shared" si="4"/>
        <v>0.09798471381</v>
      </c>
      <c r="V637" s="16">
        <f>IF(AND(L637="Among all respondents",NOT(OR(K637="Online poll in Telegram channel",K637="Website online poll",K637="CAWI (Computer Assisted Web Interviewing)"))),1/(1-MIN(MAX(Formula!$C$33+(YEAR(D637)-Formula!$C$34)/(Formula!$C$35-Formula!$C$34)*(Formula!$C$32-Formula!$C$33),Formula!$C$33),Formula!$C$32)),1)</f>
        <v>1</v>
      </c>
      <c r="W637" s="17">
        <f t="shared" si="5"/>
        <v>10.8</v>
      </c>
    </row>
    <row r="638" ht="15.75" customHeight="1">
      <c r="A638" s="8" t="s">
        <v>1228</v>
      </c>
      <c r="B638" s="7" t="s">
        <v>1224</v>
      </c>
      <c r="C638" s="13" t="s">
        <v>1225</v>
      </c>
      <c r="D638" s="7" t="s">
        <v>128</v>
      </c>
      <c r="E638" s="8" t="s">
        <v>91</v>
      </c>
      <c r="F638" s="8" t="s">
        <v>318</v>
      </c>
      <c r="G638" s="7" t="s">
        <v>1226</v>
      </c>
      <c r="H638" s="7" t="s">
        <v>1213</v>
      </c>
      <c r="I638" s="8">
        <v>1500.0</v>
      </c>
      <c r="J638" s="8">
        <v>2.5</v>
      </c>
      <c r="K638" s="8" t="s">
        <v>321</v>
      </c>
      <c r="L638" s="8" t="s">
        <v>322</v>
      </c>
      <c r="M638" s="8" t="s">
        <v>333</v>
      </c>
      <c r="N638" s="8">
        <v>4.9</v>
      </c>
      <c r="O638" s="14">
        <f t="shared" si="1"/>
        <v>44682</v>
      </c>
      <c r="P638" s="15">
        <f>IFERROR(VLOOKUP(K638,Formula!$A$11:$B$20,2,FALSE),Formula!$C$26)</f>
        <v>0.9</v>
      </c>
      <c r="Q638" s="15">
        <f>IF(AND(ISNUMBER(J638),J638&gt;0),1/J638,IF(AND(ISNUMBER(I638),I638&gt;0),SQRT(MIN(I638,Formula!$C$27))/Formula!$C$24,1/Formula!$C$25))</f>
        <v>0.4</v>
      </c>
      <c r="R638" s="15">
        <f t="shared" si="2"/>
        <v>0.36</v>
      </c>
      <c r="S638" s="15">
        <f>IF(H638&lt;&gt;"",EXP(-Formula!$C$28*(EOMONTH(H638,0)-H638)),EXP(-Formula!$C$28*(EOMONTH(D638,0)-D638)))</f>
        <v>0.8607079764</v>
      </c>
      <c r="T638" s="15">
        <f t="shared" si="3"/>
        <v>0.316227766</v>
      </c>
      <c r="U638" s="15">
        <f t="shared" si="4"/>
        <v>0.09798471381</v>
      </c>
      <c r="V638" s="16">
        <f>IF(AND(L638="Among all respondents",NOT(OR(K638="Online poll in Telegram channel",K638="Website online poll",K638="CAWI (Computer Assisted Web Interviewing)"))),1/(1-MIN(MAX(Formula!$C$33+(YEAR(D638)-Formula!$C$34)/(Formula!$C$35-Formula!$C$34)*(Formula!$C$32-Formula!$C$33),Formula!$C$33),Formula!$C$32)),1)</f>
        <v>1</v>
      </c>
      <c r="W638" s="17">
        <f t="shared" si="5"/>
        <v>4.9</v>
      </c>
    </row>
    <row r="639" ht="15.75" customHeight="1">
      <c r="A639" s="8" t="s">
        <v>1229</v>
      </c>
      <c r="B639" s="7" t="s">
        <v>1224</v>
      </c>
      <c r="C639" s="13" t="s">
        <v>1225</v>
      </c>
      <c r="D639" s="7" t="s">
        <v>128</v>
      </c>
      <c r="E639" s="8" t="s">
        <v>91</v>
      </c>
      <c r="F639" s="8" t="s">
        <v>318</v>
      </c>
      <c r="G639" s="7" t="s">
        <v>1226</v>
      </c>
      <c r="H639" s="7" t="s">
        <v>1213</v>
      </c>
      <c r="I639" s="8">
        <v>1500.0</v>
      </c>
      <c r="J639" s="8">
        <v>2.5</v>
      </c>
      <c r="K639" s="8" t="s">
        <v>321</v>
      </c>
      <c r="L639" s="8" t="s">
        <v>322</v>
      </c>
      <c r="M639" s="8" t="s">
        <v>337</v>
      </c>
      <c r="N639" s="8">
        <v>4.2</v>
      </c>
      <c r="O639" s="14">
        <f t="shared" si="1"/>
        <v>44682</v>
      </c>
      <c r="P639" s="15">
        <f>IFERROR(VLOOKUP(K639,Formula!$A$11:$B$20,2,FALSE),Formula!$C$26)</f>
        <v>0.9</v>
      </c>
      <c r="Q639" s="15">
        <f>IF(AND(ISNUMBER(J639),J639&gt;0),1/J639,IF(AND(ISNUMBER(I639),I639&gt;0),SQRT(MIN(I639,Formula!$C$27))/Formula!$C$24,1/Formula!$C$25))</f>
        <v>0.4</v>
      </c>
      <c r="R639" s="15">
        <f t="shared" si="2"/>
        <v>0.36</v>
      </c>
      <c r="S639" s="15">
        <f>IF(H639&lt;&gt;"",EXP(-Formula!$C$28*(EOMONTH(H639,0)-H639)),EXP(-Formula!$C$28*(EOMONTH(D639,0)-D639)))</f>
        <v>0.8607079764</v>
      </c>
      <c r="T639" s="15">
        <f t="shared" si="3"/>
        <v>0.316227766</v>
      </c>
      <c r="U639" s="15">
        <f t="shared" si="4"/>
        <v>0.09798471381</v>
      </c>
      <c r="V639" s="16">
        <f>IF(AND(L639="Among all respondents",NOT(OR(K639="Online poll in Telegram channel",K639="Website online poll",K639="CAWI (Computer Assisted Web Interviewing)"))),1/(1-MIN(MAX(Formula!$C$33+(YEAR(D639)-Formula!$C$34)/(Formula!$C$35-Formula!$C$34)*(Formula!$C$32-Formula!$C$33),Formula!$C$33),Formula!$C$32)),1)</f>
        <v>1</v>
      </c>
      <c r="W639" s="17">
        <f t="shared" si="5"/>
        <v>4.2</v>
      </c>
    </row>
    <row r="640" ht="15.75" customHeight="1">
      <c r="A640" s="8" t="s">
        <v>1230</v>
      </c>
      <c r="B640" s="7" t="s">
        <v>1224</v>
      </c>
      <c r="C640" s="13" t="s">
        <v>1225</v>
      </c>
      <c r="D640" s="7" t="s">
        <v>128</v>
      </c>
      <c r="E640" s="8" t="s">
        <v>91</v>
      </c>
      <c r="F640" s="8" t="s">
        <v>318</v>
      </c>
      <c r="G640" s="7" t="s">
        <v>1226</v>
      </c>
      <c r="H640" s="7" t="s">
        <v>1213</v>
      </c>
      <c r="I640" s="8">
        <v>1500.0</v>
      </c>
      <c r="J640" s="8">
        <v>2.5</v>
      </c>
      <c r="K640" s="8" t="s">
        <v>321</v>
      </c>
      <c r="L640" s="8" t="s">
        <v>322</v>
      </c>
      <c r="M640" s="8" t="s">
        <v>339</v>
      </c>
      <c r="N640" s="8">
        <v>2.9</v>
      </c>
      <c r="O640" s="14">
        <f t="shared" si="1"/>
        <v>44682</v>
      </c>
      <c r="P640" s="15">
        <f>IFERROR(VLOOKUP(K640,Formula!$A$11:$B$20,2,FALSE),Formula!$C$26)</f>
        <v>0.9</v>
      </c>
      <c r="Q640" s="15">
        <f>IF(AND(ISNUMBER(J640),J640&gt;0),1/J640,IF(AND(ISNUMBER(I640),I640&gt;0),SQRT(MIN(I640,Formula!$C$27))/Formula!$C$24,1/Formula!$C$25))</f>
        <v>0.4</v>
      </c>
      <c r="R640" s="15">
        <f t="shared" si="2"/>
        <v>0.36</v>
      </c>
      <c r="S640" s="15">
        <f>IF(H640&lt;&gt;"",EXP(-Formula!$C$28*(EOMONTH(H640,0)-H640)),EXP(-Formula!$C$28*(EOMONTH(D640,0)-D640)))</f>
        <v>0.8607079764</v>
      </c>
      <c r="T640" s="15">
        <f t="shared" si="3"/>
        <v>0.316227766</v>
      </c>
      <c r="U640" s="15">
        <f t="shared" si="4"/>
        <v>0.09798471381</v>
      </c>
      <c r="V640" s="16">
        <f>IF(AND(L640="Among all respondents",NOT(OR(K640="Online poll in Telegram channel",K640="Website online poll",K640="CAWI (Computer Assisted Web Interviewing)"))),1/(1-MIN(MAX(Formula!$C$33+(YEAR(D640)-Formula!$C$34)/(Formula!$C$35-Formula!$C$34)*(Formula!$C$32-Formula!$C$33),Formula!$C$33),Formula!$C$32)),1)</f>
        <v>1</v>
      </c>
      <c r="W640" s="17">
        <f t="shared" si="5"/>
        <v>2.9</v>
      </c>
    </row>
    <row r="641" ht="15.75" customHeight="1">
      <c r="A641" s="8" t="s">
        <v>1231</v>
      </c>
      <c r="B641" s="7" t="s">
        <v>1224</v>
      </c>
      <c r="C641" s="13" t="s">
        <v>1225</v>
      </c>
      <c r="D641" s="7" t="s">
        <v>128</v>
      </c>
      <c r="E641" s="8" t="s">
        <v>91</v>
      </c>
      <c r="F641" s="8" t="s">
        <v>318</v>
      </c>
      <c r="G641" s="7" t="s">
        <v>1226</v>
      </c>
      <c r="H641" s="7" t="s">
        <v>1213</v>
      </c>
      <c r="I641" s="8">
        <v>1500.0</v>
      </c>
      <c r="J641" s="8">
        <v>2.5</v>
      </c>
      <c r="K641" s="8" t="s">
        <v>321</v>
      </c>
      <c r="L641" s="8" t="s">
        <v>322</v>
      </c>
      <c r="M641" s="8" t="s">
        <v>386</v>
      </c>
      <c r="N641" s="8">
        <v>2.1</v>
      </c>
      <c r="O641" s="14">
        <f t="shared" si="1"/>
        <v>44682</v>
      </c>
      <c r="P641" s="15">
        <f>IFERROR(VLOOKUP(K641,Formula!$A$11:$B$20,2,FALSE),Formula!$C$26)</f>
        <v>0.9</v>
      </c>
      <c r="Q641" s="15">
        <f>IF(AND(ISNUMBER(J641),J641&gt;0),1/J641,IF(AND(ISNUMBER(I641),I641&gt;0),SQRT(MIN(I641,Formula!$C$27))/Formula!$C$24,1/Formula!$C$25))</f>
        <v>0.4</v>
      </c>
      <c r="R641" s="15">
        <f t="shared" si="2"/>
        <v>0.36</v>
      </c>
      <c r="S641" s="15">
        <f>IF(H641&lt;&gt;"",EXP(-Formula!$C$28*(EOMONTH(H641,0)-H641)),EXP(-Formula!$C$28*(EOMONTH(D641,0)-D641)))</f>
        <v>0.8607079764</v>
      </c>
      <c r="T641" s="15">
        <f t="shared" si="3"/>
        <v>0.316227766</v>
      </c>
      <c r="U641" s="15">
        <f t="shared" si="4"/>
        <v>0.09798471381</v>
      </c>
      <c r="V641" s="16">
        <f>IF(AND(L641="Among all respondents",NOT(OR(K641="Online poll in Telegram channel",K641="Website online poll",K641="CAWI (Computer Assisted Web Interviewing)"))),1/(1-MIN(MAX(Formula!$C$33+(YEAR(D641)-Formula!$C$34)/(Formula!$C$35-Formula!$C$34)*(Formula!$C$32-Formula!$C$33),Formula!$C$33),Formula!$C$32)),1)</f>
        <v>1</v>
      </c>
      <c r="W641" s="17">
        <f t="shared" si="5"/>
        <v>2.1</v>
      </c>
    </row>
    <row r="642" ht="15.75" customHeight="1">
      <c r="A642" s="8" t="s">
        <v>1232</v>
      </c>
      <c r="B642" s="7" t="s">
        <v>1224</v>
      </c>
      <c r="C642" s="13" t="s">
        <v>1225</v>
      </c>
      <c r="D642" s="7" t="s">
        <v>128</v>
      </c>
      <c r="E642" s="8" t="s">
        <v>91</v>
      </c>
      <c r="F642" s="8" t="s">
        <v>318</v>
      </c>
      <c r="G642" s="7" t="s">
        <v>1226</v>
      </c>
      <c r="H642" s="7" t="s">
        <v>1213</v>
      </c>
      <c r="I642" s="8">
        <v>1500.0</v>
      </c>
      <c r="J642" s="8">
        <v>2.5</v>
      </c>
      <c r="K642" s="8" t="s">
        <v>321</v>
      </c>
      <c r="L642" s="8" t="s">
        <v>322</v>
      </c>
      <c r="M642" s="8" t="s">
        <v>828</v>
      </c>
      <c r="N642" s="8">
        <v>1.7</v>
      </c>
      <c r="O642" s="14">
        <f t="shared" si="1"/>
        <v>44682</v>
      </c>
      <c r="P642" s="15">
        <f>IFERROR(VLOOKUP(K642,Formula!$A$11:$B$20,2,FALSE),Formula!$C$26)</f>
        <v>0.9</v>
      </c>
      <c r="Q642" s="15">
        <f>IF(AND(ISNUMBER(J642),J642&gt;0),1/J642,IF(AND(ISNUMBER(I642),I642&gt;0),SQRT(MIN(I642,Formula!$C$27))/Formula!$C$24,1/Formula!$C$25))</f>
        <v>0.4</v>
      </c>
      <c r="R642" s="15">
        <f t="shared" si="2"/>
        <v>0.36</v>
      </c>
      <c r="S642" s="15">
        <f>IF(H642&lt;&gt;"",EXP(-Formula!$C$28*(EOMONTH(H642,0)-H642)),EXP(-Formula!$C$28*(EOMONTH(D642,0)-D642)))</f>
        <v>0.8607079764</v>
      </c>
      <c r="T642" s="15">
        <f t="shared" si="3"/>
        <v>0.316227766</v>
      </c>
      <c r="U642" s="15">
        <f t="shared" si="4"/>
        <v>0.09798471381</v>
      </c>
      <c r="V642" s="16">
        <f>IF(AND(L642="Among all respondents",NOT(OR(K642="Online poll in Telegram channel",K642="Website online poll",K642="CAWI (Computer Assisted Web Interviewing)"))),1/(1-MIN(MAX(Formula!$C$33+(YEAR(D642)-Formula!$C$34)/(Formula!$C$35-Formula!$C$34)*(Formula!$C$32-Formula!$C$33),Formula!$C$33),Formula!$C$32)),1)</f>
        <v>1</v>
      </c>
      <c r="W642" s="17">
        <f t="shared" si="5"/>
        <v>1.7</v>
      </c>
    </row>
    <row r="643" ht="15.75" customHeight="1">
      <c r="A643" s="8" t="s">
        <v>1233</v>
      </c>
      <c r="B643" s="7" t="s">
        <v>1224</v>
      </c>
      <c r="C643" s="13" t="s">
        <v>1225</v>
      </c>
      <c r="D643" s="7" t="s">
        <v>128</v>
      </c>
      <c r="E643" s="8" t="s">
        <v>91</v>
      </c>
      <c r="F643" s="8" t="s">
        <v>318</v>
      </c>
      <c r="G643" s="7" t="s">
        <v>1226</v>
      </c>
      <c r="H643" s="7" t="s">
        <v>1213</v>
      </c>
      <c r="I643" s="8">
        <v>1500.0</v>
      </c>
      <c r="J643" s="8">
        <v>2.5</v>
      </c>
      <c r="K643" s="8" t="s">
        <v>321</v>
      </c>
      <c r="L643" s="8" t="s">
        <v>322</v>
      </c>
      <c r="M643" s="8" t="s">
        <v>335</v>
      </c>
      <c r="N643" s="8">
        <v>1.5</v>
      </c>
      <c r="O643" s="14">
        <f t="shared" si="1"/>
        <v>44682</v>
      </c>
      <c r="P643" s="15">
        <f>IFERROR(VLOOKUP(K643,Formula!$A$11:$B$20,2,FALSE),Formula!$C$26)</f>
        <v>0.9</v>
      </c>
      <c r="Q643" s="15">
        <f>IF(AND(ISNUMBER(J643),J643&gt;0),1/J643,IF(AND(ISNUMBER(I643),I643&gt;0),SQRT(MIN(I643,Formula!$C$27))/Formula!$C$24,1/Formula!$C$25))</f>
        <v>0.4</v>
      </c>
      <c r="R643" s="15">
        <f t="shared" si="2"/>
        <v>0.36</v>
      </c>
      <c r="S643" s="15">
        <f>IF(H643&lt;&gt;"",EXP(-Formula!$C$28*(EOMONTH(H643,0)-H643)),EXP(-Formula!$C$28*(EOMONTH(D643,0)-D643)))</f>
        <v>0.8607079764</v>
      </c>
      <c r="T643" s="15">
        <f t="shared" si="3"/>
        <v>0.316227766</v>
      </c>
      <c r="U643" s="15">
        <f t="shared" si="4"/>
        <v>0.09798471381</v>
      </c>
      <c r="V643" s="16">
        <f>IF(AND(L643="Among all respondents",NOT(OR(K643="Online poll in Telegram channel",K643="Website online poll",K643="CAWI (Computer Assisted Web Interviewing)"))),1/(1-MIN(MAX(Formula!$C$33+(YEAR(D643)-Formula!$C$34)/(Formula!$C$35-Formula!$C$34)*(Formula!$C$32-Formula!$C$33),Formula!$C$33),Formula!$C$32)),1)</f>
        <v>1</v>
      </c>
      <c r="W643" s="17">
        <f t="shared" si="5"/>
        <v>1.5</v>
      </c>
    </row>
    <row r="644" ht="15.75" customHeight="1">
      <c r="A644" s="8" t="s">
        <v>1234</v>
      </c>
      <c r="B644" s="7" t="s">
        <v>1224</v>
      </c>
      <c r="C644" s="13" t="s">
        <v>1225</v>
      </c>
      <c r="D644" s="7" t="s">
        <v>128</v>
      </c>
      <c r="E644" s="8" t="s">
        <v>91</v>
      </c>
      <c r="F644" s="8" t="s">
        <v>318</v>
      </c>
      <c r="G644" s="7" t="s">
        <v>1226</v>
      </c>
      <c r="H644" s="7" t="s">
        <v>1213</v>
      </c>
      <c r="I644" s="8">
        <v>1500.0</v>
      </c>
      <c r="J644" s="8">
        <v>2.5</v>
      </c>
      <c r="K644" s="8" t="s">
        <v>321</v>
      </c>
      <c r="L644" s="8" t="s">
        <v>322</v>
      </c>
      <c r="M644" s="8" t="s">
        <v>1171</v>
      </c>
      <c r="N644" s="8">
        <v>1.4</v>
      </c>
      <c r="O644" s="14">
        <f t="shared" si="1"/>
        <v>44682</v>
      </c>
      <c r="P644" s="15">
        <f>IFERROR(VLOOKUP(K644,Formula!$A$11:$B$20,2,FALSE),Formula!$C$26)</f>
        <v>0.9</v>
      </c>
      <c r="Q644" s="15">
        <f>IF(AND(ISNUMBER(J644),J644&gt;0),1/J644,IF(AND(ISNUMBER(I644),I644&gt;0),SQRT(MIN(I644,Formula!$C$27))/Formula!$C$24,1/Formula!$C$25))</f>
        <v>0.4</v>
      </c>
      <c r="R644" s="15">
        <f t="shared" si="2"/>
        <v>0.36</v>
      </c>
      <c r="S644" s="15">
        <f>IF(H644&lt;&gt;"",EXP(-Formula!$C$28*(EOMONTH(H644,0)-H644)),EXP(-Formula!$C$28*(EOMONTH(D644,0)-D644)))</f>
        <v>0.8607079764</v>
      </c>
      <c r="T644" s="15">
        <f t="shared" si="3"/>
        <v>0.316227766</v>
      </c>
      <c r="U644" s="15">
        <f t="shared" si="4"/>
        <v>0.09798471381</v>
      </c>
      <c r="V644" s="16">
        <f>IF(AND(L644="Among all respondents",NOT(OR(K644="Online poll in Telegram channel",K644="Website online poll",K644="CAWI (Computer Assisted Web Interviewing)"))),1/(1-MIN(MAX(Formula!$C$33+(YEAR(D644)-Formula!$C$34)/(Formula!$C$35-Formula!$C$34)*(Formula!$C$32-Formula!$C$33),Formula!$C$33),Formula!$C$32)),1)</f>
        <v>1</v>
      </c>
      <c r="W644" s="17">
        <f t="shared" si="5"/>
        <v>1.4</v>
      </c>
    </row>
    <row r="645" ht="15.75" customHeight="1">
      <c r="A645" s="8" t="s">
        <v>1235</v>
      </c>
      <c r="B645" s="7" t="s">
        <v>1224</v>
      </c>
      <c r="C645" s="13" t="s">
        <v>1225</v>
      </c>
      <c r="D645" s="7" t="s">
        <v>128</v>
      </c>
      <c r="E645" s="8" t="s">
        <v>91</v>
      </c>
      <c r="F645" s="8" t="s">
        <v>318</v>
      </c>
      <c r="G645" s="7" t="s">
        <v>1226</v>
      </c>
      <c r="H645" s="7" t="s">
        <v>1213</v>
      </c>
      <c r="I645" s="8">
        <v>1500.0</v>
      </c>
      <c r="J645" s="8">
        <v>2.5</v>
      </c>
      <c r="K645" s="8" t="s">
        <v>321</v>
      </c>
      <c r="L645" s="8" t="s">
        <v>322</v>
      </c>
      <c r="M645" s="8" t="s">
        <v>388</v>
      </c>
      <c r="N645" s="8">
        <v>1.3</v>
      </c>
      <c r="O645" s="14">
        <f t="shared" si="1"/>
        <v>44682</v>
      </c>
      <c r="P645" s="15">
        <f>IFERROR(VLOOKUP(K645,Formula!$A$11:$B$20,2,FALSE),Formula!$C$26)</f>
        <v>0.9</v>
      </c>
      <c r="Q645" s="15">
        <f>IF(AND(ISNUMBER(J645),J645&gt;0),1/J645,IF(AND(ISNUMBER(I645),I645&gt;0),SQRT(MIN(I645,Formula!$C$27))/Formula!$C$24,1/Formula!$C$25))</f>
        <v>0.4</v>
      </c>
      <c r="R645" s="15">
        <f t="shared" si="2"/>
        <v>0.36</v>
      </c>
      <c r="S645" s="15">
        <f>IF(H645&lt;&gt;"",EXP(-Formula!$C$28*(EOMONTH(H645,0)-H645)),EXP(-Formula!$C$28*(EOMONTH(D645,0)-D645)))</f>
        <v>0.8607079764</v>
      </c>
      <c r="T645" s="15">
        <f t="shared" si="3"/>
        <v>0.316227766</v>
      </c>
      <c r="U645" s="15">
        <f t="shared" si="4"/>
        <v>0.09798471381</v>
      </c>
      <c r="V645" s="16">
        <f>IF(AND(L645="Among all respondents",NOT(OR(K645="Online poll in Telegram channel",K645="Website online poll",K645="CAWI (Computer Assisted Web Interviewing)"))),1/(1-MIN(MAX(Formula!$C$33+(YEAR(D645)-Formula!$C$34)/(Formula!$C$35-Formula!$C$34)*(Formula!$C$32-Formula!$C$33),Formula!$C$33),Formula!$C$32)),1)</f>
        <v>1</v>
      </c>
      <c r="W645" s="17">
        <f t="shared" si="5"/>
        <v>1.3</v>
      </c>
    </row>
    <row r="646" ht="15.75" customHeight="1">
      <c r="A646" s="8" t="s">
        <v>1236</v>
      </c>
      <c r="B646" s="7" t="s">
        <v>1237</v>
      </c>
      <c r="C646" s="13" t="s">
        <v>1238</v>
      </c>
      <c r="D646" s="7" t="s">
        <v>129</v>
      </c>
      <c r="E646" s="8" t="s">
        <v>91</v>
      </c>
      <c r="F646" s="8" t="s">
        <v>318</v>
      </c>
      <c r="G646" s="7" t="s">
        <v>1239</v>
      </c>
      <c r="H646" s="7" t="s">
        <v>1240</v>
      </c>
      <c r="I646" s="8">
        <v>1501.0</v>
      </c>
      <c r="J646" s="8">
        <v>2.5</v>
      </c>
      <c r="K646" s="8" t="s">
        <v>321</v>
      </c>
      <c r="L646" s="8" t="s">
        <v>322</v>
      </c>
      <c r="M646" s="8" t="s">
        <v>323</v>
      </c>
      <c r="N646" s="8">
        <v>82.5</v>
      </c>
      <c r="O646" s="14">
        <f t="shared" si="1"/>
        <v>44652</v>
      </c>
      <c r="P646" s="15">
        <f>IFERROR(VLOOKUP(K646,Formula!$A$11:$B$20,2,FALSE),Formula!$C$26)</f>
        <v>0.9</v>
      </c>
      <c r="Q646" s="15">
        <f>IF(AND(ISNUMBER(J646),J646&gt;0),1/J646,IF(AND(ISNUMBER(I646),I646&gt;0),SQRT(MIN(I646,Formula!$C$27))/Formula!$C$24,1/Formula!$C$25))</f>
        <v>0.4</v>
      </c>
      <c r="R646" s="15">
        <f t="shared" si="2"/>
        <v>0.36</v>
      </c>
      <c r="S646" s="15">
        <f>IF(H646&lt;&gt;"",EXP(-Formula!$C$28*(EOMONTH(H646,0)-H646)),EXP(-Formula!$C$28*(EOMONTH(D646,0)-D646)))</f>
        <v>0.904837418</v>
      </c>
      <c r="T646" s="15">
        <f t="shared" si="3"/>
        <v>0.316227766</v>
      </c>
      <c r="U646" s="15">
        <f t="shared" si="4"/>
        <v>0.1030084975</v>
      </c>
      <c r="V646" s="16">
        <f>IF(AND(L646="Among all respondents",NOT(OR(K646="Online poll in Telegram channel",K646="Website online poll",K646="CAWI (Computer Assisted Web Interviewing)"))),1/(1-MIN(MAX(Formula!$C$33+(YEAR(D646)-Formula!$C$34)/(Formula!$C$35-Formula!$C$34)*(Formula!$C$32-Formula!$C$33),Formula!$C$33),Formula!$C$32)),1)</f>
        <v>1</v>
      </c>
      <c r="W646" s="17">
        <f t="shared" si="5"/>
        <v>82.5</v>
      </c>
    </row>
    <row r="647" ht="15.75" customHeight="1">
      <c r="A647" s="8" t="s">
        <v>1241</v>
      </c>
      <c r="B647" s="7" t="s">
        <v>1237</v>
      </c>
      <c r="C647" s="13" t="s">
        <v>1238</v>
      </c>
      <c r="D647" s="7" t="s">
        <v>129</v>
      </c>
      <c r="E647" s="8" t="s">
        <v>91</v>
      </c>
      <c r="F647" s="8" t="s">
        <v>318</v>
      </c>
      <c r="G647" s="7" t="s">
        <v>1239</v>
      </c>
      <c r="H647" s="7" t="s">
        <v>1240</v>
      </c>
      <c r="I647" s="8">
        <v>1501.0</v>
      </c>
      <c r="J647" s="8">
        <v>2.5</v>
      </c>
      <c r="K647" s="8" t="s">
        <v>321</v>
      </c>
      <c r="L647" s="8" t="s">
        <v>322</v>
      </c>
      <c r="M647" s="8" t="s">
        <v>329</v>
      </c>
      <c r="N647" s="8">
        <v>4.8</v>
      </c>
      <c r="O647" s="14">
        <f t="shared" si="1"/>
        <v>44652</v>
      </c>
      <c r="P647" s="15">
        <f>IFERROR(VLOOKUP(K647,Formula!$A$11:$B$20,2,FALSE),Formula!$C$26)</f>
        <v>0.9</v>
      </c>
      <c r="Q647" s="15">
        <f>IF(AND(ISNUMBER(J647),J647&gt;0),1/J647,IF(AND(ISNUMBER(I647),I647&gt;0),SQRT(MIN(I647,Formula!$C$27))/Formula!$C$24,1/Formula!$C$25))</f>
        <v>0.4</v>
      </c>
      <c r="R647" s="15">
        <f t="shared" si="2"/>
        <v>0.36</v>
      </c>
      <c r="S647" s="15">
        <f>IF(H647&lt;&gt;"",EXP(-Formula!$C$28*(EOMONTH(H647,0)-H647)),EXP(-Formula!$C$28*(EOMONTH(D647,0)-D647)))</f>
        <v>0.904837418</v>
      </c>
      <c r="T647" s="15">
        <f t="shared" si="3"/>
        <v>0.316227766</v>
      </c>
      <c r="U647" s="15">
        <f t="shared" si="4"/>
        <v>0.1030084975</v>
      </c>
      <c r="V647" s="16">
        <f>IF(AND(L647="Among all respondents",NOT(OR(K647="Online poll in Telegram channel",K647="Website online poll",K647="CAWI (Computer Assisted Web Interviewing)"))),1/(1-MIN(MAX(Formula!$C$33+(YEAR(D647)-Formula!$C$34)/(Formula!$C$35-Formula!$C$34)*(Formula!$C$32-Formula!$C$33),Formula!$C$33),Formula!$C$32)),1)</f>
        <v>1</v>
      </c>
      <c r="W647" s="17">
        <f t="shared" si="5"/>
        <v>4.8</v>
      </c>
    </row>
    <row r="648" ht="15.75" customHeight="1">
      <c r="A648" s="8" t="s">
        <v>1242</v>
      </c>
      <c r="B648" s="7" t="s">
        <v>1237</v>
      </c>
      <c r="C648" s="13" t="s">
        <v>1238</v>
      </c>
      <c r="D648" s="7" t="s">
        <v>129</v>
      </c>
      <c r="E648" s="8" t="s">
        <v>91</v>
      </c>
      <c r="F648" s="8" t="s">
        <v>318</v>
      </c>
      <c r="G648" s="7" t="s">
        <v>1239</v>
      </c>
      <c r="H648" s="7" t="s">
        <v>1240</v>
      </c>
      <c r="I648" s="8">
        <v>1501.0</v>
      </c>
      <c r="J648" s="8">
        <v>2.5</v>
      </c>
      <c r="K648" s="8" t="s">
        <v>321</v>
      </c>
      <c r="L648" s="8" t="s">
        <v>322</v>
      </c>
      <c r="M648" s="8" t="s">
        <v>325</v>
      </c>
      <c r="N648" s="8">
        <v>3.7</v>
      </c>
      <c r="O648" s="14">
        <f t="shared" si="1"/>
        <v>44652</v>
      </c>
      <c r="P648" s="15">
        <f>IFERROR(VLOOKUP(K648,Formula!$A$11:$B$20,2,FALSE),Formula!$C$26)</f>
        <v>0.9</v>
      </c>
      <c r="Q648" s="15">
        <f>IF(AND(ISNUMBER(J648),J648&gt;0),1/J648,IF(AND(ISNUMBER(I648),I648&gt;0),SQRT(MIN(I648,Formula!$C$27))/Formula!$C$24,1/Formula!$C$25))</f>
        <v>0.4</v>
      </c>
      <c r="R648" s="15">
        <f t="shared" si="2"/>
        <v>0.36</v>
      </c>
      <c r="S648" s="15">
        <f>IF(H648&lt;&gt;"",EXP(-Formula!$C$28*(EOMONTH(H648,0)-H648)),EXP(-Formula!$C$28*(EOMONTH(D648,0)-D648)))</f>
        <v>0.904837418</v>
      </c>
      <c r="T648" s="15">
        <f t="shared" si="3"/>
        <v>0.316227766</v>
      </c>
      <c r="U648" s="15">
        <f t="shared" si="4"/>
        <v>0.1030084975</v>
      </c>
      <c r="V648" s="16">
        <f>IF(AND(L648="Among all respondents",NOT(OR(K648="Online poll in Telegram channel",K648="Website online poll",K648="CAWI (Computer Assisted Web Interviewing)"))),1/(1-MIN(MAX(Formula!$C$33+(YEAR(D648)-Formula!$C$34)/(Formula!$C$35-Formula!$C$34)*(Formula!$C$32-Formula!$C$33),Formula!$C$33),Formula!$C$32)),1)</f>
        <v>1</v>
      </c>
      <c r="W648" s="17">
        <f t="shared" si="5"/>
        <v>3.7</v>
      </c>
    </row>
    <row r="649" ht="15.75" customHeight="1">
      <c r="A649" s="8" t="s">
        <v>1243</v>
      </c>
      <c r="B649" s="7" t="s">
        <v>1237</v>
      </c>
      <c r="C649" s="13" t="s">
        <v>1238</v>
      </c>
      <c r="D649" s="7" t="s">
        <v>129</v>
      </c>
      <c r="E649" s="8" t="s">
        <v>91</v>
      </c>
      <c r="F649" s="8" t="s">
        <v>318</v>
      </c>
      <c r="G649" s="7" t="s">
        <v>1239</v>
      </c>
      <c r="H649" s="7" t="s">
        <v>1240</v>
      </c>
      <c r="I649" s="8">
        <v>1501.0</v>
      </c>
      <c r="J649" s="8">
        <v>2.5</v>
      </c>
      <c r="K649" s="8" t="s">
        <v>321</v>
      </c>
      <c r="L649" s="8" t="s">
        <v>322</v>
      </c>
      <c r="M649" s="8" t="s">
        <v>337</v>
      </c>
      <c r="N649" s="8">
        <v>2.2</v>
      </c>
      <c r="O649" s="14">
        <f t="shared" si="1"/>
        <v>44652</v>
      </c>
      <c r="P649" s="15">
        <f>IFERROR(VLOOKUP(K649,Formula!$A$11:$B$20,2,FALSE),Formula!$C$26)</f>
        <v>0.9</v>
      </c>
      <c r="Q649" s="15">
        <f>IF(AND(ISNUMBER(J649),J649&gt;0),1/J649,IF(AND(ISNUMBER(I649),I649&gt;0),SQRT(MIN(I649,Formula!$C$27))/Formula!$C$24,1/Formula!$C$25))</f>
        <v>0.4</v>
      </c>
      <c r="R649" s="15">
        <f t="shared" si="2"/>
        <v>0.36</v>
      </c>
      <c r="S649" s="15">
        <f>IF(H649&lt;&gt;"",EXP(-Formula!$C$28*(EOMONTH(H649,0)-H649)),EXP(-Formula!$C$28*(EOMONTH(D649,0)-D649)))</f>
        <v>0.904837418</v>
      </c>
      <c r="T649" s="15">
        <f t="shared" si="3"/>
        <v>0.316227766</v>
      </c>
      <c r="U649" s="15">
        <f t="shared" si="4"/>
        <v>0.1030084975</v>
      </c>
      <c r="V649" s="16">
        <f>IF(AND(L649="Among all respondents",NOT(OR(K649="Online poll in Telegram channel",K649="Website online poll",K649="CAWI (Computer Assisted Web Interviewing)"))),1/(1-MIN(MAX(Formula!$C$33+(YEAR(D649)-Formula!$C$34)/(Formula!$C$35-Formula!$C$34)*(Formula!$C$32-Formula!$C$33),Formula!$C$33),Formula!$C$32)),1)</f>
        <v>1</v>
      </c>
      <c r="W649" s="17">
        <f t="shared" si="5"/>
        <v>2.2</v>
      </c>
    </row>
    <row r="650" ht="15.75" customHeight="1">
      <c r="A650" s="8" t="s">
        <v>1244</v>
      </c>
      <c r="B650" s="7" t="s">
        <v>1237</v>
      </c>
      <c r="C650" s="13" t="s">
        <v>1238</v>
      </c>
      <c r="D650" s="7" t="s">
        <v>129</v>
      </c>
      <c r="E650" s="8" t="s">
        <v>91</v>
      </c>
      <c r="F650" s="8" t="s">
        <v>318</v>
      </c>
      <c r="G650" s="7" t="s">
        <v>1239</v>
      </c>
      <c r="H650" s="7" t="s">
        <v>1240</v>
      </c>
      <c r="I650" s="8">
        <v>1501.0</v>
      </c>
      <c r="J650" s="8">
        <v>2.5</v>
      </c>
      <c r="K650" s="8" t="s">
        <v>321</v>
      </c>
      <c r="L650" s="8" t="s">
        <v>322</v>
      </c>
      <c r="M650" s="8" t="s">
        <v>828</v>
      </c>
      <c r="N650" s="8">
        <v>1.7</v>
      </c>
      <c r="O650" s="14">
        <f t="shared" si="1"/>
        <v>44652</v>
      </c>
      <c r="P650" s="15">
        <f>IFERROR(VLOOKUP(K650,Formula!$A$11:$B$20,2,FALSE),Formula!$C$26)</f>
        <v>0.9</v>
      </c>
      <c r="Q650" s="15">
        <f>IF(AND(ISNUMBER(J650),J650&gt;0),1/J650,IF(AND(ISNUMBER(I650),I650&gt;0),SQRT(MIN(I650,Formula!$C$27))/Formula!$C$24,1/Formula!$C$25))</f>
        <v>0.4</v>
      </c>
      <c r="R650" s="15">
        <f t="shared" si="2"/>
        <v>0.36</v>
      </c>
      <c r="S650" s="15">
        <f>IF(H650&lt;&gt;"",EXP(-Formula!$C$28*(EOMONTH(H650,0)-H650)),EXP(-Formula!$C$28*(EOMONTH(D650,0)-D650)))</f>
        <v>0.904837418</v>
      </c>
      <c r="T650" s="15">
        <f t="shared" si="3"/>
        <v>0.316227766</v>
      </c>
      <c r="U650" s="15">
        <f t="shared" si="4"/>
        <v>0.1030084975</v>
      </c>
      <c r="V650" s="16">
        <f>IF(AND(L650="Among all respondents",NOT(OR(K650="Online poll in Telegram channel",K650="Website online poll",K650="CAWI (Computer Assisted Web Interviewing)"))),1/(1-MIN(MAX(Formula!$C$33+(YEAR(D650)-Formula!$C$34)/(Formula!$C$35-Formula!$C$34)*(Formula!$C$32-Formula!$C$33),Formula!$C$33),Formula!$C$32)),1)</f>
        <v>1</v>
      </c>
      <c r="W650" s="17">
        <f t="shared" si="5"/>
        <v>1.7</v>
      </c>
    </row>
    <row r="651" ht="15.75" customHeight="1">
      <c r="A651" s="8" t="s">
        <v>1245</v>
      </c>
      <c r="B651" s="7" t="s">
        <v>1237</v>
      </c>
      <c r="C651" s="13" t="s">
        <v>1238</v>
      </c>
      <c r="D651" s="7" t="s">
        <v>129</v>
      </c>
      <c r="E651" s="8" t="s">
        <v>91</v>
      </c>
      <c r="F651" s="8" t="s">
        <v>318</v>
      </c>
      <c r="G651" s="7" t="s">
        <v>1239</v>
      </c>
      <c r="H651" s="7" t="s">
        <v>1240</v>
      </c>
      <c r="I651" s="8">
        <v>1501.0</v>
      </c>
      <c r="J651" s="8">
        <v>2.5</v>
      </c>
      <c r="K651" s="8" t="s">
        <v>321</v>
      </c>
      <c r="L651" s="8" t="s">
        <v>322</v>
      </c>
      <c r="M651" s="8" t="s">
        <v>333</v>
      </c>
      <c r="N651" s="8">
        <v>1.4</v>
      </c>
      <c r="O651" s="14">
        <f t="shared" si="1"/>
        <v>44652</v>
      </c>
      <c r="P651" s="15">
        <f>IFERROR(VLOOKUP(K651,Formula!$A$11:$B$20,2,FALSE),Formula!$C$26)</f>
        <v>0.9</v>
      </c>
      <c r="Q651" s="15">
        <f>IF(AND(ISNUMBER(J651),J651&gt;0),1/J651,IF(AND(ISNUMBER(I651),I651&gt;0),SQRT(MIN(I651,Formula!$C$27))/Formula!$C$24,1/Formula!$C$25))</f>
        <v>0.4</v>
      </c>
      <c r="R651" s="15">
        <f t="shared" si="2"/>
        <v>0.36</v>
      </c>
      <c r="S651" s="15">
        <f>IF(H651&lt;&gt;"",EXP(-Formula!$C$28*(EOMONTH(H651,0)-H651)),EXP(-Formula!$C$28*(EOMONTH(D651,0)-D651)))</f>
        <v>0.904837418</v>
      </c>
      <c r="T651" s="15">
        <f t="shared" si="3"/>
        <v>0.316227766</v>
      </c>
      <c r="U651" s="15">
        <f t="shared" si="4"/>
        <v>0.1030084975</v>
      </c>
      <c r="V651" s="16">
        <f>IF(AND(L651="Among all respondents",NOT(OR(K651="Online poll in Telegram channel",K651="Website online poll",K651="CAWI (Computer Assisted Web Interviewing)"))),1/(1-MIN(MAX(Formula!$C$33+(YEAR(D651)-Formula!$C$34)/(Formula!$C$35-Formula!$C$34)*(Formula!$C$32-Formula!$C$33),Formula!$C$33),Formula!$C$32)),1)</f>
        <v>1</v>
      </c>
      <c r="W651" s="17">
        <f t="shared" si="5"/>
        <v>1.4</v>
      </c>
    </row>
    <row r="652" ht="15.75" customHeight="1">
      <c r="A652" s="8" t="s">
        <v>1246</v>
      </c>
      <c r="B652" s="7" t="s">
        <v>1237</v>
      </c>
      <c r="C652" s="13" t="s">
        <v>1238</v>
      </c>
      <c r="D652" s="7" t="s">
        <v>129</v>
      </c>
      <c r="E652" s="8" t="s">
        <v>91</v>
      </c>
      <c r="F652" s="8" t="s">
        <v>318</v>
      </c>
      <c r="G652" s="7" t="s">
        <v>1239</v>
      </c>
      <c r="H652" s="7" t="s">
        <v>1240</v>
      </c>
      <c r="I652" s="8">
        <v>1501.0</v>
      </c>
      <c r="J652" s="8">
        <v>2.5</v>
      </c>
      <c r="K652" s="8" t="s">
        <v>321</v>
      </c>
      <c r="L652" s="8" t="s">
        <v>322</v>
      </c>
      <c r="M652" s="8" t="s">
        <v>362</v>
      </c>
      <c r="N652" s="8">
        <v>1.3</v>
      </c>
      <c r="O652" s="14">
        <f t="shared" si="1"/>
        <v>44652</v>
      </c>
      <c r="P652" s="15">
        <f>IFERROR(VLOOKUP(K652,Formula!$A$11:$B$20,2,FALSE),Formula!$C$26)</f>
        <v>0.9</v>
      </c>
      <c r="Q652" s="15">
        <f>IF(AND(ISNUMBER(J652),J652&gt;0),1/J652,IF(AND(ISNUMBER(I652),I652&gt;0),SQRT(MIN(I652,Formula!$C$27))/Formula!$C$24,1/Formula!$C$25))</f>
        <v>0.4</v>
      </c>
      <c r="R652" s="15">
        <f t="shared" si="2"/>
        <v>0.36</v>
      </c>
      <c r="S652" s="15">
        <f>IF(H652&lt;&gt;"",EXP(-Formula!$C$28*(EOMONTH(H652,0)-H652)),EXP(-Formula!$C$28*(EOMONTH(D652,0)-D652)))</f>
        <v>0.904837418</v>
      </c>
      <c r="T652" s="15">
        <f t="shared" si="3"/>
        <v>0.316227766</v>
      </c>
      <c r="U652" s="15">
        <f t="shared" si="4"/>
        <v>0.1030084975</v>
      </c>
      <c r="V652" s="16">
        <f>IF(AND(L652="Among all respondents",NOT(OR(K652="Online poll in Telegram channel",K652="Website online poll",K652="CAWI (Computer Assisted Web Interviewing)"))),1/(1-MIN(MAX(Formula!$C$33+(YEAR(D652)-Formula!$C$34)/(Formula!$C$35-Formula!$C$34)*(Formula!$C$32-Formula!$C$33),Formula!$C$33),Formula!$C$32)),1)</f>
        <v>1</v>
      </c>
      <c r="W652" s="17">
        <f t="shared" si="5"/>
        <v>1.3</v>
      </c>
    </row>
    <row r="653" ht="15.75" customHeight="1">
      <c r="A653" s="8" t="s">
        <v>1247</v>
      </c>
      <c r="B653" s="7" t="s">
        <v>1237</v>
      </c>
      <c r="C653" s="13" t="s">
        <v>1238</v>
      </c>
      <c r="D653" s="7" t="s">
        <v>129</v>
      </c>
      <c r="E653" s="8" t="s">
        <v>91</v>
      </c>
      <c r="F653" s="8" t="s">
        <v>318</v>
      </c>
      <c r="G653" s="7" t="s">
        <v>1239</v>
      </c>
      <c r="H653" s="7" t="s">
        <v>1240</v>
      </c>
      <c r="I653" s="8">
        <v>1501.0</v>
      </c>
      <c r="J653" s="8">
        <v>2.5</v>
      </c>
      <c r="K653" s="8" t="s">
        <v>321</v>
      </c>
      <c r="L653" s="8" t="s">
        <v>322</v>
      </c>
      <c r="M653" s="8" t="s">
        <v>386</v>
      </c>
      <c r="N653" s="8">
        <v>0.9</v>
      </c>
      <c r="O653" s="14">
        <f t="shared" si="1"/>
        <v>44652</v>
      </c>
      <c r="P653" s="15">
        <f>IFERROR(VLOOKUP(K653,Formula!$A$11:$B$20,2,FALSE),Formula!$C$26)</f>
        <v>0.9</v>
      </c>
      <c r="Q653" s="15">
        <f>IF(AND(ISNUMBER(J653),J653&gt;0),1/J653,IF(AND(ISNUMBER(I653),I653&gt;0),SQRT(MIN(I653,Formula!$C$27))/Formula!$C$24,1/Formula!$C$25))</f>
        <v>0.4</v>
      </c>
      <c r="R653" s="15">
        <f t="shared" si="2"/>
        <v>0.36</v>
      </c>
      <c r="S653" s="15">
        <f>IF(H653&lt;&gt;"",EXP(-Formula!$C$28*(EOMONTH(H653,0)-H653)),EXP(-Formula!$C$28*(EOMONTH(D653,0)-D653)))</f>
        <v>0.904837418</v>
      </c>
      <c r="T653" s="15">
        <f t="shared" si="3"/>
        <v>0.316227766</v>
      </c>
      <c r="U653" s="15">
        <f t="shared" si="4"/>
        <v>0.1030084975</v>
      </c>
      <c r="V653" s="16">
        <f>IF(AND(L653="Among all respondents",NOT(OR(K653="Online poll in Telegram channel",K653="Website online poll",K653="CAWI (Computer Assisted Web Interviewing)"))),1/(1-MIN(MAX(Formula!$C$33+(YEAR(D653)-Formula!$C$34)/(Formula!$C$35-Formula!$C$34)*(Formula!$C$32-Formula!$C$33),Formula!$C$33),Formula!$C$32)),1)</f>
        <v>1</v>
      </c>
      <c r="W653" s="17">
        <f t="shared" si="5"/>
        <v>0.9</v>
      </c>
    </row>
    <row r="654" ht="15.75" customHeight="1">
      <c r="A654" s="8" t="s">
        <v>1248</v>
      </c>
      <c r="B654" s="7" t="s">
        <v>1237</v>
      </c>
      <c r="C654" s="13" t="s">
        <v>1238</v>
      </c>
      <c r="D654" s="7" t="s">
        <v>129</v>
      </c>
      <c r="E654" s="8" t="s">
        <v>91</v>
      </c>
      <c r="F654" s="8" t="s">
        <v>318</v>
      </c>
      <c r="G654" s="7" t="s">
        <v>1239</v>
      </c>
      <c r="H654" s="7" t="s">
        <v>1240</v>
      </c>
      <c r="I654" s="8">
        <v>1501.0</v>
      </c>
      <c r="J654" s="8">
        <v>2.5</v>
      </c>
      <c r="K654" s="8" t="s">
        <v>321</v>
      </c>
      <c r="L654" s="8" t="s">
        <v>322</v>
      </c>
      <c r="M654" s="8" t="s">
        <v>388</v>
      </c>
      <c r="N654" s="8">
        <v>0.6</v>
      </c>
      <c r="O654" s="14">
        <f t="shared" si="1"/>
        <v>44652</v>
      </c>
      <c r="P654" s="15">
        <f>IFERROR(VLOOKUP(K654,Formula!$A$11:$B$20,2,FALSE),Formula!$C$26)</f>
        <v>0.9</v>
      </c>
      <c r="Q654" s="15">
        <f>IF(AND(ISNUMBER(J654),J654&gt;0),1/J654,IF(AND(ISNUMBER(I654),I654&gt;0),SQRT(MIN(I654,Formula!$C$27))/Formula!$C$24,1/Formula!$C$25))</f>
        <v>0.4</v>
      </c>
      <c r="R654" s="15">
        <f t="shared" si="2"/>
        <v>0.36</v>
      </c>
      <c r="S654" s="15">
        <f>IF(H654&lt;&gt;"",EXP(-Formula!$C$28*(EOMONTH(H654,0)-H654)),EXP(-Formula!$C$28*(EOMONTH(D654,0)-D654)))</f>
        <v>0.904837418</v>
      </c>
      <c r="T654" s="15">
        <f t="shared" si="3"/>
        <v>0.316227766</v>
      </c>
      <c r="U654" s="15">
        <f t="shared" si="4"/>
        <v>0.1030084975</v>
      </c>
      <c r="V654" s="16">
        <f>IF(AND(L654="Among all respondents",NOT(OR(K654="Online poll in Telegram channel",K654="Website online poll",K654="CAWI (Computer Assisted Web Interviewing)"))),1/(1-MIN(MAX(Formula!$C$33+(YEAR(D654)-Formula!$C$34)/(Formula!$C$35-Formula!$C$34)*(Formula!$C$32-Formula!$C$33),Formula!$C$33),Formula!$C$32)),1)</f>
        <v>1</v>
      </c>
      <c r="W654" s="17">
        <f t="shared" si="5"/>
        <v>0.6</v>
      </c>
    </row>
    <row r="655" ht="15.75" customHeight="1">
      <c r="A655" s="8" t="s">
        <v>1249</v>
      </c>
      <c r="B655" s="7" t="s">
        <v>1237</v>
      </c>
      <c r="C655" s="13" t="s">
        <v>1238</v>
      </c>
      <c r="D655" s="7" t="s">
        <v>129</v>
      </c>
      <c r="E655" s="8" t="s">
        <v>91</v>
      </c>
      <c r="F655" s="8" t="s">
        <v>318</v>
      </c>
      <c r="G655" s="7" t="s">
        <v>1239</v>
      </c>
      <c r="H655" s="7" t="s">
        <v>1240</v>
      </c>
      <c r="I655" s="8">
        <v>1501.0</v>
      </c>
      <c r="J655" s="8">
        <v>2.5</v>
      </c>
      <c r="K655" s="8" t="s">
        <v>321</v>
      </c>
      <c r="L655" s="8" t="s">
        <v>322</v>
      </c>
      <c r="M655" s="8" t="s">
        <v>740</v>
      </c>
      <c r="N655" s="8">
        <v>0.3</v>
      </c>
      <c r="O655" s="14">
        <f t="shared" si="1"/>
        <v>44652</v>
      </c>
      <c r="P655" s="15">
        <f>IFERROR(VLOOKUP(K655,Formula!$A$11:$B$20,2,FALSE),Formula!$C$26)</f>
        <v>0.9</v>
      </c>
      <c r="Q655" s="15">
        <f>IF(AND(ISNUMBER(J655),J655&gt;0),1/J655,IF(AND(ISNUMBER(I655),I655&gt;0),SQRT(MIN(I655,Formula!$C$27))/Formula!$C$24,1/Formula!$C$25))</f>
        <v>0.4</v>
      </c>
      <c r="R655" s="15">
        <f t="shared" si="2"/>
        <v>0.36</v>
      </c>
      <c r="S655" s="15">
        <f>IF(H655&lt;&gt;"",EXP(-Formula!$C$28*(EOMONTH(H655,0)-H655)),EXP(-Formula!$C$28*(EOMONTH(D655,0)-D655)))</f>
        <v>0.904837418</v>
      </c>
      <c r="T655" s="15">
        <f t="shared" si="3"/>
        <v>0.316227766</v>
      </c>
      <c r="U655" s="15">
        <f t="shared" si="4"/>
        <v>0.1030084975</v>
      </c>
      <c r="V655" s="16">
        <f>IF(AND(L655="Among all respondents",NOT(OR(K655="Online poll in Telegram channel",K655="Website online poll",K655="CAWI (Computer Assisted Web Interviewing)"))),1/(1-MIN(MAX(Formula!$C$33+(YEAR(D655)-Formula!$C$34)/(Formula!$C$35-Formula!$C$34)*(Formula!$C$32-Formula!$C$33),Formula!$C$33),Formula!$C$32)),1)</f>
        <v>1</v>
      </c>
      <c r="W655" s="17">
        <f t="shared" si="5"/>
        <v>0.3</v>
      </c>
    </row>
    <row r="656" ht="15.75" customHeight="1">
      <c r="A656" s="8" t="s">
        <v>1250</v>
      </c>
      <c r="B656" s="7" t="s">
        <v>1251</v>
      </c>
      <c r="C656" s="13" t="s">
        <v>1252</v>
      </c>
      <c r="D656" s="7" t="s">
        <v>131</v>
      </c>
      <c r="E656" s="8" t="s">
        <v>27</v>
      </c>
      <c r="F656" s="8" t="s">
        <v>318</v>
      </c>
      <c r="G656" s="7" t="s">
        <v>1253</v>
      </c>
      <c r="H656" s="7" t="s">
        <v>1254</v>
      </c>
      <c r="I656" s="8">
        <v>1034.0</v>
      </c>
      <c r="J656" s="8">
        <v>3.1</v>
      </c>
      <c r="K656" s="8" t="s">
        <v>321</v>
      </c>
      <c r="L656" s="8" t="s">
        <v>373</v>
      </c>
      <c r="M656" s="8" t="s">
        <v>323</v>
      </c>
      <c r="N656" s="8">
        <v>76.0</v>
      </c>
      <c r="O656" s="14">
        <f t="shared" si="1"/>
        <v>44652</v>
      </c>
      <c r="P656" s="15">
        <f>IFERROR(VLOOKUP(K656,Formula!$A$11:$B$20,2,FALSE),Formula!$C$26)</f>
        <v>0.9</v>
      </c>
      <c r="Q656" s="15">
        <f>IF(AND(ISNUMBER(J656),J656&gt;0),1/J656,IF(AND(ISNUMBER(I656),I656&gt;0),SQRT(MIN(I656,Formula!$C$27))/Formula!$C$24,1/Formula!$C$25))</f>
        <v>0.3225806452</v>
      </c>
      <c r="R656" s="15">
        <f t="shared" si="2"/>
        <v>0.2903225806</v>
      </c>
      <c r="S656" s="15">
        <f>IF(H656&lt;&gt;"",EXP(-Formula!$C$28*(EOMONTH(H656,0)-H656)),EXP(-Formula!$C$28*(EOMONTH(D656,0)-D656)))</f>
        <v>0.5769498104</v>
      </c>
      <c r="T656" s="15">
        <f t="shared" si="3"/>
        <v>0.3333333333</v>
      </c>
      <c r="U656" s="15">
        <f t="shared" si="4"/>
        <v>0.05583385262</v>
      </c>
      <c r="V656" s="16">
        <f>IF(AND(L656="Among all respondents",NOT(OR(K656="Online poll in Telegram channel",K656="Website online poll",K656="CAWI (Computer Assisted Web Interviewing)"))),1/(1-MIN(MAX(Formula!$C$33+(YEAR(D656)-Formula!$C$34)/(Formula!$C$35-Formula!$C$34)*(Formula!$C$32-Formula!$C$33),Formula!$C$33),Formula!$C$32)),1)</f>
        <v>1.052631579</v>
      </c>
      <c r="W656" s="17">
        <f t="shared" si="5"/>
        <v>80</v>
      </c>
    </row>
    <row r="657" ht="15.75" customHeight="1">
      <c r="A657" s="8" t="s">
        <v>1255</v>
      </c>
      <c r="B657" s="7" t="s">
        <v>1251</v>
      </c>
      <c r="C657" s="13" t="s">
        <v>1252</v>
      </c>
      <c r="D657" s="7" t="s">
        <v>131</v>
      </c>
      <c r="E657" s="8" t="s">
        <v>27</v>
      </c>
      <c r="F657" s="8" t="s">
        <v>318</v>
      </c>
      <c r="G657" s="7" t="s">
        <v>1253</v>
      </c>
      <c r="H657" s="7" t="s">
        <v>1254</v>
      </c>
      <c r="I657" s="8">
        <v>1034.0</v>
      </c>
      <c r="J657" s="8">
        <v>3.1</v>
      </c>
      <c r="K657" s="8" t="s">
        <v>321</v>
      </c>
      <c r="L657" s="8" t="s">
        <v>373</v>
      </c>
      <c r="M657" s="8" t="s">
        <v>329</v>
      </c>
      <c r="N657" s="8">
        <v>6.0</v>
      </c>
      <c r="O657" s="14">
        <f t="shared" si="1"/>
        <v>44652</v>
      </c>
      <c r="P657" s="15">
        <f>IFERROR(VLOOKUP(K657,Formula!$A$11:$B$20,2,FALSE),Formula!$C$26)</f>
        <v>0.9</v>
      </c>
      <c r="Q657" s="15">
        <f>IF(AND(ISNUMBER(J657),J657&gt;0),1/J657,IF(AND(ISNUMBER(I657),I657&gt;0),SQRT(MIN(I657,Formula!$C$27))/Formula!$C$24,1/Formula!$C$25))</f>
        <v>0.3225806452</v>
      </c>
      <c r="R657" s="15">
        <f t="shared" si="2"/>
        <v>0.2903225806</v>
      </c>
      <c r="S657" s="15">
        <f>IF(H657&lt;&gt;"",EXP(-Formula!$C$28*(EOMONTH(H657,0)-H657)),EXP(-Formula!$C$28*(EOMONTH(D657,0)-D657)))</f>
        <v>0.5769498104</v>
      </c>
      <c r="T657" s="15">
        <f t="shared" si="3"/>
        <v>0.3333333333</v>
      </c>
      <c r="U657" s="15">
        <f t="shared" si="4"/>
        <v>0.05583385262</v>
      </c>
      <c r="V657" s="16">
        <f>IF(AND(L657="Among all respondents",NOT(OR(K657="Online poll in Telegram channel",K657="Website online poll",K657="CAWI (Computer Assisted Web Interviewing)"))),1/(1-MIN(MAX(Formula!$C$33+(YEAR(D657)-Formula!$C$34)/(Formula!$C$35-Formula!$C$34)*(Formula!$C$32-Formula!$C$33),Formula!$C$33),Formula!$C$32)),1)</f>
        <v>1.052631579</v>
      </c>
      <c r="W657" s="17">
        <f t="shared" si="5"/>
        <v>6.315789474</v>
      </c>
    </row>
    <row r="658" ht="15.75" customHeight="1">
      <c r="A658" s="8" t="s">
        <v>1256</v>
      </c>
      <c r="B658" s="7" t="s">
        <v>1251</v>
      </c>
      <c r="C658" s="13" t="s">
        <v>1252</v>
      </c>
      <c r="D658" s="7" t="s">
        <v>131</v>
      </c>
      <c r="E658" s="8" t="s">
        <v>27</v>
      </c>
      <c r="F658" s="8" t="s">
        <v>318</v>
      </c>
      <c r="G658" s="7" t="s">
        <v>1253</v>
      </c>
      <c r="H658" s="7" t="s">
        <v>1254</v>
      </c>
      <c r="I658" s="8">
        <v>1034.0</v>
      </c>
      <c r="J658" s="8">
        <v>3.1</v>
      </c>
      <c r="K658" s="8" t="s">
        <v>321</v>
      </c>
      <c r="L658" s="8" t="s">
        <v>373</v>
      </c>
      <c r="M658" s="8" t="s">
        <v>828</v>
      </c>
      <c r="N658" s="8">
        <v>2.0</v>
      </c>
      <c r="O658" s="14">
        <f t="shared" si="1"/>
        <v>44652</v>
      </c>
      <c r="P658" s="15">
        <f>IFERROR(VLOOKUP(K658,Formula!$A$11:$B$20,2,FALSE),Formula!$C$26)</f>
        <v>0.9</v>
      </c>
      <c r="Q658" s="15">
        <f>IF(AND(ISNUMBER(J658),J658&gt;0),1/J658,IF(AND(ISNUMBER(I658),I658&gt;0),SQRT(MIN(I658,Formula!$C$27))/Formula!$C$24,1/Formula!$C$25))</f>
        <v>0.3225806452</v>
      </c>
      <c r="R658" s="15">
        <f t="shared" si="2"/>
        <v>0.2903225806</v>
      </c>
      <c r="S658" s="15">
        <f>IF(H658&lt;&gt;"",EXP(-Formula!$C$28*(EOMONTH(H658,0)-H658)),EXP(-Formula!$C$28*(EOMONTH(D658,0)-D658)))</f>
        <v>0.5769498104</v>
      </c>
      <c r="T658" s="15">
        <f t="shared" si="3"/>
        <v>0.3333333333</v>
      </c>
      <c r="U658" s="15">
        <f t="shared" si="4"/>
        <v>0.05583385262</v>
      </c>
      <c r="V658" s="16">
        <f>IF(AND(L658="Among all respondents",NOT(OR(K658="Online poll in Telegram channel",K658="Website online poll",K658="CAWI (Computer Assisted Web Interviewing)"))),1/(1-MIN(MAX(Formula!$C$33+(YEAR(D658)-Formula!$C$34)/(Formula!$C$35-Formula!$C$34)*(Formula!$C$32-Formula!$C$33),Formula!$C$33),Formula!$C$32)),1)</f>
        <v>1.052631579</v>
      </c>
      <c r="W658" s="17">
        <f t="shared" si="5"/>
        <v>2.105263158</v>
      </c>
    </row>
    <row r="659" ht="15.75" customHeight="1">
      <c r="A659" s="8" t="s">
        <v>1257</v>
      </c>
      <c r="B659" s="7" t="s">
        <v>1251</v>
      </c>
      <c r="C659" s="13" t="s">
        <v>1252</v>
      </c>
      <c r="D659" s="7" t="s">
        <v>131</v>
      </c>
      <c r="E659" s="8" t="s">
        <v>27</v>
      </c>
      <c r="F659" s="8" t="s">
        <v>318</v>
      </c>
      <c r="G659" s="7" t="s">
        <v>1253</v>
      </c>
      <c r="H659" s="7" t="s">
        <v>1254</v>
      </c>
      <c r="I659" s="8">
        <v>1034.0</v>
      </c>
      <c r="J659" s="8">
        <v>3.1</v>
      </c>
      <c r="K659" s="8" t="s">
        <v>321</v>
      </c>
      <c r="L659" s="8" t="s">
        <v>373</v>
      </c>
      <c r="M659" s="8" t="s">
        <v>333</v>
      </c>
      <c r="N659" s="8">
        <v>2.0</v>
      </c>
      <c r="O659" s="14">
        <f t="shared" si="1"/>
        <v>44652</v>
      </c>
      <c r="P659" s="15">
        <f>IFERROR(VLOOKUP(K659,Formula!$A$11:$B$20,2,FALSE),Formula!$C$26)</f>
        <v>0.9</v>
      </c>
      <c r="Q659" s="15">
        <f>IF(AND(ISNUMBER(J659),J659&gt;0),1/J659,IF(AND(ISNUMBER(I659),I659&gt;0),SQRT(MIN(I659,Formula!$C$27))/Formula!$C$24,1/Formula!$C$25))</f>
        <v>0.3225806452</v>
      </c>
      <c r="R659" s="15">
        <f t="shared" si="2"/>
        <v>0.2903225806</v>
      </c>
      <c r="S659" s="15">
        <f>IF(H659&lt;&gt;"",EXP(-Formula!$C$28*(EOMONTH(H659,0)-H659)),EXP(-Formula!$C$28*(EOMONTH(D659,0)-D659)))</f>
        <v>0.5769498104</v>
      </c>
      <c r="T659" s="15">
        <f t="shared" si="3"/>
        <v>0.3333333333</v>
      </c>
      <c r="U659" s="15">
        <f t="shared" si="4"/>
        <v>0.05583385262</v>
      </c>
      <c r="V659" s="16">
        <f>IF(AND(L659="Among all respondents",NOT(OR(K659="Online poll in Telegram channel",K659="Website online poll",K659="CAWI (Computer Assisted Web Interviewing)"))),1/(1-MIN(MAX(Formula!$C$33+(YEAR(D659)-Formula!$C$34)/(Formula!$C$35-Formula!$C$34)*(Formula!$C$32-Formula!$C$33),Formula!$C$33),Formula!$C$32)),1)</f>
        <v>1.052631579</v>
      </c>
      <c r="W659" s="17">
        <f t="shared" si="5"/>
        <v>2.105263158</v>
      </c>
    </row>
    <row r="660" ht="15.75" customHeight="1">
      <c r="A660" s="8" t="s">
        <v>1258</v>
      </c>
      <c r="B660" s="7" t="s">
        <v>1251</v>
      </c>
      <c r="C660" s="13" t="s">
        <v>1252</v>
      </c>
      <c r="D660" s="7" t="s">
        <v>131</v>
      </c>
      <c r="E660" s="8" t="s">
        <v>27</v>
      </c>
      <c r="F660" s="8" t="s">
        <v>318</v>
      </c>
      <c r="G660" s="7" t="s">
        <v>1253</v>
      </c>
      <c r="H660" s="7" t="s">
        <v>1254</v>
      </c>
      <c r="I660" s="8">
        <v>1034.0</v>
      </c>
      <c r="J660" s="8">
        <v>3.1</v>
      </c>
      <c r="K660" s="8" t="s">
        <v>321</v>
      </c>
      <c r="L660" s="8" t="s">
        <v>373</v>
      </c>
      <c r="M660" s="8" t="s">
        <v>339</v>
      </c>
      <c r="N660" s="8">
        <v>1.0</v>
      </c>
      <c r="O660" s="14">
        <f t="shared" si="1"/>
        <v>44652</v>
      </c>
      <c r="P660" s="15">
        <f>IFERROR(VLOOKUP(K660,Formula!$A$11:$B$20,2,FALSE),Formula!$C$26)</f>
        <v>0.9</v>
      </c>
      <c r="Q660" s="15">
        <f>IF(AND(ISNUMBER(J660),J660&gt;0),1/J660,IF(AND(ISNUMBER(I660),I660&gt;0),SQRT(MIN(I660,Formula!$C$27))/Formula!$C$24,1/Formula!$C$25))</f>
        <v>0.3225806452</v>
      </c>
      <c r="R660" s="15">
        <f t="shared" si="2"/>
        <v>0.2903225806</v>
      </c>
      <c r="S660" s="15">
        <f>IF(H660&lt;&gt;"",EXP(-Formula!$C$28*(EOMONTH(H660,0)-H660)),EXP(-Formula!$C$28*(EOMONTH(D660,0)-D660)))</f>
        <v>0.5769498104</v>
      </c>
      <c r="T660" s="15">
        <f t="shared" si="3"/>
        <v>0.3333333333</v>
      </c>
      <c r="U660" s="15">
        <f t="shared" si="4"/>
        <v>0.05583385262</v>
      </c>
      <c r="V660" s="16">
        <f>IF(AND(L660="Among all respondents",NOT(OR(K660="Online poll in Telegram channel",K660="Website online poll",K660="CAWI (Computer Assisted Web Interviewing)"))),1/(1-MIN(MAX(Formula!$C$33+(YEAR(D660)-Formula!$C$34)/(Formula!$C$35-Formula!$C$34)*(Formula!$C$32-Formula!$C$33),Formula!$C$33),Formula!$C$32)),1)</f>
        <v>1.052631579</v>
      </c>
      <c r="W660" s="17">
        <f t="shared" si="5"/>
        <v>1.052631579</v>
      </c>
    </row>
    <row r="661" ht="15.75" customHeight="1">
      <c r="A661" s="8" t="s">
        <v>1259</v>
      </c>
      <c r="B661" s="7" t="s">
        <v>1251</v>
      </c>
      <c r="C661" s="13" t="s">
        <v>1252</v>
      </c>
      <c r="D661" s="7" t="s">
        <v>131</v>
      </c>
      <c r="E661" s="8" t="s">
        <v>27</v>
      </c>
      <c r="F661" s="8" t="s">
        <v>318</v>
      </c>
      <c r="G661" s="7" t="s">
        <v>1253</v>
      </c>
      <c r="H661" s="7" t="s">
        <v>1254</v>
      </c>
      <c r="I661" s="8">
        <v>1034.0</v>
      </c>
      <c r="J661" s="8">
        <v>3.1</v>
      </c>
      <c r="K661" s="8" t="s">
        <v>321</v>
      </c>
      <c r="L661" s="8" t="s">
        <v>373</v>
      </c>
      <c r="M661" s="8" t="s">
        <v>337</v>
      </c>
      <c r="N661" s="8">
        <v>1.0</v>
      </c>
      <c r="O661" s="14">
        <f t="shared" si="1"/>
        <v>44652</v>
      </c>
      <c r="P661" s="15">
        <f>IFERROR(VLOOKUP(K661,Formula!$A$11:$B$20,2,FALSE),Formula!$C$26)</f>
        <v>0.9</v>
      </c>
      <c r="Q661" s="15">
        <f>IF(AND(ISNUMBER(J661),J661&gt;0),1/J661,IF(AND(ISNUMBER(I661),I661&gt;0),SQRT(MIN(I661,Formula!$C$27))/Formula!$C$24,1/Formula!$C$25))</f>
        <v>0.3225806452</v>
      </c>
      <c r="R661" s="15">
        <f t="shared" si="2"/>
        <v>0.2903225806</v>
      </c>
      <c r="S661" s="15">
        <f>IF(H661&lt;&gt;"",EXP(-Formula!$C$28*(EOMONTH(H661,0)-H661)),EXP(-Formula!$C$28*(EOMONTH(D661,0)-D661)))</f>
        <v>0.5769498104</v>
      </c>
      <c r="T661" s="15">
        <f t="shared" si="3"/>
        <v>0.3333333333</v>
      </c>
      <c r="U661" s="15">
        <f t="shared" si="4"/>
        <v>0.05583385262</v>
      </c>
      <c r="V661" s="16">
        <f>IF(AND(L661="Among all respondents",NOT(OR(K661="Online poll in Telegram channel",K661="Website online poll",K661="CAWI (Computer Assisted Web Interviewing)"))),1/(1-MIN(MAX(Formula!$C$33+(YEAR(D661)-Formula!$C$34)/(Formula!$C$35-Formula!$C$34)*(Formula!$C$32-Formula!$C$33),Formula!$C$33),Formula!$C$32)),1)</f>
        <v>1.052631579</v>
      </c>
      <c r="W661" s="17">
        <f t="shared" si="5"/>
        <v>1.052631579</v>
      </c>
    </row>
    <row r="662" ht="15.75" customHeight="1">
      <c r="A662" s="8" t="s">
        <v>1260</v>
      </c>
      <c r="B662" s="7" t="s">
        <v>1251</v>
      </c>
      <c r="C662" s="13" t="s">
        <v>1252</v>
      </c>
      <c r="D662" s="7" t="s">
        <v>131</v>
      </c>
      <c r="E662" s="8" t="s">
        <v>27</v>
      </c>
      <c r="F662" s="8" t="s">
        <v>318</v>
      </c>
      <c r="G662" s="7" t="s">
        <v>1253</v>
      </c>
      <c r="H662" s="7" t="s">
        <v>1254</v>
      </c>
      <c r="I662" s="8">
        <v>1034.0</v>
      </c>
      <c r="J662" s="8">
        <v>3.1</v>
      </c>
      <c r="K662" s="8" t="s">
        <v>321</v>
      </c>
      <c r="L662" s="8" t="s">
        <v>373</v>
      </c>
      <c r="M662" s="8" t="s">
        <v>1153</v>
      </c>
      <c r="N662" s="8">
        <v>1.0</v>
      </c>
      <c r="O662" s="14">
        <f t="shared" si="1"/>
        <v>44652</v>
      </c>
      <c r="P662" s="15">
        <f>IFERROR(VLOOKUP(K662,Formula!$A$11:$B$20,2,FALSE),Formula!$C$26)</f>
        <v>0.9</v>
      </c>
      <c r="Q662" s="15">
        <f>IF(AND(ISNUMBER(J662),J662&gt;0),1/J662,IF(AND(ISNUMBER(I662),I662&gt;0),SQRT(MIN(I662,Formula!$C$27))/Formula!$C$24,1/Formula!$C$25))</f>
        <v>0.3225806452</v>
      </c>
      <c r="R662" s="15">
        <f t="shared" si="2"/>
        <v>0.2903225806</v>
      </c>
      <c r="S662" s="15">
        <f>IF(H662&lt;&gt;"",EXP(-Formula!$C$28*(EOMONTH(H662,0)-H662)),EXP(-Formula!$C$28*(EOMONTH(D662,0)-D662)))</f>
        <v>0.5769498104</v>
      </c>
      <c r="T662" s="15">
        <f t="shared" si="3"/>
        <v>0.3333333333</v>
      </c>
      <c r="U662" s="15">
        <f t="shared" si="4"/>
        <v>0.05583385262</v>
      </c>
      <c r="V662" s="16">
        <f>IF(AND(L662="Among all respondents",NOT(OR(K662="Online poll in Telegram channel",K662="Website online poll",K662="CAWI (Computer Assisted Web Interviewing)"))),1/(1-MIN(MAX(Formula!$C$33+(YEAR(D662)-Formula!$C$34)/(Formula!$C$35-Formula!$C$34)*(Formula!$C$32-Formula!$C$33),Formula!$C$33),Formula!$C$32)),1)</f>
        <v>1.052631579</v>
      </c>
      <c r="W662" s="17">
        <f t="shared" si="5"/>
        <v>1.052631579</v>
      </c>
    </row>
    <row r="663" ht="15.75" customHeight="1">
      <c r="A663" s="8" t="s">
        <v>1261</v>
      </c>
      <c r="B663" s="7" t="s">
        <v>1251</v>
      </c>
      <c r="C663" s="13" t="s">
        <v>1252</v>
      </c>
      <c r="D663" s="7" t="s">
        <v>131</v>
      </c>
      <c r="E663" s="8" t="s">
        <v>27</v>
      </c>
      <c r="F663" s="8" t="s">
        <v>318</v>
      </c>
      <c r="G663" s="7" t="s">
        <v>1253</v>
      </c>
      <c r="H663" s="7" t="s">
        <v>1254</v>
      </c>
      <c r="I663" s="8">
        <v>1034.0</v>
      </c>
      <c r="J663" s="8">
        <v>3.1</v>
      </c>
      <c r="K663" s="8" t="s">
        <v>321</v>
      </c>
      <c r="L663" s="8" t="s">
        <v>373</v>
      </c>
      <c r="M663" s="8" t="s">
        <v>343</v>
      </c>
      <c r="N663" s="8">
        <v>1.0</v>
      </c>
      <c r="O663" s="14">
        <f t="shared" si="1"/>
        <v>44652</v>
      </c>
      <c r="P663" s="15">
        <f>IFERROR(VLOOKUP(K663,Formula!$A$11:$B$20,2,FALSE),Formula!$C$26)</f>
        <v>0.9</v>
      </c>
      <c r="Q663" s="15">
        <f>IF(AND(ISNUMBER(J663),J663&gt;0),1/J663,IF(AND(ISNUMBER(I663),I663&gt;0),SQRT(MIN(I663,Formula!$C$27))/Formula!$C$24,1/Formula!$C$25))</f>
        <v>0.3225806452</v>
      </c>
      <c r="R663" s="15">
        <f t="shared" si="2"/>
        <v>0.2903225806</v>
      </c>
      <c r="S663" s="15">
        <f>IF(H663&lt;&gt;"",EXP(-Formula!$C$28*(EOMONTH(H663,0)-H663)),EXP(-Formula!$C$28*(EOMONTH(D663,0)-D663)))</f>
        <v>0.5769498104</v>
      </c>
      <c r="T663" s="15">
        <f t="shared" si="3"/>
        <v>0.3333333333</v>
      </c>
      <c r="U663" s="15">
        <f t="shared" si="4"/>
        <v>0.05583385262</v>
      </c>
      <c r="V663" s="16">
        <f>IF(AND(L663="Among all respondents",NOT(OR(K663="Online poll in Telegram channel",K663="Website online poll",K663="CAWI (Computer Assisted Web Interviewing)"))),1/(1-MIN(MAX(Formula!$C$33+(YEAR(D663)-Formula!$C$34)/(Formula!$C$35-Formula!$C$34)*(Formula!$C$32-Formula!$C$33),Formula!$C$33),Formula!$C$32)),1)</f>
        <v>1.052631579</v>
      </c>
      <c r="W663" s="17">
        <f t="shared" si="5"/>
        <v>1.052631579</v>
      </c>
    </row>
    <row r="664" ht="15.75" customHeight="1">
      <c r="A664" s="8" t="s">
        <v>1262</v>
      </c>
      <c r="B664" s="7" t="s">
        <v>1251</v>
      </c>
      <c r="C664" s="13" t="s">
        <v>1252</v>
      </c>
      <c r="D664" s="7" t="s">
        <v>131</v>
      </c>
      <c r="E664" s="8" t="s">
        <v>27</v>
      </c>
      <c r="F664" s="8" t="s">
        <v>318</v>
      </c>
      <c r="G664" s="7" t="s">
        <v>1253</v>
      </c>
      <c r="H664" s="7" t="s">
        <v>1254</v>
      </c>
      <c r="I664" s="8">
        <v>1034.0</v>
      </c>
      <c r="J664" s="8">
        <v>3.1</v>
      </c>
      <c r="K664" s="8" t="s">
        <v>321</v>
      </c>
      <c r="L664" s="8" t="s">
        <v>373</v>
      </c>
      <c r="M664" s="8" t="s">
        <v>365</v>
      </c>
      <c r="N664" s="8">
        <v>1.0</v>
      </c>
      <c r="O664" s="14">
        <f t="shared" si="1"/>
        <v>44652</v>
      </c>
      <c r="P664" s="15">
        <f>IFERROR(VLOOKUP(K664,Formula!$A$11:$B$20,2,FALSE),Formula!$C$26)</f>
        <v>0.9</v>
      </c>
      <c r="Q664" s="15">
        <f>IF(AND(ISNUMBER(J664),J664&gt;0),1/J664,IF(AND(ISNUMBER(I664),I664&gt;0),SQRT(MIN(I664,Formula!$C$27))/Formula!$C$24,1/Formula!$C$25))</f>
        <v>0.3225806452</v>
      </c>
      <c r="R664" s="15">
        <f t="shared" si="2"/>
        <v>0.2903225806</v>
      </c>
      <c r="S664" s="15">
        <f>IF(H664&lt;&gt;"",EXP(-Formula!$C$28*(EOMONTH(H664,0)-H664)),EXP(-Formula!$C$28*(EOMONTH(D664,0)-D664)))</f>
        <v>0.5769498104</v>
      </c>
      <c r="T664" s="15">
        <f t="shared" si="3"/>
        <v>0.3333333333</v>
      </c>
      <c r="U664" s="15">
        <f t="shared" si="4"/>
        <v>0.05583385262</v>
      </c>
      <c r="V664" s="16">
        <f>IF(AND(L664="Among all respondents",NOT(OR(K664="Online poll in Telegram channel",K664="Website online poll",K664="CAWI (Computer Assisted Web Interviewing)"))),1/(1-MIN(MAX(Formula!$C$33+(YEAR(D664)-Formula!$C$34)/(Formula!$C$35-Formula!$C$34)*(Formula!$C$32-Formula!$C$33),Formula!$C$33),Formula!$C$32)),1)</f>
        <v>1.052631579</v>
      </c>
      <c r="W664" s="17">
        <f t="shared" si="5"/>
        <v>1.052631579</v>
      </c>
    </row>
    <row r="665" ht="15.75" customHeight="1">
      <c r="A665" s="8" t="s">
        <v>1263</v>
      </c>
      <c r="B665" s="7" t="s">
        <v>1264</v>
      </c>
      <c r="C665" s="13" t="s">
        <v>1265</v>
      </c>
      <c r="D665" s="7" t="s">
        <v>132</v>
      </c>
      <c r="E665" s="8" t="s">
        <v>27</v>
      </c>
      <c r="F665" s="8" t="s">
        <v>318</v>
      </c>
      <c r="G665" s="7" t="s">
        <v>1266</v>
      </c>
      <c r="H665" s="7" t="s">
        <v>1267</v>
      </c>
      <c r="I665" s="8">
        <v>1000.0</v>
      </c>
      <c r="J665" s="8">
        <v>3.1</v>
      </c>
      <c r="K665" s="8" t="s">
        <v>321</v>
      </c>
      <c r="L665" s="8" t="s">
        <v>322</v>
      </c>
      <c r="M665" s="8" t="s">
        <v>323</v>
      </c>
      <c r="N665" s="8">
        <v>81.3</v>
      </c>
      <c r="O665" s="14">
        <f t="shared" si="1"/>
        <v>44621</v>
      </c>
      <c r="P665" s="15">
        <f>IFERROR(VLOOKUP(K665,Formula!$A$11:$B$20,2,FALSE),Formula!$C$26)</f>
        <v>0.9</v>
      </c>
      <c r="Q665" s="15">
        <f>IF(AND(ISNUMBER(J665),J665&gt;0),1/J665,IF(AND(ISNUMBER(I665),I665&gt;0),SQRT(MIN(I665,Formula!$C$27))/Formula!$C$24,1/Formula!$C$25))</f>
        <v>0.3225806452</v>
      </c>
      <c r="R665" s="15">
        <f t="shared" si="2"/>
        <v>0.2903225806</v>
      </c>
      <c r="S665" s="15">
        <f>IF(H665&lt;&gt;"",EXP(-Formula!$C$28*(EOMONTH(H665,0)-H665)),EXP(-Formula!$C$28*(EOMONTH(D665,0)-D665)))</f>
        <v>0.8607079764</v>
      </c>
      <c r="T665" s="15">
        <f t="shared" si="3"/>
        <v>0.2773500981</v>
      </c>
      <c r="U665" s="15">
        <f t="shared" si="4"/>
        <v>0.06930506372</v>
      </c>
      <c r="V665" s="16">
        <f>IF(AND(L665="Among all respondents",NOT(OR(K665="Online poll in Telegram channel",K665="Website online poll",K665="CAWI (Computer Assisted Web Interviewing)"))),1/(1-MIN(MAX(Formula!$C$33+(YEAR(D665)-Formula!$C$34)/(Formula!$C$35-Formula!$C$34)*(Formula!$C$32-Formula!$C$33),Formula!$C$33),Formula!$C$32)),1)</f>
        <v>1</v>
      </c>
      <c r="W665" s="17">
        <f t="shared" si="5"/>
        <v>81.3</v>
      </c>
    </row>
    <row r="666" ht="15.75" customHeight="1">
      <c r="A666" s="8" t="s">
        <v>1268</v>
      </c>
      <c r="B666" s="7" t="s">
        <v>1264</v>
      </c>
      <c r="C666" s="13" t="s">
        <v>1265</v>
      </c>
      <c r="D666" s="7" t="s">
        <v>132</v>
      </c>
      <c r="E666" s="8" t="s">
        <v>27</v>
      </c>
      <c r="F666" s="8" t="s">
        <v>318</v>
      </c>
      <c r="G666" s="7" t="s">
        <v>1266</v>
      </c>
      <c r="H666" s="7" t="s">
        <v>1267</v>
      </c>
      <c r="I666" s="8">
        <v>1000.0</v>
      </c>
      <c r="J666" s="8">
        <v>3.1</v>
      </c>
      <c r="K666" s="8" t="s">
        <v>321</v>
      </c>
      <c r="L666" s="8" t="s">
        <v>322</v>
      </c>
      <c r="M666" s="8" t="s">
        <v>329</v>
      </c>
      <c r="N666" s="8">
        <v>5.9</v>
      </c>
      <c r="O666" s="14">
        <f t="shared" si="1"/>
        <v>44621</v>
      </c>
      <c r="P666" s="15">
        <f>IFERROR(VLOOKUP(K666,Formula!$A$11:$B$20,2,FALSE),Formula!$C$26)</f>
        <v>0.9</v>
      </c>
      <c r="Q666" s="15">
        <f>IF(AND(ISNUMBER(J666),J666&gt;0),1/J666,IF(AND(ISNUMBER(I666),I666&gt;0),SQRT(MIN(I666,Formula!$C$27))/Formula!$C$24,1/Formula!$C$25))</f>
        <v>0.3225806452</v>
      </c>
      <c r="R666" s="15">
        <f t="shared" si="2"/>
        <v>0.2903225806</v>
      </c>
      <c r="S666" s="15">
        <f>IF(H666&lt;&gt;"",EXP(-Formula!$C$28*(EOMONTH(H666,0)-H666)),EXP(-Formula!$C$28*(EOMONTH(D666,0)-D666)))</f>
        <v>0.8607079764</v>
      </c>
      <c r="T666" s="15">
        <f t="shared" si="3"/>
        <v>0.2773500981</v>
      </c>
      <c r="U666" s="15">
        <f t="shared" si="4"/>
        <v>0.06930506372</v>
      </c>
      <c r="V666" s="16">
        <f>IF(AND(L666="Among all respondents",NOT(OR(K666="Online poll in Telegram channel",K666="Website online poll",K666="CAWI (Computer Assisted Web Interviewing)"))),1/(1-MIN(MAX(Formula!$C$33+(YEAR(D666)-Formula!$C$34)/(Formula!$C$35-Formula!$C$34)*(Formula!$C$32-Formula!$C$33),Formula!$C$33),Formula!$C$32)),1)</f>
        <v>1</v>
      </c>
      <c r="W666" s="17">
        <f t="shared" si="5"/>
        <v>5.9</v>
      </c>
    </row>
    <row r="667" ht="15.75" customHeight="1">
      <c r="A667" s="8" t="s">
        <v>1269</v>
      </c>
      <c r="B667" s="7" t="s">
        <v>1264</v>
      </c>
      <c r="C667" s="13" t="s">
        <v>1265</v>
      </c>
      <c r="D667" s="7" t="s">
        <v>132</v>
      </c>
      <c r="E667" s="8" t="s">
        <v>27</v>
      </c>
      <c r="F667" s="8" t="s">
        <v>318</v>
      </c>
      <c r="G667" s="7" t="s">
        <v>1266</v>
      </c>
      <c r="H667" s="7" t="s">
        <v>1267</v>
      </c>
      <c r="I667" s="8">
        <v>1000.0</v>
      </c>
      <c r="J667" s="8">
        <v>3.1</v>
      </c>
      <c r="K667" s="8" t="s">
        <v>321</v>
      </c>
      <c r="L667" s="8" t="s">
        <v>322</v>
      </c>
      <c r="M667" s="8" t="s">
        <v>337</v>
      </c>
      <c r="N667" s="8">
        <v>2.2</v>
      </c>
      <c r="O667" s="14">
        <f t="shared" si="1"/>
        <v>44621</v>
      </c>
      <c r="P667" s="15">
        <f>IFERROR(VLOOKUP(K667,Formula!$A$11:$B$20,2,FALSE),Formula!$C$26)</f>
        <v>0.9</v>
      </c>
      <c r="Q667" s="15">
        <f>IF(AND(ISNUMBER(J667),J667&gt;0),1/J667,IF(AND(ISNUMBER(I667),I667&gt;0),SQRT(MIN(I667,Formula!$C$27))/Formula!$C$24,1/Formula!$C$25))</f>
        <v>0.3225806452</v>
      </c>
      <c r="R667" s="15">
        <f t="shared" si="2"/>
        <v>0.2903225806</v>
      </c>
      <c r="S667" s="15">
        <f>IF(H667&lt;&gt;"",EXP(-Formula!$C$28*(EOMONTH(H667,0)-H667)),EXP(-Formula!$C$28*(EOMONTH(D667,0)-D667)))</f>
        <v>0.8607079764</v>
      </c>
      <c r="T667" s="15">
        <f t="shared" si="3"/>
        <v>0.2773500981</v>
      </c>
      <c r="U667" s="15">
        <f t="shared" si="4"/>
        <v>0.06930506372</v>
      </c>
      <c r="V667" s="16">
        <f>IF(AND(L667="Among all respondents",NOT(OR(K667="Online poll in Telegram channel",K667="Website online poll",K667="CAWI (Computer Assisted Web Interviewing)"))),1/(1-MIN(MAX(Formula!$C$33+(YEAR(D667)-Formula!$C$34)/(Formula!$C$35-Formula!$C$34)*(Formula!$C$32-Formula!$C$33),Formula!$C$33),Formula!$C$32)),1)</f>
        <v>1</v>
      </c>
      <c r="W667" s="17">
        <f t="shared" si="5"/>
        <v>2.2</v>
      </c>
    </row>
    <row r="668" ht="15.75" customHeight="1">
      <c r="A668" s="8" t="s">
        <v>1270</v>
      </c>
      <c r="B668" s="7" t="s">
        <v>1264</v>
      </c>
      <c r="C668" s="13" t="s">
        <v>1265</v>
      </c>
      <c r="D668" s="7" t="s">
        <v>132</v>
      </c>
      <c r="E668" s="8" t="s">
        <v>27</v>
      </c>
      <c r="F668" s="8" t="s">
        <v>318</v>
      </c>
      <c r="G668" s="7" t="s">
        <v>1266</v>
      </c>
      <c r="H668" s="7" t="s">
        <v>1267</v>
      </c>
      <c r="I668" s="8">
        <v>1000.0</v>
      </c>
      <c r="J668" s="8">
        <v>3.1</v>
      </c>
      <c r="K668" s="8" t="s">
        <v>321</v>
      </c>
      <c r="L668" s="8" t="s">
        <v>322</v>
      </c>
      <c r="M668" s="8" t="s">
        <v>828</v>
      </c>
      <c r="N668" s="8">
        <v>2.1</v>
      </c>
      <c r="O668" s="14">
        <f t="shared" si="1"/>
        <v>44621</v>
      </c>
      <c r="P668" s="15">
        <f>IFERROR(VLOOKUP(K668,Formula!$A$11:$B$20,2,FALSE),Formula!$C$26)</f>
        <v>0.9</v>
      </c>
      <c r="Q668" s="15">
        <f>IF(AND(ISNUMBER(J668),J668&gt;0),1/J668,IF(AND(ISNUMBER(I668),I668&gt;0),SQRT(MIN(I668,Formula!$C$27))/Formula!$C$24,1/Formula!$C$25))</f>
        <v>0.3225806452</v>
      </c>
      <c r="R668" s="15">
        <f t="shared" si="2"/>
        <v>0.2903225806</v>
      </c>
      <c r="S668" s="15">
        <f>IF(H668&lt;&gt;"",EXP(-Formula!$C$28*(EOMONTH(H668,0)-H668)),EXP(-Formula!$C$28*(EOMONTH(D668,0)-D668)))</f>
        <v>0.8607079764</v>
      </c>
      <c r="T668" s="15">
        <f t="shared" si="3"/>
        <v>0.2773500981</v>
      </c>
      <c r="U668" s="15">
        <f t="shared" si="4"/>
        <v>0.06930506372</v>
      </c>
      <c r="V668" s="16">
        <f>IF(AND(L668="Among all respondents",NOT(OR(K668="Online poll in Telegram channel",K668="Website online poll",K668="CAWI (Computer Assisted Web Interviewing)"))),1/(1-MIN(MAX(Formula!$C$33+(YEAR(D668)-Formula!$C$34)/(Formula!$C$35-Formula!$C$34)*(Formula!$C$32-Formula!$C$33),Formula!$C$33),Formula!$C$32)),1)</f>
        <v>1</v>
      </c>
      <c r="W668" s="17">
        <f t="shared" si="5"/>
        <v>2.1</v>
      </c>
    </row>
    <row r="669" ht="15.75" customHeight="1">
      <c r="A669" s="8" t="s">
        <v>1271</v>
      </c>
      <c r="B669" s="7" t="s">
        <v>1264</v>
      </c>
      <c r="C669" s="13" t="s">
        <v>1265</v>
      </c>
      <c r="D669" s="7" t="s">
        <v>132</v>
      </c>
      <c r="E669" s="8" t="s">
        <v>27</v>
      </c>
      <c r="F669" s="8" t="s">
        <v>318</v>
      </c>
      <c r="G669" s="7" t="s">
        <v>1266</v>
      </c>
      <c r="H669" s="7" t="s">
        <v>1267</v>
      </c>
      <c r="I669" s="8">
        <v>1000.0</v>
      </c>
      <c r="J669" s="8">
        <v>3.1</v>
      </c>
      <c r="K669" s="8" t="s">
        <v>321</v>
      </c>
      <c r="L669" s="8" t="s">
        <v>322</v>
      </c>
      <c r="M669" s="8" t="s">
        <v>339</v>
      </c>
      <c r="N669" s="8">
        <v>2.0</v>
      </c>
      <c r="O669" s="14">
        <f t="shared" si="1"/>
        <v>44621</v>
      </c>
      <c r="P669" s="15">
        <f>IFERROR(VLOOKUP(K669,Formula!$A$11:$B$20,2,FALSE),Formula!$C$26)</f>
        <v>0.9</v>
      </c>
      <c r="Q669" s="15">
        <f>IF(AND(ISNUMBER(J669),J669&gt;0),1/J669,IF(AND(ISNUMBER(I669),I669&gt;0),SQRT(MIN(I669,Formula!$C$27))/Formula!$C$24,1/Formula!$C$25))</f>
        <v>0.3225806452</v>
      </c>
      <c r="R669" s="15">
        <f t="shared" si="2"/>
        <v>0.2903225806</v>
      </c>
      <c r="S669" s="15">
        <f>IF(H669&lt;&gt;"",EXP(-Formula!$C$28*(EOMONTH(H669,0)-H669)),EXP(-Formula!$C$28*(EOMONTH(D669,0)-D669)))</f>
        <v>0.8607079764</v>
      </c>
      <c r="T669" s="15">
        <f t="shared" si="3"/>
        <v>0.2773500981</v>
      </c>
      <c r="U669" s="15">
        <f t="shared" si="4"/>
        <v>0.06930506372</v>
      </c>
      <c r="V669" s="16">
        <f>IF(AND(L669="Among all respondents",NOT(OR(K669="Online poll in Telegram channel",K669="Website online poll",K669="CAWI (Computer Assisted Web Interviewing)"))),1/(1-MIN(MAX(Formula!$C$33+(YEAR(D669)-Formula!$C$34)/(Formula!$C$35-Formula!$C$34)*(Formula!$C$32-Formula!$C$33),Formula!$C$33),Formula!$C$32)),1)</f>
        <v>1</v>
      </c>
      <c r="W669" s="17">
        <f t="shared" si="5"/>
        <v>2</v>
      </c>
    </row>
    <row r="670" ht="15.75" customHeight="1">
      <c r="A670" s="8" t="s">
        <v>1272</v>
      </c>
      <c r="B670" s="7" t="s">
        <v>1264</v>
      </c>
      <c r="C670" s="13" t="s">
        <v>1265</v>
      </c>
      <c r="D670" s="7" t="s">
        <v>132</v>
      </c>
      <c r="E670" s="8" t="s">
        <v>27</v>
      </c>
      <c r="F670" s="8" t="s">
        <v>318</v>
      </c>
      <c r="G670" s="7" t="s">
        <v>1266</v>
      </c>
      <c r="H670" s="7" t="s">
        <v>1267</v>
      </c>
      <c r="I670" s="8">
        <v>1000.0</v>
      </c>
      <c r="J670" s="8">
        <v>3.1</v>
      </c>
      <c r="K670" s="8" t="s">
        <v>321</v>
      </c>
      <c r="L670" s="8" t="s">
        <v>322</v>
      </c>
      <c r="M670" s="8" t="s">
        <v>365</v>
      </c>
      <c r="N670" s="8">
        <v>1.6</v>
      </c>
      <c r="O670" s="14">
        <f t="shared" si="1"/>
        <v>44621</v>
      </c>
      <c r="P670" s="15">
        <f>IFERROR(VLOOKUP(K670,Formula!$A$11:$B$20,2,FALSE),Formula!$C$26)</f>
        <v>0.9</v>
      </c>
      <c r="Q670" s="15">
        <f>IF(AND(ISNUMBER(J670),J670&gt;0),1/J670,IF(AND(ISNUMBER(I670),I670&gt;0),SQRT(MIN(I670,Formula!$C$27))/Formula!$C$24,1/Formula!$C$25))</f>
        <v>0.3225806452</v>
      </c>
      <c r="R670" s="15">
        <f t="shared" si="2"/>
        <v>0.2903225806</v>
      </c>
      <c r="S670" s="15">
        <f>IF(H670&lt;&gt;"",EXP(-Formula!$C$28*(EOMONTH(H670,0)-H670)),EXP(-Formula!$C$28*(EOMONTH(D670,0)-D670)))</f>
        <v>0.8607079764</v>
      </c>
      <c r="T670" s="15">
        <f t="shared" si="3"/>
        <v>0.2773500981</v>
      </c>
      <c r="U670" s="15">
        <f t="shared" si="4"/>
        <v>0.06930506372</v>
      </c>
      <c r="V670" s="16">
        <f>IF(AND(L670="Among all respondents",NOT(OR(K670="Online poll in Telegram channel",K670="Website online poll",K670="CAWI (Computer Assisted Web Interviewing)"))),1/(1-MIN(MAX(Formula!$C$33+(YEAR(D670)-Formula!$C$34)/(Formula!$C$35-Formula!$C$34)*(Formula!$C$32-Formula!$C$33),Formula!$C$33),Formula!$C$32)),1)</f>
        <v>1</v>
      </c>
      <c r="W670" s="17">
        <f t="shared" si="5"/>
        <v>1.6</v>
      </c>
    </row>
    <row r="671" ht="15.75" customHeight="1">
      <c r="A671" s="8" t="s">
        <v>1273</v>
      </c>
      <c r="B671" s="7" t="s">
        <v>1264</v>
      </c>
      <c r="C671" s="13" t="s">
        <v>1265</v>
      </c>
      <c r="D671" s="7" t="s">
        <v>132</v>
      </c>
      <c r="E671" s="8" t="s">
        <v>27</v>
      </c>
      <c r="F671" s="8" t="s">
        <v>318</v>
      </c>
      <c r="G671" s="7" t="s">
        <v>1266</v>
      </c>
      <c r="H671" s="7" t="s">
        <v>1267</v>
      </c>
      <c r="I671" s="8">
        <v>1000.0</v>
      </c>
      <c r="J671" s="8">
        <v>3.1</v>
      </c>
      <c r="K671" s="8" t="s">
        <v>321</v>
      </c>
      <c r="L671" s="8" t="s">
        <v>322</v>
      </c>
      <c r="M671" s="8" t="s">
        <v>333</v>
      </c>
      <c r="N671" s="8">
        <v>1.2</v>
      </c>
      <c r="O671" s="14">
        <f t="shared" si="1"/>
        <v>44621</v>
      </c>
      <c r="P671" s="15">
        <f>IFERROR(VLOOKUP(K671,Formula!$A$11:$B$20,2,FALSE),Formula!$C$26)</f>
        <v>0.9</v>
      </c>
      <c r="Q671" s="15">
        <f>IF(AND(ISNUMBER(J671),J671&gt;0),1/J671,IF(AND(ISNUMBER(I671),I671&gt;0),SQRT(MIN(I671,Formula!$C$27))/Formula!$C$24,1/Formula!$C$25))</f>
        <v>0.3225806452</v>
      </c>
      <c r="R671" s="15">
        <f t="shared" si="2"/>
        <v>0.2903225806</v>
      </c>
      <c r="S671" s="15">
        <f>IF(H671&lt;&gt;"",EXP(-Formula!$C$28*(EOMONTH(H671,0)-H671)),EXP(-Formula!$C$28*(EOMONTH(D671,0)-D671)))</f>
        <v>0.8607079764</v>
      </c>
      <c r="T671" s="15">
        <f t="shared" si="3"/>
        <v>0.2773500981</v>
      </c>
      <c r="U671" s="15">
        <f t="shared" si="4"/>
        <v>0.06930506372</v>
      </c>
      <c r="V671" s="16">
        <f>IF(AND(L671="Among all respondents",NOT(OR(K671="Online poll in Telegram channel",K671="Website online poll",K671="CAWI (Computer Assisted Web Interviewing)"))),1/(1-MIN(MAX(Formula!$C$33+(YEAR(D671)-Formula!$C$34)/(Formula!$C$35-Formula!$C$34)*(Formula!$C$32-Formula!$C$33),Formula!$C$33),Formula!$C$32)),1)</f>
        <v>1</v>
      </c>
      <c r="W671" s="17">
        <f t="shared" si="5"/>
        <v>1.2</v>
      </c>
    </row>
    <row r="672" ht="15.75" customHeight="1">
      <c r="A672" s="8" t="s">
        <v>1274</v>
      </c>
      <c r="B672" s="7" t="s">
        <v>1264</v>
      </c>
      <c r="C672" s="13" t="s">
        <v>1265</v>
      </c>
      <c r="D672" s="7" t="s">
        <v>132</v>
      </c>
      <c r="E672" s="8" t="s">
        <v>27</v>
      </c>
      <c r="F672" s="8" t="s">
        <v>318</v>
      </c>
      <c r="G672" s="7" t="s">
        <v>1266</v>
      </c>
      <c r="H672" s="7" t="s">
        <v>1267</v>
      </c>
      <c r="I672" s="8">
        <v>1000.0</v>
      </c>
      <c r="J672" s="8">
        <v>3.1</v>
      </c>
      <c r="K672" s="8" t="s">
        <v>321</v>
      </c>
      <c r="L672" s="8" t="s">
        <v>322</v>
      </c>
      <c r="M672" s="8" t="s">
        <v>1153</v>
      </c>
      <c r="N672" s="8">
        <v>1.1</v>
      </c>
      <c r="O672" s="14">
        <f t="shared" si="1"/>
        <v>44621</v>
      </c>
      <c r="P672" s="15">
        <f>IFERROR(VLOOKUP(K672,Formula!$A$11:$B$20,2,FALSE),Formula!$C$26)</f>
        <v>0.9</v>
      </c>
      <c r="Q672" s="15">
        <f>IF(AND(ISNUMBER(J672),J672&gt;0),1/J672,IF(AND(ISNUMBER(I672),I672&gt;0),SQRT(MIN(I672,Formula!$C$27))/Formula!$C$24,1/Formula!$C$25))</f>
        <v>0.3225806452</v>
      </c>
      <c r="R672" s="15">
        <f t="shared" si="2"/>
        <v>0.2903225806</v>
      </c>
      <c r="S672" s="15">
        <f>IF(H672&lt;&gt;"",EXP(-Formula!$C$28*(EOMONTH(H672,0)-H672)),EXP(-Formula!$C$28*(EOMONTH(D672,0)-D672)))</f>
        <v>0.8607079764</v>
      </c>
      <c r="T672" s="15">
        <f t="shared" si="3"/>
        <v>0.2773500981</v>
      </c>
      <c r="U672" s="15">
        <f t="shared" si="4"/>
        <v>0.06930506372</v>
      </c>
      <c r="V672" s="16">
        <f>IF(AND(L672="Among all respondents",NOT(OR(K672="Online poll in Telegram channel",K672="Website online poll",K672="CAWI (Computer Assisted Web Interviewing)"))),1/(1-MIN(MAX(Formula!$C$33+(YEAR(D672)-Formula!$C$34)/(Formula!$C$35-Formula!$C$34)*(Formula!$C$32-Formula!$C$33),Formula!$C$33),Formula!$C$32)),1)</f>
        <v>1</v>
      </c>
      <c r="W672" s="17">
        <f t="shared" si="5"/>
        <v>1.1</v>
      </c>
    </row>
    <row r="673" ht="15.75" customHeight="1">
      <c r="A673" s="8" t="s">
        <v>1275</v>
      </c>
      <c r="B673" s="7" t="s">
        <v>1264</v>
      </c>
      <c r="C673" s="13" t="s">
        <v>1265</v>
      </c>
      <c r="D673" s="7" t="s">
        <v>132</v>
      </c>
      <c r="E673" s="8" t="s">
        <v>27</v>
      </c>
      <c r="F673" s="8" t="s">
        <v>318</v>
      </c>
      <c r="G673" s="7" t="s">
        <v>1266</v>
      </c>
      <c r="H673" s="7" t="s">
        <v>1267</v>
      </c>
      <c r="I673" s="8">
        <v>1000.0</v>
      </c>
      <c r="J673" s="8">
        <v>3.1</v>
      </c>
      <c r="K673" s="8" t="s">
        <v>321</v>
      </c>
      <c r="L673" s="8" t="s">
        <v>322</v>
      </c>
      <c r="M673" s="8" t="s">
        <v>386</v>
      </c>
      <c r="N673" s="8">
        <v>1.0</v>
      </c>
      <c r="O673" s="14">
        <f t="shared" si="1"/>
        <v>44621</v>
      </c>
      <c r="P673" s="15">
        <f>IFERROR(VLOOKUP(K673,Formula!$A$11:$B$20,2,FALSE),Formula!$C$26)</f>
        <v>0.9</v>
      </c>
      <c r="Q673" s="15">
        <f>IF(AND(ISNUMBER(J673),J673&gt;0),1/J673,IF(AND(ISNUMBER(I673),I673&gt;0),SQRT(MIN(I673,Formula!$C$27))/Formula!$C$24,1/Formula!$C$25))</f>
        <v>0.3225806452</v>
      </c>
      <c r="R673" s="15">
        <f t="shared" si="2"/>
        <v>0.2903225806</v>
      </c>
      <c r="S673" s="15">
        <f>IF(H673&lt;&gt;"",EXP(-Formula!$C$28*(EOMONTH(H673,0)-H673)),EXP(-Formula!$C$28*(EOMONTH(D673,0)-D673)))</f>
        <v>0.8607079764</v>
      </c>
      <c r="T673" s="15">
        <f t="shared" si="3"/>
        <v>0.2773500981</v>
      </c>
      <c r="U673" s="15">
        <f t="shared" si="4"/>
        <v>0.06930506372</v>
      </c>
      <c r="V673" s="16">
        <f>IF(AND(L673="Among all respondents",NOT(OR(K673="Online poll in Telegram channel",K673="Website online poll",K673="CAWI (Computer Assisted Web Interviewing)"))),1/(1-MIN(MAX(Formula!$C$33+(YEAR(D673)-Formula!$C$34)/(Formula!$C$35-Formula!$C$34)*(Formula!$C$32-Formula!$C$33),Formula!$C$33),Formula!$C$32)),1)</f>
        <v>1</v>
      </c>
      <c r="W673" s="17">
        <f t="shared" si="5"/>
        <v>1</v>
      </c>
    </row>
    <row r="674" ht="15.75" customHeight="1">
      <c r="A674" s="8" t="s">
        <v>1276</v>
      </c>
      <c r="B674" s="7" t="s">
        <v>1264</v>
      </c>
      <c r="C674" s="13" t="s">
        <v>1265</v>
      </c>
      <c r="D674" s="7" t="s">
        <v>132</v>
      </c>
      <c r="E674" s="8" t="s">
        <v>27</v>
      </c>
      <c r="F674" s="8" t="s">
        <v>318</v>
      </c>
      <c r="G674" s="7" t="s">
        <v>1266</v>
      </c>
      <c r="H674" s="7" t="s">
        <v>1267</v>
      </c>
      <c r="I674" s="8">
        <v>1000.0</v>
      </c>
      <c r="J674" s="8">
        <v>3.1</v>
      </c>
      <c r="K674" s="8" t="s">
        <v>321</v>
      </c>
      <c r="L674" s="8" t="s">
        <v>322</v>
      </c>
      <c r="M674" s="8" t="s">
        <v>343</v>
      </c>
      <c r="N674" s="8">
        <v>0.4</v>
      </c>
      <c r="O674" s="14">
        <f t="shared" si="1"/>
        <v>44621</v>
      </c>
      <c r="P674" s="15">
        <f>IFERROR(VLOOKUP(K674,Formula!$A$11:$B$20,2,FALSE),Formula!$C$26)</f>
        <v>0.9</v>
      </c>
      <c r="Q674" s="15">
        <f>IF(AND(ISNUMBER(J674),J674&gt;0),1/J674,IF(AND(ISNUMBER(I674),I674&gt;0),SQRT(MIN(I674,Formula!$C$27))/Formula!$C$24,1/Formula!$C$25))</f>
        <v>0.3225806452</v>
      </c>
      <c r="R674" s="15">
        <f t="shared" si="2"/>
        <v>0.2903225806</v>
      </c>
      <c r="S674" s="15">
        <f>IF(H674&lt;&gt;"",EXP(-Formula!$C$28*(EOMONTH(H674,0)-H674)),EXP(-Formula!$C$28*(EOMONTH(D674,0)-D674)))</f>
        <v>0.8607079764</v>
      </c>
      <c r="T674" s="15">
        <f t="shared" si="3"/>
        <v>0.2773500981</v>
      </c>
      <c r="U674" s="15">
        <f t="shared" si="4"/>
        <v>0.06930506372</v>
      </c>
      <c r="V674" s="16">
        <f>IF(AND(L674="Among all respondents",NOT(OR(K674="Online poll in Telegram channel",K674="Website online poll",K674="CAWI (Computer Assisted Web Interviewing)"))),1/(1-MIN(MAX(Formula!$C$33+(YEAR(D674)-Formula!$C$34)/(Formula!$C$35-Formula!$C$34)*(Formula!$C$32-Formula!$C$33),Formula!$C$33),Formula!$C$32)),1)</f>
        <v>1</v>
      </c>
      <c r="W674" s="17">
        <f t="shared" si="5"/>
        <v>0.4</v>
      </c>
    </row>
    <row r="675" ht="15.75" customHeight="1">
      <c r="A675" s="8" t="s">
        <v>1277</v>
      </c>
      <c r="B675" s="7" t="s">
        <v>1264</v>
      </c>
      <c r="C675" s="13" t="s">
        <v>1265</v>
      </c>
      <c r="D675" s="7" t="s">
        <v>132</v>
      </c>
      <c r="E675" s="8" t="s">
        <v>27</v>
      </c>
      <c r="F675" s="8" t="s">
        <v>318</v>
      </c>
      <c r="G675" s="7" t="s">
        <v>1266</v>
      </c>
      <c r="H675" s="7" t="s">
        <v>1267</v>
      </c>
      <c r="I675" s="8">
        <v>1000.0</v>
      </c>
      <c r="J675" s="8">
        <v>3.1</v>
      </c>
      <c r="K675" s="8" t="s">
        <v>321</v>
      </c>
      <c r="L675" s="8" t="s">
        <v>322</v>
      </c>
      <c r="M675" s="8" t="s">
        <v>345</v>
      </c>
      <c r="N675" s="8">
        <v>0.1</v>
      </c>
      <c r="O675" s="14">
        <f t="shared" si="1"/>
        <v>44621</v>
      </c>
      <c r="P675" s="15">
        <f>IFERROR(VLOOKUP(K675,Formula!$A$11:$B$20,2,FALSE),Formula!$C$26)</f>
        <v>0.9</v>
      </c>
      <c r="Q675" s="15">
        <f>IF(AND(ISNUMBER(J675),J675&gt;0),1/J675,IF(AND(ISNUMBER(I675),I675&gt;0),SQRT(MIN(I675,Formula!$C$27))/Formula!$C$24,1/Formula!$C$25))</f>
        <v>0.3225806452</v>
      </c>
      <c r="R675" s="15">
        <f t="shared" si="2"/>
        <v>0.2903225806</v>
      </c>
      <c r="S675" s="15">
        <f>IF(H675&lt;&gt;"",EXP(-Formula!$C$28*(EOMONTH(H675,0)-H675)),EXP(-Formula!$C$28*(EOMONTH(D675,0)-D675)))</f>
        <v>0.8607079764</v>
      </c>
      <c r="T675" s="15">
        <f t="shared" si="3"/>
        <v>0.2773500981</v>
      </c>
      <c r="U675" s="15">
        <f t="shared" si="4"/>
        <v>0.06930506372</v>
      </c>
      <c r="V675" s="16">
        <f>IF(AND(L675="Among all respondents",NOT(OR(K675="Online poll in Telegram channel",K675="Website online poll",K675="CAWI (Computer Assisted Web Interviewing)"))),1/(1-MIN(MAX(Formula!$C$33+(YEAR(D675)-Formula!$C$34)/(Formula!$C$35-Formula!$C$34)*(Formula!$C$32-Formula!$C$33),Formula!$C$33),Formula!$C$32)),1)</f>
        <v>1</v>
      </c>
      <c r="W675" s="17">
        <f t="shared" si="5"/>
        <v>0.1</v>
      </c>
    </row>
    <row r="676" ht="15.75" customHeight="1">
      <c r="A676" s="8" t="s">
        <v>1278</v>
      </c>
      <c r="B676" s="7" t="s">
        <v>1264</v>
      </c>
      <c r="C676" s="13" t="s">
        <v>1265</v>
      </c>
      <c r="D676" s="7" t="s">
        <v>132</v>
      </c>
      <c r="E676" s="8" t="s">
        <v>27</v>
      </c>
      <c r="F676" s="8" t="s">
        <v>318</v>
      </c>
      <c r="G676" s="7" t="s">
        <v>1266</v>
      </c>
      <c r="H676" s="7" t="s">
        <v>1267</v>
      </c>
      <c r="I676" s="8">
        <v>1000.0</v>
      </c>
      <c r="J676" s="8">
        <v>3.1</v>
      </c>
      <c r="K676" s="8" t="s">
        <v>321</v>
      </c>
      <c r="L676" s="8" t="s">
        <v>322</v>
      </c>
      <c r="M676" s="8" t="s">
        <v>388</v>
      </c>
      <c r="N676" s="8">
        <v>0.1</v>
      </c>
      <c r="O676" s="14">
        <f t="shared" si="1"/>
        <v>44621</v>
      </c>
      <c r="P676" s="15">
        <f>IFERROR(VLOOKUP(K676,Formula!$A$11:$B$20,2,FALSE),Formula!$C$26)</f>
        <v>0.9</v>
      </c>
      <c r="Q676" s="15">
        <f>IF(AND(ISNUMBER(J676),J676&gt;0),1/J676,IF(AND(ISNUMBER(I676),I676&gt;0),SQRT(MIN(I676,Formula!$C$27))/Formula!$C$24,1/Formula!$C$25))</f>
        <v>0.3225806452</v>
      </c>
      <c r="R676" s="15">
        <f t="shared" si="2"/>
        <v>0.2903225806</v>
      </c>
      <c r="S676" s="15">
        <f>IF(H676&lt;&gt;"",EXP(-Formula!$C$28*(EOMONTH(H676,0)-H676)),EXP(-Formula!$C$28*(EOMONTH(D676,0)-D676)))</f>
        <v>0.8607079764</v>
      </c>
      <c r="T676" s="15">
        <f t="shared" si="3"/>
        <v>0.2773500981</v>
      </c>
      <c r="U676" s="15">
        <f t="shared" si="4"/>
        <v>0.06930506372</v>
      </c>
      <c r="V676" s="16">
        <f>IF(AND(L676="Among all respondents",NOT(OR(K676="Online poll in Telegram channel",K676="Website online poll",K676="CAWI (Computer Assisted Web Interviewing)"))),1/(1-MIN(MAX(Formula!$C$33+(YEAR(D676)-Formula!$C$34)/(Formula!$C$35-Formula!$C$34)*(Formula!$C$32-Formula!$C$33),Formula!$C$33),Formula!$C$32)),1)</f>
        <v>1</v>
      </c>
      <c r="W676" s="17">
        <f t="shared" si="5"/>
        <v>0.1</v>
      </c>
    </row>
    <row r="677" ht="15.75" customHeight="1">
      <c r="A677" s="8" t="s">
        <v>1279</v>
      </c>
      <c r="B677" s="7" t="s">
        <v>1264</v>
      </c>
      <c r="C677" s="13" t="s">
        <v>1265</v>
      </c>
      <c r="D677" s="7" t="s">
        <v>132</v>
      </c>
      <c r="E677" s="8" t="s">
        <v>27</v>
      </c>
      <c r="F677" s="8" t="s">
        <v>318</v>
      </c>
      <c r="G677" s="7" t="s">
        <v>1266</v>
      </c>
      <c r="H677" s="7" t="s">
        <v>1267</v>
      </c>
      <c r="I677" s="8">
        <v>1000.0</v>
      </c>
      <c r="J677" s="8">
        <v>3.1</v>
      </c>
      <c r="K677" s="8" t="s">
        <v>321</v>
      </c>
      <c r="L677" s="8" t="s">
        <v>322</v>
      </c>
      <c r="M677" s="8" t="s">
        <v>1171</v>
      </c>
      <c r="N677" s="8">
        <v>0.1</v>
      </c>
      <c r="O677" s="14">
        <f t="shared" si="1"/>
        <v>44621</v>
      </c>
      <c r="P677" s="15">
        <f>IFERROR(VLOOKUP(K677,Formula!$A$11:$B$20,2,FALSE),Formula!$C$26)</f>
        <v>0.9</v>
      </c>
      <c r="Q677" s="15">
        <f>IF(AND(ISNUMBER(J677),J677&gt;0),1/J677,IF(AND(ISNUMBER(I677),I677&gt;0),SQRT(MIN(I677,Formula!$C$27))/Formula!$C$24,1/Formula!$C$25))</f>
        <v>0.3225806452</v>
      </c>
      <c r="R677" s="15">
        <f t="shared" si="2"/>
        <v>0.2903225806</v>
      </c>
      <c r="S677" s="15">
        <f>IF(H677&lt;&gt;"",EXP(-Formula!$C$28*(EOMONTH(H677,0)-H677)),EXP(-Formula!$C$28*(EOMONTH(D677,0)-D677)))</f>
        <v>0.8607079764</v>
      </c>
      <c r="T677" s="15">
        <f t="shared" si="3"/>
        <v>0.2773500981</v>
      </c>
      <c r="U677" s="15">
        <f t="shared" si="4"/>
        <v>0.06930506372</v>
      </c>
      <c r="V677" s="16">
        <f>IF(AND(L677="Among all respondents",NOT(OR(K677="Online poll in Telegram channel",K677="Website online poll",K677="CAWI (Computer Assisted Web Interviewing)"))),1/(1-MIN(MAX(Formula!$C$33+(YEAR(D677)-Formula!$C$34)/(Formula!$C$35-Formula!$C$34)*(Formula!$C$32-Formula!$C$33),Formula!$C$33),Formula!$C$32)),1)</f>
        <v>1</v>
      </c>
      <c r="W677" s="17">
        <f t="shared" si="5"/>
        <v>0.1</v>
      </c>
    </row>
    <row r="678" ht="15.75" customHeight="1">
      <c r="A678" s="8" t="s">
        <v>1280</v>
      </c>
      <c r="B678" s="7" t="s">
        <v>1281</v>
      </c>
      <c r="C678" s="13" t="s">
        <v>1282</v>
      </c>
      <c r="D678" s="7" t="s">
        <v>134</v>
      </c>
      <c r="E678" s="8" t="s">
        <v>138</v>
      </c>
      <c r="F678" s="8" t="s">
        <v>318</v>
      </c>
      <c r="G678" s="7" t="s">
        <v>1283</v>
      </c>
      <c r="H678" s="7" t="s">
        <v>1284</v>
      </c>
      <c r="I678" s="8">
        <v>2000.0</v>
      </c>
      <c r="J678" s="8">
        <v>2.3</v>
      </c>
      <c r="K678" s="8" t="s">
        <v>583</v>
      </c>
      <c r="L678" s="8" t="s">
        <v>322</v>
      </c>
      <c r="M678" s="8" t="s">
        <v>323</v>
      </c>
      <c r="N678" s="8">
        <v>26.7</v>
      </c>
      <c r="O678" s="14">
        <f t="shared" si="1"/>
        <v>44593</v>
      </c>
      <c r="P678" s="15">
        <f>IFERROR(VLOOKUP(K678,Formula!$A$11:$B$20,2,FALSE),Formula!$C$26)</f>
        <v>0.95</v>
      </c>
      <c r="Q678" s="15">
        <f>IF(AND(ISNUMBER(J678),J678&gt;0),1/J678,IF(AND(ISNUMBER(I678),I678&gt;0),SQRT(MIN(I678,Formula!$C$27))/Formula!$C$24,1/Formula!$C$25))</f>
        <v>0.4347826087</v>
      </c>
      <c r="R678" s="15">
        <f t="shared" si="2"/>
        <v>0.4130434783</v>
      </c>
      <c r="S678" s="15">
        <f>IF(H678&lt;&gt;"",EXP(-Formula!$C$28*(EOMONTH(H678,0)-H678)),EXP(-Formula!$C$28*(EOMONTH(D678,0)-D678)))</f>
        <v>0.6065306597</v>
      </c>
      <c r="T678" s="15">
        <f t="shared" si="3"/>
        <v>0.3535533906</v>
      </c>
      <c r="U678" s="15">
        <f t="shared" si="4"/>
        <v>0.08857344464</v>
      </c>
      <c r="V678" s="16">
        <f>IF(AND(L678="Among all respondents",NOT(OR(K678="Online poll in Telegram channel",K678="Website online poll",K678="CAWI (Computer Assisted Web Interviewing)"))),1/(1-MIN(MAX(Formula!$C$33+(YEAR(D678)-Formula!$C$34)/(Formula!$C$35-Formula!$C$34)*(Formula!$C$32-Formula!$C$33),Formula!$C$33),Formula!$C$32)),1)</f>
        <v>1</v>
      </c>
      <c r="W678" s="17">
        <f t="shared" si="5"/>
        <v>26.7</v>
      </c>
    </row>
    <row r="679" ht="15.75" customHeight="1">
      <c r="A679" s="8" t="s">
        <v>1285</v>
      </c>
      <c r="B679" s="7" t="s">
        <v>1281</v>
      </c>
      <c r="C679" s="13" t="s">
        <v>1282</v>
      </c>
      <c r="D679" s="7" t="s">
        <v>134</v>
      </c>
      <c r="E679" s="8" t="s">
        <v>138</v>
      </c>
      <c r="F679" s="8" t="s">
        <v>318</v>
      </c>
      <c r="G679" s="7" t="s">
        <v>1283</v>
      </c>
      <c r="H679" s="7" t="s">
        <v>1284</v>
      </c>
      <c r="I679" s="8">
        <v>2000.0</v>
      </c>
      <c r="J679" s="8">
        <v>2.3</v>
      </c>
      <c r="K679" s="8" t="s">
        <v>583</v>
      </c>
      <c r="L679" s="8" t="s">
        <v>322</v>
      </c>
      <c r="M679" s="8" t="s">
        <v>329</v>
      </c>
      <c r="N679" s="8">
        <v>16.0</v>
      </c>
      <c r="O679" s="14">
        <f t="shared" si="1"/>
        <v>44593</v>
      </c>
      <c r="P679" s="15">
        <f>IFERROR(VLOOKUP(K679,Formula!$A$11:$B$20,2,FALSE),Formula!$C$26)</f>
        <v>0.95</v>
      </c>
      <c r="Q679" s="15">
        <f>IF(AND(ISNUMBER(J679),J679&gt;0),1/J679,IF(AND(ISNUMBER(I679),I679&gt;0),SQRT(MIN(I679,Formula!$C$27))/Formula!$C$24,1/Formula!$C$25))</f>
        <v>0.4347826087</v>
      </c>
      <c r="R679" s="15">
        <f t="shared" si="2"/>
        <v>0.4130434783</v>
      </c>
      <c r="S679" s="15">
        <f>IF(H679&lt;&gt;"",EXP(-Formula!$C$28*(EOMONTH(H679,0)-H679)),EXP(-Formula!$C$28*(EOMONTH(D679,0)-D679)))</f>
        <v>0.6065306597</v>
      </c>
      <c r="T679" s="15">
        <f t="shared" si="3"/>
        <v>0.3535533906</v>
      </c>
      <c r="U679" s="15">
        <f t="shared" si="4"/>
        <v>0.08857344464</v>
      </c>
      <c r="V679" s="16">
        <f>IF(AND(L679="Among all respondents",NOT(OR(K679="Online poll in Telegram channel",K679="Website online poll",K679="CAWI (Computer Assisted Web Interviewing)"))),1/(1-MIN(MAX(Formula!$C$33+(YEAR(D679)-Formula!$C$34)/(Formula!$C$35-Formula!$C$34)*(Formula!$C$32-Formula!$C$33),Formula!$C$33),Formula!$C$32)),1)</f>
        <v>1</v>
      </c>
      <c r="W679" s="17">
        <f t="shared" si="5"/>
        <v>16</v>
      </c>
    </row>
    <row r="680" ht="15.75" customHeight="1">
      <c r="A680" s="8" t="s">
        <v>1286</v>
      </c>
      <c r="B680" s="7" t="s">
        <v>1281</v>
      </c>
      <c r="C680" s="13" t="s">
        <v>1282</v>
      </c>
      <c r="D680" s="7" t="s">
        <v>134</v>
      </c>
      <c r="E680" s="8" t="s">
        <v>138</v>
      </c>
      <c r="F680" s="8" t="s">
        <v>318</v>
      </c>
      <c r="G680" s="7" t="s">
        <v>1283</v>
      </c>
      <c r="H680" s="7" t="s">
        <v>1284</v>
      </c>
      <c r="I680" s="8">
        <v>2000.0</v>
      </c>
      <c r="J680" s="8">
        <v>2.3</v>
      </c>
      <c r="K680" s="8" t="s">
        <v>583</v>
      </c>
      <c r="L680" s="8" t="s">
        <v>322</v>
      </c>
      <c r="M680" s="8" t="s">
        <v>365</v>
      </c>
      <c r="N680" s="8">
        <v>9.5</v>
      </c>
      <c r="O680" s="14">
        <f t="shared" si="1"/>
        <v>44593</v>
      </c>
      <c r="P680" s="15">
        <f>IFERROR(VLOOKUP(K680,Formula!$A$11:$B$20,2,FALSE),Formula!$C$26)</f>
        <v>0.95</v>
      </c>
      <c r="Q680" s="15">
        <f>IF(AND(ISNUMBER(J680),J680&gt;0),1/J680,IF(AND(ISNUMBER(I680),I680&gt;0),SQRT(MIN(I680,Formula!$C$27))/Formula!$C$24,1/Formula!$C$25))</f>
        <v>0.4347826087</v>
      </c>
      <c r="R680" s="15">
        <f t="shared" si="2"/>
        <v>0.4130434783</v>
      </c>
      <c r="S680" s="15">
        <f>IF(H680&lt;&gt;"",EXP(-Formula!$C$28*(EOMONTH(H680,0)-H680)),EXP(-Formula!$C$28*(EOMONTH(D680,0)-D680)))</f>
        <v>0.6065306597</v>
      </c>
      <c r="T680" s="15">
        <f t="shared" si="3"/>
        <v>0.3535533906</v>
      </c>
      <c r="U680" s="15">
        <f t="shared" si="4"/>
        <v>0.08857344464</v>
      </c>
      <c r="V680" s="16">
        <f>IF(AND(L680="Among all respondents",NOT(OR(K680="Online poll in Telegram channel",K680="Website online poll",K680="CAWI (Computer Assisted Web Interviewing)"))),1/(1-MIN(MAX(Formula!$C$33+(YEAR(D680)-Formula!$C$34)/(Formula!$C$35-Formula!$C$34)*(Formula!$C$32-Formula!$C$33),Formula!$C$33),Formula!$C$32)),1)</f>
        <v>1</v>
      </c>
      <c r="W680" s="17">
        <f t="shared" si="5"/>
        <v>9.5</v>
      </c>
    </row>
    <row r="681" ht="15.75" customHeight="1">
      <c r="A681" s="8" t="s">
        <v>1287</v>
      </c>
      <c r="B681" s="7" t="s">
        <v>1281</v>
      </c>
      <c r="C681" s="13" t="s">
        <v>1282</v>
      </c>
      <c r="D681" s="7" t="s">
        <v>134</v>
      </c>
      <c r="E681" s="8" t="s">
        <v>138</v>
      </c>
      <c r="F681" s="8" t="s">
        <v>318</v>
      </c>
      <c r="G681" s="7" t="s">
        <v>1283</v>
      </c>
      <c r="H681" s="7" t="s">
        <v>1284</v>
      </c>
      <c r="I681" s="8">
        <v>2000.0</v>
      </c>
      <c r="J681" s="8">
        <v>2.3</v>
      </c>
      <c r="K681" s="8" t="s">
        <v>583</v>
      </c>
      <c r="L681" s="8" t="s">
        <v>322</v>
      </c>
      <c r="M681" s="8" t="s">
        <v>337</v>
      </c>
      <c r="N681" s="8">
        <v>9.2</v>
      </c>
      <c r="O681" s="14">
        <f t="shared" si="1"/>
        <v>44593</v>
      </c>
      <c r="P681" s="15">
        <f>IFERROR(VLOOKUP(K681,Formula!$A$11:$B$20,2,FALSE),Formula!$C$26)</f>
        <v>0.95</v>
      </c>
      <c r="Q681" s="15">
        <f>IF(AND(ISNUMBER(J681),J681&gt;0),1/J681,IF(AND(ISNUMBER(I681),I681&gt;0),SQRT(MIN(I681,Formula!$C$27))/Formula!$C$24,1/Formula!$C$25))</f>
        <v>0.4347826087</v>
      </c>
      <c r="R681" s="15">
        <f t="shared" si="2"/>
        <v>0.4130434783</v>
      </c>
      <c r="S681" s="15">
        <f>IF(H681&lt;&gt;"",EXP(-Formula!$C$28*(EOMONTH(H681,0)-H681)),EXP(-Formula!$C$28*(EOMONTH(D681,0)-D681)))</f>
        <v>0.6065306597</v>
      </c>
      <c r="T681" s="15">
        <f t="shared" si="3"/>
        <v>0.3535533906</v>
      </c>
      <c r="U681" s="15">
        <f t="shared" si="4"/>
        <v>0.08857344464</v>
      </c>
      <c r="V681" s="16">
        <f>IF(AND(L681="Among all respondents",NOT(OR(K681="Online poll in Telegram channel",K681="Website online poll",K681="CAWI (Computer Assisted Web Interviewing)"))),1/(1-MIN(MAX(Formula!$C$33+(YEAR(D681)-Formula!$C$34)/(Formula!$C$35-Formula!$C$34)*(Formula!$C$32-Formula!$C$33),Formula!$C$33),Formula!$C$32)),1)</f>
        <v>1</v>
      </c>
      <c r="W681" s="17">
        <f t="shared" si="5"/>
        <v>9.2</v>
      </c>
    </row>
    <row r="682" ht="15.75" customHeight="1">
      <c r="A682" s="8" t="s">
        <v>1288</v>
      </c>
      <c r="B682" s="7" t="s">
        <v>1281</v>
      </c>
      <c r="C682" s="13" t="s">
        <v>1282</v>
      </c>
      <c r="D682" s="7" t="s">
        <v>134</v>
      </c>
      <c r="E682" s="8" t="s">
        <v>138</v>
      </c>
      <c r="F682" s="8" t="s">
        <v>318</v>
      </c>
      <c r="G682" s="7" t="s">
        <v>1283</v>
      </c>
      <c r="H682" s="7" t="s">
        <v>1284</v>
      </c>
      <c r="I682" s="8">
        <v>2000.0</v>
      </c>
      <c r="J682" s="8">
        <v>2.3</v>
      </c>
      <c r="K682" s="8" t="s">
        <v>583</v>
      </c>
      <c r="L682" s="8" t="s">
        <v>322</v>
      </c>
      <c r="M682" s="8" t="s">
        <v>333</v>
      </c>
      <c r="N682" s="8">
        <v>6.1</v>
      </c>
      <c r="O682" s="14">
        <f t="shared" si="1"/>
        <v>44593</v>
      </c>
      <c r="P682" s="15">
        <f>IFERROR(VLOOKUP(K682,Formula!$A$11:$B$20,2,FALSE),Formula!$C$26)</f>
        <v>0.95</v>
      </c>
      <c r="Q682" s="15">
        <f>IF(AND(ISNUMBER(J682),J682&gt;0),1/J682,IF(AND(ISNUMBER(I682),I682&gt;0),SQRT(MIN(I682,Formula!$C$27))/Formula!$C$24,1/Formula!$C$25))</f>
        <v>0.4347826087</v>
      </c>
      <c r="R682" s="15">
        <f t="shared" si="2"/>
        <v>0.4130434783</v>
      </c>
      <c r="S682" s="15">
        <f>IF(H682&lt;&gt;"",EXP(-Formula!$C$28*(EOMONTH(H682,0)-H682)),EXP(-Formula!$C$28*(EOMONTH(D682,0)-D682)))</f>
        <v>0.6065306597</v>
      </c>
      <c r="T682" s="15">
        <f t="shared" si="3"/>
        <v>0.3535533906</v>
      </c>
      <c r="U682" s="15">
        <f t="shared" si="4"/>
        <v>0.08857344464</v>
      </c>
      <c r="V682" s="16">
        <f>IF(AND(L682="Among all respondents",NOT(OR(K682="Online poll in Telegram channel",K682="Website online poll",K682="CAWI (Computer Assisted Web Interviewing)"))),1/(1-MIN(MAX(Formula!$C$33+(YEAR(D682)-Formula!$C$34)/(Formula!$C$35-Formula!$C$34)*(Formula!$C$32-Formula!$C$33),Formula!$C$33),Formula!$C$32)),1)</f>
        <v>1</v>
      </c>
      <c r="W682" s="17">
        <f t="shared" si="5"/>
        <v>6.1</v>
      </c>
    </row>
    <row r="683" ht="15.75" customHeight="1">
      <c r="A683" s="8" t="s">
        <v>1289</v>
      </c>
      <c r="B683" s="7" t="s">
        <v>1281</v>
      </c>
      <c r="C683" s="13" t="s">
        <v>1282</v>
      </c>
      <c r="D683" s="7" t="s">
        <v>134</v>
      </c>
      <c r="E683" s="8" t="s">
        <v>138</v>
      </c>
      <c r="F683" s="8" t="s">
        <v>318</v>
      </c>
      <c r="G683" s="7" t="s">
        <v>1283</v>
      </c>
      <c r="H683" s="7" t="s">
        <v>1284</v>
      </c>
      <c r="I683" s="8">
        <v>2000.0</v>
      </c>
      <c r="J683" s="8">
        <v>2.3</v>
      </c>
      <c r="K683" s="8" t="s">
        <v>583</v>
      </c>
      <c r="L683" s="8" t="s">
        <v>322</v>
      </c>
      <c r="M683" s="8" t="s">
        <v>828</v>
      </c>
      <c r="N683" s="8">
        <v>5.7</v>
      </c>
      <c r="O683" s="14">
        <f t="shared" si="1"/>
        <v>44593</v>
      </c>
      <c r="P683" s="15">
        <f>IFERROR(VLOOKUP(K683,Formula!$A$11:$B$20,2,FALSE),Formula!$C$26)</f>
        <v>0.95</v>
      </c>
      <c r="Q683" s="15">
        <f>IF(AND(ISNUMBER(J683),J683&gt;0),1/J683,IF(AND(ISNUMBER(I683),I683&gt;0),SQRT(MIN(I683,Formula!$C$27))/Formula!$C$24,1/Formula!$C$25))</f>
        <v>0.4347826087</v>
      </c>
      <c r="R683" s="15">
        <f t="shared" si="2"/>
        <v>0.4130434783</v>
      </c>
      <c r="S683" s="15">
        <f>IF(H683&lt;&gt;"",EXP(-Formula!$C$28*(EOMONTH(H683,0)-H683)),EXP(-Formula!$C$28*(EOMONTH(D683,0)-D683)))</f>
        <v>0.6065306597</v>
      </c>
      <c r="T683" s="15">
        <f t="shared" si="3"/>
        <v>0.3535533906</v>
      </c>
      <c r="U683" s="15">
        <f t="shared" si="4"/>
        <v>0.08857344464</v>
      </c>
      <c r="V683" s="16">
        <f>IF(AND(L683="Among all respondents",NOT(OR(K683="Online poll in Telegram channel",K683="Website online poll",K683="CAWI (Computer Assisted Web Interviewing)"))),1/(1-MIN(MAX(Formula!$C$33+(YEAR(D683)-Formula!$C$34)/(Formula!$C$35-Formula!$C$34)*(Formula!$C$32-Formula!$C$33),Formula!$C$33),Formula!$C$32)),1)</f>
        <v>1</v>
      </c>
      <c r="W683" s="17">
        <f t="shared" si="5"/>
        <v>5.7</v>
      </c>
    </row>
    <row r="684" ht="15.75" customHeight="1">
      <c r="A684" s="8" t="s">
        <v>1290</v>
      </c>
      <c r="B684" s="7" t="s">
        <v>1281</v>
      </c>
      <c r="C684" s="13" t="s">
        <v>1282</v>
      </c>
      <c r="D684" s="7" t="s">
        <v>134</v>
      </c>
      <c r="E684" s="8" t="s">
        <v>138</v>
      </c>
      <c r="F684" s="8" t="s">
        <v>318</v>
      </c>
      <c r="G684" s="7" t="s">
        <v>1283</v>
      </c>
      <c r="H684" s="7" t="s">
        <v>1284</v>
      </c>
      <c r="I684" s="8">
        <v>2000.0</v>
      </c>
      <c r="J684" s="8">
        <v>2.3</v>
      </c>
      <c r="K684" s="8" t="s">
        <v>583</v>
      </c>
      <c r="L684" s="8" t="s">
        <v>322</v>
      </c>
      <c r="M684" s="8" t="s">
        <v>1153</v>
      </c>
      <c r="N684" s="8">
        <v>4.7</v>
      </c>
      <c r="O684" s="14">
        <f t="shared" si="1"/>
        <v>44593</v>
      </c>
      <c r="P684" s="15">
        <f>IFERROR(VLOOKUP(K684,Formula!$A$11:$B$20,2,FALSE),Formula!$C$26)</f>
        <v>0.95</v>
      </c>
      <c r="Q684" s="15">
        <f>IF(AND(ISNUMBER(J684),J684&gt;0),1/J684,IF(AND(ISNUMBER(I684),I684&gt;0),SQRT(MIN(I684,Formula!$C$27))/Formula!$C$24,1/Formula!$C$25))</f>
        <v>0.4347826087</v>
      </c>
      <c r="R684" s="15">
        <f t="shared" si="2"/>
        <v>0.4130434783</v>
      </c>
      <c r="S684" s="15">
        <f>IF(H684&lt;&gt;"",EXP(-Formula!$C$28*(EOMONTH(H684,0)-H684)),EXP(-Formula!$C$28*(EOMONTH(D684,0)-D684)))</f>
        <v>0.6065306597</v>
      </c>
      <c r="T684" s="15">
        <f t="shared" si="3"/>
        <v>0.3535533906</v>
      </c>
      <c r="U684" s="15">
        <f t="shared" si="4"/>
        <v>0.08857344464</v>
      </c>
      <c r="V684" s="16">
        <f>IF(AND(L684="Among all respondents",NOT(OR(K684="Online poll in Telegram channel",K684="Website online poll",K684="CAWI (Computer Assisted Web Interviewing)"))),1/(1-MIN(MAX(Formula!$C$33+(YEAR(D684)-Formula!$C$34)/(Formula!$C$35-Formula!$C$34)*(Formula!$C$32-Formula!$C$33),Formula!$C$33),Formula!$C$32)),1)</f>
        <v>1</v>
      </c>
      <c r="W684" s="17">
        <f t="shared" si="5"/>
        <v>4.7</v>
      </c>
    </row>
    <row r="685" ht="15.75" customHeight="1">
      <c r="A685" s="8" t="s">
        <v>1291</v>
      </c>
      <c r="B685" s="7" t="s">
        <v>1281</v>
      </c>
      <c r="C685" s="13" t="s">
        <v>1282</v>
      </c>
      <c r="D685" s="7" t="s">
        <v>134</v>
      </c>
      <c r="E685" s="8" t="s">
        <v>138</v>
      </c>
      <c r="F685" s="8" t="s">
        <v>318</v>
      </c>
      <c r="G685" s="7" t="s">
        <v>1283</v>
      </c>
      <c r="H685" s="7" t="s">
        <v>1284</v>
      </c>
      <c r="I685" s="8">
        <v>2000.0</v>
      </c>
      <c r="J685" s="8">
        <v>2.3</v>
      </c>
      <c r="K685" s="8" t="s">
        <v>583</v>
      </c>
      <c r="L685" s="8" t="s">
        <v>322</v>
      </c>
      <c r="M685" s="8" t="s">
        <v>386</v>
      </c>
      <c r="N685" s="8">
        <v>4.2</v>
      </c>
      <c r="O685" s="14">
        <f t="shared" si="1"/>
        <v>44593</v>
      </c>
      <c r="P685" s="15">
        <f>IFERROR(VLOOKUP(K685,Formula!$A$11:$B$20,2,FALSE),Formula!$C$26)</f>
        <v>0.95</v>
      </c>
      <c r="Q685" s="15">
        <f>IF(AND(ISNUMBER(J685),J685&gt;0),1/J685,IF(AND(ISNUMBER(I685),I685&gt;0),SQRT(MIN(I685,Formula!$C$27))/Formula!$C$24,1/Formula!$C$25))</f>
        <v>0.4347826087</v>
      </c>
      <c r="R685" s="15">
        <f t="shared" si="2"/>
        <v>0.4130434783</v>
      </c>
      <c r="S685" s="15">
        <f>IF(H685&lt;&gt;"",EXP(-Formula!$C$28*(EOMONTH(H685,0)-H685)),EXP(-Formula!$C$28*(EOMONTH(D685,0)-D685)))</f>
        <v>0.6065306597</v>
      </c>
      <c r="T685" s="15">
        <f t="shared" si="3"/>
        <v>0.3535533906</v>
      </c>
      <c r="U685" s="15">
        <f t="shared" si="4"/>
        <v>0.08857344464</v>
      </c>
      <c r="V685" s="16">
        <f>IF(AND(L685="Among all respondents",NOT(OR(K685="Online poll in Telegram channel",K685="Website online poll",K685="CAWI (Computer Assisted Web Interviewing)"))),1/(1-MIN(MAX(Formula!$C$33+(YEAR(D685)-Formula!$C$34)/(Formula!$C$35-Formula!$C$34)*(Formula!$C$32-Formula!$C$33),Formula!$C$33),Formula!$C$32)),1)</f>
        <v>1</v>
      </c>
      <c r="W685" s="17">
        <f t="shared" si="5"/>
        <v>4.2</v>
      </c>
    </row>
    <row r="686" ht="15.75" customHeight="1">
      <c r="A686" s="8" t="s">
        <v>1292</v>
      </c>
      <c r="B686" s="7" t="s">
        <v>1293</v>
      </c>
      <c r="C686" s="13" t="s">
        <v>1294</v>
      </c>
      <c r="D686" s="7" t="s">
        <v>134</v>
      </c>
      <c r="E686" s="8" t="s">
        <v>27</v>
      </c>
      <c r="F686" s="8" t="s">
        <v>318</v>
      </c>
      <c r="G686" s="7" t="s">
        <v>139</v>
      </c>
      <c r="H686" s="7" t="s">
        <v>136</v>
      </c>
      <c r="I686" s="8">
        <v>2076.0</v>
      </c>
      <c r="J686" s="8">
        <v>2.2</v>
      </c>
      <c r="K686" s="8" t="s">
        <v>321</v>
      </c>
      <c r="L686" s="8" t="s">
        <v>322</v>
      </c>
      <c r="M686" s="8" t="s">
        <v>323</v>
      </c>
      <c r="N686" s="8">
        <v>29.2</v>
      </c>
      <c r="O686" s="14">
        <f t="shared" si="1"/>
        <v>44593</v>
      </c>
      <c r="P686" s="15">
        <f>IFERROR(VLOOKUP(K686,Formula!$A$11:$B$20,2,FALSE),Formula!$C$26)</f>
        <v>0.9</v>
      </c>
      <c r="Q686" s="15">
        <f>IF(AND(ISNUMBER(J686),J686&gt;0),1/J686,IF(AND(ISNUMBER(I686),I686&gt;0),SQRT(MIN(I686,Formula!$C$27))/Formula!$C$24,1/Formula!$C$25))</f>
        <v>0.4545454545</v>
      </c>
      <c r="R686" s="15">
        <f t="shared" si="2"/>
        <v>0.4090909091</v>
      </c>
      <c r="S686" s="15">
        <f>IF(H686&lt;&gt;"",EXP(-Formula!$C$28*(EOMONTH(H686,0)-H686)),EXP(-Formula!$C$28*(EOMONTH(D686,0)-D686)))</f>
        <v>0.7046880897</v>
      </c>
      <c r="T686" s="15">
        <f t="shared" si="3"/>
        <v>0.2886751346</v>
      </c>
      <c r="U686" s="15">
        <f t="shared" si="4"/>
        <v>0.08321969829</v>
      </c>
      <c r="V686" s="16">
        <f>IF(AND(L686="Among all respondents",NOT(OR(K686="Online poll in Telegram channel",K686="Website online poll",K686="CAWI (Computer Assisted Web Interviewing)"))),1/(1-MIN(MAX(Formula!$C$33+(YEAR(D686)-Formula!$C$34)/(Formula!$C$35-Formula!$C$34)*(Formula!$C$32-Formula!$C$33),Formula!$C$33),Formula!$C$32)),1)</f>
        <v>1</v>
      </c>
      <c r="W686" s="17">
        <f t="shared" si="5"/>
        <v>29.2</v>
      </c>
    </row>
    <row r="687" ht="15.75" customHeight="1">
      <c r="A687" s="8" t="s">
        <v>1295</v>
      </c>
      <c r="B687" s="7" t="s">
        <v>1293</v>
      </c>
      <c r="C687" s="13" t="s">
        <v>1294</v>
      </c>
      <c r="D687" s="7" t="s">
        <v>134</v>
      </c>
      <c r="E687" s="8" t="s">
        <v>27</v>
      </c>
      <c r="F687" s="8" t="s">
        <v>318</v>
      </c>
      <c r="G687" s="7" t="s">
        <v>139</v>
      </c>
      <c r="H687" s="7" t="s">
        <v>136</v>
      </c>
      <c r="I687" s="8">
        <v>2076.0</v>
      </c>
      <c r="J687" s="8">
        <v>2.2</v>
      </c>
      <c r="K687" s="8" t="s">
        <v>321</v>
      </c>
      <c r="L687" s="8" t="s">
        <v>322</v>
      </c>
      <c r="M687" s="8" t="s">
        <v>329</v>
      </c>
      <c r="N687" s="8">
        <v>17.3</v>
      </c>
      <c r="O687" s="14">
        <f t="shared" si="1"/>
        <v>44593</v>
      </c>
      <c r="P687" s="15">
        <f>IFERROR(VLOOKUP(K687,Formula!$A$11:$B$20,2,FALSE),Formula!$C$26)</f>
        <v>0.9</v>
      </c>
      <c r="Q687" s="15">
        <f>IF(AND(ISNUMBER(J687),J687&gt;0),1/J687,IF(AND(ISNUMBER(I687),I687&gt;0),SQRT(MIN(I687,Formula!$C$27))/Formula!$C$24,1/Formula!$C$25))</f>
        <v>0.4545454545</v>
      </c>
      <c r="R687" s="15">
        <f t="shared" si="2"/>
        <v>0.4090909091</v>
      </c>
      <c r="S687" s="15">
        <f>IF(H687&lt;&gt;"",EXP(-Formula!$C$28*(EOMONTH(H687,0)-H687)),EXP(-Formula!$C$28*(EOMONTH(D687,0)-D687)))</f>
        <v>0.7046880897</v>
      </c>
      <c r="T687" s="15">
        <f t="shared" si="3"/>
        <v>0.2886751346</v>
      </c>
      <c r="U687" s="15">
        <f t="shared" si="4"/>
        <v>0.08321969829</v>
      </c>
      <c r="V687" s="16">
        <f>IF(AND(L687="Among all respondents",NOT(OR(K687="Online poll in Telegram channel",K687="Website online poll",K687="CAWI (Computer Assisted Web Interviewing)"))),1/(1-MIN(MAX(Formula!$C$33+(YEAR(D687)-Formula!$C$34)/(Formula!$C$35-Formula!$C$34)*(Formula!$C$32-Formula!$C$33),Formula!$C$33),Formula!$C$32)),1)</f>
        <v>1</v>
      </c>
      <c r="W687" s="17">
        <f t="shared" si="5"/>
        <v>17.3</v>
      </c>
    </row>
    <row r="688" ht="15.75" customHeight="1">
      <c r="A688" s="8" t="s">
        <v>1296</v>
      </c>
      <c r="B688" s="7" t="s">
        <v>1293</v>
      </c>
      <c r="C688" s="13" t="s">
        <v>1294</v>
      </c>
      <c r="D688" s="7" t="s">
        <v>134</v>
      </c>
      <c r="E688" s="8" t="s">
        <v>27</v>
      </c>
      <c r="F688" s="8" t="s">
        <v>318</v>
      </c>
      <c r="G688" s="7" t="s">
        <v>139</v>
      </c>
      <c r="H688" s="7" t="s">
        <v>136</v>
      </c>
      <c r="I688" s="8">
        <v>2076.0</v>
      </c>
      <c r="J688" s="8">
        <v>2.2</v>
      </c>
      <c r="K688" s="8" t="s">
        <v>321</v>
      </c>
      <c r="L688" s="8" t="s">
        <v>322</v>
      </c>
      <c r="M688" s="8" t="s">
        <v>337</v>
      </c>
      <c r="N688" s="8">
        <v>9.7</v>
      </c>
      <c r="O688" s="14">
        <f t="shared" si="1"/>
        <v>44593</v>
      </c>
      <c r="P688" s="15">
        <f>IFERROR(VLOOKUP(K688,Formula!$A$11:$B$20,2,FALSE),Formula!$C$26)</f>
        <v>0.9</v>
      </c>
      <c r="Q688" s="15">
        <f>IF(AND(ISNUMBER(J688),J688&gt;0),1/J688,IF(AND(ISNUMBER(I688),I688&gt;0),SQRT(MIN(I688,Formula!$C$27))/Formula!$C$24,1/Formula!$C$25))</f>
        <v>0.4545454545</v>
      </c>
      <c r="R688" s="15">
        <f t="shared" si="2"/>
        <v>0.4090909091</v>
      </c>
      <c r="S688" s="15">
        <f>IF(H688&lt;&gt;"",EXP(-Formula!$C$28*(EOMONTH(H688,0)-H688)),EXP(-Formula!$C$28*(EOMONTH(D688,0)-D688)))</f>
        <v>0.7046880897</v>
      </c>
      <c r="T688" s="15">
        <f t="shared" si="3"/>
        <v>0.2886751346</v>
      </c>
      <c r="U688" s="15">
        <f t="shared" si="4"/>
        <v>0.08321969829</v>
      </c>
      <c r="V688" s="16">
        <f>IF(AND(L688="Among all respondents",NOT(OR(K688="Online poll in Telegram channel",K688="Website online poll",K688="CAWI (Computer Assisted Web Interviewing)"))),1/(1-MIN(MAX(Formula!$C$33+(YEAR(D688)-Formula!$C$34)/(Formula!$C$35-Formula!$C$34)*(Formula!$C$32-Formula!$C$33),Formula!$C$33),Formula!$C$32)),1)</f>
        <v>1</v>
      </c>
      <c r="W688" s="17">
        <f t="shared" si="5"/>
        <v>9.7</v>
      </c>
    </row>
    <row r="689" ht="15.75" customHeight="1">
      <c r="A689" s="8" t="s">
        <v>1297</v>
      </c>
      <c r="B689" s="7" t="s">
        <v>1293</v>
      </c>
      <c r="C689" s="13" t="s">
        <v>1294</v>
      </c>
      <c r="D689" s="7" t="s">
        <v>134</v>
      </c>
      <c r="E689" s="8" t="s">
        <v>27</v>
      </c>
      <c r="F689" s="8" t="s">
        <v>318</v>
      </c>
      <c r="G689" s="7" t="s">
        <v>139</v>
      </c>
      <c r="H689" s="7" t="s">
        <v>136</v>
      </c>
      <c r="I689" s="8">
        <v>2076.0</v>
      </c>
      <c r="J689" s="8">
        <v>2.2</v>
      </c>
      <c r="K689" s="8" t="s">
        <v>321</v>
      </c>
      <c r="L689" s="8" t="s">
        <v>322</v>
      </c>
      <c r="M689" s="8" t="s">
        <v>828</v>
      </c>
      <c r="N689" s="8">
        <v>8.6</v>
      </c>
      <c r="O689" s="14">
        <f t="shared" si="1"/>
        <v>44593</v>
      </c>
      <c r="P689" s="15">
        <f>IFERROR(VLOOKUP(K689,Formula!$A$11:$B$20,2,FALSE),Formula!$C$26)</f>
        <v>0.9</v>
      </c>
      <c r="Q689" s="15">
        <f>IF(AND(ISNUMBER(J689),J689&gt;0),1/J689,IF(AND(ISNUMBER(I689),I689&gt;0),SQRT(MIN(I689,Formula!$C$27))/Formula!$C$24,1/Formula!$C$25))</f>
        <v>0.4545454545</v>
      </c>
      <c r="R689" s="15">
        <f t="shared" si="2"/>
        <v>0.4090909091</v>
      </c>
      <c r="S689" s="15">
        <f>IF(H689&lt;&gt;"",EXP(-Formula!$C$28*(EOMONTH(H689,0)-H689)),EXP(-Formula!$C$28*(EOMONTH(D689,0)-D689)))</f>
        <v>0.7046880897</v>
      </c>
      <c r="T689" s="15">
        <f t="shared" si="3"/>
        <v>0.2886751346</v>
      </c>
      <c r="U689" s="15">
        <f t="shared" si="4"/>
        <v>0.08321969829</v>
      </c>
      <c r="V689" s="16">
        <f>IF(AND(L689="Among all respondents",NOT(OR(K689="Online poll in Telegram channel",K689="Website online poll",K689="CAWI (Computer Assisted Web Interviewing)"))),1/(1-MIN(MAX(Formula!$C$33+(YEAR(D689)-Formula!$C$34)/(Formula!$C$35-Formula!$C$34)*(Formula!$C$32-Formula!$C$33),Formula!$C$33),Formula!$C$32)),1)</f>
        <v>1</v>
      </c>
      <c r="W689" s="17">
        <f t="shared" si="5"/>
        <v>8.6</v>
      </c>
    </row>
    <row r="690" ht="15.75" customHeight="1">
      <c r="A690" s="8" t="s">
        <v>1298</v>
      </c>
      <c r="B690" s="7" t="s">
        <v>1293</v>
      </c>
      <c r="C690" s="13" t="s">
        <v>1294</v>
      </c>
      <c r="D690" s="7" t="s">
        <v>134</v>
      </c>
      <c r="E690" s="8" t="s">
        <v>27</v>
      </c>
      <c r="F690" s="8" t="s">
        <v>318</v>
      </c>
      <c r="G690" s="7" t="s">
        <v>139</v>
      </c>
      <c r="H690" s="7" t="s">
        <v>136</v>
      </c>
      <c r="I690" s="8">
        <v>2076.0</v>
      </c>
      <c r="J690" s="8">
        <v>2.2</v>
      </c>
      <c r="K690" s="8" t="s">
        <v>321</v>
      </c>
      <c r="L690" s="8" t="s">
        <v>322</v>
      </c>
      <c r="M690" s="8" t="s">
        <v>365</v>
      </c>
      <c r="N690" s="8">
        <v>7.5</v>
      </c>
      <c r="O690" s="14">
        <f t="shared" si="1"/>
        <v>44593</v>
      </c>
      <c r="P690" s="15">
        <f>IFERROR(VLOOKUP(K690,Formula!$A$11:$B$20,2,FALSE),Formula!$C$26)</f>
        <v>0.9</v>
      </c>
      <c r="Q690" s="15">
        <f>IF(AND(ISNUMBER(J690),J690&gt;0),1/J690,IF(AND(ISNUMBER(I690),I690&gt;0),SQRT(MIN(I690,Formula!$C$27))/Formula!$C$24,1/Formula!$C$25))</f>
        <v>0.4545454545</v>
      </c>
      <c r="R690" s="15">
        <f t="shared" si="2"/>
        <v>0.4090909091</v>
      </c>
      <c r="S690" s="15">
        <f>IF(H690&lt;&gt;"",EXP(-Formula!$C$28*(EOMONTH(H690,0)-H690)),EXP(-Formula!$C$28*(EOMONTH(D690,0)-D690)))</f>
        <v>0.7046880897</v>
      </c>
      <c r="T690" s="15">
        <f t="shared" si="3"/>
        <v>0.2886751346</v>
      </c>
      <c r="U690" s="15">
        <f t="shared" si="4"/>
        <v>0.08321969829</v>
      </c>
      <c r="V690" s="16">
        <f>IF(AND(L690="Among all respondents",NOT(OR(K690="Online poll in Telegram channel",K690="Website online poll",K690="CAWI (Computer Assisted Web Interviewing)"))),1/(1-MIN(MAX(Formula!$C$33+(YEAR(D690)-Formula!$C$34)/(Formula!$C$35-Formula!$C$34)*(Formula!$C$32-Formula!$C$33),Formula!$C$33),Formula!$C$32)),1)</f>
        <v>1</v>
      </c>
      <c r="W690" s="17">
        <f t="shared" si="5"/>
        <v>7.5</v>
      </c>
    </row>
    <row r="691" ht="15.75" customHeight="1">
      <c r="A691" s="8" t="s">
        <v>1299</v>
      </c>
      <c r="B691" s="7" t="s">
        <v>1293</v>
      </c>
      <c r="C691" s="13" t="s">
        <v>1294</v>
      </c>
      <c r="D691" s="7" t="s">
        <v>134</v>
      </c>
      <c r="E691" s="8" t="s">
        <v>27</v>
      </c>
      <c r="F691" s="8" t="s">
        <v>318</v>
      </c>
      <c r="G691" s="7" t="s">
        <v>139</v>
      </c>
      <c r="H691" s="7" t="s">
        <v>136</v>
      </c>
      <c r="I691" s="8">
        <v>2076.0</v>
      </c>
      <c r="J691" s="8">
        <v>2.2</v>
      </c>
      <c r="K691" s="8" t="s">
        <v>321</v>
      </c>
      <c r="L691" s="8" t="s">
        <v>322</v>
      </c>
      <c r="M691" s="8" t="s">
        <v>339</v>
      </c>
      <c r="N691" s="8">
        <v>6.2</v>
      </c>
      <c r="O691" s="14">
        <f t="shared" si="1"/>
        <v>44593</v>
      </c>
      <c r="P691" s="15">
        <f>IFERROR(VLOOKUP(K691,Formula!$A$11:$B$20,2,FALSE),Formula!$C$26)</f>
        <v>0.9</v>
      </c>
      <c r="Q691" s="15">
        <f>IF(AND(ISNUMBER(J691),J691&gt;0),1/J691,IF(AND(ISNUMBER(I691),I691&gt;0),SQRT(MIN(I691,Formula!$C$27))/Formula!$C$24,1/Formula!$C$25))</f>
        <v>0.4545454545</v>
      </c>
      <c r="R691" s="15">
        <f t="shared" si="2"/>
        <v>0.4090909091</v>
      </c>
      <c r="S691" s="15">
        <f>IF(H691&lt;&gt;"",EXP(-Formula!$C$28*(EOMONTH(H691,0)-H691)),EXP(-Formula!$C$28*(EOMONTH(D691,0)-D691)))</f>
        <v>0.7046880897</v>
      </c>
      <c r="T691" s="15">
        <f t="shared" si="3"/>
        <v>0.2886751346</v>
      </c>
      <c r="U691" s="15">
        <f t="shared" si="4"/>
        <v>0.08321969829</v>
      </c>
      <c r="V691" s="16">
        <f>IF(AND(L691="Among all respondents",NOT(OR(K691="Online poll in Telegram channel",K691="Website online poll",K691="CAWI (Computer Assisted Web Interviewing)"))),1/(1-MIN(MAX(Formula!$C$33+(YEAR(D691)-Formula!$C$34)/(Formula!$C$35-Formula!$C$34)*(Formula!$C$32-Formula!$C$33),Formula!$C$33),Formula!$C$32)),1)</f>
        <v>1</v>
      </c>
      <c r="W691" s="17">
        <f t="shared" si="5"/>
        <v>6.2</v>
      </c>
    </row>
    <row r="692" ht="15.75" customHeight="1">
      <c r="A692" s="8" t="s">
        <v>1300</v>
      </c>
      <c r="B692" s="7" t="s">
        <v>1293</v>
      </c>
      <c r="C692" s="13" t="s">
        <v>1294</v>
      </c>
      <c r="D692" s="7" t="s">
        <v>134</v>
      </c>
      <c r="E692" s="8" t="s">
        <v>27</v>
      </c>
      <c r="F692" s="8" t="s">
        <v>318</v>
      </c>
      <c r="G692" s="7" t="s">
        <v>139</v>
      </c>
      <c r="H692" s="7" t="s">
        <v>136</v>
      </c>
      <c r="I692" s="8">
        <v>2076.0</v>
      </c>
      <c r="J692" s="8">
        <v>2.2</v>
      </c>
      <c r="K692" s="8" t="s">
        <v>321</v>
      </c>
      <c r="L692" s="8" t="s">
        <v>322</v>
      </c>
      <c r="M692" s="8" t="s">
        <v>1153</v>
      </c>
      <c r="N692" s="8">
        <v>6.0</v>
      </c>
      <c r="O692" s="14">
        <f t="shared" si="1"/>
        <v>44593</v>
      </c>
      <c r="P692" s="15">
        <f>IFERROR(VLOOKUP(K692,Formula!$A$11:$B$20,2,FALSE),Formula!$C$26)</f>
        <v>0.9</v>
      </c>
      <c r="Q692" s="15">
        <f>IF(AND(ISNUMBER(J692),J692&gt;0),1/J692,IF(AND(ISNUMBER(I692),I692&gt;0),SQRT(MIN(I692,Formula!$C$27))/Formula!$C$24,1/Formula!$C$25))</f>
        <v>0.4545454545</v>
      </c>
      <c r="R692" s="15">
        <f t="shared" si="2"/>
        <v>0.4090909091</v>
      </c>
      <c r="S692" s="15">
        <f>IF(H692&lt;&gt;"",EXP(-Formula!$C$28*(EOMONTH(H692,0)-H692)),EXP(-Formula!$C$28*(EOMONTH(D692,0)-D692)))</f>
        <v>0.7046880897</v>
      </c>
      <c r="T692" s="15">
        <f t="shared" si="3"/>
        <v>0.2886751346</v>
      </c>
      <c r="U692" s="15">
        <f t="shared" si="4"/>
        <v>0.08321969829</v>
      </c>
      <c r="V692" s="16">
        <f>IF(AND(L692="Among all respondents",NOT(OR(K692="Online poll in Telegram channel",K692="Website online poll",K692="CAWI (Computer Assisted Web Interviewing)"))),1/(1-MIN(MAX(Formula!$C$33+(YEAR(D692)-Formula!$C$34)/(Formula!$C$35-Formula!$C$34)*(Formula!$C$32-Formula!$C$33),Formula!$C$33),Formula!$C$32)),1)</f>
        <v>1</v>
      </c>
      <c r="W692" s="17">
        <f t="shared" si="5"/>
        <v>6</v>
      </c>
    </row>
    <row r="693" ht="15.75" customHeight="1">
      <c r="A693" s="8" t="s">
        <v>1301</v>
      </c>
      <c r="B693" s="7" t="s">
        <v>1293</v>
      </c>
      <c r="C693" s="13" t="s">
        <v>1294</v>
      </c>
      <c r="D693" s="7" t="s">
        <v>134</v>
      </c>
      <c r="E693" s="8" t="s">
        <v>27</v>
      </c>
      <c r="F693" s="8" t="s">
        <v>318</v>
      </c>
      <c r="G693" s="7" t="s">
        <v>139</v>
      </c>
      <c r="H693" s="7" t="s">
        <v>136</v>
      </c>
      <c r="I693" s="8">
        <v>2076.0</v>
      </c>
      <c r="J693" s="8">
        <v>2.2</v>
      </c>
      <c r="K693" s="8" t="s">
        <v>321</v>
      </c>
      <c r="L693" s="8" t="s">
        <v>322</v>
      </c>
      <c r="M693" s="8" t="s">
        <v>333</v>
      </c>
      <c r="N693" s="8">
        <v>5.2</v>
      </c>
      <c r="O693" s="14">
        <f t="shared" si="1"/>
        <v>44593</v>
      </c>
      <c r="P693" s="15">
        <f>IFERROR(VLOOKUP(K693,Formula!$A$11:$B$20,2,FALSE),Formula!$C$26)</f>
        <v>0.9</v>
      </c>
      <c r="Q693" s="15">
        <f>IF(AND(ISNUMBER(J693),J693&gt;0),1/J693,IF(AND(ISNUMBER(I693),I693&gt;0),SQRT(MIN(I693,Formula!$C$27))/Formula!$C$24,1/Formula!$C$25))</f>
        <v>0.4545454545</v>
      </c>
      <c r="R693" s="15">
        <f t="shared" si="2"/>
        <v>0.4090909091</v>
      </c>
      <c r="S693" s="15">
        <f>IF(H693&lt;&gt;"",EXP(-Formula!$C$28*(EOMONTH(H693,0)-H693)),EXP(-Formula!$C$28*(EOMONTH(D693,0)-D693)))</f>
        <v>0.7046880897</v>
      </c>
      <c r="T693" s="15">
        <f t="shared" si="3"/>
        <v>0.2886751346</v>
      </c>
      <c r="U693" s="15">
        <f t="shared" si="4"/>
        <v>0.08321969829</v>
      </c>
      <c r="V693" s="16">
        <f>IF(AND(L693="Among all respondents",NOT(OR(K693="Online poll in Telegram channel",K693="Website online poll",K693="CAWI (Computer Assisted Web Interviewing)"))),1/(1-MIN(MAX(Formula!$C$33+(YEAR(D693)-Formula!$C$34)/(Formula!$C$35-Formula!$C$34)*(Formula!$C$32-Formula!$C$33),Formula!$C$33),Formula!$C$32)),1)</f>
        <v>1</v>
      </c>
      <c r="W693" s="17">
        <f t="shared" si="5"/>
        <v>5.2</v>
      </c>
    </row>
    <row r="694" ht="15.75" customHeight="1">
      <c r="A694" s="8" t="s">
        <v>1302</v>
      </c>
      <c r="B694" s="7" t="s">
        <v>1293</v>
      </c>
      <c r="C694" s="13" t="s">
        <v>1294</v>
      </c>
      <c r="D694" s="7" t="s">
        <v>134</v>
      </c>
      <c r="E694" s="8" t="s">
        <v>27</v>
      </c>
      <c r="F694" s="8" t="s">
        <v>318</v>
      </c>
      <c r="G694" s="7" t="s">
        <v>139</v>
      </c>
      <c r="H694" s="7" t="s">
        <v>136</v>
      </c>
      <c r="I694" s="8">
        <v>2076.0</v>
      </c>
      <c r="J694" s="8">
        <v>2.2</v>
      </c>
      <c r="K694" s="8" t="s">
        <v>321</v>
      </c>
      <c r="L694" s="8" t="s">
        <v>322</v>
      </c>
      <c r="M694" s="8" t="s">
        <v>386</v>
      </c>
      <c r="N694" s="8">
        <v>4.1</v>
      </c>
      <c r="O694" s="14">
        <f t="shared" si="1"/>
        <v>44593</v>
      </c>
      <c r="P694" s="15">
        <f>IFERROR(VLOOKUP(K694,Formula!$A$11:$B$20,2,FALSE),Formula!$C$26)</f>
        <v>0.9</v>
      </c>
      <c r="Q694" s="15">
        <f>IF(AND(ISNUMBER(J694),J694&gt;0),1/J694,IF(AND(ISNUMBER(I694),I694&gt;0),SQRT(MIN(I694,Formula!$C$27))/Formula!$C$24,1/Formula!$C$25))</f>
        <v>0.4545454545</v>
      </c>
      <c r="R694" s="15">
        <f t="shared" si="2"/>
        <v>0.4090909091</v>
      </c>
      <c r="S694" s="15">
        <f>IF(H694&lt;&gt;"",EXP(-Formula!$C$28*(EOMONTH(H694,0)-H694)),EXP(-Formula!$C$28*(EOMONTH(D694,0)-D694)))</f>
        <v>0.7046880897</v>
      </c>
      <c r="T694" s="15">
        <f t="shared" si="3"/>
        <v>0.2886751346</v>
      </c>
      <c r="U694" s="15">
        <f t="shared" si="4"/>
        <v>0.08321969829</v>
      </c>
      <c r="V694" s="16">
        <f>IF(AND(L694="Among all respondents",NOT(OR(K694="Online poll in Telegram channel",K694="Website online poll",K694="CAWI (Computer Assisted Web Interviewing)"))),1/(1-MIN(MAX(Formula!$C$33+(YEAR(D694)-Formula!$C$34)/(Formula!$C$35-Formula!$C$34)*(Formula!$C$32-Formula!$C$33),Formula!$C$33),Formula!$C$32)),1)</f>
        <v>1</v>
      </c>
      <c r="W694" s="17">
        <f t="shared" si="5"/>
        <v>4.1</v>
      </c>
    </row>
    <row r="695" ht="15.75" customHeight="1">
      <c r="A695" s="8" t="s">
        <v>1303</v>
      </c>
      <c r="B695" s="7" t="s">
        <v>1293</v>
      </c>
      <c r="C695" s="13" t="s">
        <v>1294</v>
      </c>
      <c r="D695" s="7" t="s">
        <v>134</v>
      </c>
      <c r="E695" s="8" t="s">
        <v>27</v>
      </c>
      <c r="F695" s="8" t="s">
        <v>318</v>
      </c>
      <c r="G695" s="7" t="s">
        <v>139</v>
      </c>
      <c r="H695" s="7" t="s">
        <v>136</v>
      </c>
      <c r="I695" s="8">
        <v>2076.0</v>
      </c>
      <c r="J695" s="8">
        <v>2.2</v>
      </c>
      <c r="K695" s="8" t="s">
        <v>321</v>
      </c>
      <c r="L695" s="8" t="s">
        <v>322</v>
      </c>
      <c r="M695" s="8" t="s">
        <v>388</v>
      </c>
      <c r="N695" s="8">
        <v>3.1</v>
      </c>
      <c r="O695" s="14">
        <f t="shared" si="1"/>
        <v>44593</v>
      </c>
      <c r="P695" s="15">
        <f>IFERROR(VLOOKUP(K695,Formula!$A$11:$B$20,2,FALSE),Formula!$C$26)</f>
        <v>0.9</v>
      </c>
      <c r="Q695" s="15">
        <f>IF(AND(ISNUMBER(J695),J695&gt;0),1/J695,IF(AND(ISNUMBER(I695),I695&gt;0),SQRT(MIN(I695,Formula!$C$27))/Formula!$C$24,1/Formula!$C$25))</f>
        <v>0.4545454545</v>
      </c>
      <c r="R695" s="15">
        <f t="shared" si="2"/>
        <v>0.4090909091</v>
      </c>
      <c r="S695" s="15">
        <f>IF(H695&lt;&gt;"",EXP(-Formula!$C$28*(EOMONTH(H695,0)-H695)),EXP(-Formula!$C$28*(EOMONTH(D695,0)-D695)))</f>
        <v>0.7046880897</v>
      </c>
      <c r="T695" s="15">
        <f t="shared" si="3"/>
        <v>0.2886751346</v>
      </c>
      <c r="U695" s="15">
        <f t="shared" si="4"/>
        <v>0.08321969829</v>
      </c>
      <c r="V695" s="16">
        <f>IF(AND(L695="Among all respondents",NOT(OR(K695="Online poll in Telegram channel",K695="Website online poll",K695="CAWI (Computer Assisted Web Interviewing)"))),1/(1-MIN(MAX(Formula!$C$33+(YEAR(D695)-Formula!$C$34)/(Formula!$C$35-Formula!$C$34)*(Formula!$C$32-Formula!$C$33),Formula!$C$33),Formula!$C$32)),1)</f>
        <v>1</v>
      </c>
      <c r="W695" s="17">
        <f t="shared" si="5"/>
        <v>3.1</v>
      </c>
    </row>
    <row r="696" ht="15.75" customHeight="1">
      <c r="A696" s="8" t="s">
        <v>1304</v>
      </c>
      <c r="B696" s="7" t="s">
        <v>1293</v>
      </c>
      <c r="C696" s="13" t="s">
        <v>1294</v>
      </c>
      <c r="D696" s="7" t="s">
        <v>134</v>
      </c>
      <c r="E696" s="8" t="s">
        <v>27</v>
      </c>
      <c r="F696" s="8" t="s">
        <v>318</v>
      </c>
      <c r="G696" s="7" t="s">
        <v>139</v>
      </c>
      <c r="H696" s="7" t="s">
        <v>136</v>
      </c>
      <c r="I696" s="8">
        <v>2076.0</v>
      </c>
      <c r="J696" s="8">
        <v>2.2</v>
      </c>
      <c r="K696" s="8" t="s">
        <v>321</v>
      </c>
      <c r="L696" s="8" t="s">
        <v>322</v>
      </c>
      <c r="M696" s="8" t="s">
        <v>740</v>
      </c>
      <c r="N696" s="8">
        <v>1.8</v>
      </c>
      <c r="O696" s="14">
        <f t="shared" si="1"/>
        <v>44593</v>
      </c>
      <c r="P696" s="15">
        <f>IFERROR(VLOOKUP(K696,Formula!$A$11:$B$20,2,FALSE),Formula!$C$26)</f>
        <v>0.9</v>
      </c>
      <c r="Q696" s="15">
        <f>IF(AND(ISNUMBER(J696),J696&gt;0),1/J696,IF(AND(ISNUMBER(I696),I696&gt;0),SQRT(MIN(I696,Formula!$C$27))/Formula!$C$24,1/Formula!$C$25))</f>
        <v>0.4545454545</v>
      </c>
      <c r="R696" s="15">
        <f t="shared" si="2"/>
        <v>0.4090909091</v>
      </c>
      <c r="S696" s="15">
        <f>IF(H696&lt;&gt;"",EXP(-Formula!$C$28*(EOMONTH(H696,0)-H696)),EXP(-Formula!$C$28*(EOMONTH(D696,0)-D696)))</f>
        <v>0.7046880897</v>
      </c>
      <c r="T696" s="15">
        <f t="shared" si="3"/>
        <v>0.2886751346</v>
      </c>
      <c r="U696" s="15">
        <f t="shared" si="4"/>
        <v>0.08321969829</v>
      </c>
      <c r="V696" s="16">
        <f>IF(AND(L696="Among all respondents",NOT(OR(K696="Online poll in Telegram channel",K696="Website online poll",K696="CAWI (Computer Assisted Web Interviewing)"))),1/(1-MIN(MAX(Formula!$C$33+(YEAR(D696)-Formula!$C$34)/(Formula!$C$35-Formula!$C$34)*(Formula!$C$32-Formula!$C$33),Formula!$C$33),Formula!$C$32)),1)</f>
        <v>1</v>
      </c>
      <c r="W696" s="17">
        <f t="shared" si="5"/>
        <v>1.8</v>
      </c>
    </row>
    <row r="697" ht="15.75" customHeight="1">
      <c r="A697" s="8" t="s">
        <v>1305</v>
      </c>
      <c r="B697" s="7" t="s">
        <v>1293</v>
      </c>
      <c r="C697" s="13" t="s">
        <v>1294</v>
      </c>
      <c r="D697" s="7" t="s">
        <v>134</v>
      </c>
      <c r="E697" s="8" t="s">
        <v>27</v>
      </c>
      <c r="F697" s="8" t="s">
        <v>318</v>
      </c>
      <c r="G697" s="7" t="s">
        <v>139</v>
      </c>
      <c r="H697" s="7" t="s">
        <v>136</v>
      </c>
      <c r="I697" s="8">
        <v>2076.0</v>
      </c>
      <c r="J697" s="8">
        <v>2.2</v>
      </c>
      <c r="K697" s="8" t="s">
        <v>321</v>
      </c>
      <c r="L697" s="8" t="s">
        <v>322</v>
      </c>
      <c r="M697" s="8" t="s">
        <v>343</v>
      </c>
      <c r="N697" s="8">
        <v>1.4</v>
      </c>
      <c r="O697" s="14">
        <f t="shared" si="1"/>
        <v>44593</v>
      </c>
      <c r="P697" s="15">
        <f>IFERROR(VLOOKUP(K697,Formula!$A$11:$B$20,2,FALSE),Formula!$C$26)</f>
        <v>0.9</v>
      </c>
      <c r="Q697" s="15">
        <f>IF(AND(ISNUMBER(J697),J697&gt;0),1/J697,IF(AND(ISNUMBER(I697),I697&gt;0),SQRT(MIN(I697,Formula!$C$27))/Formula!$C$24,1/Formula!$C$25))</f>
        <v>0.4545454545</v>
      </c>
      <c r="R697" s="15">
        <f t="shared" si="2"/>
        <v>0.4090909091</v>
      </c>
      <c r="S697" s="15">
        <f>IF(H697&lt;&gt;"",EXP(-Formula!$C$28*(EOMONTH(H697,0)-H697)),EXP(-Formula!$C$28*(EOMONTH(D697,0)-D697)))</f>
        <v>0.7046880897</v>
      </c>
      <c r="T697" s="15">
        <f t="shared" si="3"/>
        <v>0.2886751346</v>
      </c>
      <c r="U697" s="15">
        <f t="shared" si="4"/>
        <v>0.08321969829</v>
      </c>
      <c r="V697" s="16">
        <f>IF(AND(L697="Among all respondents",NOT(OR(K697="Online poll in Telegram channel",K697="Website online poll",K697="CAWI (Computer Assisted Web Interviewing)"))),1/(1-MIN(MAX(Formula!$C$33+(YEAR(D697)-Formula!$C$34)/(Formula!$C$35-Formula!$C$34)*(Formula!$C$32-Formula!$C$33),Formula!$C$33),Formula!$C$32)),1)</f>
        <v>1</v>
      </c>
      <c r="W697" s="17">
        <f t="shared" si="5"/>
        <v>1.4</v>
      </c>
    </row>
    <row r="698" ht="15.75" customHeight="1">
      <c r="A698" s="8" t="s">
        <v>1306</v>
      </c>
      <c r="B698" s="7" t="s">
        <v>1307</v>
      </c>
      <c r="C698" s="13" t="s">
        <v>1308</v>
      </c>
      <c r="D698" s="7" t="s">
        <v>134</v>
      </c>
      <c r="E698" s="8" t="s">
        <v>40</v>
      </c>
      <c r="F698" s="8" t="s">
        <v>318</v>
      </c>
      <c r="G698" s="7" t="s">
        <v>1309</v>
      </c>
      <c r="H698" s="7" t="s">
        <v>1284</v>
      </c>
      <c r="I698" s="8">
        <v>4800.0</v>
      </c>
      <c r="J698" s="8">
        <v>1.4</v>
      </c>
      <c r="K698" s="8" t="s">
        <v>321</v>
      </c>
      <c r="L698" s="8" t="s">
        <v>322</v>
      </c>
      <c r="M698" s="8" t="s">
        <v>323</v>
      </c>
      <c r="N698" s="8">
        <v>24.6</v>
      </c>
      <c r="O698" s="14">
        <f t="shared" si="1"/>
        <v>44593</v>
      </c>
      <c r="P698" s="15">
        <f>IFERROR(VLOOKUP(K698,Formula!$A$11:$B$20,2,FALSE),Formula!$C$26)</f>
        <v>0.9</v>
      </c>
      <c r="Q698" s="15">
        <f>IF(AND(ISNUMBER(J698),J698&gt;0),1/J698,IF(AND(ISNUMBER(I698),I698&gt;0),SQRT(MIN(I698,Formula!$C$27))/Formula!$C$24,1/Formula!$C$25))</f>
        <v>0.7142857143</v>
      </c>
      <c r="R698" s="15">
        <f t="shared" si="2"/>
        <v>0.6428571429</v>
      </c>
      <c r="S698" s="15">
        <f>IF(H698&lt;&gt;"",EXP(-Formula!$C$28*(EOMONTH(H698,0)-H698)),EXP(-Formula!$C$28*(EOMONTH(D698,0)-D698)))</f>
        <v>0.6065306597</v>
      </c>
      <c r="T698" s="15">
        <f t="shared" si="3"/>
        <v>0.2</v>
      </c>
      <c r="U698" s="15">
        <f t="shared" si="4"/>
        <v>0.07798251339</v>
      </c>
      <c r="V698" s="16">
        <f>IF(AND(L698="Among all respondents",NOT(OR(K698="Online poll in Telegram channel",K698="Website online poll",K698="CAWI (Computer Assisted Web Interviewing)"))),1/(1-MIN(MAX(Formula!$C$33+(YEAR(D698)-Formula!$C$34)/(Formula!$C$35-Formula!$C$34)*(Formula!$C$32-Formula!$C$33),Formula!$C$33),Formula!$C$32)),1)</f>
        <v>1</v>
      </c>
      <c r="W698" s="17">
        <f t="shared" si="5"/>
        <v>24.6</v>
      </c>
    </row>
    <row r="699" ht="15.75" customHeight="1">
      <c r="A699" s="8" t="s">
        <v>1310</v>
      </c>
      <c r="B699" s="7" t="s">
        <v>1307</v>
      </c>
      <c r="C699" s="13" t="s">
        <v>1308</v>
      </c>
      <c r="D699" s="7" t="s">
        <v>134</v>
      </c>
      <c r="E699" s="8" t="s">
        <v>40</v>
      </c>
      <c r="F699" s="8" t="s">
        <v>318</v>
      </c>
      <c r="G699" s="7" t="s">
        <v>1309</v>
      </c>
      <c r="H699" s="7" t="s">
        <v>1284</v>
      </c>
      <c r="I699" s="8">
        <v>4800.0</v>
      </c>
      <c r="J699" s="8">
        <v>1.4</v>
      </c>
      <c r="K699" s="8" t="s">
        <v>321</v>
      </c>
      <c r="L699" s="8" t="s">
        <v>322</v>
      </c>
      <c r="M699" s="8" t="s">
        <v>329</v>
      </c>
      <c r="N699" s="8">
        <v>18.0</v>
      </c>
      <c r="O699" s="14">
        <f t="shared" si="1"/>
        <v>44593</v>
      </c>
      <c r="P699" s="15">
        <f>IFERROR(VLOOKUP(K699,Formula!$A$11:$B$20,2,FALSE),Formula!$C$26)</f>
        <v>0.9</v>
      </c>
      <c r="Q699" s="15">
        <f>IF(AND(ISNUMBER(J699),J699&gt;0),1/J699,IF(AND(ISNUMBER(I699),I699&gt;0),SQRT(MIN(I699,Formula!$C$27))/Formula!$C$24,1/Formula!$C$25))</f>
        <v>0.7142857143</v>
      </c>
      <c r="R699" s="15">
        <f t="shared" si="2"/>
        <v>0.6428571429</v>
      </c>
      <c r="S699" s="15">
        <f>IF(H699&lt;&gt;"",EXP(-Formula!$C$28*(EOMONTH(H699,0)-H699)),EXP(-Formula!$C$28*(EOMONTH(D699,0)-D699)))</f>
        <v>0.6065306597</v>
      </c>
      <c r="T699" s="15">
        <f t="shared" si="3"/>
        <v>0.2</v>
      </c>
      <c r="U699" s="15">
        <f t="shared" si="4"/>
        <v>0.07798251339</v>
      </c>
      <c r="V699" s="16">
        <f>IF(AND(L699="Among all respondents",NOT(OR(K699="Online poll in Telegram channel",K699="Website online poll",K699="CAWI (Computer Assisted Web Interviewing)"))),1/(1-MIN(MAX(Formula!$C$33+(YEAR(D699)-Formula!$C$34)/(Formula!$C$35-Formula!$C$34)*(Formula!$C$32-Formula!$C$33),Formula!$C$33),Formula!$C$32)),1)</f>
        <v>1</v>
      </c>
      <c r="W699" s="17">
        <f t="shared" si="5"/>
        <v>18</v>
      </c>
    </row>
    <row r="700" ht="15.75" customHeight="1">
      <c r="A700" s="8" t="s">
        <v>1311</v>
      </c>
      <c r="B700" s="7" t="s">
        <v>1307</v>
      </c>
      <c r="C700" s="13" t="s">
        <v>1308</v>
      </c>
      <c r="D700" s="7" t="s">
        <v>134</v>
      </c>
      <c r="E700" s="8" t="s">
        <v>40</v>
      </c>
      <c r="F700" s="8" t="s">
        <v>318</v>
      </c>
      <c r="G700" s="7" t="s">
        <v>1309</v>
      </c>
      <c r="H700" s="7" t="s">
        <v>1284</v>
      </c>
      <c r="I700" s="8">
        <v>4800.0</v>
      </c>
      <c r="J700" s="8">
        <v>1.4</v>
      </c>
      <c r="K700" s="8" t="s">
        <v>321</v>
      </c>
      <c r="L700" s="8" t="s">
        <v>322</v>
      </c>
      <c r="M700" s="8" t="s">
        <v>337</v>
      </c>
      <c r="N700" s="8">
        <v>9.5</v>
      </c>
      <c r="O700" s="14">
        <f t="shared" si="1"/>
        <v>44593</v>
      </c>
      <c r="P700" s="15">
        <f>IFERROR(VLOOKUP(K700,Formula!$A$11:$B$20,2,FALSE),Formula!$C$26)</f>
        <v>0.9</v>
      </c>
      <c r="Q700" s="15">
        <f>IF(AND(ISNUMBER(J700),J700&gt;0),1/J700,IF(AND(ISNUMBER(I700),I700&gt;0),SQRT(MIN(I700,Formula!$C$27))/Formula!$C$24,1/Formula!$C$25))</f>
        <v>0.7142857143</v>
      </c>
      <c r="R700" s="15">
        <f t="shared" si="2"/>
        <v>0.6428571429</v>
      </c>
      <c r="S700" s="15">
        <f>IF(H700&lt;&gt;"",EXP(-Formula!$C$28*(EOMONTH(H700,0)-H700)),EXP(-Formula!$C$28*(EOMONTH(D700,0)-D700)))</f>
        <v>0.6065306597</v>
      </c>
      <c r="T700" s="15">
        <f t="shared" si="3"/>
        <v>0.2</v>
      </c>
      <c r="U700" s="15">
        <f t="shared" si="4"/>
        <v>0.07798251339</v>
      </c>
      <c r="V700" s="16">
        <f>IF(AND(L700="Among all respondents",NOT(OR(K700="Online poll in Telegram channel",K700="Website online poll",K700="CAWI (Computer Assisted Web Interviewing)"))),1/(1-MIN(MAX(Formula!$C$33+(YEAR(D700)-Formula!$C$34)/(Formula!$C$35-Formula!$C$34)*(Formula!$C$32-Formula!$C$33),Formula!$C$33),Formula!$C$32)),1)</f>
        <v>1</v>
      </c>
      <c r="W700" s="17">
        <f t="shared" si="5"/>
        <v>9.5</v>
      </c>
    </row>
    <row r="701" ht="15.75" customHeight="1">
      <c r="A701" s="8" t="s">
        <v>1312</v>
      </c>
      <c r="B701" s="7" t="s">
        <v>1307</v>
      </c>
      <c r="C701" s="13" t="s">
        <v>1308</v>
      </c>
      <c r="D701" s="7" t="s">
        <v>134</v>
      </c>
      <c r="E701" s="8" t="s">
        <v>40</v>
      </c>
      <c r="F701" s="8" t="s">
        <v>318</v>
      </c>
      <c r="G701" s="7" t="s">
        <v>1309</v>
      </c>
      <c r="H701" s="7" t="s">
        <v>1284</v>
      </c>
      <c r="I701" s="8">
        <v>4800.0</v>
      </c>
      <c r="J701" s="8">
        <v>1.4</v>
      </c>
      <c r="K701" s="8" t="s">
        <v>321</v>
      </c>
      <c r="L701" s="8" t="s">
        <v>322</v>
      </c>
      <c r="M701" s="8" t="s">
        <v>365</v>
      </c>
      <c r="N701" s="8">
        <v>8.3</v>
      </c>
      <c r="O701" s="14">
        <f t="shared" si="1"/>
        <v>44593</v>
      </c>
      <c r="P701" s="15">
        <f>IFERROR(VLOOKUP(K701,Formula!$A$11:$B$20,2,FALSE),Formula!$C$26)</f>
        <v>0.9</v>
      </c>
      <c r="Q701" s="15">
        <f>IF(AND(ISNUMBER(J701),J701&gt;0),1/J701,IF(AND(ISNUMBER(I701),I701&gt;0),SQRT(MIN(I701,Formula!$C$27))/Formula!$C$24,1/Formula!$C$25))</f>
        <v>0.7142857143</v>
      </c>
      <c r="R701" s="15">
        <f t="shared" si="2"/>
        <v>0.6428571429</v>
      </c>
      <c r="S701" s="15">
        <f>IF(H701&lt;&gt;"",EXP(-Formula!$C$28*(EOMONTH(H701,0)-H701)),EXP(-Formula!$C$28*(EOMONTH(D701,0)-D701)))</f>
        <v>0.6065306597</v>
      </c>
      <c r="T701" s="15">
        <f t="shared" si="3"/>
        <v>0.2</v>
      </c>
      <c r="U701" s="15">
        <f t="shared" si="4"/>
        <v>0.07798251339</v>
      </c>
      <c r="V701" s="16">
        <f>IF(AND(L701="Among all respondents",NOT(OR(K701="Online poll in Telegram channel",K701="Website online poll",K701="CAWI (Computer Assisted Web Interviewing)"))),1/(1-MIN(MAX(Formula!$C$33+(YEAR(D701)-Formula!$C$34)/(Formula!$C$35-Formula!$C$34)*(Formula!$C$32-Formula!$C$33),Formula!$C$33),Formula!$C$32)),1)</f>
        <v>1</v>
      </c>
      <c r="W701" s="17">
        <f t="shared" si="5"/>
        <v>8.3</v>
      </c>
    </row>
    <row r="702" ht="15.75" customHeight="1">
      <c r="A702" s="8" t="s">
        <v>1313</v>
      </c>
      <c r="B702" s="7" t="s">
        <v>1307</v>
      </c>
      <c r="C702" s="13" t="s">
        <v>1308</v>
      </c>
      <c r="D702" s="7" t="s">
        <v>134</v>
      </c>
      <c r="E702" s="8" t="s">
        <v>40</v>
      </c>
      <c r="F702" s="8" t="s">
        <v>318</v>
      </c>
      <c r="G702" s="7" t="s">
        <v>1309</v>
      </c>
      <c r="H702" s="7" t="s">
        <v>1284</v>
      </c>
      <c r="I702" s="8">
        <v>4800.0</v>
      </c>
      <c r="J702" s="8">
        <v>1.4</v>
      </c>
      <c r="K702" s="8" t="s">
        <v>321</v>
      </c>
      <c r="L702" s="8" t="s">
        <v>322</v>
      </c>
      <c r="M702" s="8" t="s">
        <v>828</v>
      </c>
      <c r="N702" s="8">
        <v>7.5</v>
      </c>
      <c r="O702" s="14">
        <f t="shared" si="1"/>
        <v>44593</v>
      </c>
      <c r="P702" s="15">
        <f>IFERROR(VLOOKUP(K702,Formula!$A$11:$B$20,2,FALSE),Formula!$C$26)</f>
        <v>0.9</v>
      </c>
      <c r="Q702" s="15">
        <f>IF(AND(ISNUMBER(J702),J702&gt;0),1/J702,IF(AND(ISNUMBER(I702),I702&gt;0),SQRT(MIN(I702,Formula!$C$27))/Formula!$C$24,1/Formula!$C$25))</f>
        <v>0.7142857143</v>
      </c>
      <c r="R702" s="15">
        <f t="shared" si="2"/>
        <v>0.6428571429</v>
      </c>
      <c r="S702" s="15">
        <f>IF(H702&lt;&gt;"",EXP(-Formula!$C$28*(EOMONTH(H702,0)-H702)),EXP(-Formula!$C$28*(EOMONTH(D702,0)-D702)))</f>
        <v>0.6065306597</v>
      </c>
      <c r="T702" s="15">
        <f t="shared" si="3"/>
        <v>0.2</v>
      </c>
      <c r="U702" s="15">
        <f t="shared" si="4"/>
        <v>0.07798251339</v>
      </c>
      <c r="V702" s="16">
        <f>IF(AND(L702="Among all respondents",NOT(OR(K702="Online poll in Telegram channel",K702="Website online poll",K702="CAWI (Computer Assisted Web Interviewing)"))),1/(1-MIN(MAX(Formula!$C$33+(YEAR(D702)-Formula!$C$34)/(Formula!$C$35-Formula!$C$34)*(Formula!$C$32-Formula!$C$33),Formula!$C$33),Formula!$C$32)),1)</f>
        <v>1</v>
      </c>
      <c r="W702" s="17">
        <f t="shared" si="5"/>
        <v>7.5</v>
      </c>
    </row>
    <row r="703" ht="15.75" customHeight="1">
      <c r="A703" s="8" t="s">
        <v>1314</v>
      </c>
      <c r="B703" s="7" t="s">
        <v>1307</v>
      </c>
      <c r="C703" s="13" t="s">
        <v>1308</v>
      </c>
      <c r="D703" s="7" t="s">
        <v>134</v>
      </c>
      <c r="E703" s="8" t="s">
        <v>40</v>
      </c>
      <c r="F703" s="8" t="s">
        <v>318</v>
      </c>
      <c r="G703" s="7" t="s">
        <v>1309</v>
      </c>
      <c r="H703" s="7" t="s">
        <v>1284</v>
      </c>
      <c r="I703" s="8">
        <v>4800.0</v>
      </c>
      <c r="J703" s="8">
        <v>1.4</v>
      </c>
      <c r="K703" s="8" t="s">
        <v>321</v>
      </c>
      <c r="L703" s="8" t="s">
        <v>322</v>
      </c>
      <c r="M703" s="8" t="s">
        <v>333</v>
      </c>
      <c r="N703" s="8">
        <v>6.9</v>
      </c>
      <c r="O703" s="14">
        <f t="shared" si="1"/>
        <v>44593</v>
      </c>
      <c r="P703" s="15">
        <f>IFERROR(VLOOKUP(K703,Formula!$A$11:$B$20,2,FALSE),Formula!$C$26)</f>
        <v>0.9</v>
      </c>
      <c r="Q703" s="15">
        <f>IF(AND(ISNUMBER(J703),J703&gt;0),1/J703,IF(AND(ISNUMBER(I703),I703&gt;0),SQRT(MIN(I703,Formula!$C$27))/Formula!$C$24,1/Formula!$C$25))</f>
        <v>0.7142857143</v>
      </c>
      <c r="R703" s="15">
        <f t="shared" si="2"/>
        <v>0.6428571429</v>
      </c>
      <c r="S703" s="15">
        <f>IF(H703&lt;&gt;"",EXP(-Formula!$C$28*(EOMONTH(H703,0)-H703)),EXP(-Formula!$C$28*(EOMONTH(D703,0)-D703)))</f>
        <v>0.6065306597</v>
      </c>
      <c r="T703" s="15">
        <f t="shared" si="3"/>
        <v>0.2</v>
      </c>
      <c r="U703" s="15">
        <f t="shared" si="4"/>
        <v>0.07798251339</v>
      </c>
      <c r="V703" s="16">
        <f>IF(AND(L703="Among all respondents",NOT(OR(K703="Online poll in Telegram channel",K703="Website online poll",K703="CAWI (Computer Assisted Web Interviewing)"))),1/(1-MIN(MAX(Formula!$C$33+(YEAR(D703)-Formula!$C$34)/(Formula!$C$35-Formula!$C$34)*(Formula!$C$32-Formula!$C$33),Formula!$C$33),Formula!$C$32)),1)</f>
        <v>1</v>
      </c>
      <c r="W703" s="17">
        <f t="shared" si="5"/>
        <v>6.9</v>
      </c>
    </row>
    <row r="704" ht="15.75" customHeight="1">
      <c r="A704" s="8" t="s">
        <v>1315</v>
      </c>
      <c r="B704" s="7" t="s">
        <v>1307</v>
      </c>
      <c r="C704" s="13" t="s">
        <v>1308</v>
      </c>
      <c r="D704" s="7" t="s">
        <v>134</v>
      </c>
      <c r="E704" s="8" t="s">
        <v>40</v>
      </c>
      <c r="F704" s="8" t="s">
        <v>318</v>
      </c>
      <c r="G704" s="7" t="s">
        <v>1309</v>
      </c>
      <c r="H704" s="7" t="s">
        <v>1284</v>
      </c>
      <c r="I704" s="8">
        <v>4800.0</v>
      </c>
      <c r="J704" s="8">
        <v>1.4</v>
      </c>
      <c r="K704" s="8" t="s">
        <v>321</v>
      </c>
      <c r="L704" s="8" t="s">
        <v>322</v>
      </c>
      <c r="M704" s="8" t="s">
        <v>1153</v>
      </c>
      <c r="N704" s="8">
        <v>5.9</v>
      </c>
      <c r="O704" s="14">
        <f t="shared" si="1"/>
        <v>44593</v>
      </c>
      <c r="P704" s="15">
        <f>IFERROR(VLOOKUP(K704,Formula!$A$11:$B$20,2,FALSE),Formula!$C$26)</f>
        <v>0.9</v>
      </c>
      <c r="Q704" s="15">
        <f>IF(AND(ISNUMBER(J704),J704&gt;0),1/J704,IF(AND(ISNUMBER(I704),I704&gt;0),SQRT(MIN(I704,Formula!$C$27))/Formula!$C$24,1/Formula!$C$25))</f>
        <v>0.7142857143</v>
      </c>
      <c r="R704" s="15">
        <f t="shared" si="2"/>
        <v>0.6428571429</v>
      </c>
      <c r="S704" s="15">
        <f>IF(H704&lt;&gt;"",EXP(-Formula!$C$28*(EOMONTH(H704,0)-H704)),EXP(-Formula!$C$28*(EOMONTH(D704,0)-D704)))</f>
        <v>0.6065306597</v>
      </c>
      <c r="T704" s="15">
        <f t="shared" si="3"/>
        <v>0.2</v>
      </c>
      <c r="U704" s="15">
        <f t="shared" si="4"/>
        <v>0.07798251339</v>
      </c>
      <c r="V704" s="16">
        <f>IF(AND(L704="Among all respondents",NOT(OR(K704="Online poll in Telegram channel",K704="Website online poll",K704="CAWI (Computer Assisted Web Interviewing)"))),1/(1-MIN(MAX(Formula!$C$33+(YEAR(D704)-Formula!$C$34)/(Formula!$C$35-Formula!$C$34)*(Formula!$C$32-Formula!$C$33),Formula!$C$33),Formula!$C$32)),1)</f>
        <v>1</v>
      </c>
      <c r="W704" s="17">
        <f t="shared" si="5"/>
        <v>5.9</v>
      </c>
    </row>
    <row r="705" ht="15.75" customHeight="1">
      <c r="A705" s="8" t="s">
        <v>1316</v>
      </c>
      <c r="B705" s="7" t="s">
        <v>1307</v>
      </c>
      <c r="C705" s="13" t="s">
        <v>1308</v>
      </c>
      <c r="D705" s="7" t="s">
        <v>134</v>
      </c>
      <c r="E705" s="8" t="s">
        <v>40</v>
      </c>
      <c r="F705" s="8" t="s">
        <v>318</v>
      </c>
      <c r="G705" s="7" t="s">
        <v>1309</v>
      </c>
      <c r="H705" s="7" t="s">
        <v>1284</v>
      </c>
      <c r="I705" s="8">
        <v>4800.0</v>
      </c>
      <c r="J705" s="8">
        <v>1.4</v>
      </c>
      <c r="K705" s="8" t="s">
        <v>321</v>
      </c>
      <c r="L705" s="8" t="s">
        <v>322</v>
      </c>
      <c r="M705" s="8" t="s">
        <v>386</v>
      </c>
      <c r="N705" s="8">
        <v>5.3</v>
      </c>
      <c r="O705" s="14">
        <f t="shared" si="1"/>
        <v>44593</v>
      </c>
      <c r="P705" s="15">
        <f>IFERROR(VLOOKUP(K705,Formula!$A$11:$B$20,2,FALSE),Formula!$C$26)</f>
        <v>0.9</v>
      </c>
      <c r="Q705" s="15">
        <f>IF(AND(ISNUMBER(J705),J705&gt;0),1/J705,IF(AND(ISNUMBER(I705),I705&gt;0),SQRT(MIN(I705,Formula!$C$27))/Formula!$C$24,1/Formula!$C$25))</f>
        <v>0.7142857143</v>
      </c>
      <c r="R705" s="15">
        <f t="shared" si="2"/>
        <v>0.6428571429</v>
      </c>
      <c r="S705" s="15">
        <f>IF(H705&lt;&gt;"",EXP(-Formula!$C$28*(EOMONTH(H705,0)-H705)),EXP(-Formula!$C$28*(EOMONTH(D705,0)-D705)))</f>
        <v>0.6065306597</v>
      </c>
      <c r="T705" s="15">
        <f t="shared" si="3"/>
        <v>0.2</v>
      </c>
      <c r="U705" s="15">
        <f t="shared" si="4"/>
        <v>0.07798251339</v>
      </c>
      <c r="V705" s="16">
        <f>IF(AND(L705="Among all respondents",NOT(OR(K705="Online poll in Telegram channel",K705="Website online poll",K705="CAWI (Computer Assisted Web Interviewing)"))),1/(1-MIN(MAX(Formula!$C$33+(YEAR(D705)-Formula!$C$34)/(Formula!$C$35-Formula!$C$34)*(Formula!$C$32-Formula!$C$33),Formula!$C$33),Formula!$C$32)),1)</f>
        <v>1</v>
      </c>
      <c r="W705" s="17">
        <f t="shared" si="5"/>
        <v>5.3</v>
      </c>
    </row>
    <row r="706" ht="15.75" customHeight="1">
      <c r="A706" s="8" t="s">
        <v>1317</v>
      </c>
      <c r="B706" s="7" t="s">
        <v>1307</v>
      </c>
      <c r="C706" s="13" t="s">
        <v>1308</v>
      </c>
      <c r="D706" s="7" t="s">
        <v>134</v>
      </c>
      <c r="E706" s="8" t="s">
        <v>40</v>
      </c>
      <c r="F706" s="8" t="s">
        <v>318</v>
      </c>
      <c r="G706" s="7" t="s">
        <v>1309</v>
      </c>
      <c r="H706" s="7" t="s">
        <v>1284</v>
      </c>
      <c r="I706" s="8">
        <v>4800.0</v>
      </c>
      <c r="J706" s="8">
        <v>1.4</v>
      </c>
      <c r="K706" s="8" t="s">
        <v>321</v>
      </c>
      <c r="L706" s="8" t="s">
        <v>322</v>
      </c>
      <c r="M706" s="8" t="s">
        <v>388</v>
      </c>
      <c r="N706" s="8">
        <v>2.9</v>
      </c>
      <c r="O706" s="14">
        <f t="shared" si="1"/>
        <v>44593</v>
      </c>
      <c r="P706" s="15">
        <f>IFERROR(VLOOKUP(K706,Formula!$A$11:$B$20,2,FALSE),Formula!$C$26)</f>
        <v>0.9</v>
      </c>
      <c r="Q706" s="15">
        <f>IF(AND(ISNUMBER(J706),J706&gt;0),1/J706,IF(AND(ISNUMBER(I706),I706&gt;0),SQRT(MIN(I706,Formula!$C$27))/Formula!$C$24,1/Formula!$C$25))</f>
        <v>0.7142857143</v>
      </c>
      <c r="R706" s="15">
        <f t="shared" si="2"/>
        <v>0.6428571429</v>
      </c>
      <c r="S706" s="15">
        <f>IF(H706&lt;&gt;"",EXP(-Formula!$C$28*(EOMONTH(H706,0)-H706)),EXP(-Formula!$C$28*(EOMONTH(D706,0)-D706)))</f>
        <v>0.6065306597</v>
      </c>
      <c r="T706" s="15">
        <f t="shared" si="3"/>
        <v>0.2</v>
      </c>
      <c r="U706" s="15">
        <f t="shared" si="4"/>
        <v>0.07798251339</v>
      </c>
      <c r="V706" s="16">
        <f>IF(AND(L706="Among all respondents",NOT(OR(K706="Online poll in Telegram channel",K706="Website online poll",K706="CAWI (Computer Assisted Web Interviewing)"))),1/(1-MIN(MAX(Formula!$C$33+(YEAR(D706)-Formula!$C$34)/(Formula!$C$35-Formula!$C$34)*(Formula!$C$32-Formula!$C$33),Formula!$C$33),Formula!$C$32)),1)</f>
        <v>1</v>
      </c>
      <c r="W706" s="17">
        <f t="shared" si="5"/>
        <v>2.9</v>
      </c>
    </row>
    <row r="707" ht="15.75" customHeight="1">
      <c r="A707" s="8" t="s">
        <v>1318</v>
      </c>
      <c r="B707" s="7" t="s">
        <v>1307</v>
      </c>
      <c r="C707" s="13" t="s">
        <v>1308</v>
      </c>
      <c r="D707" s="7" t="s">
        <v>134</v>
      </c>
      <c r="E707" s="8" t="s">
        <v>40</v>
      </c>
      <c r="F707" s="8" t="s">
        <v>318</v>
      </c>
      <c r="G707" s="7" t="s">
        <v>1309</v>
      </c>
      <c r="H707" s="7" t="s">
        <v>1284</v>
      </c>
      <c r="I707" s="8">
        <v>4800.0</v>
      </c>
      <c r="J707" s="8">
        <v>1.4</v>
      </c>
      <c r="K707" s="8" t="s">
        <v>321</v>
      </c>
      <c r="L707" s="8" t="s">
        <v>322</v>
      </c>
      <c r="M707" s="8" t="s">
        <v>743</v>
      </c>
      <c r="N707" s="8">
        <v>2.2</v>
      </c>
      <c r="O707" s="14">
        <f t="shared" si="1"/>
        <v>44593</v>
      </c>
      <c r="P707" s="15">
        <f>IFERROR(VLOOKUP(K707,Formula!$A$11:$B$20,2,FALSE),Formula!$C$26)</f>
        <v>0.9</v>
      </c>
      <c r="Q707" s="15">
        <f>IF(AND(ISNUMBER(J707),J707&gt;0),1/J707,IF(AND(ISNUMBER(I707),I707&gt;0),SQRT(MIN(I707,Formula!$C$27))/Formula!$C$24,1/Formula!$C$25))</f>
        <v>0.7142857143</v>
      </c>
      <c r="R707" s="15">
        <f t="shared" si="2"/>
        <v>0.6428571429</v>
      </c>
      <c r="S707" s="15">
        <f>IF(H707&lt;&gt;"",EXP(-Formula!$C$28*(EOMONTH(H707,0)-H707)),EXP(-Formula!$C$28*(EOMONTH(D707,0)-D707)))</f>
        <v>0.6065306597</v>
      </c>
      <c r="T707" s="15">
        <f t="shared" si="3"/>
        <v>0.2</v>
      </c>
      <c r="U707" s="15">
        <f t="shared" si="4"/>
        <v>0.07798251339</v>
      </c>
      <c r="V707" s="16">
        <f>IF(AND(L707="Among all respondents",NOT(OR(K707="Online poll in Telegram channel",K707="Website online poll",K707="CAWI (Computer Assisted Web Interviewing)"))),1/(1-MIN(MAX(Formula!$C$33+(YEAR(D707)-Formula!$C$34)/(Formula!$C$35-Formula!$C$34)*(Formula!$C$32-Formula!$C$33),Formula!$C$33),Formula!$C$32)),1)</f>
        <v>1</v>
      </c>
      <c r="W707" s="17">
        <f t="shared" si="5"/>
        <v>2.2</v>
      </c>
    </row>
    <row r="708" ht="15.75" customHeight="1">
      <c r="A708" s="8" t="s">
        <v>1319</v>
      </c>
      <c r="B708" s="7" t="s">
        <v>1307</v>
      </c>
      <c r="C708" s="13" t="s">
        <v>1308</v>
      </c>
      <c r="D708" s="7" t="s">
        <v>134</v>
      </c>
      <c r="E708" s="8" t="s">
        <v>40</v>
      </c>
      <c r="F708" s="8" t="s">
        <v>318</v>
      </c>
      <c r="G708" s="7" t="s">
        <v>1309</v>
      </c>
      <c r="H708" s="7" t="s">
        <v>1284</v>
      </c>
      <c r="I708" s="8">
        <v>4800.0</v>
      </c>
      <c r="J708" s="8">
        <v>1.4</v>
      </c>
      <c r="K708" s="8" t="s">
        <v>321</v>
      </c>
      <c r="L708" s="8" t="s">
        <v>322</v>
      </c>
      <c r="M708" s="8" t="s">
        <v>343</v>
      </c>
      <c r="N708" s="8">
        <v>2.0</v>
      </c>
      <c r="O708" s="14">
        <f t="shared" si="1"/>
        <v>44593</v>
      </c>
      <c r="P708" s="15">
        <f>IFERROR(VLOOKUP(K708,Formula!$A$11:$B$20,2,FALSE),Formula!$C$26)</f>
        <v>0.9</v>
      </c>
      <c r="Q708" s="15">
        <f>IF(AND(ISNUMBER(J708),J708&gt;0),1/J708,IF(AND(ISNUMBER(I708),I708&gt;0),SQRT(MIN(I708,Formula!$C$27))/Formula!$C$24,1/Formula!$C$25))</f>
        <v>0.7142857143</v>
      </c>
      <c r="R708" s="15">
        <f t="shared" si="2"/>
        <v>0.6428571429</v>
      </c>
      <c r="S708" s="15">
        <f>IF(H708&lt;&gt;"",EXP(-Formula!$C$28*(EOMONTH(H708,0)-H708)),EXP(-Formula!$C$28*(EOMONTH(D708,0)-D708)))</f>
        <v>0.6065306597</v>
      </c>
      <c r="T708" s="15">
        <f t="shared" si="3"/>
        <v>0.2</v>
      </c>
      <c r="U708" s="15">
        <f t="shared" si="4"/>
        <v>0.07798251339</v>
      </c>
      <c r="V708" s="16">
        <f>IF(AND(L708="Among all respondents",NOT(OR(K708="Online poll in Telegram channel",K708="Website online poll",K708="CAWI (Computer Assisted Web Interviewing)"))),1/(1-MIN(MAX(Formula!$C$33+(YEAR(D708)-Formula!$C$34)/(Formula!$C$35-Formula!$C$34)*(Formula!$C$32-Formula!$C$33),Formula!$C$33),Formula!$C$32)),1)</f>
        <v>1</v>
      </c>
      <c r="W708" s="17">
        <f t="shared" si="5"/>
        <v>2</v>
      </c>
    </row>
    <row r="709" ht="15.75" customHeight="1">
      <c r="A709" s="8" t="s">
        <v>1320</v>
      </c>
      <c r="B709" s="7" t="s">
        <v>1307</v>
      </c>
      <c r="C709" s="13" t="s">
        <v>1308</v>
      </c>
      <c r="D709" s="7" t="s">
        <v>134</v>
      </c>
      <c r="E709" s="8" t="s">
        <v>40</v>
      </c>
      <c r="F709" s="8" t="s">
        <v>318</v>
      </c>
      <c r="G709" s="7" t="s">
        <v>1309</v>
      </c>
      <c r="H709" s="7" t="s">
        <v>1284</v>
      </c>
      <c r="I709" s="8">
        <v>4800.0</v>
      </c>
      <c r="J709" s="8">
        <v>1.4</v>
      </c>
      <c r="K709" s="8" t="s">
        <v>321</v>
      </c>
      <c r="L709" s="8" t="s">
        <v>322</v>
      </c>
      <c r="M709" s="8" t="s">
        <v>740</v>
      </c>
      <c r="N709" s="8">
        <v>1.9</v>
      </c>
      <c r="O709" s="14">
        <f t="shared" si="1"/>
        <v>44593</v>
      </c>
      <c r="P709" s="15">
        <f>IFERROR(VLOOKUP(K709,Formula!$A$11:$B$20,2,FALSE),Formula!$C$26)</f>
        <v>0.9</v>
      </c>
      <c r="Q709" s="15">
        <f>IF(AND(ISNUMBER(J709),J709&gt;0),1/J709,IF(AND(ISNUMBER(I709),I709&gt;0),SQRT(MIN(I709,Formula!$C$27))/Formula!$C$24,1/Formula!$C$25))</f>
        <v>0.7142857143</v>
      </c>
      <c r="R709" s="15">
        <f t="shared" si="2"/>
        <v>0.6428571429</v>
      </c>
      <c r="S709" s="15">
        <f>IF(H709&lt;&gt;"",EXP(-Formula!$C$28*(EOMONTH(H709,0)-H709)),EXP(-Formula!$C$28*(EOMONTH(D709,0)-D709)))</f>
        <v>0.6065306597</v>
      </c>
      <c r="T709" s="15">
        <f t="shared" si="3"/>
        <v>0.2</v>
      </c>
      <c r="U709" s="15">
        <f t="shared" si="4"/>
        <v>0.07798251339</v>
      </c>
      <c r="V709" s="16">
        <f>IF(AND(L709="Among all respondents",NOT(OR(K709="Online poll in Telegram channel",K709="Website online poll",K709="CAWI (Computer Assisted Web Interviewing)"))),1/(1-MIN(MAX(Formula!$C$33+(YEAR(D709)-Formula!$C$34)/(Formula!$C$35-Formula!$C$34)*(Formula!$C$32-Formula!$C$33),Formula!$C$33),Formula!$C$32)),1)</f>
        <v>1</v>
      </c>
      <c r="W709" s="17">
        <f t="shared" si="5"/>
        <v>1.9</v>
      </c>
    </row>
    <row r="710" ht="15.75" customHeight="1">
      <c r="A710" s="8" t="s">
        <v>1321</v>
      </c>
      <c r="B710" s="7" t="s">
        <v>1322</v>
      </c>
      <c r="C710" s="13" t="s">
        <v>1323</v>
      </c>
      <c r="D710" s="7" t="s">
        <v>136</v>
      </c>
      <c r="E710" s="8" t="s">
        <v>137</v>
      </c>
      <c r="F710" s="8" t="s">
        <v>318</v>
      </c>
      <c r="G710" s="7" t="s">
        <v>1324</v>
      </c>
      <c r="H710" s="7" t="s">
        <v>1284</v>
      </c>
      <c r="I710" s="8">
        <v>2400.0</v>
      </c>
      <c r="J710" s="8">
        <v>2.0</v>
      </c>
      <c r="K710" s="8" t="s">
        <v>583</v>
      </c>
      <c r="L710" s="8" t="s">
        <v>322</v>
      </c>
      <c r="M710" s="8" t="s">
        <v>323</v>
      </c>
      <c r="N710" s="8">
        <v>28.0</v>
      </c>
      <c r="O710" s="14">
        <f t="shared" si="1"/>
        <v>44593</v>
      </c>
      <c r="P710" s="15">
        <f>IFERROR(VLOOKUP(K710,Formula!$A$11:$B$20,2,FALSE),Formula!$C$26)</f>
        <v>0.95</v>
      </c>
      <c r="Q710" s="15">
        <f>IF(AND(ISNUMBER(J710),J710&gt;0),1/J710,IF(AND(ISNUMBER(I710),I710&gt;0),SQRT(MIN(I710,Formula!$C$27))/Formula!$C$24,1/Formula!$C$25))</f>
        <v>0.5</v>
      </c>
      <c r="R710" s="15">
        <f t="shared" si="2"/>
        <v>0.475</v>
      </c>
      <c r="S710" s="15">
        <f>IF(H710&lt;&gt;"",EXP(-Formula!$C$28*(EOMONTH(H710,0)-H710)),EXP(-Formula!$C$28*(EOMONTH(D710,0)-D710)))</f>
        <v>0.6065306597</v>
      </c>
      <c r="T710" s="15">
        <f t="shared" si="3"/>
        <v>0.2886751346</v>
      </c>
      <c r="U710" s="15">
        <f t="shared" si="4"/>
        <v>0.08316790192</v>
      </c>
      <c r="V710" s="16">
        <f>IF(AND(L710="Among all respondents",NOT(OR(K710="Online poll in Telegram channel",K710="Website online poll",K710="CAWI (Computer Assisted Web Interviewing)"))),1/(1-MIN(MAX(Formula!$C$33+(YEAR(D710)-Formula!$C$34)/(Formula!$C$35-Formula!$C$34)*(Formula!$C$32-Formula!$C$33),Formula!$C$33),Formula!$C$32)),1)</f>
        <v>1</v>
      </c>
      <c r="W710" s="17">
        <f t="shared" si="5"/>
        <v>28</v>
      </c>
    </row>
    <row r="711" ht="15.75" customHeight="1">
      <c r="A711" s="8" t="s">
        <v>1325</v>
      </c>
      <c r="B711" s="7" t="s">
        <v>1322</v>
      </c>
      <c r="C711" s="13" t="s">
        <v>1323</v>
      </c>
      <c r="D711" s="7" t="s">
        <v>136</v>
      </c>
      <c r="E711" s="8" t="s">
        <v>137</v>
      </c>
      <c r="F711" s="8" t="s">
        <v>318</v>
      </c>
      <c r="G711" s="7" t="s">
        <v>1324</v>
      </c>
      <c r="H711" s="7" t="s">
        <v>1284</v>
      </c>
      <c r="I711" s="8">
        <v>2400.0</v>
      </c>
      <c r="J711" s="8">
        <v>2.0</v>
      </c>
      <c r="K711" s="8" t="s">
        <v>583</v>
      </c>
      <c r="L711" s="8" t="s">
        <v>322</v>
      </c>
      <c r="M711" s="8" t="s">
        <v>329</v>
      </c>
      <c r="N711" s="8">
        <v>15.0</v>
      </c>
      <c r="O711" s="14">
        <f t="shared" si="1"/>
        <v>44593</v>
      </c>
      <c r="P711" s="15">
        <f>IFERROR(VLOOKUP(K711,Formula!$A$11:$B$20,2,FALSE),Formula!$C$26)</f>
        <v>0.95</v>
      </c>
      <c r="Q711" s="15">
        <f>IF(AND(ISNUMBER(J711),J711&gt;0),1/J711,IF(AND(ISNUMBER(I711),I711&gt;0),SQRT(MIN(I711,Formula!$C$27))/Formula!$C$24,1/Formula!$C$25))</f>
        <v>0.5</v>
      </c>
      <c r="R711" s="15">
        <f t="shared" si="2"/>
        <v>0.475</v>
      </c>
      <c r="S711" s="15">
        <f>IF(H711&lt;&gt;"",EXP(-Formula!$C$28*(EOMONTH(H711,0)-H711)),EXP(-Formula!$C$28*(EOMONTH(D711,0)-D711)))</f>
        <v>0.6065306597</v>
      </c>
      <c r="T711" s="15">
        <f t="shared" si="3"/>
        <v>0.2886751346</v>
      </c>
      <c r="U711" s="15">
        <f t="shared" si="4"/>
        <v>0.08316790192</v>
      </c>
      <c r="V711" s="16">
        <f>IF(AND(L711="Among all respondents",NOT(OR(K711="Online poll in Telegram channel",K711="Website online poll",K711="CAWI (Computer Assisted Web Interviewing)"))),1/(1-MIN(MAX(Formula!$C$33+(YEAR(D711)-Formula!$C$34)/(Formula!$C$35-Formula!$C$34)*(Formula!$C$32-Formula!$C$33),Formula!$C$33),Formula!$C$32)),1)</f>
        <v>1</v>
      </c>
      <c r="W711" s="17">
        <f t="shared" si="5"/>
        <v>15</v>
      </c>
    </row>
    <row r="712" ht="15.75" customHeight="1">
      <c r="A712" s="8" t="s">
        <v>1326</v>
      </c>
      <c r="B712" s="7" t="s">
        <v>1322</v>
      </c>
      <c r="C712" s="13" t="s">
        <v>1323</v>
      </c>
      <c r="D712" s="7" t="s">
        <v>136</v>
      </c>
      <c r="E712" s="8" t="s">
        <v>137</v>
      </c>
      <c r="F712" s="8" t="s">
        <v>318</v>
      </c>
      <c r="G712" s="7" t="s">
        <v>1324</v>
      </c>
      <c r="H712" s="7" t="s">
        <v>1284</v>
      </c>
      <c r="I712" s="8">
        <v>2400.0</v>
      </c>
      <c r="J712" s="8">
        <v>2.0</v>
      </c>
      <c r="K712" s="8" t="s">
        <v>583</v>
      </c>
      <c r="L712" s="8" t="s">
        <v>322</v>
      </c>
      <c r="M712" s="8" t="s">
        <v>365</v>
      </c>
      <c r="N712" s="8">
        <v>11.0</v>
      </c>
      <c r="O712" s="14">
        <f t="shared" si="1"/>
        <v>44593</v>
      </c>
      <c r="P712" s="15">
        <f>IFERROR(VLOOKUP(K712,Formula!$A$11:$B$20,2,FALSE),Formula!$C$26)</f>
        <v>0.95</v>
      </c>
      <c r="Q712" s="15">
        <f>IF(AND(ISNUMBER(J712),J712&gt;0),1/J712,IF(AND(ISNUMBER(I712),I712&gt;0),SQRT(MIN(I712,Formula!$C$27))/Formula!$C$24,1/Formula!$C$25))</f>
        <v>0.5</v>
      </c>
      <c r="R712" s="15">
        <f t="shared" si="2"/>
        <v>0.475</v>
      </c>
      <c r="S712" s="15">
        <f>IF(H712&lt;&gt;"",EXP(-Formula!$C$28*(EOMONTH(H712,0)-H712)),EXP(-Formula!$C$28*(EOMONTH(D712,0)-D712)))</f>
        <v>0.6065306597</v>
      </c>
      <c r="T712" s="15">
        <f t="shared" si="3"/>
        <v>0.2886751346</v>
      </c>
      <c r="U712" s="15">
        <f t="shared" si="4"/>
        <v>0.08316790192</v>
      </c>
      <c r="V712" s="16">
        <f>IF(AND(L712="Among all respondents",NOT(OR(K712="Online poll in Telegram channel",K712="Website online poll",K712="CAWI (Computer Assisted Web Interviewing)"))),1/(1-MIN(MAX(Formula!$C$33+(YEAR(D712)-Formula!$C$34)/(Formula!$C$35-Formula!$C$34)*(Formula!$C$32-Formula!$C$33),Formula!$C$33),Formula!$C$32)),1)</f>
        <v>1</v>
      </c>
      <c r="W712" s="17">
        <f t="shared" si="5"/>
        <v>11</v>
      </c>
    </row>
    <row r="713" ht="15.75" customHeight="1">
      <c r="A713" s="8" t="s">
        <v>1327</v>
      </c>
      <c r="B713" s="7" t="s">
        <v>1322</v>
      </c>
      <c r="C713" s="13" t="s">
        <v>1323</v>
      </c>
      <c r="D713" s="7" t="s">
        <v>136</v>
      </c>
      <c r="E713" s="8" t="s">
        <v>137</v>
      </c>
      <c r="F713" s="8" t="s">
        <v>318</v>
      </c>
      <c r="G713" s="7" t="s">
        <v>1324</v>
      </c>
      <c r="H713" s="7" t="s">
        <v>1284</v>
      </c>
      <c r="I713" s="8">
        <v>2400.0</v>
      </c>
      <c r="J713" s="8">
        <v>2.0</v>
      </c>
      <c r="K713" s="8" t="s">
        <v>583</v>
      </c>
      <c r="L713" s="8" t="s">
        <v>322</v>
      </c>
      <c r="M713" s="8" t="s">
        <v>337</v>
      </c>
      <c r="N713" s="8">
        <v>9.0</v>
      </c>
      <c r="O713" s="14">
        <f t="shared" si="1"/>
        <v>44593</v>
      </c>
      <c r="P713" s="15">
        <f>IFERROR(VLOOKUP(K713,Formula!$A$11:$B$20,2,FALSE),Formula!$C$26)</f>
        <v>0.95</v>
      </c>
      <c r="Q713" s="15">
        <f>IF(AND(ISNUMBER(J713),J713&gt;0),1/J713,IF(AND(ISNUMBER(I713),I713&gt;0),SQRT(MIN(I713,Formula!$C$27))/Formula!$C$24,1/Formula!$C$25))</f>
        <v>0.5</v>
      </c>
      <c r="R713" s="15">
        <f t="shared" si="2"/>
        <v>0.475</v>
      </c>
      <c r="S713" s="15">
        <f>IF(H713&lt;&gt;"",EXP(-Formula!$C$28*(EOMONTH(H713,0)-H713)),EXP(-Formula!$C$28*(EOMONTH(D713,0)-D713)))</f>
        <v>0.6065306597</v>
      </c>
      <c r="T713" s="15">
        <f t="shared" si="3"/>
        <v>0.2886751346</v>
      </c>
      <c r="U713" s="15">
        <f t="shared" si="4"/>
        <v>0.08316790192</v>
      </c>
      <c r="V713" s="16">
        <f>IF(AND(L713="Among all respondents",NOT(OR(K713="Online poll in Telegram channel",K713="Website online poll",K713="CAWI (Computer Assisted Web Interviewing)"))),1/(1-MIN(MAX(Formula!$C$33+(YEAR(D713)-Formula!$C$34)/(Formula!$C$35-Formula!$C$34)*(Formula!$C$32-Formula!$C$33),Formula!$C$33),Formula!$C$32)),1)</f>
        <v>1</v>
      </c>
      <c r="W713" s="17">
        <f t="shared" si="5"/>
        <v>9</v>
      </c>
    </row>
    <row r="714" ht="15.75" customHeight="1">
      <c r="A714" s="8" t="s">
        <v>1328</v>
      </c>
      <c r="B714" s="7" t="s">
        <v>1322</v>
      </c>
      <c r="C714" s="13" t="s">
        <v>1323</v>
      </c>
      <c r="D714" s="7" t="s">
        <v>136</v>
      </c>
      <c r="E714" s="8" t="s">
        <v>137</v>
      </c>
      <c r="F714" s="8" t="s">
        <v>318</v>
      </c>
      <c r="G714" s="7" t="s">
        <v>1324</v>
      </c>
      <c r="H714" s="7" t="s">
        <v>1284</v>
      </c>
      <c r="I714" s="8">
        <v>2400.0</v>
      </c>
      <c r="J714" s="8">
        <v>2.0</v>
      </c>
      <c r="K714" s="8" t="s">
        <v>583</v>
      </c>
      <c r="L714" s="8" t="s">
        <v>322</v>
      </c>
      <c r="M714" s="8" t="s">
        <v>828</v>
      </c>
      <c r="N714" s="8">
        <v>7.0</v>
      </c>
      <c r="O714" s="14">
        <f t="shared" si="1"/>
        <v>44593</v>
      </c>
      <c r="P714" s="15">
        <f>IFERROR(VLOOKUP(K714,Formula!$A$11:$B$20,2,FALSE),Formula!$C$26)</f>
        <v>0.95</v>
      </c>
      <c r="Q714" s="15">
        <f>IF(AND(ISNUMBER(J714),J714&gt;0),1/J714,IF(AND(ISNUMBER(I714),I714&gt;0),SQRT(MIN(I714,Formula!$C$27))/Formula!$C$24,1/Formula!$C$25))</f>
        <v>0.5</v>
      </c>
      <c r="R714" s="15">
        <f t="shared" si="2"/>
        <v>0.475</v>
      </c>
      <c r="S714" s="15">
        <f>IF(H714&lt;&gt;"",EXP(-Formula!$C$28*(EOMONTH(H714,0)-H714)),EXP(-Formula!$C$28*(EOMONTH(D714,0)-D714)))</f>
        <v>0.6065306597</v>
      </c>
      <c r="T714" s="15">
        <f t="shared" si="3"/>
        <v>0.2886751346</v>
      </c>
      <c r="U714" s="15">
        <f t="shared" si="4"/>
        <v>0.08316790192</v>
      </c>
      <c r="V714" s="16">
        <f>IF(AND(L714="Among all respondents",NOT(OR(K714="Online poll in Telegram channel",K714="Website online poll",K714="CAWI (Computer Assisted Web Interviewing)"))),1/(1-MIN(MAX(Formula!$C$33+(YEAR(D714)-Formula!$C$34)/(Formula!$C$35-Formula!$C$34)*(Formula!$C$32-Formula!$C$33),Formula!$C$33),Formula!$C$32)),1)</f>
        <v>1</v>
      </c>
      <c r="W714" s="17">
        <f t="shared" si="5"/>
        <v>7</v>
      </c>
    </row>
    <row r="715" ht="15.75" customHeight="1">
      <c r="A715" s="8" t="s">
        <v>1329</v>
      </c>
      <c r="B715" s="7" t="s">
        <v>1322</v>
      </c>
      <c r="C715" s="13" t="s">
        <v>1323</v>
      </c>
      <c r="D715" s="7" t="s">
        <v>136</v>
      </c>
      <c r="E715" s="8" t="s">
        <v>137</v>
      </c>
      <c r="F715" s="8" t="s">
        <v>318</v>
      </c>
      <c r="G715" s="7" t="s">
        <v>1324</v>
      </c>
      <c r="H715" s="7" t="s">
        <v>1284</v>
      </c>
      <c r="I715" s="8">
        <v>2400.0</v>
      </c>
      <c r="J715" s="8">
        <v>2.0</v>
      </c>
      <c r="K715" s="8" t="s">
        <v>583</v>
      </c>
      <c r="L715" s="8" t="s">
        <v>322</v>
      </c>
      <c r="M715" s="8" t="s">
        <v>333</v>
      </c>
      <c r="N715" s="8">
        <v>7.0</v>
      </c>
      <c r="O715" s="14">
        <f t="shared" si="1"/>
        <v>44593</v>
      </c>
      <c r="P715" s="15">
        <f>IFERROR(VLOOKUP(K715,Formula!$A$11:$B$20,2,FALSE),Formula!$C$26)</f>
        <v>0.95</v>
      </c>
      <c r="Q715" s="15">
        <f>IF(AND(ISNUMBER(J715),J715&gt;0),1/J715,IF(AND(ISNUMBER(I715),I715&gt;0),SQRT(MIN(I715,Formula!$C$27))/Formula!$C$24,1/Formula!$C$25))</f>
        <v>0.5</v>
      </c>
      <c r="R715" s="15">
        <f t="shared" si="2"/>
        <v>0.475</v>
      </c>
      <c r="S715" s="15">
        <f>IF(H715&lt;&gt;"",EXP(-Formula!$C$28*(EOMONTH(H715,0)-H715)),EXP(-Formula!$C$28*(EOMONTH(D715,0)-D715)))</f>
        <v>0.6065306597</v>
      </c>
      <c r="T715" s="15">
        <f t="shared" si="3"/>
        <v>0.2886751346</v>
      </c>
      <c r="U715" s="15">
        <f t="shared" si="4"/>
        <v>0.08316790192</v>
      </c>
      <c r="V715" s="16">
        <f>IF(AND(L715="Among all respondents",NOT(OR(K715="Online poll in Telegram channel",K715="Website online poll",K715="CAWI (Computer Assisted Web Interviewing)"))),1/(1-MIN(MAX(Formula!$C$33+(YEAR(D715)-Formula!$C$34)/(Formula!$C$35-Formula!$C$34)*(Formula!$C$32-Formula!$C$33),Formula!$C$33),Formula!$C$32)),1)</f>
        <v>1</v>
      </c>
      <c r="W715" s="17">
        <f t="shared" si="5"/>
        <v>7</v>
      </c>
    </row>
    <row r="716" ht="15.75" customHeight="1">
      <c r="A716" s="8" t="s">
        <v>1330</v>
      </c>
      <c r="B716" s="7" t="s">
        <v>1322</v>
      </c>
      <c r="C716" s="13" t="s">
        <v>1323</v>
      </c>
      <c r="D716" s="7" t="s">
        <v>136</v>
      </c>
      <c r="E716" s="8" t="s">
        <v>137</v>
      </c>
      <c r="F716" s="8" t="s">
        <v>318</v>
      </c>
      <c r="G716" s="7" t="s">
        <v>1324</v>
      </c>
      <c r="H716" s="7" t="s">
        <v>1284</v>
      </c>
      <c r="I716" s="8">
        <v>2400.0</v>
      </c>
      <c r="J716" s="8">
        <v>2.0</v>
      </c>
      <c r="K716" s="8" t="s">
        <v>583</v>
      </c>
      <c r="L716" s="8" t="s">
        <v>322</v>
      </c>
      <c r="M716" s="8" t="s">
        <v>1153</v>
      </c>
      <c r="N716" s="8">
        <v>7.0</v>
      </c>
      <c r="O716" s="14">
        <f t="shared" si="1"/>
        <v>44593</v>
      </c>
      <c r="P716" s="15">
        <f>IFERROR(VLOOKUP(K716,Formula!$A$11:$B$20,2,FALSE),Formula!$C$26)</f>
        <v>0.95</v>
      </c>
      <c r="Q716" s="15">
        <f>IF(AND(ISNUMBER(J716),J716&gt;0),1/J716,IF(AND(ISNUMBER(I716),I716&gt;0),SQRT(MIN(I716,Formula!$C$27))/Formula!$C$24,1/Formula!$C$25))</f>
        <v>0.5</v>
      </c>
      <c r="R716" s="15">
        <f t="shared" si="2"/>
        <v>0.475</v>
      </c>
      <c r="S716" s="15">
        <f>IF(H716&lt;&gt;"",EXP(-Formula!$C$28*(EOMONTH(H716,0)-H716)),EXP(-Formula!$C$28*(EOMONTH(D716,0)-D716)))</f>
        <v>0.6065306597</v>
      </c>
      <c r="T716" s="15">
        <f t="shared" si="3"/>
        <v>0.2886751346</v>
      </c>
      <c r="U716" s="15">
        <f t="shared" si="4"/>
        <v>0.08316790192</v>
      </c>
      <c r="V716" s="16">
        <f>IF(AND(L716="Among all respondents",NOT(OR(K716="Online poll in Telegram channel",K716="Website online poll",K716="CAWI (Computer Assisted Web Interviewing)"))),1/(1-MIN(MAX(Formula!$C$33+(YEAR(D716)-Formula!$C$34)/(Formula!$C$35-Formula!$C$34)*(Formula!$C$32-Formula!$C$33),Formula!$C$33),Formula!$C$32)),1)</f>
        <v>1</v>
      </c>
      <c r="W716" s="17">
        <f t="shared" si="5"/>
        <v>7</v>
      </c>
    </row>
    <row r="717" ht="15.75" customHeight="1">
      <c r="A717" s="8" t="s">
        <v>1331</v>
      </c>
      <c r="B717" s="7" t="s">
        <v>1322</v>
      </c>
      <c r="C717" s="13" t="s">
        <v>1323</v>
      </c>
      <c r="D717" s="7" t="s">
        <v>136</v>
      </c>
      <c r="E717" s="8" t="s">
        <v>137</v>
      </c>
      <c r="F717" s="8" t="s">
        <v>318</v>
      </c>
      <c r="G717" s="7" t="s">
        <v>1324</v>
      </c>
      <c r="H717" s="7" t="s">
        <v>1284</v>
      </c>
      <c r="I717" s="8">
        <v>2400.0</v>
      </c>
      <c r="J717" s="8">
        <v>2.0</v>
      </c>
      <c r="K717" s="8" t="s">
        <v>583</v>
      </c>
      <c r="L717" s="8" t="s">
        <v>322</v>
      </c>
      <c r="M717" s="8" t="s">
        <v>386</v>
      </c>
      <c r="N717" s="8">
        <v>7.0</v>
      </c>
      <c r="O717" s="14">
        <f t="shared" si="1"/>
        <v>44593</v>
      </c>
      <c r="P717" s="15">
        <f>IFERROR(VLOOKUP(K717,Formula!$A$11:$B$20,2,FALSE),Formula!$C$26)</f>
        <v>0.95</v>
      </c>
      <c r="Q717" s="15">
        <f>IF(AND(ISNUMBER(J717),J717&gt;0),1/J717,IF(AND(ISNUMBER(I717),I717&gt;0),SQRT(MIN(I717,Formula!$C$27))/Formula!$C$24,1/Formula!$C$25))</f>
        <v>0.5</v>
      </c>
      <c r="R717" s="15">
        <f t="shared" si="2"/>
        <v>0.475</v>
      </c>
      <c r="S717" s="15">
        <f>IF(H717&lt;&gt;"",EXP(-Formula!$C$28*(EOMONTH(H717,0)-H717)),EXP(-Formula!$C$28*(EOMONTH(D717,0)-D717)))</f>
        <v>0.6065306597</v>
      </c>
      <c r="T717" s="15">
        <f t="shared" si="3"/>
        <v>0.2886751346</v>
      </c>
      <c r="U717" s="15">
        <f t="shared" si="4"/>
        <v>0.08316790192</v>
      </c>
      <c r="V717" s="16">
        <f>IF(AND(L717="Among all respondents",NOT(OR(K717="Online poll in Telegram channel",K717="Website online poll",K717="CAWI (Computer Assisted Web Interviewing)"))),1/(1-MIN(MAX(Formula!$C$33+(YEAR(D717)-Formula!$C$34)/(Formula!$C$35-Formula!$C$34)*(Formula!$C$32-Formula!$C$33),Formula!$C$33),Formula!$C$32)),1)</f>
        <v>1</v>
      </c>
      <c r="W717" s="17">
        <f t="shared" si="5"/>
        <v>7</v>
      </c>
    </row>
    <row r="718" ht="15.75" customHeight="1">
      <c r="A718" s="8" t="s">
        <v>1332</v>
      </c>
      <c r="B718" s="7" t="s">
        <v>1322</v>
      </c>
      <c r="C718" s="13" t="s">
        <v>1323</v>
      </c>
      <c r="D718" s="7" t="s">
        <v>136</v>
      </c>
      <c r="E718" s="8" t="s">
        <v>137</v>
      </c>
      <c r="F718" s="8" t="s">
        <v>318</v>
      </c>
      <c r="G718" s="7" t="s">
        <v>1324</v>
      </c>
      <c r="H718" s="7" t="s">
        <v>1284</v>
      </c>
      <c r="I718" s="8">
        <v>2400.0</v>
      </c>
      <c r="J718" s="8">
        <v>2.0</v>
      </c>
      <c r="K718" s="8" t="s">
        <v>583</v>
      </c>
      <c r="L718" s="8" t="s">
        <v>322</v>
      </c>
      <c r="M718" s="8" t="s">
        <v>388</v>
      </c>
      <c r="N718" s="8">
        <v>2.0</v>
      </c>
      <c r="O718" s="14">
        <f t="shared" si="1"/>
        <v>44593</v>
      </c>
      <c r="P718" s="15">
        <f>IFERROR(VLOOKUP(K718,Formula!$A$11:$B$20,2,FALSE),Formula!$C$26)</f>
        <v>0.95</v>
      </c>
      <c r="Q718" s="15">
        <f>IF(AND(ISNUMBER(J718),J718&gt;0),1/J718,IF(AND(ISNUMBER(I718),I718&gt;0),SQRT(MIN(I718,Formula!$C$27))/Formula!$C$24,1/Formula!$C$25))</f>
        <v>0.5</v>
      </c>
      <c r="R718" s="15">
        <f t="shared" si="2"/>
        <v>0.475</v>
      </c>
      <c r="S718" s="15">
        <f>IF(H718&lt;&gt;"",EXP(-Formula!$C$28*(EOMONTH(H718,0)-H718)),EXP(-Formula!$C$28*(EOMONTH(D718,0)-D718)))</f>
        <v>0.6065306597</v>
      </c>
      <c r="T718" s="15">
        <f t="shared" si="3"/>
        <v>0.2886751346</v>
      </c>
      <c r="U718" s="15">
        <f t="shared" si="4"/>
        <v>0.08316790192</v>
      </c>
      <c r="V718" s="16">
        <f>IF(AND(L718="Among all respondents",NOT(OR(K718="Online poll in Telegram channel",K718="Website online poll",K718="CAWI (Computer Assisted Web Interviewing)"))),1/(1-MIN(MAX(Formula!$C$33+(YEAR(D718)-Formula!$C$34)/(Formula!$C$35-Formula!$C$34)*(Formula!$C$32-Formula!$C$33),Formula!$C$33),Formula!$C$32)),1)</f>
        <v>1</v>
      </c>
      <c r="W718" s="17">
        <f t="shared" si="5"/>
        <v>2</v>
      </c>
    </row>
    <row r="719" ht="15.75" customHeight="1">
      <c r="A719" s="8" t="s">
        <v>1333</v>
      </c>
      <c r="B719" s="7" t="s">
        <v>1322</v>
      </c>
      <c r="C719" s="13" t="s">
        <v>1323</v>
      </c>
      <c r="D719" s="7" t="s">
        <v>136</v>
      </c>
      <c r="E719" s="8" t="s">
        <v>137</v>
      </c>
      <c r="F719" s="8" t="s">
        <v>318</v>
      </c>
      <c r="G719" s="7" t="s">
        <v>1324</v>
      </c>
      <c r="H719" s="7" t="s">
        <v>1284</v>
      </c>
      <c r="I719" s="8">
        <v>2400.0</v>
      </c>
      <c r="J719" s="8">
        <v>2.0</v>
      </c>
      <c r="K719" s="8" t="s">
        <v>583</v>
      </c>
      <c r="L719" s="8" t="s">
        <v>322</v>
      </c>
      <c r="M719" s="8" t="s">
        <v>1334</v>
      </c>
      <c r="N719" s="8">
        <v>2.0</v>
      </c>
      <c r="O719" s="14">
        <f t="shared" si="1"/>
        <v>44593</v>
      </c>
      <c r="P719" s="15">
        <f>IFERROR(VLOOKUP(K719,Formula!$A$11:$B$20,2,FALSE),Formula!$C$26)</f>
        <v>0.95</v>
      </c>
      <c r="Q719" s="15">
        <f>IF(AND(ISNUMBER(J719),J719&gt;0),1/J719,IF(AND(ISNUMBER(I719),I719&gt;0),SQRT(MIN(I719,Formula!$C$27))/Formula!$C$24,1/Formula!$C$25))</f>
        <v>0.5</v>
      </c>
      <c r="R719" s="15">
        <f t="shared" si="2"/>
        <v>0.475</v>
      </c>
      <c r="S719" s="15">
        <f>IF(H719&lt;&gt;"",EXP(-Formula!$C$28*(EOMONTH(H719,0)-H719)),EXP(-Formula!$C$28*(EOMONTH(D719,0)-D719)))</f>
        <v>0.6065306597</v>
      </c>
      <c r="T719" s="15">
        <f t="shared" si="3"/>
        <v>0.2886751346</v>
      </c>
      <c r="U719" s="15">
        <f t="shared" si="4"/>
        <v>0.08316790192</v>
      </c>
      <c r="V719" s="16">
        <f>IF(AND(L719="Among all respondents",NOT(OR(K719="Online poll in Telegram channel",K719="Website online poll",K719="CAWI (Computer Assisted Web Interviewing)"))),1/(1-MIN(MAX(Formula!$C$33+(YEAR(D719)-Formula!$C$34)/(Formula!$C$35-Formula!$C$34)*(Formula!$C$32-Formula!$C$33),Formula!$C$33),Formula!$C$32)),1)</f>
        <v>1</v>
      </c>
      <c r="W719" s="17">
        <f t="shared" si="5"/>
        <v>2</v>
      </c>
    </row>
    <row r="720" ht="15.75" customHeight="1">
      <c r="A720" s="8" t="s">
        <v>1335</v>
      </c>
      <c r="B720" s="7" t="s">
        <v>1322</v>
      </c>
      <c r="C720" s="13" t="s">
        <v>1323</v>
      </c>
      <c r="D720" s="7" t="s">
        <v>136</v>
      </c>
      <c r="E720" s="8" t="s">
        <v>137</v>
      </c>
      <c r="F720" s="8" t="s">
        <v>318</v>
      </c>
      <c r="G720" s="7" t="s">
        <v>1324</v>
      </c>
      <c r="H720" s="7" t="s">
        <v>1284</v>
      </c>
      <c r="I720" s="8">
        <v>2400.0</v>
      </c>
      <c r="J720" s="8">
        <v>2.0</v>
      </c>
      <c r="K720" s="8" t="s">
        <v>583</v>
      </c>
      <c r="L720" s="8" t="s">
        <v>322</v>
      </c>
      <c r="M720" s="8" t="s">
        <v>343</v>
      </c>
      <c r="N720" s="8">
        <v>2.0</v>
      </c>
      <c r="O720" s="14">
        <f t="shared" si="1"/>
        <v>44593</v>
      </c>
      <c r="P720" s="15">
        <f>IFERROR(VLOOKUP(K720,Formula!$A$11:$B$20,2,FALSE),Formula!$C$26)</f>
        <v>0.95</v>
      </c>
      <c r="Q720" s="15">
        <f>IF(AND(ISNUMBER(J720),J720&gt;0),1/J720,IF(AND(ISNUMBER(I720),I720&gt;0),SQRT(MIN(I720,Formula!$C$27))/Formula!$C$24,1/Formula!$C$25))</f>
        <v>0.5</v>
      </c>
      <c r="R720" s="15">
        <f t="shared" si="2"/>
        <v>0.475</v>
      </c>
      <c r="S720" s="15">
        <f>IF(H720&lt;&gt;"",EXP(-Formula!$C$28*(EOMONTH(H720,0)-H720)),EXP(-Formula!$C$28*(EOMONTH(D720,0)-D720)))</f>
        <v>0.6065306597</v>
      </c>
      <c r="T720" s="15">
        <f t="shared" si="3"/>
        <v>0.2886751346</v>
      </c>
      <c r="U720" s="15">
        <f t="shared" si="4"/>
        <v>0.08316790192</v>
      </c>
      <c r="V720" s="16">
        <f>IF(AND(L720="Among all respondents",NOT(OR(K720="Online poll in Telegram channel",K720="Website online poll",K720="CAWI (Computer Assisted Web Interviewing)"))),1/(1-MIN(MAX(Formula!$C$33+(YEAR(D720)-Formula!$C$34)/(Formula!$C$35-Formula!$C$34)*(Formula!$C$32-Formula!$C$33),Formula!$C$33),Formula!$C$32)),1)</f>
        <v>1</v>
      </c>
      <c r="W720" s="17">
        <f t="shared" si="5"/>
        <v>2</v>
      </c>
    </row>
    <row r="721" ht="15.75" customHeight="1">
      <c r="A721" s="8" t="s">
        <v>1336</v>
      </c>
      <c r="B721" s="7" t="s">
        <v>1322</v>
      </c>
      <c r="C721" s="13" t="s">
        <v>1323</v>
      </c>
      <c r="D721" s="7" t="s">
        <v>136</v>
      </c>
      <c r="E721" s="8" t="s">
        <v>137</v>
      </c>
      <c r="F721" s="8" t="s">
        <v>318</v>
      </c>
      <c r="G721" s="7" t="s">
        <v>1324</v>
      </c>
      <c r="H721" s="7" t="s">
        <v>1284</v>
      </c>
      <c r="I721" s="8">
        <v>2400.0</v>
      </c>
      <c r="J721" s="8">
        <v>2.0</v>
      </c>
      <c r="K721" s="8" t="s">
        <v>583</v>
      </c>
      <c r="L721" s="8" t="s">
        <v>322</v>
      </c>
      <c r="M721" s="8" t="s">
        <v>858</v>
      </c>
      <c r="N721" s="8">
        <v>1.0</v>
      </c>
      <c r="O721" s="14">
        <f t="shared" si="1"/>
        <v>44593</v>
      </c>
      <c r="P721" s="15">
        <f>IFERROR(VLOOKUP(K721,Formula!$A$11:$B$20,2,FALSE),Formula!$C$26)</f>
        <v>0.95</v>
      </c>
      <c r="Q721" s="15">
        <f>IF(AND(ISNUMBER(J721),J721&gt;0),1/J721,IF(AND(ISNUMBER(I721),I721&gt;0),SQRT(MIN(I721,Formula!$C$27))/Formula!$C$24,1/Formula!$C$25))</f>
        <v>0.5</v>
      </c>
      <c r="R721" s="15">
        <f t="shared" si="2"/>
        <v>0.475</v>
      </c>
      <c r="S721" s="15">
        <f>IF(H721&lt;&gt;"",EXP(-Formula!$C$28*(EOMONTH(H721,0)-H721)),EXP(-Formula!$C$28*(EOMONTH(D721,0)-D721)))</f>
        <v>0.6065306597</v>
      </c>
      <c r="T721" s="15">
        <f t="shared" si="3"/>
        <v>0.2886751346</v>
      </c>
      <c r="U721" s="15">
        <f t="shared" si="4"/>
        <v>0.08316790192</v>
      </c>
      <c r="V721" s="16">
        <f>IF(AND(L721="Among all respondents",NOT(OR(K721="Online poll in Telegram channel",K721="Website online poll",K721="CAWI (Computer Assisted Web Interviewing)"))),1/(1-MIN(MAX(Formula!$C$33+(YEAR(D721)-Formula!$C$34)/(Formula!$C$35-Formula!$C$34)*(Formula!$C$32-Formula!$C$33),Formula!$C$33),Formula!$C$32)),1)</f>
        <v>1</v>
      </c>
      <c r="W721" s="17">
        <f t="shared" si="5"/>
        <v>1</v>
      </c>
    </row>
    <row r="722" ht="15.75" customHeight="1">
      <c r="A722" s="8" t="s">
        <v>1337</v>
      </c>
      <c r="B722" s="7" t="s">
        <v>1338</v>
      </c>
      <c r="C722" s="13" t="s">
        <v>1339</v>
      </c>
      <c r="D722" s="7" t="s">
        <v>136</v>
      </c>
      <c r="E722" s="8" t="s">
        <v>17</v>
      </c>
      <c r="F722" s="8" t="s">
        <v>318</v>
      </c>
      <c r="G722" s="7" t="s">
        <v>1309</v>
      </c>
      <c r="H722" s="7" t="s">
        <v>139</v>
      </c>
      <c r="I722" s="8">
        <v>2000.0</v>
      </c>
      <c r="J722" s="8">
        <v>2.4</v>
      </c>
      <c r="K722" s="8" t="s">
        <v>321</v>
      </c>
      <c r="L722" s="8" t="s">
        <v>322</v>
      </c>
      <c r="M722" s="8" t="s">
        <v>323</v>
      </c>
      <c r="N722" s="8">
        <v>23.7</v>
      </c>
      <c r="O722" s="14">
        <f t="shared" si="1"/>
        <v>44593</v>
      </c>
      <c r="P722" s="15">
        <f>IFERROR(VLOOKUP(K722,Formula!$A$11:$B$20,2,FALSE),Formula!$C$26)</f>
        <v>0.9</v>
      </c>
      <c r="Q722" s="15">
        <f>IF(AND(ISNUMBER(J722),J722&gt;0),1/J722,IF(AND(ISNUMBER(I722),I722&gt;0),SQRT(MIN(I722,Formula!$C$27))/Formula!$C$24,1/Formula!$C$25))</f>
        <v>0.4166666667</v>
      </c>
      <c r="R722" s="15">
        <f t="shared" si="2"/>
        <v>0.375</v>
      </c>
      <c r="S722" s="15">
        <f>IF(H722&lt;&gt;"",EXP(-Formula!$C$28*(EOMONTH(H722,0)-H722)),EXP(-Formula!$C$28*(EOMONTH(D722,0)-D722)))</f>
        <v>0.5488116361</v>
      </c>
      <c r="T722" s="15">
        <f t="shared" si="3"/>
        <v>0.2886751346</v>
      </c>
      <c r="U722" s="15">
        <f t="shared" si="4"/>
        <v>0.05941060234</v>
      </c>
      <c r="V722" s="16">
        <f>IF(AND(L722="Among all respondents",NOT(OR(K722="Online poll in Telegram channel",K722="Website online poll",K722="CAWI (Computer Assisted Web Interviewing)"))),1/(1-MIN(MAX(Formula!$C$33+(YEAR(D722)-Formula!$C$34)/(Formula!$C$35-Formula!$C$34)*(Formula!$C$32-Formula!$C$33),Formula!$C$33),Formula!$C$32)),1)</f>
        <v>1</v>
      </c>
      <c r="W722" s="17">
        <f t="shared" si="5"/>
        <v>23.7</v>
      </c>
    </row>
    <row r="723" ht="15.75" customHeight="1">
      <c r="A723" s="8" t="s">
        <v>1340</v>
      </c>
      <c r="B723" s="7" t="s">
        <v>1338</v>
      </c>
      <c r="C723" s="13" t="s">
        <v>1339</v>
      </c>
      <c r="D723" s="7" t="s">
        <v>136</v>
      </c>
      <c r="E723" s="8" t="s">
        <v>17</v>
      </c>
      <c r="F723" s="8" t="s">
        <v>318</v>
      </c>
      <c r="G723" s="7" t="s">
        <v>1309</v>
      </c>
      <c r="H723" s="7" t="s">
        <v>139</v>
      </c>
      <c r="I723" s="8">
        <v>2000.0</v>
      </c>
      <c r="J723" s="8">
        <v>2.4</v>
      </c>
      <c r="K723" s="8" t="s">
        <v>321</v>
      </c>
      <c r="L723" s="8" t="s">
        <v>322</v>
      </c>
      <c r="M723" s="8" t="s">
        <v>329</v>
      </c>
      <c r="N723" s="8">
        <v>21.9</v>
      </c>
      <c r="O723" s="14">
        <f t="shared" si="1"/>
        <v>44593</v>
      </c>
      <c r="P723" s="15">
        <f>IFERROR(VLOOKUP(K723,Formula!$A$11:$B$20,2,FALSE),Formula!$C$26)</f>
        <v>0.9</v>
      </c>
      <c r="Q723" s="15">
        <f>IF(AND(ISNUMBER(J723),J723&gt;0),1/J723,IF(AND(ISNUMBER(I723),I723&gt;0),SQRT(MIN(I723,Formula!$C$27))/Formula!$C$24,1/Formula!$C$25))</f>
        <v>0.4166666667</v>
      </c>
      <c r="R723" s="15">
        <f t="shared" si="2"/>
        <v>0.375</v>
      </c>
      <c r="S723" s="15">
        <f>IF(H723&lt;&gt;"",EXP(-Formula!$C$28*(EOMONTH(H723,0)-H723)),EXP(-Formula!$C$28*(EOMONTH(D723,0)-D723)))</f>
        <v>0.5488116361</v>
      </c>
      <c r="T723" s="15">
        <f t="shared" si="3"/>
        <v>0.2886751346</v>
      </c>
      <c r="U723" s="15">
        <f t="shared" si="4"/>
        <v>0.05941060234</v>
      </c>
      <c r="V723" s="16">
        <f>IF(AND(L723="Among all respondents",NOT(OR(K723="Online poll in Telegram channel",K723="Website online poll",K723="CAWI (Computer Assisted Web Interviewing)"))),1/(1-MIN(MAX(Formula!$C$33+(YEAR(D723)-Formula!$C$34)/(Formula!$C$35-Formula!$C$34)*(Formula!$C$32-Formula!$C$33),Formula!$C$33),Formula!$C$32)),1)</f>
        <v>1</v>
      </c>
      <c r="W723" s="17">
        <f t="shared" si="5"/>
        <v>21.9</v>
      </c>
    </row>
    <row r="724" ht="15.75" customHeight="1">
      <c r="A724" s="8" t="s">
        <v>1341</v>
      </c>
      <c r="B724" s="7" t="s">
        <v>1338</v>
      </c>
      <c r="C724" s="13" t="s">
        <v>1339</v>
      </c>
      <c r="D724" s="7" t="s">
        <v>136</v>
      </c>
      <c r="E724" s="8" t="s">
        <v>17</v>
      </c>
      <c r="F724" s="8" t="s">
        <v>318</v>
      </c>
      <c r="G724" s="7" t="s">
        <v>1309</v>
      </c>
      <c r="H724" s="7" t="s">
        <v>139</v>
      </c>
      <c r="I724" s="8">
        <v>2000.0</v>
      </c>
      <c r="J724" s="8">
        <v>2.4</v>
      </c>
      <c r="K724" s="8" t="s">
        <v>321</v>
      </c>
      <c r="L724" s="8" t="s">
        <v>322</v>
      </c>
      <c r="M724" s="8" t="s">
        <v>337</v>
      </c>
      <c r="N724" s="8">
        <v>9.3</v>
      </c>
      <c r="O724" s="14">
        <f t="shared" si="1"/>
        <v>44593</v>
      </c>
      <c r="P724" s="15">
        <f>IFERROR(VLOOKUP(K724,Formula!$A$11:$B$20,2,FALSE),Formula!$C$26)</f>
        <v>0.9</v>
      </c>
      <c r="Q724" s="15">
        <f>IF(AND(ISNUMBER(J724),J724&gt;0),1/J724,IF(AND(ISNUMBER(I724),I724&gt;0),SQRT(MIN(I724,Formula!$C$27))/Formula!$C$24,1/Formula!$C$25))</f>
        <v>0.4166666667</v>
      </c>
      <c r="R724" s="15">
        <f t="shared" si="2"/>
        <v>0.375</v>
      </c>
      <c r="S724" s="15">
        <f>IF(H724&lt;&gt;"",EXP(-Formula!$C$28*(EOMONTH(H724,0)-H724)),EXP(-Formula!$C$28*(EOMONTH(D724,0)-D724)))</f>
        <v>0.5488116361</v>
      </c>
      <c r="T724" s="15">
        <f t="shared" si="3"/>
        <v>0.2886751346</v>
      </c>
      <c r="U724" s="15">
        <f t="shared" si="4"/>
        <v>0.05941060234</v>
      </c>
      <c r="V724" s="16">
        <f>IF(AND(L724="Among all respondents",NOT(OR(K724="Online poll in Telegram channel",K724="Website online poll",K724="CAWI (Computer Assisted Web Interviewing)"))),1/(1-MIN(MAX(Formula!$C$33+(YEAR(D724)-Formula!$C$34)/(Formula!$C$35-Formula!$C$34)*(Formula!$C$32-Formula!$C$33),Formula!$C$33),Formula!$C$32)),1)</f>
        <v>1</v>
      </c>
      <c r="W724" s="17">
        <f t="shared" si="5"/>
        <v>9.3</v>
      </c>
    </row>
    <row r="725" ht="15.75" customHeight="1">
      <c r="A725" s="8" t="s">
        <v>1342</v>
      </c>
      <c r="B725" s="7" t="s">
        <v>1338</v>
      </c>
      <c r="C725" s="13" t="s">
        <v>1339</v>
      </c>
      <c r="D725" s="7" t="s">
        <v>136</v>
      </c>
      <c r="E725" s="8" t="s">
        <v>17</v>
      </c>
      <c r="F725" s="8" t="s">
        <v>318</v>
      </c>
      <c r="G725" s="7" t="s">
        <v>1309</v>
      </c>
      <c r="H725" s="7" t="s">
        <v>139</v>
      </c>
      <c r="I725" s="8">
        <v>2000.0</v>
      </c>
      <c r="J725" s="8">
        <v>2.4</v>
      </c>
      <c r="K725" s="8" t="s">
        <v>321</v>
      </c>
      <c r="L725" s="8" t="s">
        <v>322</v>
      </c>
      <c r="M725" s="8" t="s">
        <v>365</v>
      </c>
      <c r="N725" s="8">
        <v>8.5</v>
      </c>
      <c r="O725" s="14">
        <f t="shared" si="1"/>
        <v>44593</v>
      </c>
      <c r="P725" s="15">
        <f>IFERROR(VLOOKUP(K725,Formula!$A$11:$B$20,2,FALSE),Formula!$C$26)</f>
        <v>0.9</v>
      </c>
      <c r="Q725" s="15">
        <f>IF(AND(ISNUMBER(J725),J725&gt;0),1/J725,IF(AND(ISNUMBER(I725),I725&gt;0),SQRT(MIN(I725,Formula!$C$27))/Formula!$C$24,1/Formula!$C$25))</f>
        <v>0.4166666667</v>
      </c>
      <c r="R725" s="15">
        <f t="shared" si="2"/>
        <v>0.375</v>
      </c>
      <c r="S725" s="15">
        <f>IF(H725&lt;&gt;"",EXP(-Formula!$C$28*(EOMONTH(H725,0)-H725)),EXP(-Formula!$C$28*(EOMONTH(D725,0)-D725)))</f>
        <v>0.5488116361</v>
      </c>
      <c r="T725" s="15">
        <f t="shared" si="3"/>
        <v>0.2886751346</v>
      </c>
      <c r="U725" s="15">
        <f t="shared" si="4"/>
        <v>0.05941060234</v>
      </c>
      <c r="V725" s="16">
        <f>IF(AND(L725="Among all respondents",NOT(OR(K725="Online poll in Telegram channel",K725="Website online poll",K725="CAWI (Computer Assisted Web Interviewing)"))),1/(1-MIN(MAX(Formula!$C$33+(YEAR(D725)-Formula!$C$34)/(Formula!$C$35-Formula!$C$34)*(Formula!$C$32-Formula!$C$33),Formula!$C$33),Formula!$C$32)),1)</f>
        <v>1</v>
      </c>
      <c r="W725" s="17">
        <f t="shared" si="5"/>
        <v>8.5</v>
      </c>
    </row>
    <row r="726" ht="15.75" customHeight="1">
      <c r="A726" s="8" t="s">
        <v>1343</v>
      </c>
      <c r="B726" s="7" t="s">
        <v>1338</v>
      </c>
      <c r="C726" s="13" t="s">
        <v>1339</v>
      </c>
      <c r="D726" s="7" t="s">
        <v>136</v>
      </c>
      <c r="E726" s="8" t="s">
        <v>17</v>
      </c>
      <c r="F726" s="8" t="s">
        <v>318</v>
      </c>
      <c r="G726" s="7" t="s">
        <v>1309</v>
      </c>
      <c r="H726" s="7" t="s">
        <v>139</v>
      </c>
      <c r="I726" s="8">
        <v>2000.0</v>
      </c>
      <c r="J726" s="8">
        <v>2.4</v>
      </c>
      <c r="K726" s="8" t="s">
        <v>321</v>
      </c>
      <c r="L726" s="8" t="s">
        <v>322</v>
      </c>
      <c r="M726" s="8" t="s">
        <v>333</v>
      </c>
      <c r="N726" s="8">
        <v>8.2</v>
      </c>
      <c r="O726" s="14">
        <f t="shared" si="1"/>
        <v>44593</v>
      </c>
      <c r="P726" s="15">
        <f>IFERROR(VLOOKUP(K726,Formula!$A$11:$B$20,2,FALSE),Formula!$C$26)</f>
        <v>0.9</v>
      </c>
      <c r="Q726" s="15">
        <f>IF(AND(ISNUMBER(J726),J726&gt;0),1/J726,IF(AND(ISNUMBER(I726),I726&gt;0),SQRT(MIN(I726,Formula!$C$27))/Formula!$C$24,1/Formula!$C$25))</f>
        <v>0.4166666667</v>
      </c>
      <c r="R726" s="15">
        <f t="shared" si="2"/>
        <v>0.375</v>
      </c>
      <c r="S726" s="15">
        <f>IF(H726&lt;&gt;"",EXP(-Formula!$C$28*(EOMONTH(H726,0)-H726)),EXP(-Formula!$C$28*(EOMONTH(D726,0)-D726)))</f>
        <v>0.5488116361</v>
      </c>
      <c r="T726" s="15">
        <f t="shared" si="3"/>
        <v>0.2886751346</v>
      </c>
      <c r="U726" s="15">
        <f t="shared" si="4"/>
        <v>0.05941060234</v>
      </c>
      <c r="V726" s="16">
        <f>IF(AND(L726="Among all respondents",NOT(OR(K726="Online poll in Telegram channel",K726="Website online poll",K726="CAWI (Computer Assisted Web Interviewing)"))),1/(1-MIN(MAX(Formula!$C$33+(YEAR(D726)-Formula!$C$34)/(Formula!$C$35-Formula!$C$34)*(Formula!$C$32-Formula!$C$33),Formula!$C$33),Formula!$C$32)),1)</f>
        <v>1</v>
      </c>
      <c r="W726" s="17">
        <f t="shared" si="5"/>
        <v>8.2</v>
      </c>
    </row>
    <row r="727" ht="15.75" customHeight="1">
      <c r="A727" s="8" t="s">
        <v>1344</v>
      </c>
      <c r="B727" s="7" t="s">
        <v>1338</v>
      </c>
      <c r="C727" s="13" t="s">
        <v>1339</v>
      </c>
      <c r="D727" s="7" t="s">
        <v>136</v>
      </c>
      <c r="E727" s="8" t="s">
        <v>17</v>
      </c>
      <c r="F727" s="8" t="s">
        <v>318</v>
      </c>
      <c r="G727" s="7" t="s">
        <v>1309</v>
      </c>
      <c r="H727" s="7" t="s">
        <v>139</v>
      </c>
      <c r="I727" s="8">
        <v>2000.0</v>
      </c>
      <c r="J727" s="8">
        <v>2.4</v>
      </c>
      <c r="K727" s="8" t="s">
        <v>321</v>
      </c>
      <c r="L727" s="8" t="s">
        <v>322</v>
      </c>
      <c r="M727" s="8" t="s">
        <v>1153</v>
      </c>
      <c r="N727" s="8">
        <v>7.7</v>
      </c>
      <c r="O727" s="14">
        <f t="shared" si="1"/>
        <v>44593</v>
      </c>
      <c r="P727" s="15">
        <f>IFERROR(VLOOKUP(K727,Formula!$A$11:$B$20,2,FALSE),Formula!$C$26)</f>
        <v>0.9</v>
      </c>
      <c r="Q727" s="15">
        <f>IF(AND(ISNUMBER(J727),J727&gt;0),1/J727,IF(AND(ISNUMBER(I727),I727&gt;0),SQRT(MIN(I727,Formula!$C$27))/Formula!$C$24,1/Formula!$C$25))</f>
        <v>0.4166666667</v>
      </c>
      <c r="R727" s="15">
        <f t="shared" si="2"/>
        <v>0.375</v>
      </c>
      <c r="S727" s="15">
        <f>IF(H727&lt;&gt;"",EXP(-Formula!$C$28*(EOMONTH(H727,0)-H727)),EXP(-Formula!$C$28*(EOMONTH(D727,0)-D727)))</f>
        <v>0.5488116361</v>
      </c>
      <c r="T727" s="15">
        <f t="shared" si="3"/>
        <v>0.2886751346</v>
      </c>
      <c r="U727" s="15">
        <f t="shared" si="4"/>
        <v>0.05941060234</v>
      </c>
      <c r="V727" s="16">
        <f>IF(AND(L727="Among all respondents",NOT(OR(K727="Online poll in Telegram channel",K727="Website online poll",K727="CAWI (Computer Assisted Web Interviewing)"))),1/(1-MIN(MAX(Formula!$C$33+(YEAR(D727)-Formula!$C$34)/(Formula!$C$35-Formula!$C$34)*(Formula!$C$32-Formula!$C$33),Formula!$C$33),Formula!$C$32)),1)</f>
        <v>1</v>
      </c>
      <c r="W727" s="17">
        <f t="shared" si="5"/>
        <v>7.7</v>
      </c>
    </row>
    <row r="728" ht="15.75" customHeight="1">
      <c r="A728" s="8" t="s">
        <v>1345</v>
      </c>
      <c r="B728" s="7" t="s">
        <v>1338</v>
      </c>
      <c r="C728" s="13" t="s">
        <v>1339</v>
      </c>
      <c r="D728" s="7" t="s">
        <v>136</v>
      </c>
      <c r="E728" s="8" t="s">
        <v>17</v>
      </c>
      <c r="F728" s="8" t="s">
        <v>318</v>
      </c>
      <c r="G728" s="7" t="s">
        <v>1309</v>
      </c>
      <c r="H728" s="7" t="s">
        <v>139</v>
      </c>
      <c r="I728" s="8">
        <v>2000.0</v>
      </c>
      <c r="J728" s="8">
        <v>2.4</v>
      </c>
      <c r="K728" s="8" t="s">
        <v>321</v>
      </c>
      <c r="L728" s="8" t="s">
        <v>322</v>
      </c>
      <c r="M728" s="8" t="s">
        <v>828</v>
      </c>
      <c r="N728" s="8">
        <v>7.4</v>
      </c>
      <c r="O728" s="14">
        <f t="shared" si="1"/>
        <v>44593</v>
      </c>
      <c r="P728" s="15">
        <f>IFERROR(VLOOKUP(K728,Formula!$A$11:$B$20,2,FALSE),Formula!$C$26)</f>
        <v>0.9</v>
      </c>
      <c r="Q728" s="15">
        <f>IF(AND(ISNUMBER(J728),J728&gt;0),1/J728,IF(AND(ISNUMBER(I728),I728&gt;0),SQRT(MIN(I728,Formula!$C$27))/Formula!$C$24,1/Formula!$C$25))</f>
        <v>0.4166666667</v>
      </c>
      <c r="R728" s="15">
        <f t="shared" si="2"/>
        <v>0.375</v>
      </c>
      <c r="S728" s="15">
        <f>IF(H728&lt;&gt;"",EXP(-Formula!$C$28*(EOMONTH(H728,0)-H728)),EXP(-Formula!$C$28*(EOMONTH(D728,0)-D728)))</f>
        <v>0.5488116361</v>
      </c>
      <c r="T728" s="15">
        <f t="shared" si="3"/>
        <v>0.2886751346</v>
      </c>
      <c r="U728" s="15">
        <f t="shared" si="4"/>
        <v>0.05941060234</v>
      </c>
      <c r="V728" s="16">
        <f>IF(AND(L728="Among all respondents",NOT(OR(K728="Online poll in Telegram channel",K728="Website online poll",K728="CAWI (Computer Assisted Web Interviewing)"))),1/(1-MIN(MAX(Formula!$C$33+(YEAR(D728)-Formula!$C$34)/(Formula!$C$35-Formula!$C$34)*(Formula!$C$32-Formula!$C$33),Formula!$C$33),Formula!$C$32)),1)</f>
        <v>1</v>
      </c>
      <c r="W728" s="17">
        <f t="shared" si="5"/>
        <v>7.4</v>
      </c>
    </row>
    <row r="729" ht="15.75" customHeight="1">
      <c r="A729" s="8" t="s">
        <v>1346</v>
      </c>
      <c r="B729" s="7" t="s">
        <v>1338</v>
      </c>
      <c r="C729" s="13" t="s">
        <v>1339</v>
      </c>
      <c r="D729" s="7" t="s">
        <v>136</v>
      </c>
      <c r="E729" s="8" t="s">
        <v>17</v>
      </c>
      <c r="F729" s="8" t="s">
        <v>318</v>
      </c>
      <c r="G729" s="7" t="s">
        <v>1309</v>
      </c>
      <c r="H729" s="7" t="s">
        <v>139</v>
      </c>
      <c r="I729" s="8">
        <v>2000.0</v>
      </c>
      <c r="J729" s="8">
        <v>2.4</v>
      </c>
      <c r="K729" s="8" t="s">
        <v>321</v>
      </c>
      <c r="L729" s="8" t="s">
        <v>322</v>
      </c>
      <c r="M729" s="8" t="s">
        <v>386</v>
      </c>
      <c r="N729" s="8">
        <v>6.4</v>
      </c>
      <c r="O729" s="14">
        <f t="shared" si="1"/>
        <v>44593</v>
      </c>
      <c r="P729" s="15">
        <f>IFERROR(VLOOKUP(K729,Formula!$A$11:$B$20,2,FALSE),Formula!$C$26)</f>
        <v>0.9</v>
      </c>
      <c r="Q729" s="15">
        <f>IF(AND(ISNUMBER(J729),J729&gt;0),1/J729,IF(AND(ISNUMBER(I729),I729&gt;0),SQRT(MIN(I729,Formula!$C$27))/Formula!$C$24,1/Formula!$C$25))</f>
        <v>0.4166666667</v>
      </c>
      <c r="R729" s="15">
        <f t="shared" si="2"/>
        <v>0.375</v>
      </c>
      <c r="S729" s="15">
        <f>IF(H729&lt;&gt;"",EXP(-Formula!$C$28*(EOMONTH(H729,0)-H729)),EXP(-Formula!$C$28*(EOMONTH(D729,0)-D729)))</f>
        <v>0.5488116361</v>
      </c>
      <c r="T729" s="15">
        <f t="shared" si="3"/>
        <v>0.2886751346</v>
      </c>
      <c r="U729" s="15">
        <f t="shared" si="4"/>
        <v>0.05941060234</v>
      </c>
      <c r="V729" s="16">
        <f>IF(AND(L729="Among all respondents",NOT(OR(K729="Online poll in Telegram channel",K729="Website online poll",K729="CAWI (Computer Assisted Web Interviewing)"))),1/(1-MIN(MAX(Formula!$C$33+(YEAR(D729)-Formula!$C$34)/(Formula!$C$35-Formula!$C$34)*(Formula!$C$32-Formula!$C$33),Formula!$C$33),Formula!$C$32)),1)</f>
        <v>1</v>
      </c>
      <c r="W729" s="17">
        <f t="shared" si="5"/>
        <v>6.4</v>
      </c>
    </row>
    <row r="730" ht="15.75" customHeight="1">
      <c r="A730" s="8" t="s">
        <v>1347</v>
      </c>
      <c r="B730" s="7" t="s">
        <v>1338</v>
      </c>
      <c r="C730" s="13" t="s">
        <v>1339</v>
      </c>
      <c r="D730" s="7" t="s">
        <v>136</v>
      </c>
      <c r="E730" s="8" t="s">
        <v>17</v>
      </c>
      <c r="F730" s="8" t="s">
        <v>318</v>
      </c>
      <c r="G730" s="7" t="s">
        <v>1309</v>
      </c>
      <c r="H730" s="7" t="s">
        <v>139</v>
      </c>
      <c r="I730" s="8">
        <v>2000.0</v>
      </c>
      <c r="J730" s="8">
        <v>2.4</v>
      </c>
      <c r="K730" s="8" t="s">
        <v>321</v>
      </c>
      <c r="L730" s="8" t="s">
        <v>322</v>
      </c>
      <c r="M730" s="8" t="s">
        <v>1334</v>
      </c>
      <c r="N730" s="8">
        <v>2.3</v>
      </c>
      <c r="O730" s="14">
        <f t="shared" si="1"/>
        <v>44593</v>
      </c>
      <c r="P730" s="15">
        <f>IFERROR(VLOOKUP(K730,Formula!$A$11:$B$20,2,FALSE),Formula!$C$26)</f>
        <v>0.9</v>
      </c>
      <c r="Q730" s="15">
        <f>IF(AND(ISNUMBER(J730),J730&gt;0),1/J730,IF(AND(ISNUMBER(I730),I730&gt;0),SQRT(MIN(I730,Formula!$C$27))/Formula!$C$24,1/Formula!$C$25))</f>
        <v>0.4166666667</v>
      </c>
      <c r="R730" s="15">
        <f t="shared" si="2"/>
        <v>0.375</v>
      </c>
      <c r="S730" s="15">
        <f>IF(H730&lt;&gt;"",EXP(-Formula!$C$28*(EOMONTH(H730,0)-H730)),EXP(-Formula!$C$28*(EOMONTH(D730,0)-D730)))</f>
        <v>0.5488116361</v>
      </c>
      <c r="T730" s="15">
        <f t="shared" si="3"/>
        <v>0.2886751346</v>
      </c>
      <c r="U730" s="15">
        <f t="shared" si="4"/>
        <v>0.05941060234</v>
      </c>
      <c r="V730" s="16">
        <f>IF(AND(L730="Among all respondents",NOT(OR(K730="Online poll in Telegram channel",K730="Website online poll",K730="CAWI (Computer Assisted Web Interviewing)"))),1/(1-MIN(MAX(Formula!$C$33+(YEAR(D730)-Formula!$C$34)/(Formula!$C$35-Formula!$C$34)*(Formula!$C$32-Formula!$C$33),Formula!$C$33),Formula!$C$32)),1)</f>
        <v>1</v>
      </c>
      <c r="W730" s="17">
        <f t="shared" si="5"/>
        <v>2.3</v>
      </c>
    </row>
    <row r="731" ht="15.75" customHeight="1">
      <c r="A731" s="8" t="s">
        <v>1348</v>
      </c>
      <c r="B731" s="7" t="s">
        <v>1338</v>
      </c>
      <c r="C731" s="13" t="s">
        <v>1339</v>
      </c>
      <c r="D731" s="7" t="s">
        <v>136</v>
      </c>
      <c r="E731" s="8" t="s">
        <v>17</v>
      </c>
      <c r="F731" s="8" t="s">
        <v>318</v>
      </c>
      <c r="G731" s="7" t="s">
        <v>1309</v>
      </c>
      <c r="H731" s="7" t="s">
        <v>139</v>
      </c>
      <c r="I731" s="8">
        <v>2000.0</v>
      </c>
      <c r="J731" s="8">
        <v>2.4</v>
      </c>
      <c r="K731" s="8" t="s">
        <v>321</v>
      </c>
      <c r="L731" s="8" t="s">
        <v>322</v>
      </c>
      <c r="M731" s="8" t="s">
        <v>740</v>
      </c>
      <c r="N731" s="8">
        <v>1.7</v>
      </c>
      <c r="O731" s="14">
        <f t="shared" si="1"/>
        <v>44593</v>
      </c>
      <c r="P731" s="15">
        <f>IFERROR(VLOOKUP(K731,Formula!$A$11:$B$20,2,FALSE),Formula!$C$26)</f>
        <v>0.9</v>
      </c>
      <c r="Q731" s="15">
        <f>IF(AND(ISNUMBER(J731),J731&gt;0),1/J731,IF(AND(ISNUMBER(I731),I731&gt;0),SQRT(MIN(I731,Formula!$C$27))/Formula!$C$24,1/Formula!$C$25))</f>
        <v>0.4166666667</v>
      </c>
      <c r="R731" s="15">
        <f t="shared" si="2"/>
        <v>0.375</v>
      </c>
      <c r="S731" s="15">
        <f>IF(H731&lt;&gt;"",EXP(-Formula!$C$28*(EOMONTH(H731,0)-H731)),EXP(-Formula!$C$28*(EOMONTH(D731,0)-D731)))</f>
        <v>0.5488116361</v>
      </c>
      <c r="T731" s="15">
        <f t="shared" si="3"/>
        <v>0.2886751346</v>
      </c>
      <c r="U731" s="15">
        <f t="shared" si="4"/>
        <v>0.05941060234</v>
      </c>
      <c r="V731" s="16">
        <f>IF(AND(L731="Among all respondents",NOT(OR(K731="Online poll in Telegram channel",K731="Website online poll",K731="CAWI (Computer Assisted Web Interviewing)"))),1/(1-MIN(MAX(Formula!$C$33+(YEAR(D731)-Formula!$C$34)/(Formula!$C$35-Formula!$C$34)*(Formula!$C$32-Formula!$C$33),Formula!$C$33),Formula!$C$32)),1)</f>
        <v>1</v>
      </c>
      <c r="W731" s="17">
        <f t="shared" si="5"/>
        <v>1.7</v>
      </c>
    </row>
    <row r="732" ht="15.75" customHeight="1">
      <c r="A732" s="8" t="s">
        <v>1349</v>
      </c>
      <c r="B732" s="7" t="s">
        <v>1338</v>
      </c>
      <c r="C732" s="13" t="s">
        <v>1339</v>
      </c>
      <c r="D732" s="7" t="s">
        <v>136</v>
      </c>
      <c r="E732" s="8" t="s">
        <v>17</v>
      </c>
      <c r="F732" s="8" t="s">
        <v>318</v>
      </c>
      <c r="G732" s="7" t="s">
        <v>1309</v>
      </c>
      <c r="H732" s="7" t="s">
        <v>139</v>
      </c>
      <c r="I732" s="8">
        <v>2000.0</v>
      </c>
      <c r="J732" s="8">
        <v>2.4</v>
      </c>
      <c r="K732" s="8" t="s">
        <v>321</v>
      </c>
      <c r="L732" s="8" t="s">
        <v>322</v>
      </c>
      <c r="M732" s="8" t="s">
        <v>388</v>
      </c>
      <c r="N732" s="8">
        <v>1.7</v>
      </c>
      <c r="O732" s="14">
        <f t="shared" si="1"/>
        <v>44593</v>
      </c>
      <c r="P732" s="15">
        <f>IFERROR(VLOOKUP(K732,Formula!$A$11:$B$20,2,FALSE),Formula!$C$26)</f>
        <v>0.9</v>
      </c>
      <c r="Q732" s="15">
        <f>IF(AND(ISNUMBER(J732),J732&gt;0),1/J732,IF(AND(ISNUMBER(I732),I732&gt;0),SQRT(MIN(I732,Formula!$C$27))/Formula!$C$24,1/Formula!$C$25))</f>
        <v>0.4166666667</v>
      </c>
      <c r="R732" s="15">
        <f t="shared" si="2"/>
        <v>0.375</v>
      </c>
      <c r="S732" s="15">
        <f>IF(H732&lt;&gt;"",EXP(-Formula!$C$28*(EOMONTH(H732,0)-H732)),EXP(-Formula!$C$28*(EOMONTH(D732,0)-D732)))</f>
        <v>0.5488116361</v>
      </c>
      <c r="T732" s="15">
        <f t="shared" si="3"/>
        <v>0.2886751346</v>
      </c>
      <c r="U732" s="15">
        <f t="shared" si="4"/>
        <v>0.05941060234</v>
      </c>
      <c r="V732" s="16">
        <f>IF(AND(L732="Among all respondents",NOT(OR(K732="Online poll in Telegram channel",K732="Website online poll",K732="CAWI (Computer Assisted Web Interviewing)"))),1/(1-MIN(MAX(Formula!$C$33+(YEAR(D732)-Formula!$C$34)/(Formula!$C$35-Formula!$C$34)*(Formula!$C$32-Formula!$C$33),Formula!$C$33),Formula!$C$32)),1)</f>
        <v>1</v>
      </c>
      <c r="W732" s="17">
        <f t="shared" si="5"/>
        <v>1.7</v>
      </c>
    </row>
    <row r="733" ht="15.75" customHeight="1">
      <c r="A733" s="8" t="s">
        <v>1350</v>
      </c>
      <c r="B733" s="7" t="s">
        <v>1338</v>
      </c>
      <c r="C733" s="13" t="s">
        <v>1339</v>
      </c>
      <c r="D733" s="7" t="s">
        <v>136</v>
      </c>
      <c r="E733" s="8" t="s">
        <v>17</v>
      </c>
      <c r="F733" s="8" t="s">
        <v>318</v>
      </c>
      <c r="G733" s="7" t="s">
        <v>1309</v>
      </c>
      <c r="H733" s="7" t="s">
        <v>139</v>
      </c>
      <c r="I733" s="8">
        <v>2000.0</v>
      </c>
      <c r="J733" s="8">
        <v>2.4</v>
      </c>
      <c r="K733" s="8" t="s">
        <v>321</v>
      </c>
      <c r="L733" s="8" t="s">
        <v>322</v>
      </c>
      <c r="M733" s="8" t="s">
        <v>1171</v>
      </c>
      <c r="N733" s="8">
        <v>0.4</v>
      </c>
      <c r="O733" s="14">
        <f t="shared" si="1"/>
        <v>44593</v>
      </c>
      <c r="P733" s="15">
        <f>IFERROR(VLOOKUP(K733,Formula!$A$11:$B$20,2,FALSE),Formula!$C$26)</f>
        <v>0.9</v>
      </c>
      <c r="Q733" s="15">
        <f>IF(AND(ISNUMBER(J733),J733&gt;0),1/J733,IF(AND(ISNUMBER(I733),I733&gt;0),SQRT(MIN(I733,Formula!$C$27))/Formula!$C$24,1/Formula!$C$25))</f>
        <v>0.4166666667</v>
      </c>
      <c r="R733" s="15">
        <f t="shared" si="2"/>
        <v>0.375</v>
      </c>
      <c r="S733" s="15">
        <f>IF(H733&lt;&gt;"",EXP(-Formula!$C$28*(EOMONTH(H733,0)-H733)),EXP(-Formula!$C$28*(EOMONTH(D733,0)-D733)))</f>
        <v>0.5488116361</v>
      </c>
      <c r="T733" s="15">
        <f t="shared" si="3"/>
        <v>0.2886751346</v>
      </c>
      <c r="U733" s="15">
        <f t="shared" si="4"/>
        <v>0.05941060234</v>
      </c>
      <c r="V733" s="16">
        <f>IF(AND(L733="Among all respondents",NOT(OR(K733="Online poll in Telegram channel",K733="Website online poll",K733="CAWI (Computer Assisted Web Interviewing)"))),1/(1-MIN(MAX(Formula!$C$33+(YEAR(D733)-Formula!$C$34)/(Formula!$C$35-Formula!$C$34)*(Formula!$C$32-Formula!$C$33),Formula!$C$33),Formula!$C$32)),1)</f>
        <v>1</v>
      </c>
      <c r="W733" s="17">
        <f t="shared" si="5"/>
        <v>0.4</v>
      </c>
    </row>
    <row r="734" ht="15.75" customHeight="1">
      <c r="A734" s="8" t="s">
        <v>1351</v>
      </c>
      <c r="B734" s="7" t="s">
        <v>1352</v>
      </c>
      <c r="C734" s="13" t="s">
        <v>1353</v>
      </c>
      <c r="D734" s="7" t="s">
        <v>139</v>
      </c>
      <c r="E734" s="8" t="s">
        <v>40</v>
      </c>
      <c r="F734" s="8" t="s">
        <v>318</v>
      </c>
      <c r="G734" s="7" t="s">
        <v>1354</v>
      </c>
      <c r="H734" s="7" t="s">
        <v>1355</v>
      </c>
      <c r="I734" s="8">
        <v>2000.0</v>
      </c>
      <c r="J734" s="8">
        <v>2.2</v>
      </c>
      <c r="K734" s="8" t="s">
        <v>321</v>
      </c>
      <c r="L734" s="8" t="s">
        <v>322</v>
      </c>
      <c r="M734" s="8" t="s">
        <v>323</v>
      </c>
      <c r="N734" s="8">
        <v>24.6</v>
      </c>
      <c r="O734" s="14">
        <f t="shared" si="1"/>
        <v>44593</v>
      </c>
      <c r="P734" s="15">
        <f>IFERROR(VLOOKUP(K734,Formula!$A$11:$B$20,2,FALSE),Formula!$C$26)</f>
        <v>0.9</v>
      </c>
      <c r="Q734" s="15">
        <f>IF(AND(ISNUMBER(J734),J734&gt;0),1/J734,IF(AND(ISNUMBER(I734),I734&gt;0),SQRT(MIN(I734,Formula!$C$27))/Formula!$C$24,1/Formula!$C$25))</f>
        <v>0.4545454545</v>
      </c>
      <c r="R734" s="15">
        <f t="shared" si="2"/>
        <v>0.4090909091</v>
      </c>
      <c r="S734" s="15">
        <f>IF(H734&lt;&gt;"",EXP(-Formula!$C$28*(EOMONTH(H734,0)-H734)),EXP(-Formula!$C$28*(EOMONTH(D734,0)-D734)))</f>
        <v>0.4723665527</v>
      </c>
      <c r="T734" s="15">
        <f t="shared" si="3"/>
        <v>0.2</v>
      </c>
      <c r="U734" s="15">
        <f t="shared" si="4"/>
        <v>0.0386481725</v>
      </c>
      <c r="V734" s="16">
        <f>IF(AND(L734="Among all respondents",NOT(OR(K734="Online poll in Telegram channel",K734="Website online poll",K734="CAWI (Computer Assisted Web Interviewing)"))),1/(1-MIN(MAX(Formula!$C$33+(YEAR(D734)-Formula!$C$34)/(Formula!$C$35-Formula!$C$34)*(Formula!$C$32-Formula!$C$33),Formula!$C$33),Formula!$C$32)),1)</f>
        <v>1</v>
      </c>
      <c r="W734" s="17">
        <f t="shared" si="5"/>
        <v>24.6</v>
      </c>
    </row>
    <row r="735" ht="15.75" customHeight="1">
      <c r="A735" s="8" t="s">
        <v>1356</v>
      </c>
      <c r="B735" s="7" t="s">
        <v>1352</v>
      </c>
      <c r="C735" s="13" t="s">
        <v>1353</v>
      </c>
      <c r="D735" s="7" t="s">
        <v>139</v>
      </c>
      <c r="E735" s="8" t="s">
        <v>40</v>
      </c>
      <c r="F735" s="8" t="s">
        <v>318</v>
      </c>
      <c r="G735" s="7" t="s">
        <v>1354</v>
      </c>
      <c r="H735" s="7" t="s">
        <v>1355</v>
      </c>
      <c r="I735" s="8">
        <v>2000.0</v>
      </c>
      <c r="J735" s="8">
        <v>2.2</v>
      </c>
      <c r="K735" s="8" t="s">
        <v>321</v>
      </c>
      <c r="L735" s="8" t="s">
        <v>322</v>
      </c>
      <c r="M735" s="8" t="s">
        <v>329</v>
      </c>
      <c r="N735" s="8">
        <v>16.8</v>
      </c>
      <c r="O735" s="14">
        <f t="shared" si="1"/>
        <v>44593</v>
      </c>
      <c r="P735" s="15">
        <f>IFERROR(VLOOKUP(K735,Formula!$A$11:$B$20,2,FALSE),Formula!$C$26)</f>
        <v>0.9</v>
      </c>
      <c r="Q735" s="15">
        <f>IF(AND(ISNUMBER(J735),J735&gt;0),1/J735,IF(AND(ISNUMBER(I735),I735&gt;0),SQRT(MIN(I735,Formula!$C$27))/Formula!$C$24,1/Formula!$C$25))</f>
        <v>0.4545454545</v>
      </c>
      <c r="R735" s="15">
        <f t="shared" si="2"/>
        <v>0.4090909091</v>
      </c>
      <c r="S735" s="15">
        <f>IF(H735&lt;&gt;"",EXP(-Formula!$C$28*(EOMONTH(H735,0)-H735)),EXP(-Formula!$C$28*(EOMONTH(D735,0)-D735)))</f>
        <v>0.4723665527</v>
      </c>
      <c r="T735" s="15">
        <f t="shared" si="3"/>
        <v>0.2</v>
      </c>
      <c r="U735" s="15">
        <f t="shared" si="4"/>
        <v>0.0386481725</v>
      </c>
      <c r="V735" s="16">
        <f>IF(AND(L735="Among all respondents",NOT(OR(K735="Online poll in Telegram channel",K735="Website online poll",K735="CAWI (Computer Assisted Web Interviewing)"))),1/(1-MIN(MAX(Formula!$C$33+(YEAR(D735)-Formula!$C$34)/(Formula!$C$35-Formula!$C$34)*(Formula!$C$32-Formula!$C$33),Formula!$C$33),Formula!$C$32)),1)</f>
        <v>1</v>
      </c>
      <c r="W735" s="17">
        <f t="shared" si="5"/>
        <v>16.8</v>
      </c>
    </row>
    <row r="736" ht="15.75" customHeight="1">
      <c r="A736" s="8" t="s">
        <v>1357</v>
      </c>
      <c r="B736" s="7" t="s">
        <v>1352</v>
      </c>
      <c r="C736" s="13" t="s">
        <v>1353</v>
      </c>
      <c r="D736" s="7" t="s">
        <v>139</v>
      </c>
      <c r="E736" s="8" t="s">
        <v>40</v>
      </c>
      <c r="F736" s="8" t="s">
        <v>318</v>
      </c>
      <c r="G736" s="7" t="s">
        <v>1354</v>
      </c>
      <c r="H736" s="7" t="s">
        <v>1355</v>
      </c>
      <c r="I736" s="8">
        <v>2000.0</v>
      </c>
      <c r="J736" s="8">
        <v>2.2</v>
      </c>
      <c r="K736" s="8" t="s">
        <v>321</v>
      </c>
      <c r="L736" s="8" t="s">
        <v>322</v>
      </c>
      <c r="M736" s="8" t="s">
        <v>337</v>
      </c>
      <c r="N736" s="8">
        <v>9.9</v>
      </c>
      <c r="O736" s="14">
        <f t="shared" si="1"/>
        <v>44593</v>
      </c>
      <c r="P736" s="15">
        <f>IFERROR(VLOOKUP(K736,Formula!$A$11:$B$20,2,FALSE),Formula!$C$26)</f>
        <v>0.9</v>
      </c>
      <c r="Q736" s="15">
        <f>IF(AND(ISNUMBER(J736),J736&gt;0),1/J736,IF(AND(ISNUMBER(I736),I736&gt;0),SQRT(MIN(I736,Formula!$C$27))/Formula!$C$24,1/Formula!$C$25))</f>
        <v>0.4545454545</v>
      </c>
      <c r="R736" s="15">
        <f t="shared" si="2"/>
        <v>0.4090909091</v>
      </c>
      <c r="S736" s="15">
        <f>IF(H736&lt;&gt;"",EXP(-Formula!$C$28*(EOMONTH(H736,0)-H736)),EXP(-Formula!$C$28*(EOMONTH(D736,0)-D736)))</f>
        <v>0.4723665527</v>
      </c>
      <c r="T736" s="15">
        <f t="shared" si="3"/>
        <v>0.2</v>
      </c>
      <c r="U736" s="15">
        <f t="shared" si="4"/>
        <v>0.0386481725</v>
      </c>
      <c r="V736" s="16">
        <f>IF(AND(L736="Among all respondents",NOT(OR(K736="Online poll in Telegram channel",K736="Website online poll",K736="CAWI (Computer Assisted Web Interviewing)"))),1/(1-MIN(MAX(Formula!$C$33+(YEAR(D736)-Formula!$C$34)/(Formula!$C$35-Formula!$C$34)*(Formula!$C$32-Formula!$C$33),Formula!$C$33),Formula!$C$32)),1)</f>
        <v>1</v>
      </c>
      <c r="W736" s="17">
        <f t="shared" si="5"/>
        <v>9.9</v>
      </c>
    </row>
    <row r="737" ht="15.75" customHeight="1">
      <c r="A737" s="8" t="s">
        <v>1358</v>
      </c>
      <c r="B737" s="7" t="s">
        <v>1352</v>
      </c>
      <c r="C737" s="13" t="s">
        <v>1353</v>
      </c>
      <c r="D737" s="7" t="s">
        <v>139</v>
      </c>
      <c r="E737" s="8" t="s">
        <v>40</v>
      </c>
      <c r="F737" s="8" t="s">
        <v>318</v>
      </c>
      <c r="G737" s="7" t="s">
        <v>1354</v>
      </c>
      <c r="H737" s="7" t="s">
        <v>1355</v>
      </c>
      <c r="I737" s="8">
        <v>2000.0</v>
      </c>
      <c r="J737" s="8">
        <v>2.2</v>
      </c>
      <c r="K737" s="8" t="s">
        <v>321</v>
      </c>
      <c r="L737" s="8" t="s">
        <v>322</v>
      </c>
      <c r="M737" s="8" t="s">
        <v>365</v>
      </c>
      <c r="N737" s="8">
        <v>8.3</v>
      </c>
      <c r="O737" s="14">
        <f t="shared" si="1"/>
        <v>44593</v>
      </c>
      <c r="P737" s="15">
        <f>IFERROR(VLOOKUP(K737,Formula!$A$11:$B$20,2,FALSE),Formula!$C$26)</f>
        <v>0.9</v>
      </c>
      <c r="Q737" s="15">
        <f>IF(AND(ISNUMBER(J737),J737&gt;0),1/J737,IF(AND(ISNUMBER(I737),I737&gt;0),SQRT(MIN(I737,Formula!$C$27))/Formula!$C$24,1/Formula!$C$25))</f>
        <v>0.4545454545</v>
      </c>
      <c r="R737" s="15">
        <f t="shared" si="2"/>
        <v>0.4090909091</v>
      </c>
      <c r="S737" s="15">
        <f>IF(H737&lt;&gt;"",EXP(-Formula!$C$28*(EOMONTH(H737,0)-H737)),EXP(-Formula!$C$28*(EOMONTH(D737,0)-D737)))</f>
        <v>0.4723665527</v>
      </c>
      <c r="T737" s="15">
        <f t="shared" si="3"/>
        <v>0.2</v>
      </c>
      <c r="U737" s="15">
        <f t="shared" si="4"/>
        <v>0.0386481725</v>
      </c>
      <c r="V737" s="16">
        <f>IF(AND(L737="Among all respondents",NOT(OR(K737="Online poll in Telegram channel",K737="Website online poll",K737="CAWI (Computer Assisted Web Interviewing)"))),1/(1-MIN(MAX(Formula!$C$33+(YEAR(D737)-Formula!$C$34)/(Formula!$C$35-Formula!$C$34)*(Formula!$C$32-Formula!$C$33),Formula!$C$33),Formula!$C$32)),1)</f>
        <v>1</v>
      </c>
      <c r="W737" s="17">
        <f t="shared" si="5"/>
        <v>8.3</v>
      </c>
    </row>
    <row r="738" ht="15.75" customHeight="1">
      <c r="A738" s="8" t="s">
        <v>1359</v>
      </c>
      <c r="B738" s="7" t="s">
        <v>1352</v>
      </c>
      <c r="C738" s="13" t="s">
        <v>1353</v>
      </c>
      <c r="D738" s="7" t="s">
        <v>139</v>
      </c>
      <c r="E738" s="8" t="s">
        <v>40</v>
      </c>
      <c r="F738" s="8" t="s">
        <v>318</v>
      </c>
      <c r="G738" s="7" t="s">
        <v>1354</v>
      </c>
      <c r="H738" s="7" t="s">
        <v>1355</v>
      </c>
      <c r="I738" s="8">
        <v>2000.0</v>
      </c>
      <c r="J738" s="8">
        <v>2.2</v>
      </c>
      <c r="K738" s="8" t="s">
        <v>321</v>
      </c>
      <c r="L738" s="8" t="s">
        <v>322</v>
      </c>
      <c r="M738" s="8" t="s">
        <v>1153</v>
      </c>
      <c r="N738" s="8">
        <v>6.9</v>
      </c>
      <c r="O738" s="14">
        <f t="shared" si="1"/>
        <v>44593</v>
      </c>
      <c r="P738" s="15">
        <f>IFERROR(VLOOKUP(K738,Formula!$A$11:$B$20,2,FALSE),Formula!$C$26)</f>
        <v>0.9</v>
      </c>
      <c r="Q738" s="15">
        <f>IF(AND(ISNUMBER(J738),J738&gt;0),1/J738,IF(AND(ISNUMBER(I738),I738&gt;0),SQRT(MIN(I738,Formula!$C$27))/Formula!$C$24,1/Formula!$C$25))</f>
        <v>0.4545454545</v>
      </c>
      <c r="R738" s="15">
        <f t="shared" si="2"/>
        <v>0.4090909091</v>
      </c>
      <c r="S738" s="15">
        <f>IF(H738&lt;&gt;"",EXP(-Formula!$C$28*(EOMONTH(H738,0)-H738)),EXP(-Formula!$C$28*(EOMONTH(D738,0)-D738)))</f>
        <v>0.4723665527</v>
      </c>
      <c r="T738" s="15">
        <f t="shared" si="3"/>
        <v>0.2</v>
      </c>
      <c r="U738" s="15">
        <f t="shared" si="4"/>
        <v>0.0386481725</v>
      </c>
      <c r="V738" s="16">
        <f>IF(AND(L738="Among all respondents",NOT(OR(K738="Online poll in Telegram channel",K738="Website online poll",K738="CAWI (Computer Assisted Web Interviewing)"))),1/(1-MIN(MAX(Formula!$C$33+(YEAR(D738)-Formula!$C$34)/(Formula!$C$35-Formula!$C$34)*(Formula!$C$32-Formula!$C$33),Formula!$C$33),Formula!$C$32)),1)</f>
        <v>1</v>
      </c>
      <c r="W738" s="17">
        <f t="shared" si="5"/>
        <v>6.9</v>
      </c>
    </row>
    <row r="739" ht="15.75" customHeight="1">
      <c r="A739" s="8" t="s">
        <v>1360</v>
      </c>
      <c r="B739" s="7" t="s">
        <v>1352</v>
      </c>
      <c r="C739" s="13" t="s">
        <v>1353</v>
      </c>
      <c r="D739" s="7" t="s">
        <v>139</v>
      </c>
      <c r="E739" s="8" t="s">
        <v>40</v>
      </c>
      <c r="F739" s="8" t="s">
        <v>318</v>
      </c>
      <c r="G739" s="7" t="s">
        <v>1354</v>
      </c>
      <c r="H739" s="7" t="s">
        <v>1355</v>
      </c>
      <c r="I739" s="8">
        <v>2000.0</v>
      </c>
      <c r="J739" s="8">
        <v>2.2</v>
      </c>
      <c r="K739" s="8" t="s">
        <v>321</v>
      </c>
      <c r="L739" s="8" t="s">
        <v>322</v>
      </c>
      <c r="M739" s="8" t="s">
        <v>828</v>
      </c>
      <c r="N739" s="8">
        <v>6.6</v>
      </c>
      <c r="O739" s="14">
        <f t="shared" si="1"/>
        <v>44593</v>
      </c>
      <c r="P739" s="15">
        <f>IFERROR(VLOOKUP(K739,Formula!$A$11:$B$20,2,FALSE),Formula!$C$26)</f>
        <v>0.9</v>
      </c>
      <c r="Q739" s="15">
        <f>IF(AND(ISNUMBER(J739),J739&gt;0),1/J739,IF(AND(ISNUMBER(I739),I739&gt;0),SQRT(MIN(I739,Formula!$C$27))/Formula!$C$24,1/Formula!$C$25))</f>
        <v>0.4545454545</v>
      </c>
      <c r="R739" s="15">
        <f t="shared" si="2"/>
        <v>0.4090909091</v>
      </c>
      <c r="S739" s="15">
        <f>IF(H739&lt;&gt;"",EXP(-Formula!$C$28*(EOMONTH(H739,0)-H739)),EXP(-Formula!$C$28*(EOMONTH(D739,0)-D739)))</f>
        <v>0.4723665527</v>
      </c>
      <c r="T739" s="15">
        <f t="shared" si="3"/>
        <v>0.2</v>
      </c>
      <c r="U739" s="15">
        <f t="shared" si="4"/>
        <v>0.0386481725</v>
      </c>
      <c r="V739" s="16">
        <f>IF(AND(L739="Among all respondents",NOT(OR(K739="Online poll in Telegram channel",K739="Website online poll",K739="CAWI (Computer Assisted Web Interviewing)"))),1/(1-MIN(MAX(Formula!$C$33+(YEAR(D739)-Formula!$C$34)/(Formula!$C$35-Formula!$C$34)*(Formula!$C$32-Formula!$C$33),Formula!$C$33),Formula!$C$32)),1)</f>
        <v>1</v>
      </c>
      <c r="W739" s="17">
        <f t="shared" si="5"/>
        <v>6.6</v>
      </c>
    </row>
    <row r="740" ht="15.75" customHeight="1">
      <c r="A740" s="8" t="s">
        <v>1361</v>
      </c>
      <c r="B740" s="7" t="s">
        <v>1352</v>
      </c>
      <c r="C740" s="13" t="s">
        <v>1353</v>
      </c>
      <c r="D740" s="7" t="s">
        <v>139</v>
      </c>
      <c r="E740" s="8" t="s">
        <v>40</v>
      </c>
      <c r="F740" s="8" t="s">
        <v>318</v>
      </c>
      <c r="G740" s="7" t="s">
        <v>1354</v>
      </c>
      <c r="H740" s="7" t="s">
        <v>1355</v>
      </c>
      <c r="I740" s="8">
        <v>2000.0</v>
      </c>
      <c r="J740" s="8">
        <v>2.2</v>
      </c>
      <c r="K740" s="8" t="s">
        <v>321</v>
      </c>
      <c r="L740" s="8" t="s">
        <v>322</v>
      </c>
      <c r="M740" s="8" t="s">
        <v>333</v>
      </c>
      <c r="N740" s="8">
        <v>6.2</v>
      </c>
      <c r="O740" s="14">
        <f t="shared" si="1"/>
        <v>44593</v>
      </c>
      <c r="P740" s="15">
        <f>IFERROR(VLOOKUP(K740,Formula!$A$11:$B$20,2,FALSE),Formula!$C$26)</f>
        <v>0.9</v>
      </c>
      <c r="Q740" s="15">
        <f>IF(AND(ISNUMBER(J740),J740&gt;0),1/J740,IF(AND(ISNUMBER(I740),I740&gt;0),SQRT(MIN(I740,Formula!$C$27))/Formula!$C$24,1/Formula!$C$25))</f>
        <v>0.4545454545</v>
      </c>
      <c r="R740" s="15">
        <f t="shared" si="2"/>
        <v>0.4090909091</v>
      </c>
      <c r="S740" s="15">
        <f>IF(H740&lt;&gt;"",EXP(-Formula!$C$28*(EOMONTH(H740,0)-H740)),EXP(-Formula!$C$28*(EOMONTH(D740,0)-D740)))</f>
        <v>0.4723665527</v>
      </c>
      <c r="T740" s="15">
        <f t="shared" si="3"/>
        <v>0.2</v>
      </c>
      <c r="U740" s="15">
        <f t="shared" si="4"/>
        <v>0.0386481725</v>
      </c>
      <c r="V740" s="16">
        <f>IF(AND(L740="Among all respondents",NOT(OR(K740="Online poll in Telegram channel",K740="Website online poll",K740="CAWI (Computer Assisted Web Interviewing)"))),1/(1-MIN(MAX(Formula!$C$33+(YEAR(D740)-Formula!$C$34)/(Formula!$C$35-Formula!$C$34)*(Formula!$C$32-Formula!$C$33),Formula!$C$33),Formula!$C$32)),1)</f>
        <v>1</v>
      </c>
      <c r="W740" s="17">
        <f t="shared" si="5"/>
        <v>6.2</v>
      </c>
    </row>
    <row r="741" ht="15.75" customHeight="1">
      <c r="A741" s="8" t="s">
        <v>1362</v>
      </c>
      <c r="B741" s="7" t="s">
        <v>1352</v>
      </c>
      <c r="C741" s="13" t="s">
        <v>1353</v>
      </c>
      <c r="D741" s="7" t="s">
        <v>139</v>
      </c>
      <c r="E741" s="8" t="s">
        <v>40</v>
      </c>
      <c r="F741" s="8" t="s">
        <v>318</v>
      </c>
      <c r="G741" s="7" t="s">
        <v>1354</v>
      </c>
      <c r="H741" s="7" t="s">
        <v>1355</v>
      </c>
      <c r="I741" s="8">
        <v>2000.0</v>
      </c>
      <c r="J741" s="8">
        <v>2.2</v>
      </c>
      <c r="K741" s="8" t="s">
        <v>321</v>
      </c>
      <c r="L741" s="8" t="s">
        <v>322</v>
      </c>
      <c r="M741" s="8" t="s">
        <v>386</v>
      </c>
      <c r="N741" s="8">
        <v>5.7</v>
      </c>
      <c r="O741" s="14">
        <f t="shared" si="1"/>
        <v>44593</v>
      </c>
      <c r="P741" s="15">
        <f>IFERROR(VLOOKUP(K741,Formula!$A$11:$B$20,2,FALSE),Formula!$C$26)</f>
        <v>0.9</v>
      </c>
      <c r="Q741" s="15">
        <f>IF(AND(ISNUMBER(J741),J741&gt;0),1/J741,IF(AND(ISNUMBER(I741),I741&gt;0),SQRT(MIN(I741,Formula!$C$27))/Formula!$C$24,1/Formula!$C$25))</f>
        <v>0.4545454545</v>
      </c>
      <c r="R741" s="15">
        <f t="shared" si="2"/>
        <v>0.4090909091</v>
      </c>
      <c r="S741" s="15">
        <f>IF(H741&lt;&gt;"",EXP(-Formula!$C$28*(EOMONTH(H741,0)-H741)),EXP(-Formula!$C$28*(EOMONTH(D741,0)-D741)))</f>
        <v>0.4723665527</v>
      </c>
      <c r="T741" s="15">
        <f t="shared" si="3"/>
        <v>0.2</v>
      </c>
      <c r="U741" s="15">
        <f t="shared" si="4"/>
        <v>0.0386481725</v>
      </c>
      <c r="V741" s="16">
        <f>IF(AND(L741="Among all respondents",NOT(OR(K741="Online poll in Telegram channel",K741="Website online poll",K741="CAWI (Computer Assisted Web Interviewing)"))),1/(1-MIN(MAX(Formula!$C$33+(YEAR(D741)-Formula!$C$34)/(Formula!$C$35-Formula!$C$34)*(Formula!$C$32-Formula!$C$33),Formula!$C$33),Formula!$C$32)),1)</f>
        <v>1</v>
      </c>
      <c r="W741" s="17">
        <f t="shared" si="5"/>
        <v>5.7</v>
      </c>
    </row>
    <row r="742" ht="15.75" customHeight="1">
      <c r="A742" s="8" t="s">
        <v>1363</v>
      </c>
      <c r="B742" s="7" t="s">
        <v>1352</v>
      </c>
      <c r="C742" s="13" t="s">
        <v>1353</v>
      </c>
      <c r="D742" s="7" t="s">
        <v>139</v>
      </c>
      <c r="E742" s="8" t="s">
        <v>40</v>
      </c>
      <c r="F742" s="8" t="s">
        <v>318</v>
      </c>
      <c r="G742" s="7" t="s">
        <v>1354</v>
      </c>
      <c r="H742" s="7" t="s">
        <v>1355</v>
      </c>
      <c r="I742" s="8">
        <v>2000.0</v>
      </c>
      <c r="J742" s="8">
        <v>2.2</v>
      </c>
      <c r="K742" s="8" t="s">
        <v>321</v>
      </c>
      <c r="L742" s="8" t="s">
        <v>322</v>
      </c>
      <c r="M742" s="8" t="s">
        <v>388</v>
      </c>
      <c r="N742" s="8">
        <v>3.1</v>
      </c>
      <c r="O742" s="14">
        <f t="shared" si="1"/>
        <v>44593</v>
      </c>
      <c r="P742" s="15">
        <f>IFERROR(VLOOKUP(K742,Formula!$A$11:$B$20,2,FALSE),Formula!$C$26)</f>
        <v>0.9</v>
      </c>
      <c r="Q742" s="15">
        <f>IF(AND(ISNUMBER(J742),J742&gt;0),1/J742,IF(AND(ISNUMBER(I742),I742&gt;0),SQRT(MIN(I742,Formula!$C$27))/Formula!$C$24,1/Formula!$C$25))</f>
        <v>0.4545454545</v>
      </c>
      <c r="R742" s="15">
        <f t="shared" si="2"/>
        <v>0.4090909091</v>
      </c>
      <c r="S742" s="15">
        <f>IF(H742&lt;&gt;"",EXP(-Formula!$C$28*(EOMONTH(H742,0)-H742)),EXP(-Formula!$C$28*(EOMONTH(D742,0)-D742)))</f>
        <v>0.4723665527</v>
      </c>
      <c r="T742" s="15">
        <f t="shared" si="3"/>
        <v>0.2</v>
      </c>
      <c r="U742" s="15">
        <f t="shared" si="4"/>
        <v>0.0386481725</v>
      </c>
      <c r="V742" s="16">
        <f>IF(AND(L742="Among all respondents",NOT(OR(K742="Online poll in Telegram channel",K742="Website online poll",K742="CAWI (Computer Assisted Web Interviewing)"))),1/(1-MIN(MAX(Formula!$C$33+(YEAR(D742)-Formula!$C$34)/(Formula!$C$35-Formula!$C$34)*(Formula!$C$32-Formula!$C$33),Formula!$C$33),Formula!$C$32)),1)</f>
        <v>1</v>
      </c>
      <c r="W742" s="17">
        <f t="shared" si="5"/>
        <v>3.1</v>
      </c>
    </row>
    <row r="743" ht="15.75" customHeight="1">
      <c r="A743" s="8" t="s">
        <v>1364</v>
      </c>
      <c r="B743" s="7" t="s">
        <v>1352</v>
      </c>
      <c r="C743" s="13" t="s">
        <v>1353</v>
      </c>
      <c r="D743" s="7" t="s">
        <v>139</v>
      </c>
      <c r="E743" s="8" t="s">
        <v>40</v>
      </c>
      <c r="F743" s="8" t="s">
        <v>318</v>
      </c>
      <c r="G743" s="7" t="s">
        <v>1354</v>
      </c>
      <c r="H743" s="7" t="s">
        <v>1355</v>
      </c>
      <c r="I743" s="8">
        <v>2000.0</v>
      </c>
      <c r="J743" s="8">
        <v>2.2</v>
      </c>
      <c r="K743" s="8" t="s">
        <v>321</v>
      </c>
      <c r="L743" s="8" t="s">
        <v>322</v>
      </c>
      <c r="M743" s="8" t="s">
        <v>343</v>
      </c>
      <c r="N743" s="8">
        <v>2.3</v>
      </c>
      <c r="O743" s="14">
        <f t="shared" si="1"/>
        <v>44593</v>
      </c>
      <c r="P743" s="15">
        <f>IFERROR(VLOOKUP(K743,Formula!$A$11:$B$20,2,FALSE),Formula!$C$26)</f>
        <v>0.9</v>
      </c>
      <c r="Q743" s="15">
        <f>IF(AND(ISNUMBER(J743),J743&gt;0),1/J743,IF(AND(ISNUMBER(I743),I743&gt;0),SQRT(MIN(I743,Formula!$C$27))/Formula!$C$24,1/Formula!$C$25))</f>
        <v>0.4545454545</v>
      </c>
      <c r="R743" s="15">
        <f t="shared" si="2"/>
        <v>0.4090909091</v>
      </c>
      <c r="S743" s="15">
        <f>IF(H743&lt;&gt;"",EXP(-Formula!$C$28*(EOMONTH(H743,0)-H743)),EXP(-Formula!$C$28*(EOMONTH(D743,0)-D743)))</f>
        <v>0.4723665527</v>
      </c>
      <c r="T743" s="15">
        <f t="shared" si="3"/>
        <v>0.2</v>
      </c>
      <c r="U743" s="15">
        <f t="shared" si="4"/>
        <v>0.0386481725</v>
      </c>
      <c r="V743" s="16">
        <f>IF(AND(L743="Among all respondents",NOT(OR(K743="Online poll in Telegram channel",K743="Website online poll",K743="CAWI (Computer Assisted Web Interviewing)"))),1/(1-MIN(MAX(Formula!$C$33+(YEAR(D743)-Formula!$C$34)/(Formula!$C$35-Formula!$C$34)*(Formula!$C$32-Formula!$C$33),Formula!$C$33),Formula!$C$32)),1)</f>
        <v>1</v>
      </c>
      <c r="W743" s="17">
        <f t="shared" si="5"/>
        <v>2.3</v>
      </c>
    </row>
    <row r="744" ht="15.75" customHeight="1">
      <c r="A744" s="8" t="s">
        <v>1365</v>
      </c>
      <c r="B744" s="7" t="s">
        <v>1352</v>
      </c>
      <c r="C744" s="13" t="s">
        <v>1353</v>
      </c>
      <c r="D744" s="7" t="s">
        <v>139</v>
      </c>
      <c r="E744" s="8" t="s">
        <v>40</v>
      </c>
      <c r="F744" s="8" t="s">
        <v>318</v>
      </c>
      <c r="G744" s="7" t="s">
        <v>1354</v>
      </c>
      <c r="H744" s="7" t="s">
        <v>1355</v>
      </c>
      <c r="I744" s="8">
        <v>2000.0</v>
      </c>
      <c r="J744" s="8">
        <v>2.2</v>
      </c>
      <c r="K744" s="8" t="s">
        <v>321</v>
      </c>
      <c r="L744" s="8" t="s">
        <v>322</v>
      </c>
      <c r="M744" s="8" t="s">
        <v>836</v>
      </c>
      <c r="N744" s="8">
        <v>2.1</v>
      </c>
      <c r="O744" s="14">
        <f t="shared" si="1"/>
        <v>44593</v>
      </c>
      <c r="P744" s="15">
        <f>IFERROR(VLOOKUP(K744,Formula!$A$11:$B$20,2,FALSE),Formula!$C$26)</f>
        <v>0.9</v>
      </c>
      <c r="Q744" s="15">
        <f>IF(AND(ISNUMBER(J744),J744&gt;0),1/J744,IF(AND(ISNUMBER(I744),I744&gt;0),SQRT(MIN(I744,Formula!$C$27))/Formula!$C$24,1/Formula!$C$25))</f>
        <v>0.4545454545</v>
      </c>
      <c r="R744" s="15">
        <f t="shared" si="2"/>
        <v>0.4090909091</v>
      </c>
      <c r="S744" s="15">
        <f>IF(H744&lt;&gt;"",EXP(-Formula!$C$28*(EOMONTH(H744,0)-H744)),EXP(-Formula!$C$28*(EOMONTH(D744,0)-D744)))</f>
        <v>0.4723665527</v>
      </c>
      <c r="T744" s="15">
        <f t="shared" si="3"/>
        <v>0.2</v>
      </c>
      <c r="U744" s="15">
        <f t="shared" si="4"/>
        <v>0.0386481725</v>
      </c>
      <c r="V744" s="16">
        <f>IF(AND(L744="Among all respondents",NOT(OR(K744="Online poll in Telegram channel",K744="Website online poll",K744="CAWI (Computer Assisted Web Interviewing)"))),1/(1-MIN(MAX(Formula!$C$33+(YEAR(D744)-Formula!$C$34)/(Formula!$C$35-Formula!$C$34)*(Formula!$C$32-Formula!$C$33),Formula!$C$33),Formula!$C$32)),1)</f>
        <v>1</v>
      </c>
      <c r="W744" s="17">
        <f t="shared" si="5"/>
        <v>2.1</v>
      </c>
    </row>
    <row r="745" ht="15.75" customHeight="1">
      <c r="A745" s="8" t="s">
        <v>1366</v>
      </c>
      <c r="B745" s="7" t="s">
        <v>1352</v>
      </c>
      <c r="C745" s="13" t="s">
        <v>1353</v>
      </c>
      <c r="D745" s="7" t="s">
        <v>139</v>
      </c>
      <c r="E745" s="8" t="s">
        <v>40</v>
      </c>
      <c r="F745" s="8" t="s">
        <v>318</v>
      </c>
      <c r="G745" s="7" t="s">
        <v>1354</v>
      </c>
      <c r="H745" s="7" t="s">
        <v>1355</v>
      </c>
      <c r="I745" s="8">
        <v>2000.0</v>
      </c>
      <c r="J745" s="8">
        <v>2.2</v>
      </c>
      <c r="K745" s="8" t="s">
        <v>321</v>
      </c>
      <c r="L745" s="8" t="s">
        <v>322</v>
      </c>
      <c r="M745" s="8" t="s">
        <v>740</v>
      </c>
      <c r="N745" s="8">
        <v>2.0</v>
      </c>
      <c r="O745" s="14">
        <f t="shared" si="1"/>
        <v>44593</v>
      </c>
      <c r="P745" s="15">
        <f>IFERROR(VLOOKUP(K745,Formula!$A$11:$B$20,2,FALSE),Formula!$C$26)</f>
        <v>0.9</v>
      </c>
      <c r="Q745" s="15">
        <f>IF(AND(ISNUMBER(J745),J745&gt;0),1/J745,IF(AND(ISNUMBER(I745),I745&gt;0),SQRT(MIN(I745,Formula!$C$27))/Formula!$C$24,1/Formula!$C$25))</f>
        <v>0.4545454545</v>
      </c>
      <c r="R745" s="15">
        <f t="shared" si="2"/>
        <v>0.4090909091</v>
      </c>
      <c r="S745" s="15">
        <f>IF(H745&lt;&gt;"",EXP(-Formula!$C$28*(EOMONTH(H745,0)-H745)),EXP(-Formula!$C$28*(EOMONTH(D745,0)-D745)))</f>
        <v>0.4723665527</v>
      </c>
      <c r="T745" s="15">
        <f t="shared" si="3"/>
        <v>0.2</v>
      </c>
      <c r="U745" s="15">
        <f t="shared" si="4"/>
        <v>0.0386481725</v>
      </c>
      <c r="V745" s="16">
        <f>IF(AND(L745="Among all respondents",NOT(OR(K745="Online poll in Telegram channel",K745="Website online poll",K745="CAWI (Computer Assisted Web Interviewing)"))),1/(1-MIN(MAX(Formula!$C$33+(YEAR(D745)-Formula!$C$34)/(Formula!$C$35-Formula!$C$34)*(Formula!$C$32-Formula!$C$33),Formula!$C$33),Formula!$C$32)),1)</f>
        <v>1</v>
      </c>
      <c r="W745" s="17">
        <f t="shared" si="5"/>
        <v>2</v>
      </c>
    </row>
    <row r="746" ht="15.75" customHeight="1">
      <c r="A746" s="8" t="s">
        <v>1367</v>
      </c>
      <c r="B746" s="7" t="s">
        <v>1352</v>
      </c>
      <c r="C746" s="13" t="s">
        <v>1353</v>
      </c>
      <c r="D746" s="7" t="s">
        <v>139</v>
      </c>
      <c r="E746" s="8" t="s">
        <v>40</v>
      </c>
      <c r="F746" s="8" t="s">
        <v>318</v>
      </c>
      <c r="G746" s="7" t="s">
        <v>1354</v>
      </c>
      <c r="H746" s="7" t="s">
        <v>1355</v>
      </c>
      <c r="I746" s="8">
        <v>2000.0</v>
      </c>
      <c r="J746" s="8">
        <v>2.2</v>
      </c>
      <c r="K746" s="8" t="s">
        <v>321</v>
      </c>
      <c r="L746" s="8" t="s">
        <v>322</v>
      </c>
      <c r="M746" s="8" t="s">
        <v>743</v>
      </c>
      <c r="N746" s="8">
        <v>1.8</v>
      </c>
      <c r="O746" s="14">
        <f t="shared" si="1"/>
        <v>44593</v>
      </c>
      <c r="P746" s="15">
        <f>IFERROR(VLOOKUP(K746,Formula!$A$11:$B$20,2,FALSE),Formula!$C$26)</f>
        <v>0.9</v>
      </c>
      <c r="Q746" s="15">
        <f>IF(AND(ISNUMBER(J746),J746&gt;0),1/J746,IF(AND(ISNUMBER(I746),I746&gt;0),SQRT(MIN(I746,Formula!$C$27))/Formula!$C$24,1/Formula!$C$25))</f>
        <v>0.4545454545</v>
      </c>
      <c r="R746" s="15">
        <f t="shared" si="2"/>
        <v>0.4090909091</v>
      </c>
      <c r="S746" s="15">
        <f>IF(H746&lt;&gt;"",EXP(-Formula!$C$28*(EOMONTH(H746,0)-H746)),EXP(-Formula!$C$28*(EOMONTH(D746,0)-D746)))</f>
        <v>0.4723665527</v>
      </c>
      <c r="T746" s="15">
        <f t="shared" si="3"/>
        <v>0.2</v>
      </c>
      <c r="U746" s="15">
        <f t="shared" si="4"/>
        <v>0.0386481725</v>
      </c>
      <c r="V746" s="16">
        <f>IF(AND(L746="Among all respondents",NOT(OR(K746="Online poll in Telegram channel",K746="Website online poll",K746="CAWI (Computer Assisted Web Interviewing)"))),1/(1-MIN(MAX(Formula!$C$33+(YEAR(D746)-Formula!$C$34)/(Formula!$C$35-Formula!$C$34)*(Formula!$C$32-Formula!$C$33),Formula!$C$33),Formula!$C$32)),1)</f>
        <v>1</v>
      </c>
      <c r="W746" s="17">
        <f t="shared" si="5"/>
        <v>1.8</v>
      </c>
    </row>
    <row r="747" ht="15.75" customHeight="1">
      <c r="A747" s="8" t="s">
        <v>1368</v>
      </c>
      <c r="B747" s="7" t="s">
        <v>1369</v>
      </c>
      <c r="C747" s="13" t="s">
        <v>1370</v>
      </c>
      <c r="D747" s="7" t="s">
        <v>139</v>
      </c>
      <c r="E747" s="8" t="s">
        <v>72</v>
      </c>
      <c r="F747" s="8" t="s">
        <v>318</v>
      </c>
      <c r="G747" s="7" t="s">
        <v>1371</v>
      </c>
      <c r="H747" s="7" t="s">
        <v>1355</v>
      </c>
      <c r="I747" s="8">
        <v>2000.0</v>
      </c>
      <c r="J747" s="8">
        <v>2.4</v>
      </c>
      <c r="K747" s="8" t="s">
        <v>321</v>
      </c>
      <c r="L747" s="8" t="s">
        <v>322</v>
      </c>
      <c r="M747" s="8" t="s">
        <v>323</v>
      </c>
      <c r="N747" s="8">
        <v>25.1</v>
      </c>
      <c r="O747" s="14">
        <f t="shared" si="1"/>
        <v>44593</v>
      </c>
      <c r="P747" s="15">
        <f>IFERROR(VLOOKUP(K747,Formula!$A$11:$B$20,2,FALSE),Formula!$C$26)</f>
        <v>0.9</v>
      </c>
      <c r="Q747" s="15">
        <f>IF(AND(ISNUMBER(J747),J747&gt;0),1/J747,IF(AND(ISNUMBER(I747),I747&gt;0),SQRT(MIN(I747,Formula!$C$27))/Formula!$C$24,1/Formula!$C$25))</f>
        <v>0.4166666667</v>
      </c>
      <c r="R747" s="15">
        <f t="shared" si="2"/>
        <v>0.375</v>
      </c>
      <c r="S747" s="15">
        <f>IF(H747&lt;&gt;"",EXP(-Formula!$C$28*(EOMONTH(H747,0)-H747)),EXP(-Formula!$C$28*(EOMONTH(D747,0)-D747)))</f>
        <v>0.4723665527</v>
      </c>
      <c r="T747" s="15">
        <f t="shared" si="3"/>
        <v>0.3015113446</v>
      </c>
      <c r="U747" s="15">
        <f t="shared" si="4"/>
        <v>0.05340895292</v>
      </c>
      <c r="V747" s="16">
        <f>IF(AND(L747="Among all respondents",NOT(OR(K747="Online poll in Telegram channel",K747="Website online poll",K747="CAWI (Computer Assisted Web Interviewing)"))),1/(1-MIN(MAX(Formula!$C$33+(YEAR(D747)-Formula!$C$34)/(Formula!$C$35-Formula!$C$34)*(Formula!$C$32-Formula!$C$33),Formula!$C$33),Formula!$C$32)),1)</f>
        <v>1</v>
      </c>
      <c r="W747" s="17">
        <f t="shared" si="5"/>
        <v>25.1</v>
      </c>
    </row>
    <row r="748" ht="15.75" customHeight="1">
      <c r="A748" s="8" t="s">
        <v>1372</v>
      </c>
      <c r="B748" s="7" t="s">
        <v>1369</v>
      </c>
      <c r="C748" s="13" t="s">
        <v>1370</v>
      </c>
      <c r="D748" s="7" t="s">
        <v>139</v>
      </c>
      <c r="E748" s="8" t="s">
        <v>72</v>
      </c>
      <c r="F748" s="8" t="s">
        <v>318</v>
      </c>
      <c r="G748" s="7" t="s">
        <v>1371</v>
      </c>
      <c r="H748" s="7" t="s">
        <v>1355</v>
      </c>
      <c r="I748" s="8">
        <v>2000.0</v>
      </c>
      <c r="J748" s="8">
        <v>2.4</v>
      </c>
      <c r="K748" s="8" t="s">
        <v>321</v>
      </c>
      <c r="L748" s="8" t="s">
        <v>322</v>
      </c>
      <c r="M748" s="8" t="s">
        <v>329</v>
      </c>
      <c r="N748" s="8">
        <v>21.8</v>
      </c>
      <c r="O748" s="14">
        <f t="shared" si="1"/>
        <v>44593</v>
      </c>
      <c r="P748" s="15">
        <f>IFERROR(VLOOKUP(K748,Formula!$A$11:$B$20,2,FALSE),Formula!$C$26)</f>
        <v>0.9</v>
      </c>
      <c r="Q748" s="15">
        <f>IF(AND(ISNUMBER(J748),J748&gt;0),1/J748,IF(AND(ISNUMBER(I748),I748&gt;0),SQRT(MIN(I748,Formula!$C$27))/Formula!$C$24,1/Formula!$C$25))</f>
        <v>0.4166666667</v>
      </c>
      <c r="R748" s="15">
        <f t="shared" si="2"/>
        <v>0.375</v>
      </c>
      <c r="S748" s="15">
        <f>IF(H748&lt;&gt;"",EXP(-Formula!$C$28*(EOMONTH(H748,0)-H748)),EXP(-Formula!$C$28*(EOMONTH(D748,0)-D748)))</f>
        <v>0.4723665527</v>
      </c>
      <c r="T748" s="15">
        <f t="shared" si="3"/>
        <v>0.3015113446</v>
      </c>
      <c r="U748" s="15">
        <f t="shared" si="4"/>
        <v>0.05340895292</v>
      </c>
      <c r="V748" s="16">
        <f>IF(AND(L748="Among all respondents",NOT(OR(K748="Online poll in Telegram channel",K748="Website online poll",K748="CAWI (Computer Assisted Web Interviewing)"))),1/(1-MIN(MAX(Formula!$C$33+(YEAR(D748)-Formula!$C$34)/(Formula!$C$35-Formula!$C$34)*(Formula!$C$32-Formula!$C$33),Formula!$C$33),Formula!$C$32)),1)</f>
        <v>1</v>
      </c>
      <c r="W748" s="17">
        <f t="shared" si="5"/>
        <v>21.8</v>
      </c>
    </row>
    <row r="749" ht="15.75" customHeight="1">
      <c r="A749" s="8" t="s">
        <v>1373</v>
      </c>
      <c r="B749" s="7" t="s">
        <v>1369</v>
      </c>
      <c r="C749" s="13" t="s">
        <v>1370</v>
      </c>
      <c r="D749" s="7" t="s">
        <v>139</v>
      </c>
      <c r="E749" s="8" t="s">
        <v>72</v>
      </c>
      <c r="F749" s="8" t="s">
        <v>318</v>
      </c>
      <c r="G749" s="7" t="s">
        <v>1371</v>
      </c>
      <c r="H749" s="7" t="s">
        <v>1355</v>
      </c>
      <c r="I749" s="8">
        <v>2000.0</v>
      </c>
      <c r="J749" s="8">
        <v>2.4</v>
      </c>
      <c r="K749" s="8" t="s">
        <v>321</v>
      </c>
      <c r="L749" s="8" t="s">
        <v>322</v>
      </c>
      <c r="M749" s="8" t="s">
        <v>337</v>
      </c>
      <c r="N749" s="8">
        <v>11.8</v>
      </c>
      <c r="O749" s="14">
        <f t="shared" si="1"/>
        <v>44593</v>
      </c>
      <c r="P749" s="15">
        <f>IFERROR(VLOOKUP(K749,Formula!$A$11:$B$20,2,FALSE),Formula!$C$26)</f>
        <v>0.9</v>
      </c>
      <c r="Q749" s="15">
        <f>IF(AND(ISNUMBER(J749),J749&gt;0),1/J749,IF(AND(ISNUMBER(I749),I749&gt;0),SQRT(MIN(I749,Formula!$C$27))/Formula!$C$24,1/Formula!$C$25))</f>
        <v>0.4166666667</v>
      </c>
      <c r="R749" s="15">
        <f t="shared" si="2"/>
        <v>0.375</v>
      </c>
      <c r="S749" s="15">
        <f>IF(H749&lt;&gt;"",EXP(-Formula!$C$28*(EOMONTH(H749,0)-H749)),EXP(-Formula!$C$28*(EOMONTH(D749,0)-D749)))</f>
        <v>0.4723665527</v>
      </c>
      <c r="T749" s="15">
        <f t="shared" si="3"/>
        <v>0.3015113446</v>
      </c>
      <c r="U749" s="15">
        <f t="shared" si="4"/>
        <v>0.05340895292</v>
      </c>
      <c r="V749" s="16">
        <f>IF(AND(L749="Among all respondents",NOT(OR(K749="Online poll in Telegram channel",K749="Website online poll",K749="CAWI (Computer Assisted Web Interviewing)"))),1/(1-MIN(MAX(Formula!$C$33+(YEAR(D749)-Formula!$C$34)/(Formula!$C$35-Formula!$C$34)*(Formula!$C$32-Formula!$C$33),Formula!$C$33),Formula!$C$32)),1)</f>
        <v>1</v>
      </c>
      <c r="W749" s="17">
        <f t="shared" si="5"/>
        <v>11.8</v>
      </c>
    </row>
    <row r="750" ht="15.75" customHeight="1">
      <c r="A750" s="8" t="s">
        <v>1374</v>
      </c>
      <c r="B750" s="7" t="s">
        <v>1369</v>
      </c>
      <c r="C750" s="13" t="s">
        <v>1370</v>
      </c>
      <c r="D750" s="7" t="s">
        <v>139</v>
      </c>
      <c r="E750" s="8" t="s">
        <v>72</v>
      </c>
      <c r="F750" s="8" t="s">
        <v>318</v>
      </c>
      <c r="G750" s="7" t="s">
        <v>1371</v>
      </c>
      <c r="H750" s="7" t="s">
        <v>1355</v>
      </c>
      <c r="I750" s="8">
        <v>2000.0</v>
      </c>
      <c r="J750" s="8">
        <v>2.4</v>
      </c>
      <c r="K750" s="8" t="s">
        <v>321</v>
      </c>
      <c r="L750" s="8" t="s">
        <v>322</v>
      </c>
      <c r="M750" s="8" t="s">
        <v>365</v>
      </c>
      <c r="N750" s="8">
        <v>8.3</v>
      </c>
      <c r="O750" s="14">
        <f t="shared" si="1"/>
        <v>44593</v>
      </c>
      <c r="P750" s="15">
        <f>IFERROR(VLOOKUP(K750,Formula!$A$11:$B$20,2,FALSE),Formula!$C$26)</f>
        <v>0.9</v>
      </c>
      <c r="Q750" s="15">
        <f>IF(AND(ISNUMBER(J750),J750&gt;0),1/J750,IF(AND(ISNUMBER(I750),I750&gt;0),SQRT(MIN(I750,Formula!$C$27))/Formula!$C$24,1/Formula!$C$25))</f>
        <v>0.4166666667</v>
      </c>
      <c r="R750" s="15">
        <f t="shared" si="2"/>
        <v>0.375</v>
      </c>
      <c r="S750" s="15">
        <f>IF(H750&lt;&gt;"",EXP(-Formula!$C$28*(EOMONTH(H750,0)-H750)),EXP(-Formula!$C$28*(EOMONTH(D750,0)-D750)))</f>
        <v>0.4723665527</v>
      </c>
      <c r="T750" s="15">
        <f t="shared" si="3"/>
        <v>0.3015113446</v>
      </c>
      <c r="U750" s="15">
        <f t="shared" si="4"/>
        <v>0.05340895292</v>
      </c>
      <c r="V750" s="16">
        <f>IF(AND(L750="Among all respondents",NOT(OR(K750="Online poll in Telegram channel",K750="Website online poll",K750="CAWI (Computer Assisted Web Interviewing)"))),1/(1-MIN(MAX(Formula!$C$33+(YEAR(D750)-Formula!$C$34)/(Formula!$C$35-Formula!$C$34)*(Formula!$C$32-Formula!$C$33),Formula!$C$33),Formula!$C$32)),1)</f>
        <v>1</v>
      </c>
      <c r="W750" s="17">
        <f t="shared" si="5"/>
        <v>8.3</v>
      </c>
    </row>
    <row r="751" ht="15.75" customHeight="1">
      <c r="A751" s="8" t="s">
        <v>1375</v>
      </c>
      <c r="B751" s="7" t="s">
        <v>1369</v>
      </c>
      <c r="C751" s="13" t="s">
        <v>1370</v>
      </c>
      <c r="D751" s="7" t="s">
        <v>139</v>
      </c>
      <c r="E751" s="8" t="s">
        <v>72</v>
      </c>
      <c r="F751" s="8" t="s">
        <v>318</v>
      </c>
      <c r="G751" s="7" t="s">
        <v>1371</v>
      </c>
      <c r="H751" s="7" t="s">
        <v>1355</v>
      </c>
      <c r="I751" s="8">
        <v>2000.0</v>
      </c>
      <c r="J751" s="8">
        <v>2.4</v>
      </c>
      <c r="K751" s="8" t="s">
        <v>321</v>
      </c>
      <c r="L751" s="8" t="s">
        <v>322</v>
      </c>
      <c r="M751" s="8" t="s">
        <v>333</v>
      </c>
      <c r="N751" s="8">
        <v>7.2</v>
      </c>
      <c r="O751" s="14">
        <f t="shared" si="1"/>
        <v>44593</v>
      </c>
      <c r="P751" s="15">
        <f>IFERROR(VLOOKUP(K751,Formula!$A$11:$B$20,2,FALSE),Formula!$C$26)</f>
        <v>0.9</v>
      </c>
      <c r="Q751" s="15">
        <f>IF(AND(ISNUMBER(J751),J751&gt;0),1/J751,IF(AND(ISNUMBER(I751),I751&gt;0),SQRT(MIN(I751,Formula!$C$27))/Formula!$C$24,1/Formula!$C$25))</f>
        <v>0.4166666667</v>
      </c>
      <c r="R751" s="15">
        <f t="shared" si="2"/>
        <v>0.375</v>
      </c>
      <c r="S751" s="15">
        <f>IF(H751&lt;&gt;"",EXP(-Formula!$C$28*(EOMONTH(H751,0)-H751)),EXP(-Formula!$C$28*(EOMONTH(D751,0)-D751)))</f>
        <v>0.4723665527</v>
      </c>
      <c r="T751" s="15">
        <f t="shared" si="3"/>
        <v>0.3015113446</v>
      </c>
      <c r="U751" s="15">
        <f t="shared" si="4"/>
        <v>0.05340895292</v>
      </c>
      <c r="V751" s="16">
        <f>IF(AND(L751="Among all respondents",NOT(OR(K751="Online poll in Telegram channel",K751="Website online poll",K751="CAWI (Computer Assisted Web Interviewing)"))),1/(1-MIN(MAX(Formula!$C$33+(YEAR(D751)-Formula!$C$34)/(Formula!$C$35-Formula!$C$34)*(Formula!$C$32-Formula!$C$33),Formula!$C$33),Formula!$C$32)),1)</f>
        <v>1</v>
      </c>
      <c r="W751" s="17">
        <f t="shared" si="5"/>
        <v>7.2</v>
      </c>
    </row>
    <row r="752" ht="15.75" customHeight="1">
      <c r="A752" s="8" t="s">
        <v>1376</v>
      </c>
      <c r="B752" s="7" t="s">
        <v>1369</v>
      </c>
      <c r="C752" s="13" t="s">
        <v>1370</v>
      </c>
      <c r="D752" s="7" t="s">
        <v>139</v>
      </c>
      <c r="E752" s="8" t="s">
        <v>72</v>
      </c>
      <c r="F752" s="8" t="s">
        <v>318</v>
      </c>
      <c r="G752" s="7" t="s">
        <v>1371</v>
      </c>
      <c r="H752" s="7" t="s">
        <v>1355</v>
      </c>
      <c r="I752" s="8">
        <v>2000.0</v>
      </c>
      <c r="J752" s="8">
        <v>2.4</v>
      </c>
      <c r="K752" s="8" t="s">
        <v>321</v>
      </c>
      <c r="L752" s="8" t="s">
        <v>322</v>
      </c>
      <c r="M752" s="8" t="s">
        <v>1153</v>
      </c>
      <c r="N752" s="8">
        <v>6.5</v>
      </c>
      <c r="O752" s="14">
        <f t="shared" si="1"/>
        <v>44593</v>
      </c>
      <c r="P752" s="15">
        <f>IFERROR(VLOOKUP(K752,Formula!$A$11:$B$20,2,FALSE),Formula!$C$26)</f>
        <v>0.9</v>
      </c>
      <c r="Q752" s="15">
        <f>IF(AND(ISNUMBER(J752),J752&gt;0),1/J752,IF(AND(ISNUMBER(I752),I752&gt;0),SQRT(MIN(I752,Formula!$C$27))/Formula!$C$24,1/Formula!$C$25))</f>
        <v>0.4166666667</v>
      </c>
      <c r="R752" s="15">
        <f t="shared" si="2"/>
        <v>0.375</v>
      </c>
      <c r="S752" s="15">
        <f>IF(H752&lt;&gt;"",EXP(-Formula!$C$28*(EOMONTH(H752,0)-H752)),EXP(-Formula!$C$28*(EOMONTH(D752,0)-D752)))</f>
        <v>0.4723665527</v>
      </c>
      <c r="T752" s="15">
        <f t="shared" si="3"/>
        <v>0.3015113446</v>
      </c>
      <c r="U752" s="15">
        <f t="shared" si="4"/>
        <v>0.05340895292</v>
      </c>
      <c r="V752" s="16">
        <f>IF(AND(L752="Among all respondents",NOT(OR(K752="Online poll in Telegram channel",K752="Website online poll",K752="CAWI (Computer Assisted Web Interviewing)"))),1/(1-MIN(MAX(Formula!$C$33+(YEAR(D752)-Formula!$C$34)/(Formula!$C$35-Formula!$C$34)*(Formula!$C$32-Formula!$C$33),Formula!$C$33),Formula!$C$32)),1)</f>
        <v>1</v>
      </c>
      <c r="W752" s="17">
        <f t="shared" si="5"/>
        <v>6.5</v>
      </c>
    </row>
    <row r="753" ht="15.75" customHeight="1">
      <c r="A753" s="8" t="s">
        <v>1377</v>
      </c>
      <c r="B753" s="7" t="s">
        <v>1369</v>
      </c>
      <c r="C753" s="13" t="s">
        <v>1370</v>
      </c>
      <c r="D753" s="7" t="s">
        <v>139</v>
      </c>
      <c r="E753" s="8" t="s">
        <v>72</v>
      </c>
      <c r="F753" s="8" t="s">
        <v>318</v>
      </c>
      <c r="G753" s="7" t="s">
        <v>1371</v>
      </c>
      <c r="H753" s="7" t="s">
        <v>1355</v>
      </c>
      <c r="I753" s="8">
        <v>2000.0</v>
      </c>
      <c r="J753" s="8">
        <v>2.4</v>
      </c>
      <c r="K753" s="8" t="s">
        <v>321</v>
      </c>
      <c r="L753" s="8" t="s">
        <v>322</v>
      </c>
      <c r="M753" s="8" t="s">
        <v>828</v>
      </c>
      <c r="N753" s="8">
        <v>6.1</v>
      </c>
      <c r="O753" s="14">
        <f t="shared" si="1"/>
        <v>44593</v>
      </c>
      <c r="P753" s="15">
        <f>IFERROR(VLOOKUP(K753,Formula!$A$11:$B$20,2,FALSE),Formula!$C$26)</f>
        <v>0.9</v>
      </c>
      <c r="Q753" s="15">
        <f>IF(AND(ISNUMBER(J753),J753&gt;0),1/J753,IF(AND(ISNUMBER(I753),I753&gt;0),SQRT(MIN(I753,Formula!$C$27))/Formula!$C$24,1/Formula!$C$25))</f>
        <v>0.4166666667</v>
      </c>
      <c r="R753" s="15">
        <f t="shared" si="2"/>
        <v>0.375</v>
      </c>
      <c r="S753" s="15">
        <f>IF(H753&lt;&gt;"",EXP(-Formula!$C$28*(EOMONTH(H753,0)-H753)),EXP(-Formula!$C$28*(EOMONTH(D753,0)-D753)))</f>
        <v>0.4723665527</v>
      </c>
      <c r="T753" s="15">
        <f t="shared" si="3"/>
        <v>0.3015113446</v>
      </c>
      <c r="U753" s="15">
        <f t="shared" si="4"/>
        <v>0.05340895292</v>
      </c>
      <c r="V753" s="16">
        <f>IF(AND(L753="Among all respondents",NOT(OR(K753="Online poll in Telegram channel",K753="Website online poll",K753="CAWI (Computer Assisted Web Interviewing)"))),1/(1-MIN(MAX(Formula!$C$33+(YEAR(D753)-Formula!$C$34)/(Formula!$C$35-Formula!$C$34)*(Formula!$C$32-Formula!$C$33),Formula!$C$33),Formula!$C$32)),1)</f>
        <v>1</v>
      </c>
      <c r="W753" s="17">
        <f t="shared" si="5"/>
        <v>6.1</v>
      </c>
    </row>
    <row r="754" ht="15.75" customHeight="1">
      <c r="A754" s="8" t="s">
        <v>1378</v>
      </c>
      <c r="B754" s="7" t="s">
        <v>1369</v>
      </c>
      <c r="C754" s="13" t="s">
        <v>1370</v>
      </c>
      <c r="D754" s="7" t="s">
        <v>139</v>
      </c>
      <c r="E754" s="8" t="s">
        <v>72</v>
      </c>
      <c r="F754" s="8" t="s">
        <v>318</v>
      </c>
      <c r="G754" s="7" t="s">
        <v>1371</v>
      </c>
      <c r="H754" s="7" t="s">
        <v>1355</v>
      </c>
      <c r="I754" s="8">
        <v>2000.0</v>
      </c>
      <c r="J754" s="8">
        <v>2.4</v>
      </c>
      <c r="K754" s="8" t="s">
        <v>321</v>
      </c>
      <c r="L754" s="8" t="s">
        <v>322</v>
      </c>
      <c r="M754" s="8" t="s">
        <v>386</v>
      </c>
      <c r="N754" s="8">
        <v>4.8</v>
      </c>
      <c r="O754" s="14">
        <f t="shared" si="1"/>
        <v>44593</v>
      </c>
      <c r="P754" s="15">
        <f>IFERROR(VLOOKUP(K754,Formula!$A$11:$B$20,2,FALSE),Formula!$C$26)</f>
        <v>0.9</v>
      </c>
      <c r="Q754" s="15">
        <f>IF(AND(ISNUMBER(J754),J754&gt;0),1/J754,IF(AND(ISNUMBER(I754),I754&gt;0),SQRT(MIN(I754,Formula!$C$27))/Formula!$C$24,1/Formula!$C$25))</f>
        <v>0.4166666667</v>
      </c>
      <c r="R754" s="15">
        <f t="shared" si="2"/>
        <v>0.375</v>
      </c>
      <c r="S754" s="15">
        <f>IF(H754&lt;&gt;"",EXP(-Formula!$C$28*(EOMONTH(H754,0)-H754)),EXP(-Formula!$C$28*(EOMONTH(D754,0)-D754)))</f>
        <v>0.4723665527</v>
      </c>
      <c r="T754" s="15">
        <f t="shared" si="3"/>
        <v>0.3015113446</v>
      </c>
      <c r="U754" s="15">
        <f t="shared" si="4"/>
        <v>0.05340895292</v>
      </c>
      <c r="V754" s="16">
        <f>IF(AND(L754="Among all respondents",NOT(OR(K754="Online poll in Telegram channel",K754="Website online poll",K754="CAWI (Computer Assisted Web Interviewing)"))),1/(1-MIN(MAX(Formula!$C$33+(YEAR(D754)-Formula!$C$34)/(Formula!$C$35-Formula!$C$34)*(Formula!$C$32-Formula!$C$33),Formula!$C$33),Formula!$C$32)),1)</f>
        <v>1</v>
      </c>
      <c r="W754" s="17">
        <f t="shared" si="5"/>
        <v>4.8</v>
      </c>
    </row>
    <row r="755" ht="15.75" customHeight="1">
      <c r="A755" s="8" t="s">
        <v>1379</v>
      </c>
      <c r="B755" s="7" t="s">
        <v>1369</v>
      </c>
      <c r="C755" s="13" t="s">
        <v>1370</v>
      </c>
      <c r="D755" s="7" t="s">
        <v>139</v>
      </c>
      <c r="E755" s="8" t="s">
        <v>72</v>
      </c>
      <c r="F755" s="8" t="s">
        <v>318</v>
      </c>
      <c r="G755" s="7" t="s">
        <v>1371</v>
      </c>
      <c r="H755" s="7" t="s">
        <v>1355</v>
      </c>
      <c r="I755" s="8">
        <v>2000.0</v>
      </c>
      <c r="J755" s="8">
        <v>2.4</v>
      </c>
      <c r="K755" s="8" t="s">
        <v>321</v>
      </c>
      <c r="L755" s="8" t="s">
        <v>322</v>
      </c>
      <c r="M755" s="8" t="s">
        <v>388</v>
      </c>
      <c r="N755" s="8">
        <v>3.9</v>
      </c>
      <c r="O755" s="14">
        <f t="shared" si="1"/>
        <v>44593</v>
      </c>
      <c r="P755" s="15">
        <f>IFERROR(VLOOKUP(K755,Formula!$A$11:$B$20,2,FALSE),Formula!$C$26)</f>
        <v>0.9</v>
      </c>
      <c r="Q755" s="15">
        <f>IF(AND(ISNUMBER(J755),J755&gt;0),1/J755,IF(AND(ISNUMBER(I755),I755&gt;0),SQRT(MIN(I755,Formula!$C$27))/Formula!$C$24,1/Formula!$C$25))</f>
        <v>0.4166666667</v>
      </c>
      <c r="R755" s="15">
        <f t="shared" si="2"/>
        <v>0.375</v>
      </c>
      <c r="S755" s="15">
        <f>IF(H755&lt;&gt;"",EXP(-Formula!$C$28*(EOMONTH(H755,0)-H755)),EXP(-Formula!$C$28*(EOMONTH(D755,0)-D755)))</f>
        <v>0.4723665527</v>
      </c>
      <c r="T755" s="15">
        <f t="shared" si="3"/>
        <v>0.3015113446</v>
      </c>
      <c r="U755" s="15">
        <f t="shared" si="4"/>
        <v>0.05340895292</v>
      </c>
      <c r="V755" s="16">
        <f>IF(AND(L755="Among all respondents",NOT(OR(K755="Online poll in Telegram channel",K755="Website online poll",K755="CAWI (Computer Assisted Web Interviewing)"))),1/(1-MIN(MAX(Formula!$C$33+(YEAR(D755)-Formula!$C$34)/(Formula!$C$35-Formula!$C$34)*(Formula!$C$32-Formula!$C$33),Formula!$C$33),Formula!$C$32)),1)</f>
        <v>1</v>
      </c>
      <c r="W755" s="17">
        <f t="shared" si="5"/>
        <v>3.9</v>
      </c>
    </row>
    <row r="756" ht="15.75" customHeight="1">
      <c r="A756" s="8" t="s">
        <v>1380</v>
      </c>
      <c r="B756" s="7" t="s">
        <v>1369</v>
      </c>
      <c r="C756" s="13" t="s">
        <v>1370</v>
      </c>
      <c r="D756" s="7" t="s">
        <v>139</v>
      </c>
      <c r="E756" s="8" t="s">
        <v>72</v>
      </c>
      <c r="F756" s="8" t="s">
        <v>318</v>
      </c>
      <c r="G756" s="7" t="s">
        <v>1371</v>
      </c>
      <c r="H756" s="7" t="s">
        <v>1355</v>
      </c>
      <c r="I756" s="8">
        <v>2000.0</v>
      </c>
      <c r="J756" s="8">
        <v>2.4</v>
      </c>
      <c r="K756" s="8" t="s">
        <v>321</v>
      </c>
      <c r="L756" s="8" t="s">
        <v>322</v>
      </c>
      <c r="M756" s="8" t="s">
        <v>740</v>
      </c>
      <c r="N756" s="8">
        <v>2.0</v>
      </c>
      <c r="O756" s="14">
        <f t="shared" si="1"/>
        <v>44593</v>
      </c>
      <c r="P756" s="15">
        <f>IFERROR(VLOOKUP(K756,Formula!$A$11:$B$20,2,FALSE),Formula!$C$26)</f>
        <v>0.9</v>
      </c>
      <c r="Q756" s="15">
        <f>IF(AND(ISNUMBER(J756),J756&gt;0),1/J756,IF(AND(ISNUMBER(I756),I756&gt;0),SQRT(MIN(I756,Formula!$C$27))/Formula!$C$24,1/Formula!$C$25))</f>
        <v>0.4166666667</v>
      </c>
      <c r="R756" s="15">
        <f t="shared" si="2"/>
        <v>0.375</v>
      </c>
      <c r="S756" s="15">
        <f>IF(H756&lt;&gt;"",EXP(-Formula!$C$28*(EOMONTH(H756,0)-H756)),EXP(-Formula!$C$28*(EOMONTH(D756,0)-D756)))</f>
        <v>0.4723665527</v>
      </c>
      <c r="T756" s="15">
        <f t="shared" si="3"/>
        <v>0.3015113446</v>
      </c>
      <c r="U756" s="15">
        <f t="shared" si="4"/>
        <v>0.05340895292</v>
      </c>
      <c r="V756" s="16">
        <f>IF(AND(L756="Among all respondents",NOT(OR(K756="Online poll in Telegram channel",K756="Website online poll",K756="CAWI (Computer Assisted Web Interviewing)"))),1/(1-MIN(MAX(Formula!$C$33+(YEAR(D756)-Formula!$C$34)/(Formula!$C$35-Formula!$C$34)*(Formula!$C$32-Formula!$C$33),Formula!$C$33),Formula!$C$32)),1)</f>
        <v>1</v>
      </c>
      <c r="W756" s="17">
        <f t="shared" si="5"/>
        <v>2</v>
      </c>
    </row>
    <row r="757" ht="15.75" customHeight="1">
      <c r="A757" s="8" t="s">
        <v>1381</v>
      </c>
      <c r="B757" s="7" t="s">
        <v>1369</v>
      </c>
      <c r="C757" s="13" t="s">
        <v>1370</v>
      </c>
      <c r="D757" s="7" t="s">
        <v>139</v>
      </c>
      <c r="E757" s="8" t="s">
        <v>72</v>
      </c>
      <c r="F757" s="8" t="s">
        <v>318</v>
      </c>
      <c r="G757" s="7" t="s">
        <v>1371</v>
      </c>
      <c r="H757" s="7" t="s">
        <v>1355</v>
      </c>
      <c r="I757" s="8">
        <v>2000.0</v>
      </c>
      <c r="J757" s="8">
        <v>2.4</v>
      </c>
      <c r="K757" s="8" t="s">
        <v>321</v>
      </c>
      <c r="L757" s="8" t="s">
        <v>322</v>
      </c>
      <c r="M757" s="8" t="s">
        <v>1171</v>
      </c>
      <c r="N757" s="8">
        <v>0.7</v>
      </c>
      <c r="O757" s="14">
        <f t="shared" si="1"/>
        <v>44593</v>
      </c>
      <c r="P757" s="15">
        <f>IFERROR(VLOOKUP(K757,Formula!$A$11:$B$20,2,FALSE),Formula!$C$26)</f>
        <v>0.9</v>
      </c>
      <c r="Q757" s="15">
        <f>IF(AND(ISNUMBER(J757),J757&gt;0),1/J757,IF(AND(ISNUMBER(I757),I757&gt;0),SQRT(MIN(I757,Formula!$C$27))/Formula!$C$24,1/Formula!$C$25))</f>
        <v>0.4166666667</v>
      </c>
      <c r="R757" s="15">
        <f t="shared" si="2"/>
        <v>0.375</v>
      </c>
      <c r="S757" s="15">
        <f>IF(H757&lt;&gt;"",EXP(-Formula!$C$28*(EOMONTH(H757,0)-H757)),EXP(-Formula!$C$28*(EOMONTH(D757,0)-D757)))</f>
        <v>0.4723665527</v>
      </c>
      <c r="T757" s="15">
        <f t="shared" si="3"/>
        <v>0.3015113446</v>
      </c>
      <c r="U757" s="15">
        <f t="shared" si="4"/>
        <v>0.05340895292</v>
      </c>
      <c r="V757" s="16">
        <f>IF(AND(L757="Among all respondents",NOT(OR(K757="Online poll in Telegram channel",K757="Website online poll",K757="CAWI (Computer Assisted Web Interviewing)"))),1/(1-MIN(MAX(Formula!$C$33+(YEAR(D757)-Formula!$C$34)/(Formula!$C$35-Formula!$C$34)*(Formula!$C$32-Formula!$C$33),Formula!$C$33),Formula!$C$32)),1)</f>
        <v>1</v>
      </c>
      <c r="W757" s="17">
        <f t="shared" si="5"/>
        <v>0.7</v>
      </c>
    </row>
    <row r="758" ht="15.75" customHeight="1">
      <c r="A758" s="8" t="s">
        <v>1382</v>
      </c>
      <c r="B758" s="7" t="s">
        <v>1383</v>
      </c>
      <c r="C758" s="13" t="s">
        <v>1384</v>
      </c>
      <c r="D758" s="7" t="s">
        <v>140</v>
      </c>
      <c r="E758" s="8" t="s">
        <v>20</v>
      </c>
      <c r="F758" s="8" t="s">
        <v>318</v>
      </c>
      <c r="G758" s="7" t="s">
        <v>1385</v>
      </c>
      <c r="H758" s="7" t="s">
        <v>1283</v>
      </c>
      <c r="I758" s="8">
        <v>1200.0</v>
      </c>
      <c r="J758" s="8">
        <v>2.9</v>
      </c>
      <c r="K758" s="8" t="s">
        <v>583</v>
      </c>
      <c r="L758" s="8" t="s">
        <v>322</v>
      </c>
      <c r="M758" s="8" t="s">
        <v>323</v>
      </c>
      <c r="N758" s="8">
        <v>21.8</v>
      </c>
      <c r="O758" s="14">
        <f t="shared" si="1"/>
        <v>44593</v>
      </c>
      <c r="P758" s="15">
        <f>IFERROR(VLOOKUP(K758,Formula!$A$11:$B$20,2,FALSE),Formula!$C$26)</f>
        <v>0.95</v>
      </c>
      <c r="Q758" s="15">
        <f>IF(AND(ISNUMBER(J758),J758&gt;0),1/J758,IF(AND(ISNUMBER(I758),I758&gt;0),SQRT(MIN(I758,Formula!$C$27))/Formula!$C$24,1/Formula!$C$25))</f>
        <v>0.3448275862</v>
      </c>
      <c r="R758" s="15">
        <f t="shared" si="2"/>
        <v>0.3275862069</v>
      </c>
      <c r="S758" s="15">
        <f>IF(H758&lt;&gt;"",EXP(-Formula!$C$28*(EOMONTH(H758,0)-H758)),EXP(-Formula!$C$28*(EOMONTH(D758,0)-D758)))</f>
        <v>0.3328710837</v>
      </c>
      <c r="T758" s="15">
        <f t="shared" si="3"/>
        <v>0.2672612419</v>
      </c>
      <c r="U758" s="15">
        <f t="shared" si="4"/>
        <v>0.02914322837</v>
      </c>
      <c r="V758" s="16">
        <f>IF(AND(L758="Among all respondents",NOT(OR(K758="Online poll in Telegram channel",K758="Website online poll",K758="CAWI (Computer Assisted Web Interviewing)"))),1/(1-MIN(MAX(Formula!$C$33+(YEAR(D758)-Formula!$C$34)/(Formula!$C$35-Formula!$C$34)*(Formula!$C$32-Formula!$C$33),Formula!$C$33),Formula!$C$32)),1)</f>
        <v>1</v>
      </c>
      <c r="W758" s="17">
        <f t="shared" si="5"/>
        <v>21.8</v>
      </c>
    </row>
    <row r="759" ht="15.75" customHeight="1">
      <c r="A759" s="8" t="s">
        <v>1386</v>
      </c>
      <c r="B759" s="7" t="s">
        <v>1383</v>
      </c>
      <c r="C759" s="13" t="s">
        <v>1384</v>
      </c>
      <c r="D759" s="7" t="s">
        <v>140</v>
      </c>
      <c r="E759" s="8" t="s">
        <v>20</v>
      </c>
      <c r="F759" s="8" t="s">
        <v>318</v>
      </c>
      <c r="G759" s="7" t="s">
        <v>1385</v>
      </c>
      <c r="H759" s="7" t="s">
        <v>1283</v>
      </c>
      <c r="I759" s="8">
        <v>1200.0</v>
      </c>
      <c r="J759" s="8">
        <v>2.9</v>
      </c>
      <c r="K759" s="8" t="s">
        <v>583</v>
      </c>
      <c r="L759" s="8" t="s">
        <v>322</v>
      </c>
      <c r="M759" s="8" t="s">
        <v>329</v>
      </c>
      <c r="N759" s="8">
        <v>19.1</v>
      </c>
      <c r="O759" s="14">
        <f t="shared" si="1"/>
        <v>44593</v>
      </c>
      <c r="P759" s="15">
        <f>IFERROR(VLOOKUP(K759,Formula!$A$11:$B$20,2,FALSE),Formula!$C$26)</f>
        <v>0.95</v>
      </c>
      <c r="Q759" s="15">
        <f>IF(AND(ISNUMBER(J759),J759&gt;0),1/J759,IF(AND(ISNUMBER(I759),I759&gt;0),SQRT(MIN(I759,Formula!$C$27))/Formula!$C$24,1/Formula!$C$25))</f>
        <v>0.3448275862</v>
      </c>
      <c r="R759" s="15">
        <f t="shared" si="2"/>
        <v>0.3275862069</v>
      </c>
      <c r="S759" s="15">
        <f>IF(H759&lt;&gt;"",EXP(-Formula!$C$28*(EOMONTH(H759,0)-H759)),EXP(-Formula!$C$28*(EOMONTH(D759,0)-D759)))</f>
        <v>0.3328710837</v>
      </c>
      <c r="T759" s="15">
        <f t="shared" si="3"/>
        <v>0.2672612419</v>
      </c>
      <c r="U759" s="15">
        <f t="shared" si="4"/>
        <v>0.02914322837</v>
      </c>
      <c r="V759" s="16">
        <f>IF(AND(L759="Among all respondents",NOT(OR(K759="Online poll in Telegram channel",K759="Website online poll",K759="CAWI (Computer Assisted Web Interviewing)"))),1/(1-MIN(MAX(Formula!$C$33+(YEAR(D759)-Formula!$C$34)/(Formula!$C$35-Formula!$C$34)*(Formula!$C$32-Formula!$C$33),Formula!$C$33),Formula!$C$32)),1)</f>
        <v>1</v>
      </c>
      <c r="W759" s="17">
        <f t="shared" si="5"/>
        <v>19.1</v>
      </c>
    </row>
    <row r="760" ht="15.75" customHeight="1">
      <c r="A760" s="8" t="s">
        <v>1387</v>
      </c>
      <c r="B760" s="7" t="s">
        <v>1383</v>
      </c>
      <c r="C760" s="13" t="s">
        <v>1384</v>
      </c>
      <c r="D760" s="7" t="s">
        <v>140</v>
      </c>
      <c r="E760" s="8" t="s">
        <v>20</v>
      </c>
      <c r="F760" s="8" t="s">
        <v>318</v>
      </c>
      <c r="G760" s="7" t="s">
        <v>1385</v>
      </c>
      <c r="H760" s="7" t="s">
        <v>1283</v>
      </c>
      <c r="I760" s="8">
        <v>1200.0</v>
      </c>
      <c r="J760" s="8">
        <v>2.9</v>
      </c>
      <c r="K760" s="8" t="s">
        <v>583</v>
      </c>
      <c r="L760" s="8" t="s">
        <v>322</v>
      </c>
      <c r="M760" s="8" t="s">
        <v>365</v>
      </c>
      <c r="N760" s="8">
        <v>8.4</v>
      </c>
      <c r="O760" s="14">
        <f t="shared" si="1"/>
        <v>44593</v>
      </c>
      <c r="P760" s="15">
        <f>IFERROR(VLOOKUP(K760,Formula!$A$11:$B$20,2,FALSE),Formula!$C$26)</f>
        <v>0.95</v>
      </c>
      <c r="Q760" s="15">
        <f>IF(AND(ISNUMBER(J760),J760&gt;0),1/J760,IF(AND(ISNUMBER(I760),I760&gt;0),SQRT(MIN(I760,Formula!$C$27))/Formula!$C$24,1/Formula!$C$25))</f>
        <v>0.3448275862</v>
      </c>
      <c r="R760" s="15">
        <f t="shared" si="2"/>
        <v>0.3275862069</v>
      </c>
      <c r="S760" s="15">
        <f>IF(H760&lt;&gt;"",EXP(-Formula!$C$28*(EOMONTH(H760,0)-H760)),EXP(-Formula!$C$28*(EOMONTH(D760,0)-D760)))</f>
        <v>0.3328710837</v>
      </c>
      <c r="T760" s="15">
        <f t="shared" si="3"/>
        <v>0.2672612419</v>
      </c>
      <c r="U760" s="15">
        <f t="shared" si="4"/>
        <v>0.02914322837</v>
      </c>
      <c r="V760" s="16">
        <f>IF(AND(L760="Among all respondents",NOT(OR(K760="Online poll in Telegram channel",K760="Website online poll",K760="CAWI (Computer Assisted Web Interviewing)"))),1/(1-MIN(MAX(Formula!$C$33+(YEAR(D760)-Formula!$C$34)/(Formula!$C$35-Formula!$C$34)*(Formula!$C$32-Formula!$C$33),Formula!$C$33),Formula!$C$32)),1)</f>
        <v>1</v>
      </c>
      <c r="W760" s="17">
        <f t="shared" si="5"/>
        <v>8.4</v>
      </c>
    </row>
    <row r="761" ht="15.75" customHeight="1">
      <c r="A761" s="8" t="s">
        <v>1388</v>
      </c>
      <c r="B761" s="7" t="s">
        <v>1383</v>
      </c>
      <c r="C761" s="13" t="s">
        <v>1384</v>
      </c>
      <c r="D761" s="7" t="s">
        <v>140</v>
      </c>
      <c r="E761" s="8" t="s">
        <v>20</v>
      </c>
      <c r="F761" s="8" t="s">
        <v>318</v>
      </c>
      <c r="G761" s="7" t="s">
        <v>1385</v>
      </c>
      <c r="H761" s="7" t="s">
        <v>1283</v>
      </c>
      <c r="I761" s="8">
        <v>1200.0</v>
      </c>
      <c r="J761" s="8">
        <v>2.9</v>
      </c>
      <c r="K761" s="8" t="s">
        <v>583</v>
      </c>
      <c r="L761" s="8" t="s">
        <v>322</v>
      </c>
      <c r="M761" s="8" t="s">
        <v>337</v>
      </c>
      <c r="N761" s="8">
        <v>8.2</v>
      </c>
      <c r="O761" s="14">
        <f t="shared" si="1"/>
        <v>44593</v>
      </c>
      <c r="P761" s="15">
        <f>IFERROR(VLOOKUP(K761,Formula!$A$11:$B$20,2,FALSE),Formula!$C$26)</f>
        <v>0.95</v>
      </c>
      <c r="Q761" s="15">
        <f>IF(AND(ISNUMBER(J761),J761&gt;0),1/J761,IF(AND(ISNUMBER(I761),I761&gt;0),SQRT(MIN(I761,Formula!$C$27))/Formula!$C$24,1/Formula!$C$25))</f>
        <v>0.3448275862</v>
      </c>
      <c r="R761" s="15">
        <f t="shared" si="2"/>
        <v>0.3275862069</v>
      </c>
      <c r="S761" s="15">
        <f>IF(H761&lt;&gt;"",EXP(-Formula!$C$28*(EOMONTH(H761,0)-H761)),EXP(-Formula!$C$28*(EOMONTH(D761,0)-D761)))</f>
        <v>0.3328710837</v>
      </c>
      <c r="T761" s="15">
        <f t="shared" si="3"/>
        <v>0.2672612419</v>
      </c>
      <c r="U761" s="15">
        <f t="shared" si="4"/>
        <v>0.02914322837</v>
      </c>
      <c r="V761" s="16">
        <f>IF(AND(L761="Among all respondents",NOT(OR(K761="Online poll in Telegram channel",K761="Website online poll",K761="CAWI (Computer Assisted Web Interviewing)"))),1/(1-MIN(MAX(Formula!$C$33+(YEAR(D761)-Formula!$C$34)/(Formula!$C$35-Formula!$C$34)*(Formula!$C$32-Formula!$C$33),Formula!$C$33),Formula!$C$32)),1)</f>
        <v>1</v>
      </c>
      <c r="W761" s="17">
        <f t="shared" si="5"/>
        <v>8.2</v>
      </c>
    </row>
    <row r="762" ht="15.75" customHeight="1">
      <c r="A762" s="8" t="s">
        <v>1389</v>
      </c>
      <c r="B762" s="7" t="s">
        <v>1383</v>
      </c>
      <c r="C762" s="13" t="s">
        <v>1384</v>
      </c>
      <c r="D762" s="7" t="s">
        <v>140</v>
      </c>
      <c r="E762" s="8" t="s">
        <v>20</v>
      </c>
      <c r="F762" s="8" t="s">
        <v>318</v>
      </c>
      <c r="G762" s="7" t="s">
        <v>1385</v>
      </c>
      <c r="H762" s="7" t="s">
        <v>1283</v>
      </c>
      <c r="I762" s="8">
        <v>1200.0</v>
      </c>
      <c r="J762" s="8">
        <v>2.9</v>
      </c>
      <c r="K762" s="8" t="s">
        <v>583</v>
      </c>
      <c r="L762" s="8" t="s">
        <v>322</v>
      </c>
      <c r="M762" s="8" t="s">
        <v>828</v>
      </c>
      <c r="N762" s="8">
        <v>7.0</v>
      </c>
      <c r="O762" s="14">
        <f t="shared" si="1"/>
        <v>44593</v>
      </c>
      <c r="P762" s="15">
        <f>IFERROR(VLOOKUP(K762,Formula!$A$11:$B$20,2,FALSE),Formula!$C$26)</f>
        <v>0.95</v>
      </c>
      <c r="Q762" s="15">
        <f>IF(AND(ISNUMBER(J762),J762&gt;0),1/J762,IF(AND(ISNUMBER(I762),I762&gt;0),SQRT(MIN(I762,Formula!$C$27))/Formula!$C$24,1/Formula!$C$25))</f>
        <v>0.3448275862</v>
      </c>
      <c r="R762" s="15">
        <f t="shared" si="2"/>
        <v>0.3275862069</v>
      </c>
      <c r="S762" s="15">
        <f>IF(H762&lt;&gt;"",EXP(-Formula!$C$28*(EOMONTH(H762,0)-H762)),EXP(-Formula!$C$28*(EOMONTH(D762,0)-D762)))</f>
        <v>0.3328710837</v>
      </c>
      <c r="T762" s="15">
        <f t="shared" si="3"/>
        <v>0.2672612419</v>
      </c>
      <c r="U762" s="15">
        <f t="shared" si="4"/>
        <v>0.02914322837</v>
      </c>
      <c r="V762" s="16">
        <f>IF(AND(L762="Among all respondents",NOT(OR(K762="Online poll in Telegram channel",K762="Website online poll",K762="CAWI (Computer Assisted Web Interviewing)"))),1/(1-MIN(MAX(Formula!$C$33+(YEAR(D762)-Formula!$C$34)/(Formula!$C$35-Formula!$C$34)*(Formula!$C$32-Formula!$C$33),Formula!$C$33),Formula!$C$32)),1)</f>
        <v>1</v>
      </c>
      <c r="W762" s="17">
        <f t="shared" si="5"/>
        <v>7</v>
      </c>
    </row>
    <row r="763" ht="15.75" customHeight="1">
      <c r="A763" s="8" t="s">
        <v>1390</v>
      </c>
      <c r="B763" s="7" t="s">
        <v>1383</v>
      </c>
      <c r="C763" s="13" t="s">
        <v>1384</v>
      </c>
      <c r="D763" s="7" t="s">
        <v>140</v>
      </c>
      <c r="E763" s="8" t="s">
        <v>20</v>
      </c>
      <c r="F763" s="8" t="s">
        <v>318</v>
      </c>
      <c r="G763" s="7" t="s">
        <v>1385</v>
      </c>
      <c r="H763" s="7" t="s">
        <v>1283</v>
      </c>
      <c r="I763" s="8">
        <v>1200.0</v>
      </c>
      <c r="J763" s="8">
        <v>2.9</v>
      </c>
      <c r="K763" s="8" t="s">
        <v>583</v>
      </c>
      <c r="L763" s="8" t="s">
        <v>322</v>
      </c>
      <c r="M763" s="8" t="s">
        <v>333</v>
      </c>
      <c r="N763" s="8">
        <v>6.7</v>
      </c>
      <c r="O763" s="14">
        <f t="shared" si="1"/>
        <v>44593</v>
      </c>
      <c r="P763" s="15">
        <f>IFERROR(VLOOKUP(K763,Formula!$A$11:$B$20,2,FALSE),Formula!$C$26)</f>
        <v>0.95</v>
      </c>
      <c r="Q763" s="15">
        <f>IF(AND(ISNUMBER(J763),J763&gt;0),1/J763,IF(AND(ISNUMBER(I763),I763&gt;0),SQRT(MIN(I763,Formula!$C$27))/Formula!$C$24,1/Formula!$C$25))</f>
        <v>0.3448275862</v>
      </c>
      <c r="R763" s="15">
        <f t="shared" si="2"/>
        <v>0.3275862069</v>
      </c>
      <c r="S763" s="15">
        <f>IF(H763&lt;&gt;"",EXP(-Formula!$C$28*(EOMONTH(H763,0)-H763)),EXP(-Formula!$C$28*(EOMONTH(D763,0)-D763)))</f>
        <v>0.3328710837</v>
      </c>
      <c r="T763" s="15">
        <f t="shared" si="3"/>
        <v>0.2672612419</v>
      </c>
      <c r="U763" s="15">
        <f t="shared" si="4"/>
        <v>0.02914322837</v>
      </c>
      <c r="V763" s="16">
        <f>IF(AND(L763="Among all respondents",NOT(OR(K763="Online poll in Telegram channel",K763="Website online poll",K763="CAWI (Computer Assisted Web Interviewing)"))),1/(1-MIN(MAX(Formula!$C$33+(YEAR(D763)-Formula!$C$34)/(Formula!$C$35-Formula!$C$34)*(Formula!$C$32-Formula!$C$33),Formula!$C$33),Formula!$C$32)),1)</f>
        <v>1</v>
      </c>
      <c r="W763" s="17">
        <f t="shared" si="5"/>
        <v>6.7</v>
      </c>
    </row>
    <row r="764" ht="15.75" customHeight="1">
      <c r="A764" s="8" t="s">
        <v>1391</v>
      </c>
      <c r="B764" s="7" t="s">
        <v>1383</v>
      </c>
      <c r="C764" s="13" t="s">
        <v>1384</v>
      </c>
      <c r="D764" s="7" t="s">
        <v>140</v>
      </c>
      <c r="E764" s="8" t="s">
        <v>20</v>
      </c>
      <c r="F764" s="8" t="s">
        <v>318</v>
      </c>
      <c r="G764" s="7" t="s">
        <v>1385</v>
      </c>
      <c r="H764" s="7" t="s">
        <v>1283</v>
      </c>
      <c r="I764" s="8">
        <v>1200.0</v>
      </c>
      <c r="J764" s="8">
        <v>2.9</v>
      </c>
      <c r="K764" s="8" t="s">
        <v>583</v>
      </c>
      <c r="L764" s="8" t="s">
        <v>322</v>
      </c>
      <c r="M764" s="8" t="s">
        <v>1153</v>
      </c>
      <c r="N764" s="8">
        <v>5.5</v>
      </c>
      <c r="O764" s="14">
        <f t="shared" si="1"/>
        <v>44593</v>
      </c>
      <c r="P764" s="15">
        <f>IFERROR(VLOOKUP(K764,Formula!$A$11:$B$20,2,FALSE),Formula!$C$26)</f>
        <v>0.95</v>
      </c>
      <c r="Q764" s="15">
        <f>IF(AND(ISNUMBER(J764),J764&gt;0),1/J764,IF(AND(ISNUMBER(I764),I764&gt;0),SQRT(MIN(I764,Formula!$C$27))/Formula!$C$24,1/Formula!$C$25))</f>
        <v>0.3448275862</v>
      </c>
      <c r="R764" s="15">
        <f t="shared" si="2"/>
        <v>0.3275862069</v>
      </c>
      <c r="S764" s="15">
        <f>IF(H764&lt;&gt;"",EXP(-Formula!$C$28*(EOMONTH(H764,0)-H764)),EXP(-Formula!$C$28*(EOMONTH(D764,0)-D764)))</f>
        <v>0.3328710837</v>
      </c>
      <c r="T764" s="15">
        <f t="shared" si="3"/>
        <v>0.2672612419</v>
      </c>
      <c r="U764" s="15">
        <f t="shared" si="4"/>
        <v>0.02914322837</v>
      </c>
      <c r="V764" s="16">
        <f>IF(AND(L764="Among all respondents",NOT(OR(K764="Online poll in Telegram channel",K764="Website online poll",K764="CAWI (Computer Assisted Web Interviewing)"))),1/(1-MIN(MAX(Formula!$C$33+(YEAR(D764)-Formula!$C$34)/(Formula!$C$35-Formula!$C$34)*(Formula!$C$32-Formula!$C$33),Formula!$C$33),Formula!$C$32)),1)</f>
        <v>1</v>
      </c>
      <c r="W764" s="17">
        <f t="shared" si="5"/>
        <v>5.5</v>
      </c>
    </row>
    <row r="765" ht="15.75" customHeight="1">
      <c r="A765" s="8" t="s">
        <v>1392</v>
      </c>
      <c r="B765" s="7" t="s">
        <v>1383</v>
      </c>
      <c r="C765" s="13" t="s">
        <v>1384</v>
      </c>
      <c r="D765" s="7" t="s">
        <v>140</v>
      </c>
      <c r="E765" s="8" t="s">
        <v>20</v>
      </c>
      <c r="F765" s="8" t="s">
        <v>318</v>
      </c>
      <c r="G765" s="7" t="s">
        <v>1385</v>
      </c>
      <c r="H765" s="7" t="s">
        <v>1283</v>
      </c>
      <c r="I765" s="8">
        <v>1200.0</v>
      </c>
      <c r="J765" s="8">
        <v>2.9</v>
      </c>
      <c r="K765" s="8" t="s">
        <v>583</v>
      </c>
      <c r="L765" s="8" t="s">
        <v>322</v>
      </c>
      <c r="M765" s="8" t="s">
        <v>339</v>
      </c>
      <c r="N765" s="8">
        <v>4.1</v>
      </c>
      <c r="O765" s="14">
        <f t="shared" si="1"/>
        <v>44593</v>
      </c>
      <c r="P765" s="15">
        <f>IFERROR(VLOOKUP(K765,Formula!$A$11:$B$20,2,FALSE),Formula!$C$26)</f>
        <v>0.95</v>
      </c>
      <c r="Q765" s="15">
        <f>IF(AND(ISNUMBER(J765),J765&gt;0),1/J765,IF(AND(ISNUMBER(I765),I765&gt;0),SQRT(MIN(I765,Formula!$C$27))/Formula!$C$24,1/Formula!$C$25))</f>
        <v>0.3448275862</v>
      </c>
      <c r="R765" s="15">
        <f t="shared" si="2"/>
        <v>0.3275862069</v>
      </c>
      <c r="S765" s="15">
        <f>IF(H765&lt;&gt;"",EXP(-Formula!$C$28*(EOMONTH(H765,0)-H765)),EXP(-Formula!$C$28*(EOMONTH(D765,0)-D765)))</f>
        <v>0.3328710837</v>
      </c>
      <c r="T765" s="15">
        <f t="shared" si="3"/>
        <v>0.2672612419</v>
      </c>
      <c r="U765" s="15">
        <f t="shared" si="4"/>
        <v>0.02914322837</v>
      </c>
      <c r="V765" s="16">
        <f>IF(AND(L765="Among all respondents",NOT(OR(K765="Online poll in Telegram channel",K765="Website online poll",K765="CAWI (Computer Assisted Web Interviewing)"))),1/(1-MIN(MAX(Formula!$C$33+(YEAR(D765)-Formula!$C$34)/(Formula!$C$35-Formula!$C$34)*(Formula!$C$32-Formula!$C$33),Formula!$C$33),Formula!$C$32)),1)</f>
        <v>1</v>
      </c>
      <c r="W765" s="17">
        <f t="shared" si="5"/>
        <v>4.1</v>
      </c>
    </row>
    <row r="766" ht="15.75" customHeight="1">
      <c r="A766" s="8" t="s">
        <v>1393</v>
      </c>
      <c r="B766" s="7" t="s">
        <v>1383</v>
      </c>
      <c r="C766" s="13" t="s">
        <v>1384</v>
      </c>
      <c r="D766" s="7" t="s">
        <v>140</v>
      </c>
      <c r="E766" s="8" t="s">
        <v>20</v>
      </c>
      <c r="F766" s="8" t="s">
        <v>318</v>
      </c>
      <c r="G766" s="7" t="s">
        <v>1385</v>
      </c>
      <c r="H766" s="7" t="s">
        <v>1283</v>
      </c>
      <c r="I766" s="8">
        <v>1200.0</v>
      </c>
      <c r="J766" s="8">
        <v>2.9</v>
      </c>
      <c r="K766" s="8" t="s">
        <v>583</v>
      </c>
      <c r="L766" s="8" t="s">
        <v>322</v>
      </c>
      <c r="M766" s="8" t="s">
        <v>386</v>
      </c>
      <c r="N766" s="8">
        <v>3.8</v>
      </c>
      <c r="O766" s="14">
        <f t="shared" si="1"/>
        <v>44593</v>
      </c>
      <c r="P766" s="15">
        <f>IFERROR(VLOOKUP(K766,Formula!$A$11:$B$20,2,FALSE),Formula!$C$26)</f>
        <v>0.95</v>
      </c>
      <c r="Q766" s="15">
        <f>IF(AND(ISNUMBER(J766),J766&gt;0),1/J766,IF(AND(ISNUMBER(I766),I766&gt;0),SQRT(MIN(I766,Formula!$C$27))/Formula!$C$24,1/Formula!$C$25))</f>
        <v>0.3448275862</v>
      </c>
      <c r="R766" s="15">
        <f t="shared" si="2"/>
        <v>0.3275862069</v>
      </c>
      <c r="S766" s="15">
        <f>IF(H766&lt;&gt;"",EXP(-Formula!$C$28*(EOMONTH(H766,0)-H766)),EXP(-Formula!$C$28*(EOMONTH(D766,0)-D766)))</f>
        <v>0.3328710837</v>
      </c>
      <c r="T766" s="15">
        <f t="shared" si="3"/>
        <v>0.2672612419</v>
      </c>
      <c r="U766" s="15">
        <f t="shared" si="4"/>
        <v>0.02914322837</v>
      </c>
      <c r="V766" s="16">
        <f>IF(AND(L766="Among all respondents",NOT(OR(K766="Online poll in Telegram channel",K766="Website online poll",K766="CAWI (Computer Assisted Web Interviewing)"))),1/(1-MIN(MAX(Formula!$C$33+(YEAR(D766)-Formula!$C$34)/(Formula!$C$35-Formula!$C$34)*(Formula!$C$32-Formula!$C$33),Formula!$C$33),Formula!$C$32)),1)</f>
        <v>1</v>
      </c>
      <c r="W766" s="17">
        <f t="shared" si="5"/>
        <v>3.8</v>
      </c>
    </row>
    <row r="767" ht="15.75" customHeight="1">
      <c r="A767" s="8" t="s">
        <v>1394</v>
      </c>
      <c r="B767" s="7" t="s">
        <v>1383</v>
      </c>
      <c r="C767" s="13" t="s">
        <v>1384</v>
      </c>
      <c r="D767" s="7" t="s">
        <v>140</v>
      </c>
      <c r="E767" s="8" t="s">
        <v>20</v>
      </c>
      <c r="F767" s="8" t="s">
        <v>318</v>
      </c>
      <c r="G767" s="7" t="s">
        <v>1385</v>
      </c>
      <c r="H767" s="7" t="s">
        <v>1283</v>
      </c>
      <c r="I767" s="8">
        <v>1200.0</v>
      </c>
      <c r="J767" s="8">
        <v>2.9</v>
      </c>
      <c r="K767" s="8" t="s">
        <v>583</v>
      </c>
      <c r="L767" s="8" t="s">
        <v>322</v>
      </c>
      <c r="M767" s="8" t="s">
        <v>343</v>
      </c>
      <c r="N767" s="8">
        <v>3.3</v>
      </c>
      <c r="O767" s="14">
        <f t="shared" si="1"/>
        <v>44593</v>
      </c>
      <c r="P767" s="15">
        <f>IFERROR(VLOOKUP(K767,Formula!$A$11:$B$20,2,FALSE),Formula!$C$26)</f>
        <v>0.95</v>
      </c>
      <c r="Q767" s="15">
        <f>IF(AND(ISNUMBER(J767),J767&gt;0),1/J767,IF(AND(ISNUMBER(I767),I767&gt;0),SQRT(MIN(I767,Formula!$C$27))/Formula!$C$24,1/Formula!$C$25))</f>
        <v>0.3448275862</v>
      </c>
      <c r="R767" s="15">
        <f t="shared" si="2"/>
        <v>0.3275862069</v>
      </c>
      <c r="S767" s="15">
        <f>IF(H767&lt;&gt;"",EXP(-Formula!$C$28*(EOMONTH(H767,0)-H767)),EXP(-Formula!$C$28*(EOMONTH(D767,0)-D767)))</f>
        <v>0.3328710837</v>
      </c>
      <c r="T767" s="15">
        <f t="shared" si="3"/>
        <v>0.2672612419</v>
      </c>
      <c r="U767" s="15">
        <f t="shared" si="4"/>
        <v>0.02914322837</v>
      </c>
      <c r="V767" s="16">
        <f>IF(AND(L767="Among all respondents",NOT(OR(K767="Online poll in Telegram channel",K767="Website online poll",K767="CAWI (Computer Assisted Web Interviewing)"))),1/(1-MIN(MAX(Formula!$C$33+(YEAR(D767)-Formula!$C$34)/(Formula!$C$35-Formula!$C$34)*(Formula!$C$32-Formula!$C$33),Formula!$C$33),Formula!$C$32)),1)</f>
        <v>1</v>
      </c>
      <c r="W767" s="17">
        <f t="shared" si="5"/>
        <v>3.3</v>
      </c>
    </row>
    <row r="768" ht="15.75" customHeight="1">
      <c r="A768" s="8" t="s">
        <v>1395</v>
      </c>
      <c r="B768" s="7" t="s">
        <v>1383</v>
      </c>
      <c r="C768" s="13" t="s">
        <v>1384</v>
      </c>
      <c r="D768" s="7" t="s">
        <v>140</v>
      </c>
      <c r="E768" s="8" t="s">
        <v>20</v>
      </c>
      <c r="F768" s="8" t="s">
        <v>318</v>
      </c>
      <c r="G768" s="7" t="s">
        <v>1385</v>
      </c>
      <c r="H768" s="7" t="s">
        <v>1283</v>
      </c>
      <c r="I768" s="8">
        <v>1200.0</v>
      </c>
      <c r="J768" s="8">
        <v>2.9</v>
      </c>
      <c r="K768" s="8" t="s">
        <v>583</v>
      </c>
      <c r="L768" s="8" t="s">
        <v>322</v>
      </c>
      <c r="M768" s="8" t="s">
        <v>838</v>
      </c>
      <c r="N768" s="8">
        <v>2.7</v>
      </c>
      <c r="O768" s="14">
        <f t="shared" si="1"/>
        <v>44593</v>
      </c>
      <c r="P768" s="15">
        <f>IFERROR(VLOOKUP(K768,Formula!$A$11:$B$20,2,FALSE),Formula!$C$26)</f>
        <v>0.95</v>
      </c>
      <c r="Q768" s="15">
        <f>IF(AND(ISNUMBER(J768),J768&gt;0),1/J768,IF(AND(ISNUMBER(I768),I768&gt;0),SQRT(MIN(I768,Formula!$C$27))/Formula!$C$24,1/Formula!$C$25))</f>
        <v>0.3448275862</v>
      </c>
      <c r="R768" s="15">
        <f t="shared" si="2"/>
        <v>0.3275862069</v>
      </c>
      <c r="S768" s="15">
        <f>IF(H768&lt;&gt;"",EXP(-Formula!$C$28*(EOMONTH(H768,0)-H768)),EXP(-Formula!$C$28*(EOMONTH(D768,0)-D768)))</f>
        <v>0.3328710837</v>
      </c>
      <c r="T768" s="15">
        <f t="shared" si="3"/>
        <v>0.2672612419</v>
      </c>
      <c r="U768" s="15">
        <f t="shared" si="4"/>
        <v>0.02914322837</v>
      </c>
      <c r="V768" s="16">
        <f>IF(AND(L768="Among all respondents",NOT(OR(K768="Online poll in Telegram channel",K768="Website online poll",K768="CAWI (Computer Assisted Web Interviewing)"))),1/(1-MIN(MAX(Formula!$C$33+(YEAR(D768)-Formula!$C$34)/(Formula!$C$35-Formula!$C$34)*(Formula!$C$32-Formula!$C$33),Formula!$C$33),Formula!$C$32)),1)</f>
        <v>1</v>
      </c>
      <c r="W768" s="17">
        <f t="shared" si="5"/>
        <v>2.7</v>
      </c>
    </row>
    <row r="769" ht="15.75" customHeight="1">
      <c r="A769" s="8" t="s">
        <v>1396</v>
      </c>
      <c r="B769" s="7" t="s">
        <v>1383</v>
      </c>
      <c r="C769" s="13" t="s">
        <v>1384</v>
      </c>
      <c r="D769" s="7" t="s">
        <v>140</v>
      </c>
      <c r="E769" s="8" t="s">
        <v>20</v>
      </c>
      <c r="F769" s="8" t="s">
        <v>318</v>
      </c>
      <c r="G769" s="7" t="s">
        <v>1385</v>
      </c>
      <c r="H769" s="7" t="s">
        <v>1283</v>
      </c>
      <c r="I769" s="8">
        <v>1200.0</v>
      </c>
      <c r="J769" s="8">
        <v>2.9</v>
      </c>
      <c r="K769" s="8" t="s">
        <v>583</v>
      </c>
      <c r="L769" s="8" t="s">
        <v>322</v>
      </c>
      <c r="M769" s="8" t="s">
        <v>388</v>
      </c>
      <c r="N769" s="8">
        <v>1.8</v>
      </c>
      <c r="O769" s="14">
        <f t="shared" si="1"/>
        <v>44593</v>
      </c>
      <c r="P769" s="15">
        <f>IFERROR(VLOOKUP(K769,Formula!$A$11:$B$20,2,FALSE),Formula!$C$26)</f>
        <v>0.95</v>
      </c>
      <c r="Q769" s="15">
        <f>IF(AND(ISNUMBER(J769),J769&gt;0),1/J769,IF(AND(ISNUMBER(I769),I769&gt;0),SQRT(MIN(I769,Formula!$C$27))/Formula!$C$24,1/Formula!$C$25))</f>
        <v>0.3448275862</v>
      </c>
      <c r="R769" s="15">
        <f t="shared" si="2"/>
        <v>0.3275862069</v>
      </c>
      <c r="S769" s="15">
        <f>IF(H769&lt;&gt;"",EXP(-Formula!$C$28*(EOMONTH(H769,0)-H769)),EXP(-Formula!$C$28*(EOMONTH(D769,0)-D769)))</f>
        <v>0.3328710837</v>
      </c>
      <c r="T769" s="15">
        <f t="shared" si="3"/>
        <v>0.2672612419</v>
      </c>
      <c r="U769" s="15">
        <f t="shared" si="4"/>
        <v>0.02914322837</v>
      </c>
      <c r="V769" s="16">
        <f>IF(AND(L769="Among all respondents",NOT(OR(K769="Online poll in Telegram channel",K769="Website online poll",K769="CAWI (Computer Assisted Web Interviewing)"))),1/(1-MIN(MAX(Formula!$C$33+(YEAR(D769)-Formula!$C$34)/(Formula!$C$35-Formula!$C$34)*(Formula!$C$32-Formula!$C$33),Formula!$C$33),Formula!$C$32)),1)</f>
        <v>1</v>
      </c>
      <c r="W769" s="17">
        <f t="shared" si="5"/>
        <v>1.8</v>
      </c>
    </row>
    <row r="770" ht="15.75" customHeight="1">
      <c r="A770" s="8" t="s">
        <v>1397</v>
      </c>
      <c r="B770" s="7" t="s">
        <v>1383</v>
      </c>
      <c r="C770" s="13" t="s">
        <v>1384</v>
      </c>
      <c r="D770" s="7" t="s">
        <v>140</v>
      </c>
      <c r="E770" s="8" t="s">
        <v>20</v>
      </c>
      <c r="F770" s="8" t="s">
        <v>318</v>
      </c>
      <c r="G770" s="7" t="s">
        <v>1385</v>
      </c>
      <c r="H770" s="7" t="s">
        <v>1283</v>
      </c>
      <c r="I770" s="8">
        <v>1200.0</v>
      </c>
      <c r="J770" s="8">
        <v>2.9</v>
      </c>
      <c r="K770" s="8" t="s">
        <v>583</v>
      </c>
      <c r="L770" s="8" t="s">
        <v>322</v>
      </c>
      <c r="M770" s="8" t="s">
        <v>1398</v>
      </c>
      <c r="N770" s="8">
        <v>1.4</v>
      </c>
      <c r="O770" s="14">
        <f t="shared" si="1"/>
        <v>44593</v>
      </c>
      <c r="P770" s="15">
        <f>IFERROR(VLOOKUP(K770,Formula!$A$11:$B$20,2,FALSE),Formula!$C$26)</f>
        <v>0.95</v>
      </c>
      <c r="Q770" s="15">
        <f>IF(AND(ISNUMBER(J770),J770&gt;0),1/J770,IF(AND(ISNUMBER(I770),I770&gt;0),SQRT(MIN(I770,Formula!$C$27))/Formula!$C$24,1/Formula!$C$25))</f>
        <v>0.3448275862</v>
      </c>
      <c r="R770" s="15">
        <f t="shared" si="2"/>
        <v>0.3275862069</v>
      </c>
      <c r="S770" s="15">
        <f>IF(H770&lt;&gt;"",EXP(-Formula!$C$28*(EOMONTH(H770,0)-H770)),EXP(-Formula!$C$28*(EOMONTH(D770,0)-D770)))</f>
        <v>0.3328710837</v>
      </c>
      <c r="T770" s="15">
        <f t="shared" si="3"/>
        <v>0.2672612419</v>
      </c>
      <c r="U770" s="15">
        <f t="shared" si="4"/>
        <v>0.02914322837</v>
      </c>
      <c r="V770" s="16">
        <f>IF(AND(L770="Among all respondents",NOT(OR(K770="Online poll in Telegram channel",K770="Website online poll",K770="CAWI (Computer Assisted Web Interviewing)"))),1/(1-MIN(MAX(Formula!$C$33+(YEAR(D770)-Formula!$C$34)/(Formula!$C$35-Formula!$C$34)*(Formula!$C$32-Formula!$C$33),Formula!$C$33),Formula!$C$32)),1)</f>
        <v>1</v>
      </c>
      <c r="W770" s="17">
        <f t="shared" si="5"/>
        <v>1.4</v>
      </c>
    </row>
    <row r="771" ht="15.75" customHeight="1">
      <c r="A771" s="8" t="s">
        <v>1399</v>
      </c>
      <c r="B771" s="7" t="s">
        <v>1383</v>
      </c>
      <c r="C771" s="13" t="s">
        <v>1384</v>
      </c>
      <c r="D771" s="7" t="s">
        <v>140</v>
      </c>
      <c r="E771" s="8" t="s">
        <v>20</v>
      </c>
      <c r="F771" s="8" t="s">
        <v>318</v>
      </c>
      <c r="G771" s="7" t="s">
        <v>1385</v>
      </c>
      <c r="H771" s="7" t="s">
        <v>1283</v>
      </c>
      <c r="I771" s="8">
        <v>1200.0</v>
      </c>
      <c r="J771" s="8">
        <v>2.9</v>
      </c>
      <c r="K771" s="8" t="s">
        <v>583</v>
      </c>
      <c r="L771" s="8" t="s">
        <v>322</v>
      </c>
      <c r="M771" s="8" t="s">
        <v>1334</v>
      </c>
      <c r="N771" s="8">
        <v>0.8</v>
      </c>
      <c r="O771" s="14">
        <f t="shared" si="1"/>
        <v>44593</v>
      </c>
      <c r="P771" s="15">
        <f>IFERROR(VLOOKUP(K771,Formula!$A$11:$B$20,2,FALSE),Formula!$C$26)</f>
        <v>0.95</v>
      </c>
      <c r="Q771" s="15">
        <f>IF(AND(ISNUMBER(J771),J771&gt;0),1/J771,IF(AND(ISNUMBER(I771),I771&gt;0),SQRT(MIN(I771,Formula!$C$27))/Formula!$C$24,1/Formula!$C$25))</f>
        <v>0.3448275862</v>
      </c>
      <c r="R771" s="15">
        <f t="shared" si="2"/>
        <v>0.3275862069</v>
      </c>
      <c r="S771" s="15">
        <f>IF(H771&lt;&gt;"",EXP(-Formula!$C$28*(EOMONTH(H771,0)-H771)),EXP(-Formula!$C$28*(EOMONTH(D771,0)-D771)))</f>
        <v>0.3328710837</v>
      </c>
      <c r="T771" s="15">
        <f t="shared" si="3"/>
        <v>0.2672612419</v>
      </c>
      <c r="U771" s="15">
        <f t="shared" si="4"/>
        <v>0.02914322837</v>
      </c>
      <c r="V771" s="16">
        <f>IF(AND(L771="Among all respondents",NOT(OR(K771="Online poll in Telegram channel",K771="Website online poll",K771="CAWI (Computer Assisted Web Interviewing)"))),1/(1-MIN(MAX(Formula!$C$33+(YEAR(D771)-Formula!$C$34)/(Formula!$C$35-Formula!$C$34)*(Formula!$C$32-Formula!$C$33),Formula!$C$33),Formula!$C$32)),1)</f>
        <v>1</v>
      </c>
      <c r="W771" s="17">
        <f t="shared" si="5"/>
        <v>0.8</v>
      </c>
    </row>
    <row r="772" ht="15.75" customHeight="1">
      <c r="A772" s="8" t="s">
        <v>1400</v>
      </c>
      <c r="B772" s="7" t="s">
        <v>1401</v>
      </c>
      <c r="C772" s="13" t="s">
        <v>1402</v>
      </c>
      <c r="D772" s="7" t="s">
        <v>135</v>
      </c>
      <c r="E772" s="8" t="s">
        <v>106</v>
      </c>
      <c r="F772" s="8" t="s">
        <v>318</v>
      </c>
      <c r="G772" s="7" t="s">
        <v>1403</v>
      </c>
      <c r="H772" s="7" t="s">
        <v>1404</v>
      </c>
      <c r="I772" s="8">
        <v>1206.0</v>
      </c>
      <c r="J772" s="8">
        <v>2.9</v>
      </c>
      <c r="K772" s="8" t="s">
        <v>321</v>
      </c>
      <c r="L772" s="8" t="s">
        <v>322</v>
      </c>
      <c r="M772" s="8" t="s">
        <v>323</v>
      </c>
      <c r="N772" s="8">
        <v>26.0</v>
      </c>
      <c r="O772" s="14">
        <f t="shared" si="1"/>
        <v>44593</v>
      </c>
      <c r="P772" s="15">
        <f>IFERROR(VLOOKUP(K772,Formula!$A$11:$B$20,2,FALSE),Formula!$C$26)</f>
        <v>0.9</v>
      </c>
      <c r="Q772" s="15">
        <f>IF(AND(ISNUMBER(J772),J772&gt;0),1/J772,IF(AND(ISNUMBER(I772),I772&gt;0),SQRT(MIN(I772,Formula!$C$27))/Formula!$C$24,1/Formula!$C$25))</f>
        <v>0.3448275862</v>
      </c>
      <c r="R772" s="15">
        <f t="shared" si="2"/>
        <v>0.3103448276</v>
      </c>
      <c r="S772" s="15">
        <f>IF(H772&lt;&gt;"",EXP(-Formula!$C$28*(EOMONTH(H772,0)-H772)),EXP(-Formula!$C$28*(EOMONTH(D772,0)-D772)))</f>
        <v>1</v>
      </c>
      <c r="T772" s="15">
        <f t="shared" si="3"/>
        <v>0.3015113446</v>
      </c>
      <c r="U772" s="15">
        <f t="shared" si="4"/>
        <v>0.09357248625</v>
      </c>
      <c r="V772" s="16">
        <f>IF(AND(L772="Among all respondents",NOT(OR(K772="Online poll in Telegram channel",K772="Website online poll",K772="CAWI (Computer Assisted Web Interviewing)"))),1/(1-MIN(MAX(Formula!$C$33+(YEAR(D772)-Formula!$C$34)/(Formula!$C$35-Formula!$C$34)*(Formula!$C$32-Formula!$C$33),Formula!$C$33),Formula!$C$32)),1)</f>
        <v>1</v>
      </c>
      <c r="W772" s="17">
        <f t="shared" si="5"/>
        <v>26</v>
      </c>
    </row>
    <row r="773" ht="15.75" customHeight="1">
      <c r="A773" s="8" t="s">
        <v>1405</v>
      </c>
      <c r="B773" s="7" t="s">
        <v>1401</v>
      </c>
      <c r="C773" s="13" t="s">
        <v>1402</v>
      </c>
      <c r="D773" s="7" t="s">
        <v>135</v>
      </c>
      <c r="E773" s="8" t="s">
        <v>106</v>
      </c>
      <c r="F773" s="8" t="s">
        <v>318</v>
      </c>
      <c r="G773" s="7" t="s">
        <v>1403</v>
      </c>
      <c r="H773" s="7" t="s">
        <v>1404</v>
      </c>
      <c r="I773" s="8">
        <v>1206.0</v>
      </c>
      <c r="J773" s="8">
        <v>2.9</v>
      </c>
      <c r="K773" s="8" t="s">
        <v>321</v>
      </c>
      <c r="L773" s="8" t="s">
        <v>322</v>
      </c>
      <c r="M773" s="8" t="s">
        <v>329</v>
      </c>
      <c r="N773" s="8">
        <v>24.2</v>
      </c>
      <c r="O773" s="14">
        <f t="shared" si="1"/>
        <v>44593</v>
      </c>
      <c r="P773" s="15">
        <f>IFERROR(VLOOKUP(K773,Formula!$A$11:$B$20,2,FALSE),Formula!$C$26)</f>
        <v>0.9</v>
      </c>
      <c r="Q773" s="15">
        <f>IF(AND(ISNUMBER(J773),J773&gt;0),1/J773,IF(AND(ISNUMBER(I773),I773&gt;0),SQRT(MIN(I773,Formula!$C$27))/Formula!$C$24,1/Formula!$C$25))</f>
        <v>0.3448275862</v>
      </c>
      <c r="R773" s="15">
        <f t="shared" si="2"/>
        <v>0.3103448276</v>
      </c>
      <c r="S773" s="15">
        <f>IF(H773&lt;&gt;"",EXP(-Formula!$C$28*(EOMONTH(H773,0)-H773)),EXP(-Formula!$C$28*(EOMONTH(D773,0)-D773)))</f>
        <v>1</v>
      </c>
      <c r="T773" s="15">
        <f t="shared" si="3"/>
        <v>0.3015113446</v>
      </c>
      <c r="U773" s="15">
        <f t="shared" si="4"/>
        <v>0.09357248625</v>
      </c>
      <c r="V773" s="16">
        <f>IF(AND(L773="Among all respondents",NOT(OR(K773="Online poll in Telegram channel",K773="Website online poll",K773="CAWI (Computer Assisted Web Interviewing)"))),1/(1-MIN(MAX(Formula!$C$33+(YEAR(D773)-Formula!$C$34)/(Formula!$C$35-Formula!$C$34)*(Formula!$C$32-Formula!$C$33),Formula!$C$33),Formula!$C$32)),1)</f>
        <v>1</v>
      </c>
      <c r="W773" s="17">
        <f t="shared" si="5"/>
        <v>24.2</v>
      </c>
    </row>
    <row r="774" ht="15.75" customHeight="1">
      <c r="A774" s="8" t="s">
        <v>1406</v>
      </c>
      <c r="B774" s="7" t="s">
        <v>1401</v>
      </c>
      <c r="C774" s="13" t="s">
        <v>1402</v>
      </c>
      <c r="D774" s="7" t="s">
        <v>135</v>
      </c>
      <c r="E774" s="8" t="s">
        <v>106</v>
      </c>
      <c r="F774" s="8" t="s">
        <v>318</v>
      </c>
      <c r="G774" s="7" t="s">
        <v>1403</v>
      </c>
      <c r="H774" s="7" t="s">
        <v>1404</v>
      </c>
      <c r="I774" s="8">
        <v>1206.0</v>
      </c>
      <c r="J774" s="8">
        <v>2.9</v>
      </c>
      <c r="K774" s="8" t="s">
        <v>321</v>
      </c>
      <c r="L774" s="8" t="s">
        <v>322</v>
      </c>
      <c r="M774" s="8" t="s">
        <v>337</v>
      </c>
      <c r="N774" s="8">
        <v>10.3</v>
      </c>
      <c r="O774" s="14">
        <f t="shared" si="1"/>
        <v>44593</v>
      </c>
      <c r="P774" s="15">
        <f>IFERROR(VLOOKUP(K774,Formula!$A$11:$B$20,2,FALSE),Formula!$C$26)</f>
        <v>0.9</v>
      </c>
      <c r="Q774" s="15">
        <f>IF(AND(ISNUMBER(J774),J774&gt;0),1/J774,IF(AND(ISNUMBER(I774),I774&gt;0),SQRT(MIN(I774,Formula!$C$27))/Formula!$C$24,1/Formula!$C$25))</f>
        <v>0.3448275862</v>
      </c>
      <c r="R774" s="15">
        <f t="shared" si="2"/>
        <v>0.3103448276</v>
      </c>
      <c r="S774" s="15">
        <f>IF(H774&lt;&gt;"",EXP(-Formula!$C$28*(EOMONTH(H774,0)-H774)),EXP(-Formula!$C$28*(EOMONTH(D774,0)-D774)))</f>
        <v>1</v>
      </c>
      <c r="T774" s="15">
        <f t="shared" si="3"/>
        <v>0.3015113446</v>
      </c>
      <c r="U774" s="15">
        <f t="shared" si="4"/>
        <v>0.09357248625</v>
      </c>
      <c r="V774" s="16">
        <f>IF(AND(L774="Among all respondents",NOT(OR(K774="Online poll in Telegram channel",K774="Website online poll",K774="CAWI (Computer Assisted Web Interviewing)"))),1/(1-MIN(MAX(Formula!$C$33+(YEAR(D774)-Formula!$C$34)/(Formula!$C$35-Formula!$C$34)*(Formula!$C$32-Formula!$C$33),Formula!$C$33),Formula!$C$32)),1)</f>
        <v>1</v>
      </c>
      <c r="W774" s="17">
        <f t="shared" si="5"/>
        <v>10.3</v>
      </c>
    </row>
    <row r="775" ht="15.75" customHeight="1">
      <c r="A775" s="8" t="s">
        <v>1407</v>
      </c>
      <c r="B775" s="7" t="s">
        <v>1401</v>
      </c>
      <c r="C775" s="13" t="s">
        <v>1402</v>
      </c>
      <c r="D775" s="7" t="s">
        <v>135</v>
      </c>
      <c r="E775" s="8" t="s">
        <v>106</v>
      </c>
      <c r="F775" s="8" t="s">
        <v>318</v>
      </c>
      <c r="G775" s="7" t="s">
        <v>1403</v>
      </c>
      <c r="H775" s="7" t="s">
        <v>1404</v>
      </c>
      <c r="I775" s="8">
        <v>1206.0</v>
      </c>
      <c r="J775" s="8">
        <v>2.9</v>
      </c>
      <c r="K775" s="8" t="s">
        <v>321</v>
      </c>
      <c r="L775" s="8" t="s">
        <v>322</v>
      </c>
      <c r="M775" s="8" t="s">
        <v>333</v>
      </c>
      <c r="N775" s="8">
        <v>8.2</v>
      </c>
      <c r="O775" s="14">
        <f t="shared" si="1"/>
        <v>44593</v>
      </c>
      <c r="P775" s="15">
        <f>IFERROR(VLOOKUP(K775,Formula!$A$11:$B$20,2,FALSE),Formula!$C$26)</f>
        <v>0.9</v>
      </c>
      <c r="Q775" s="15">
        <f>IF(AND(ISNUMBER(J775),J775&gt;0),1/J775,IF(AND(ISNUMBER(I775),I775&gt;0),SQRT(MIN(I775,Formula!$C$27))/Formula!$C$24,1/Formula!$C$25))</f>
        <v>0.3448275862</v>
      </c>
      <c r="R775" s="15">
        <f t="shared" si="2"/>
        <v>0.3103448276</v>
      </c>
      <c r="S775" s="15">
        <f>IF(H775&lt;&gt;"",EXP(-Formula!$C$28*(EOMONTH(H775,0)-H775)),EXP(-Formula!$C$28*(EOMONTH(D775,0)-D775)))</f>
        <v>1</v>
      </c>
      <c r="T775" s="15">
        <f t="shared" si="3"/>
        <v>0.3015113446</v>
      </c>
      <c r="U775" s="15">
        <f t="shared" si="4"/>
        <v>0.09357248625</v>
      </c>
      <c r="V775" s="16">
        <f>IF(AND(L775="Among all respondents",NOT(OR(K775="Online poll in Telegram channel",K775="Website online poll",K775="CAWI (Computer Assisted Web Interviewing)"))),1/(1-MIN(MAX(Formula!$C$33+(YEAR(D775)-Formula!$C$34)/(Formula!$C$35-Formula!$C$34)*(Formula!$C$32-Formula!$C$33),Formula!$C$33),Formula!$C$32)),1)</f>
        <v>1</v>
      </c>
      <c r="W775" s="17">
        <f t="shared" si="5"/>
        <v>8.2</v>
      </c>
    </row>
    <row r="776" ht="15.75" customHeight="1">
      <c r="A776" s="8" t="s">
        <v>1408</v>
      </c>
      <c r="B776" s="7" t="s">
        <v>1401</v>
      </c>
      <c r="C776" s="13" t="s">
        <v>1402</v>
      </c>
      <c r="D776" s="7" t="s">
        <v>135</v>
      </c>
      <c r="E776" s="8" t="s">
        <v>106</v>
      </c>
      <c r="F776" s="8" t="s">
        <v>318</v>
      </c>
      <c r="G776" s="7" t="s">
        <v>1403</v>
      </c>
      <c r="H776" s="7" t="s">
        <v>1404</v>
      </c>
      <c r="I776" s="8">
        <v>1206.0</v>
      </c>
      <c r="J776" s="8">
        <v>2.9</v>
      </c>
      <c r="K776" s="8" t="s">
        <v>321</v>
      </c>
      <c r="L776" s="8" t="s">
        <v>322</v>
      </c>
      <c r="M776" s="8" t="s">
        <v>365</v>
      </c>
      <c r="N776" s="8">
        <v>7.0</v>
      </c>
      <c r="O776" s="14">
        <f t="shared" si="1"/>
        <v>44593</v>
      </c>
      <c r="P776" s="15">
        <f>IFERROR(VLOOKUP(K776,Formula!$A$11:$B$20,2,FALSE),Formula!$C$26)</f>
        <v>0.9</v>
      </c>
      <c r="Q776" s="15">
        <f>IF(AND(ISNUMBER(J776),J776&gt;0),1/J776,IF(AND(ISNUMBER(I776),I776&gt;0),SQRT(MIN(I776,Formula!$C$27))/Formula!$C$24,1/Formula!$C$25))</f>
        <v>0.3448275862</v>
      </c>
      <c r="R776" s="15">
        <f t="shared" si="2"/>
        <v>0.3103448276</v>
      </c>
      <c r="S776" s="15">
        <f>IF(H776&lt;&gt;"",EXP(-Formula!$C$28*(EOMONTH(H776,0)-H776)),EXP(-Formula!$C$28*(EOMONTH(D776,0)-D776)))</f>
        <v>1</v>
      </c>
      <c r="T776" s="15">
        <f t="shared" si="3"/>
        <v>0.3015113446</v>
      </c>
      <c r="U776" s="15">
        <f t="shared" si="4"/>
        <v>0.09357248625</v>
      </c>
      <c r="V776" s="16">
        <f>IF(AND(L776="Among all respondents",NOT(OR(K776="Online poll in Telegram channel",K776="Website online poll",K776="CAWI (Computer Assisted Web Interviewing)"))),1/(1-MIN(MAX(Formula!$C$33+(YEAR(D776)-Formula!$C$34)/(Formula!$C$35-Formula!$C$34)*(Formula!$C$32-Formula!$C$33),Formula!$C$33),Formula!$C$32)),1)</f>
        <v>1</v>
      </c>
      <c r="W776" s="17">
        <f t="shared" si="5"/>
        <v>7</v>
      </c>
    </row>
    <row r="777" ht="15.75" customHeight="1">
      <c r="A777" s="8" t="s">
        <v>1409</v>
      </c>
      <c r="B777" s="7" t="s">
        <v>1401</v>
      </c>
      <c r="C777" s="13" t="s">
        <v>1402</v>
      </c>
      <c r="D777" s="7" t="s">
        <v>135</v>
      </c>
      <c r="E777" s="8" t="s">
        <v>106</v>
      </c>
      <c r="F777" s="8" t="s">
        <v>318</v>
      </c>
      <c r="G777" s="7" t="s">
        <v>1403</v>
      </c>
      <c r="H777" s="7" t="s">
        <v>1404</v>
      </c>
      <c r="I777" s="8">
        <v>1206.0</v>
      </c>
      <c r="J777" s="8">
        <v>2.9</v>
      </c>
      <c r="K777" s="8" t="s">
        <v>321</v>
      </c>
      <c r="L777" s="8" t="s">
        <v>322</v>
      </c>
      <c r="M777" s="8" t="s">
        <v>1153</v>
      </c>
      <c r="N777" s="8">
        <v>7.0</v>
      </c>
      <c r="O777" s="14">
        <f t="shared" si="1"/>
        <v>44593</v>
      </c>
      <c r="P777" s="15">
        <f>IFERROR(VLOOKUP(K777,Formula!$A$11:$B$20,2,FALSE),Formula!$C$26)</f>
        <v>0.9</v>
      </c>
      <c r="Q777" s="15">
        <f>IF(AND(ISNUMBER(J777),J777&gt;0),1/J777,IF(AND(ISNUMBER(I777),I777&gt;0),SQRT(MIN(I777,Formula!$C$27))/Formula!$C$24,1/Formula!$C$25))</f>
        <v>0.3448275862</v>
      </c>
      <c r="R777" s="15">
        <f t="shared" si="2"/>
        <v>0.3103448276</v>
      </c>
      <c r="S777" s="15">
        <f>IF(H777&lt;&gt;"",EXP(-Formula!$C$28*(EOMONTH(H777,0)-H777)),EXP(-Formula!$C$28*(EOMONTH(D777,0)-D777)))</f>
        <v>1</v>
      </c>
      <c r="T777" s="15">
        <f t="shared" si="3"/>
        <v>0.3015113446</v>
      </c>
      <c r="U777" s="15">
        <f t="shared" si="4"/>
        <v>0.09357248625</v>
      </c>
      <c r="V777" s="16">
        <f>IF(AND(L777="Among all respondents",NOT(OR(K777="Online poll in Telegram channel",K777="Website online poll",K777="CAWI (Computer Assisted Web Interviewing)"))),1/(1-MIN(MAX(Formula!$C$33+(YEAR(D777)-Formula!$C$34)/(Formula!$C$35-Formula!$C$34)*(Formula!$C$32-Formula!$C$33),Formula!$C$33),Formula!$C$32)),1)</f>
        <v>1</v>
      </c>
      <c r="W777" s="17">
        <f t="shared" si="5"/>
        <v>7</v>
      </c>
    </row>
    <row r="778" ht="15.75" customHeight="1">
      <c r="A778" s="8" t="s">
        <v>1410</v>
      </c>
      <c r="B778" s="7" t="s">
        <v>1401</v>
      </c>
      <c r="C778" s="13" t="s">
        <v>1402</v>
      </c>
      <c r="D778" s="7" t="s">
        <v>135</v>
      </c>
      <c r="E778" s="8" t="s">
        <v>106</v>
      </c>
      <c r="F778" s="8" t="s">
        <v>318</v>
      </c>
      <c r="G778" s="7" t="s">
        <v>1403</v>
      </c>
      <c r="H778" s="7" t="s">
        <v>1404</v>
      </c>
      <c r="I778" s="8">
        <v>1206.0</v>
      </c>
      <c r="J778" s="8">
        <v>2.9</v>
      </c>
      <c r="K778" s="8" t="s">
        <v>321</v>
      </c>
      <c r="L778" s="8" t="s">
        <v>322</v>
      </c>
      <c r="M778" s="8" t="s">
        <v>828</v>
      </c>
      <c r="N778" s="8">
        <v>5.4</v>
      </c>
      <c r="O778" s="14">
        <f t="shared" si="1"/>
        <v>44593</v>
      </c>
      <c r="P778" s="15">
        <f>IFERROR(VLOOKUP(K778,Formula!$A$11:$B$20,2,FALSE),Formula!$C$26)</f>
        <v>0.9</v>
      </c>
      <c r="Q778" s="15">
        <f>IF(AND(ISNUMBER(J778),J778&gt;0),1/J778,IF(AND(ISNUMBER(I778),I778&gt;0),SQRT(MIN(I778,Formula!$C$27))/Formula!$C$24,1/Formula!$C$25))</f>
        <v>0.3448275862</v>
      </c>
      <c r="R778" s="15">
        <f t="shared" si="2"/>
        <v>0.3103448276</v>
      </c>
      <c r="S778" s="15">
        <f>IF(H778&lt;&gt;"",EXP(-Formula!$C$28*(EOMONTH(H778,0)-H778)),EXP(-Formula!$C$28*(EOMONTH(D778,0)-D778)))</f>
        <v>1</v>
      </c>
      <c r="T778" s="15">
        <f t="shared" si="3"/>
        <v>0.3015113446</v>
      </c>
      <c r="U778" s="15">
        <f t="shared" si="4"/>
        <v>0.09357248625</v>
      </c>
      <c r="V778" s="16">
        <f>IF(AND(L778="Among all respondents",NOT(OR(K778="Online poll in Telegram channel",K778="Website online poll",K778="CAWI (Computer Assisted Web Interviewing)"))),1/(1-MIN(MAX(Formula!$C$33+(YEAR(D778)-Formula!$C$34)/(Formula!$C$35-Formula!$C$34)*(Formula!$C$32-Formula!$C$33),Formula!$C$33),Formula!$C$32)),1)</f>
        <v>1</v>
      </c>
      <c r="W778" s="17">
        <f t="shared" si="5"/>
        <v>5.4</v>
      </c>
    </row>
    <row r="779" ht="15.75" customHeight="1">
      <c r="A779" s="8" t="s">
        <v>1411</v>
      </c>
      <c r="B779" s="7" t="s">
        <v>1401</v>
      </c>
      <c r="C779" s="13" t="s">
        <v>1402</v>
      </c>
      <c r="D779" s="7" t="s">
        <v>135</v>
      </c>
      <c r="E779" s="8" t="s">
        <v>106</v>
      </c>
      <c r="F779" s="8" t="s">
        <v>318</v>
      </c>
      <c r="G779" s="7" t="s">
        <v>1403</v>
      </c>
      <c r="H779" s="7" t="s">
        <v>1404</v>
      </c>
      <c r="I779" s="8">
        <v>1206.0</v>
      </c>
      <c r="J779" s="8">
        <v>2.9</v>
      </c>
      <c r="K779" s="8" t="s">
        <v>321</v>
      </c>
      <c r="L779" s="8" t="s">
        <v>322</v>
      </c>
      <c r="M779" s="8" t="s">
        <v>386</v>
      </c>
      <c r="N779" s="8">
        <v>3.1</v>
      </c>
      <c r="O779" s="14">
        <f t="shared" si="1"/>
        <v>44593</v>
      </c>
      <c r="P779" s="15">
        <f>IFERROR(VLOOKUP(K779,Formula!$A$11:$B$20,2,FALSE),Formula!$C$26)</f>
        <v>0.9</v>
      </c>
      <c r="Q779" s="15">
        <f>IF(AND(ISNUMBER(J779),J779&gt;0),1/J779,IF(AND(ISNUMBER(I779),I779&gt;0),SQRT(MIN(I779,Formula!$C$27))/Formula!$C$24,1/Formula!$C$25))</f>
        <v>0.3448275862</v>
      </c>
      <c r="R779" s="15">
        <f t="shared" si="2"/>
        <v>0.3103448276</v>
      </c>
      <c r="S779" s="15">
        <f>IF(H779&lt;&gt;"",EXP(-Formula!$C$28*(EOMONTH(H779,0)-H779)),EXP(-Formula!$C$28*(EOMONTH(D779,0)-D779)))</f>
        <v>1</v>
      </c>
      <c r="T779" s="15">
        <f t="shared" si="3"/>
        <v>0.3015113446</v>
      </c>
      <c r="U779" s="15">
        <f t="shared" si="4"/>
        <v>0.09357248625</v>
      </c>
      <c r="V779" s="16">
        <f>IF(AND(L779="Among all respondents",NOT(OR(K779="Online poll in Telegram channel",K779="Website online poll",K779="CAWI (Computer Assisted Web Interviewing)"))),1/(1-MIN(MAX(Formula!$C$33+(YEAR(D779)-Formula!$C$34)/(Formula!$C$35-Formula!$C$34)*(Formula!$C$32-Formula!$C$33),Formula!$C$33),Formula!$C$32)),1)</f>
        <v>1</v>
      </c>
      <c r="W779" s="17">
        <f t="shared" si="5"/>
        <v>3.1</v>
      </c>
    </row>
    <row r="780" ht="15.75" customHeight="1">
      <c r="A780" s="8" t="s">
        <v>1412</v>
      </c>
      <c r="B780" s="7" t="s">
        <v>1401</v>
      </c>
      <c r="C780" s="13" t="s">
        <v>1402</v>
      </c>
      <c r="D780" s="7" t="s">
        <v>135</v>
      </c>
      <c r="E780" s="8" t="s">
        <v>106</v>
      </c>
      <c r="F780" s="8" t="s">
        <v>318</v>
      </c>
      <c r="G780" s="7" t="s">
        <v>1403</v>
      </c>
      <c r="H780" s="7" t="s">
        <v>1404</v>
      </c>
      <c r="I780" s="8">
        <v>1206.0</v>
      </c>
      <c r="J780" s="8">
        <v>2.9</v>
      </c>
      <c r="K780" s="8" t="s">
        <v>321</v>
      </c>
      <c r="L780" s="8" t="s">
        <v>322</v>
      </c>
      <c r="M780" s="8" t="s">
        <v>388</v>
      </c>
      <c r="N780" s="8">
        <v>2.0</v>
      </c>
      <c r="O780" s="14">
        <f t="shared" si="1"/>
        <v>44593</v>
      </c>
      <c r="P780" s="15">
        <f>IFERROR(VLOOKUP(K780,Formula!$A$11:$B$20,2,FALSE),Formula!$C$26)</f>
        <v>0.9</v>
      </c>
      <c r="Q780" s="15">
        <f>IF(AND(ISNUMBER(J780),J780&gt;0),1/J780,IF(AND(ISNUMBER(I780),I780&gt;0),SQRT(MIN(I780,Formula!$C$27))/Formula!$C$24,1/Formula!$C$25))</f>
        <v>0.3448275862</v>
      </c>
      <c r="R780" s="15">
        <f t="shared" si="2"/>
        <v>0.3103448276</v>
      </c>
      <c r="S780" s="15">
        <f>IF(H780&lt;&gt;"",EXP(-Formula!$C$28*(EOMONTH(H780,0)-H780)),EXP(-Formula!$C$28*(EOMONTH(D780,0)-D780)))</f>
        <v>1</v>
      </c>
      <c r="T780" s="15">
        <f t="shared" si="3"/>
        <v>0.3015113446</v>
      </c>
      <c r="U780" s="15">
        <f t="shared" si="4"/>
        <v>0.09357248625</v>
      </c>
      <c r="V780" s="16">
        <f>IF(AND(L780="Among all respondents",NOT(OR(K780="Online poll in Telegram channel",K780="Website online poll",K780="CAWI (Computer Assisted Web Interviewing)"))),1/(1-MIN(MAX(Formula!$C$33+(YEAR(D780)-Formula!$C$34)/(Formula!$C$35-Formula!$C$34)*(Formula!$C$32-Formula!$C$33),Formula!$C$33),Formula!$C$32)),1)</f>
        <v>1</v>
      </c>
      <c r="W780" s="17">
        <f t="shared" si="5"/>
        <v>2</v>
      </c>
    </row>
    <row r="781" ht="15.75" customHeight="1">
      <c r="A781" s="8" t="s">
        <v>1413</v>
      </c>
      <c r="B781" s="7" t="s">
        <v>1401</v>
      </c>
      <c r="C781" s="13" t="s">
        <v>1402</v>
      </c>
      <c r="D781" s="7" t="s">
        <v>135</v>
      </c>
      <c r="E781" s="8" t="s">
        <v>106</v>
      </c>
      <c r="F781" s="8" t="s">
        <v>318</v>
      </c>
      <c r="G781" s="7" t="s">
        <v>1403</v>
      </c>
      <c r="H781" s="7" t="s">
        <v>1404</v>
      </c>
      <c r="I781" s="8">
        <v>1206.0</v>
      </c>
      <c r="J781" s="8">
        <v>2.9</v>
      </c>
      <c r="K781" s="8" t="s">
        <v>321</v>
      </c>
      <c r="L781" s="8" t="s">
        <v>322</v>
      </c>
      <c r="M781" s="8" t="s">
        <v>1334</v>
      </c>
      <c r="N781" s="8">
        <v>1.6</v>
      </c>
      <c r="O781" s="14">
        <f t="shared" si="1"/>
        <v>44593</v>
      </c>
      <c r="P781" s="15">
        <f>IFERROR(VLOOKUP(K781,Formula!$A$11:$B$20,2,FALSE),Formula!$C$26)</f>
        <v>0.9</v>
      </c>
      <c r="Q781" s="15">
        <f>IF(AND(ISNUMBER(J781),J781&gt;0),1/J781,IF(AND(ISNUMBER(I781),I781&gt;0),SQRT(MIN(I781,Formula!$C$27))/Formula!$C$24,1/Formula!$C$25))</f>
        <v>0.3448275862</v>
      </c>
      <c r="R781" s="15">
        <f t="shared" si="2"/>
        <v>0.3103448276</v>
      </c>
      <c r="S781" s="15">
        <f>IF(H781&lt;&gt;"",EXP(-Formula!$C$28*(EOMONTH(H781,0)-H781)),EXP(-Formula!$C$28*(EOMONTH(D781,0)-D781)))</f>
        <v>1</v>
      </c>
      <c r="T781" s="15">
        <f t="shared" si="3"/>
        <v>0.3015113446</v>
      </c>
      <c r="U781" s="15">
        <f t="shared" si="4"/>
        <v>0.09357248625</v>
      </c>
      <c r="V781" s="16">
        <f>IF(AND(L781="Among all respondents",NOT(OR(K781="Online poll in Telegram channel",K781="Website online poll",K781="CAWI (Computer Assisted Web Interviewing)"))),1/(1-MIN(MAX(Formula!$C$33+(YEAR(D781)-Formula!$C$34)/(Formula!$C$35-Formula!$C$34)*(Formula!$C$32-Formula!$C$33),Formula!$C$33),Formula!$C$32)),1)</f>
        <v>1</v>
      </c>
      <c r="W781" s="17">
        <f t="shared" si="5"/>
        <v>1.6</v>
      </c>
    </row>
    <row r="782" ht="15.75" customHeight="1">
      <c r="A782" s="8" t="s">
        <v>1414</v>
      </c>
      <c r="B782" s="7" t="s">
        <v>1401</v>
      </c>
      <c r="C782" s="13" t="s">
        <v>1402</v>
      </c>
      <c r="D782" s="7" t="s">
        <v>135</v>
      </c>
      <c r="E782" s="8" t="s">
        <v>106</v>
      </c>
      <c r="F782" s="8" t="s">
        <v>318</v>
      </c>
      <c r="G782" s="7" t="s">
        <v>1403</v>
      </c>
      <c r="H782" s="7" t="s">
        <v>1404</v>
      </c>
      <c r="I782" s="8">
        <v>1206.0</v>
      </c>
      <c r="J782" s="8">
        <v>2.9</v>
      </c>
      <c r="K782" s="8" t="s">
        <v>321</v>
      </c>
      <c r="L782" s="8" t="s">
        <v>322</v>
      </c>
      <c r="M782" s="8" t="s">
        <v>740</v>
      </c>
      <c r="N782" s="8">
        <v>0.9</v>
      </c>
      <c r="O782" s="14">
        <f t="shared" si="1"/>
        <v>44593</v>
      </c>
      <c r="P782" s="15">
        <f>IFERROR(VLOOKUP(K782,Formula!$A$11:$B$20,2,FALSE),Formula!$C$26)</f>
        <v>0.9</v>
      </c>
      <c r="Q782" s="15">
        <f>IF(AND(ISNUMBER(J782),J782&gt;0),1/J782,IF(AND(ISNUMBER(I782),I782&gt;0),SQRT(MIN(I782,Formula!$C$27))/Formula!$C$24,1/Formula!$C$25))</f>
        <v>0.3448275862</v>
      </c>
      <c r="R782" s="15">
        <f t="shared" si="2"/>
        <v>0.3103448276</v>
      </c>
      <c r="S782" s="15">
        <f>IF(H782&lt;&gt;"",EXP(-Formula!$C$28*(EOMONTH(H782,0)-H782)),EXP(-Formula!$C$28*(EOMONTH(D782,0)-D782)))</f>
        <v>1</v>
      </c>
      <c r="T782" s="15">
        <f t="shared" si="3"/>
        <v>0.3015113446</v>
      </c>
      <c r="U782" s="15">
        <f t="shared" si="4"/>
        <v>0.09357248625</v>
      </c>
      <c r="V782" s="16">
        <f>IF(AND(L782="Among all respondents",NOT(OR(K782="Online poll in Telegram channel",K782="Website online poll",K782="CAWI (Computer Assisted Web Interviewing)"))),1/(1-MIN(MAX(Formula!$C$33+(YEAR(D782)-Formula!$C$34)/(Formula!$C$35-Formula!$C$34)*(Formula!$C$32-Formula!$C$33),Formula!$C$33),Formula!$C$32)),1)</f>
        <v>1</v>
      </c>
      <c r="W782" s="17">
        <f t="shared" si="5"/>
        <v>0.9</v>
      </c>
    </row>
    <row r="783" ht="15.75" customHeight="1">
      <c r="A783" s="8" t="s">
        <v>1415</v>
      </c>
      <c r="B783" s="7" t="s">
        <v>1416</v>
      </c>
      <c r="C783" s="13" t="s">
        <v>1417</v>
      </c>
      <c r="D783" s="7" t="s">
        <v>142</v>
      </c>
      <c r="E783" s="8" t="s">
        <v>72</v>
      </c>
      <c r="F783" s="8" t="s">
        <v>318</v>
      </c>
      <c r="G783" s="7" t="s">
        <v>1418</v>
      </c>
      <c r="H783" s="7" t="s">
        <v>1419</v>
      </c>
      <c r="I783" s="8">
        <v>1205.0</v>
      </c>
      <c r="J783" s="8">
        <v>3.2</v>
      </c>
      <c r="K783" s="8" t="s">
        <v>321</v>
      </c>
      <c r="L783" s="8" t="s">
        <v>322</v>
      </c>
      <c r="M783" s="8" t="s">
        <v>323</v>
      </c>
      <c r="N783" s="8">
        <v>23.5</v>
      </c>
      <c r="O783" s="14">
        <f t="shared" si="1"/>
        <v>44562</v>
      </c>
      <c r="P783" s="15">
        <f>IFERROR(VLOOKUP(K783,Formula!$A$11:$B$20,2,FALSE),Formula!$C$26)</f>
        <v>0.9</v>
      </c>
      <c r="Q783" s="15">
        <f>IF(AND(ISNUMBER(J783),J783&gt;0),1/J783,IF(AND(ISNUMBER(I783),I783&gt;0),SQRT(MIN(I783,Formula!$C$27))/Formula!$C$24,1/Formula!$C$25))</f>
        <v>0.3125</v>
      </c>
      <c r="R783" s="15">
        <f t="shared" si="2"/>
        <v>0.28125</v>
      </c>
      <c r="S783" s="15">
        <f>IF(H783&lt;&gt;"",EXP(-Formula!$C$28*(EOMONTH(H783,0)-H783)),EXP(-Formula!$C$28*(EOMONTH(D783,0)-D783)))</f>
        <v>0.6065306597</v>
      </c>
      <c r="T783" s="15">
        <f t="shared" si="3"/>
        <v>0.3015113446</v>
      </c>
      <c r="U783" s="15">
        <f t="shared" si="4"/>
        <v>0.05143383977</v>
      </c>
      <c r="V783" s="16">
        <f>IF(AND(L783="Among all respondents",NOT(OR(K783="Online poll in Telegram channel",K783="Website online poll",K783="CAWI (Computer Assisted Web Interviewing)"))),1/(1-MIN(MAX(Formula!$C$33+(YEAR(D783)-Formula!$C$34)/(Formula!$C$35-Formula!$C$34)*(Formula!$C$32-Formula!$C$33),Formula!$C$33),Formula!$C$32)),1)</f>
        <v>1</v>
      </c>
      <c r="W783" s="17">
        <f t="shared" si="5"/>
        <v>23.5</v>
      </c>
    </row>
    <row r="784" ht="15.75" customHeight="1">
      <c r="A784" s="8" t="s">
        <v>1420</v>
      </c>
      <c r="B784" s="7" t="s">
        <v>1416</v>
      </c>
      <c r="C784" s="13" t="s">
        <v>1417</v>
      </c>
      <c r="D784" s="7" t="s">
        <v>142</v>
      </c>
      <c r="E784" s="8" t="s">
        <v>72</v>
      </c>
      <c r="F784" s="8" t="s">
        <v>318</v>
      </c>
      <c r="G784" s="7" t="s">
        <v>1418</v>
      </c>
      <c r="H784" s="7" t="s">
        <v>1419</v>
      </c>
      <c r="I784" s="8">
        <v>1205.0</v>
      </c>
      <c r="J784" s="8">
        <v>3.2</v>
      </c>
      <c r="K784" s="8" t="s">
        <v>321</v>
      </c>
      <c r="L784" s="8" t="s">
        <v>322</v>
      </c>
      <c r="M784" s="8" t="s">
        <v>329</v>
      </c>
      <c r="N784" s="8">
        <v>20.9</v>
      </c>
      <c r="O784" s="14">
        <f t="shared" si="1"/>
        <v>44562</v>
      </c>
      <c r="P784" s="15">
        <f>IFERROR(VLOOKUP(K784,Formula!$A$11:$B$20,2,FALSE),Formula!$C$26)</f>
        <v>0.9</v>
      </c>
      <c r="Q784" s="15">
        <f>IF(AND(ISNUMBER(J784),J784&gt;0),1/J784,IF(AND(ISNUMBER(I784),I784&gt;0),SQRT(MIN(I784,Formula!$C$27))/Formula!$C$24,1/Formula!$C$25))</f>
        <v>0.3125</v>
      </c>
      <c r="R784" s="15">
        <f t="shared" si="2"/>
        <v>0.28125</v>
      </c>
      <c r="S784" s="15">
        <f>IF(H784&lt;&gt;"",EXP(-Formula!$C$28*(EOMONTH(H784,0)-H784)),EXP(-Formula!$C$28*(EOMONTH(D784,0)-D784)))</f>
        <v>0.6065306597</v>
      </c>
      <c r="T784" s="15">
        <f t="shared" si="3"/>
        <v>0.3015113446</v>
      </c>
      <c r="U784" s="15">
        <f t="shared" si="4"/>
        <v>0.05143383977</v>
      </c>
      <c r="V784" s="16">
        <f>IF(AND(L784="Among all respondents",NOT(OR(K784="Online poll in Telegram channel",K784="Website online poll",K784="CAWI (Computer Assisted Web Interviewing)"))),1/(1-MIN(MAX(Formula!$C$33+(YEAR(D784)-Formula!$C$34)/(Formula!$C$35-Formula!$C$34)*(Formula!$C$32-Formula!$C$33),Formula!$C$33),Formula!$C$32)),1)</f>
        <v>1</v>
      </c>
      <c r="W784" s="17">
        <f t="shared" si="5"/>
        <v>20.9</v>
      </c>
    </row>
    <row r="785" ht="15.75" customHeight="1">
      <c r="A785" s="8" t="s">
        <v>1421</v>
      </c>
      <c r="B785" s="7" t="s">
        <v>1416</v>
      </c>
      <c r="C785" s="13" t="s">
        <v>1417</v>
      </c>
      <c r="D785" s="7" t="s">
        <v>142</v>
      </c>
      <c r="E785" s="8" t="s">
        <v>72</v>
      </c>
      <c r="F785" s="8" t="s">
        <v>318</v>
      </c>
      <c r="G785" s="7" t="s">
        <v>1418</v>
      </c>
      <c r="H785" s="7" t="s">
        <v>1419</v>
      </c>
      <c r="I785" s="8">
        <v>1205.0</v>
      </c>
      <c r="J785" s="8">
        <v>3.2</v>
      </c>
      <c r="K785" s="8" t="s">
        <v>321</v>
      </c>
      <c r="L785" s="8" t="s">
        <v>322</v>
      </c>
      <c r="M785" s="8" t="s">
        <v>337</v>
      </c>
      <c r="N785" s="8">
        <v>11.8</v>
      </c>
      <c r="O785" s="14">
        <f t="shared" si="1"/>
        <v>44562</v>
      </c>
      <c r="P785" s="15">
        <f>IFERROR(VLOOKUP(K785,Formula!$A$11:$B$20,2,FALSE),Formula!$C$26)</f>
        <v>0.9</v>
      </c>
      <c r="Q785" s="15">
        <f>IF(AND(ISNUMBER(J785),J785&gt;0),1/J785,IF(AND(ISNUMBER(I785),I785&gt;0),SQRT(MIN(I785,Formula!$C$27))/Formula!$C$24,1/Formula!$C$25))</f>
        <v>0.3125</v>
      </c>
      <c r="R785" s="15">
        <f t="shared" si="2"/>
        <v>0.28125</v>
      </c>
      <c r="S785" s="15">
        <f>IF(H785&lt;&gt;"",EXP(-Formula!$C$28*(EOMONTH(H785,0)-H785)),EXP(-Formula!$C$28*(EOMONTH(D785,0)-D785)))</f>
        <v>0.6065306597</v>
      </c>
      <c r="T785" s="15">
        <f t="shared" si="3"/>
        <v>0.3015113446</v>
      </c>
      <c r="U785" s="15">
        <f t="shared" si="4"/>
        <v>0.05143383977</v>
      </c>
      <c r="V785" s="16">
        <f>IF(AND(L785="Among all respondents",NOT(OR(K785="Online poll in Telegram channel",K785="Website online poll",K785="CAWI (Computer Assisted Web Interviewing)"))),1/(1-MIN(MAX(Formula!$C$33+(YEAR(D785)-Formula!$C$34)/(Formula!$C$35-Formula!$C$34)*(Formula!$C$32-Formula!$C$33),Formula!$C$33),Formula!$C$32)),1)</f>
        <v>1</v>
      </c>
      <c r="W785" s="17">
        <f t="shared" si="5"/>
        <v>11.8</v>
      </c>
    </row>
    <row r="786" ht="15.75" customHeight="1">
      <c r="A786" s="8" t="s">
        <v>1422</v>
      </c>
      <c r="B786" s="7" t="s">
        <v>1416</v>
      </c>
      <c r="C786" s="13" t="s">
        <v>1417</v>
      </c>
      <c r="D786" s="7" t="s">
        <v>142</v>
      </c>
      <c r="E786" s="8" t="s">
        <v>72</v>
      </c>
      <c r="F786" s="8" t="s">
        <v>318</v>
      </c>
      <c r="G786" s="7" t="s">
        <v>1418</v>
      </c>
      <c r="H786" s="7" t="s">
        <v>1419</v>
      </c>
      <c r="I786" s="8">
        <v>1205.0</v>
      </c>
      <c r="J786" s="8">
        <v>3.2</v>
      </c>
      <c r="K786" s="8" t="s">
        <v>321</v>
      </c>
      <c r="L786" s="8" t="s">
        <v>322</v>
      </c>
      <c r="M786" s="8" t="s">
        <v>828</v>
      </c>
      <c r="N786" s="8">
        <v>9.6</v>
      </c>
      <c r="O786" s="14">
        <f t="shared" si="1"/>
        <v>44562</v>
      </c>
      <c r="P786" s="15">
        <f>IFERROR(VLOOKUP(K786,Formula!$A$11:$B$20,2,FALSE),Formula!$C$26)</f>
        <v>0.9</v>
      </c>
      <c r="Q786" s="15">
        <f>IF(AND(ISNUMBER(J786),J786&gt;0),1/J786,IF(AND(ISNUMBER(I786),I786&gt;0),SQRT(MIN(I786,Formula!$C$27))/Formula!$C$24,1/Formula!$C$25))</f>
        <v>0.3125</v>
      </c>
      <c r="R786" s="15">
        <f t="shared" si="2"/>
        <v>0.28125</v>
      </c>
      <c r="S786" s="15">
        <f>IF(H786&lt;&gt;"",EXP(-Formula!$C$28*(EOMONTH(H786,0)-H786)),EXP(-Formula!$C$28*(EOMONTH(D786,0)-D786)))</f>
        <v>0.6065306597</v>
      </c>
      <c r="T786" s="15">
        <f t="shared" si="3"/>
        <v>0.3015113446</v>
      </c>
      <c r="U786" s="15">
        <f t="shared" si="4"/>
        <v>0.05143383977</v>
      </c>
      <c r="V786" s="16">
        <f>IF(AND(L786="Among all respondents",NOT(OR(K786="Online poll in Telegram channel",K786="Website online poll",K786="CAWI (Computer Assisted Web Interviewing)"))),1/(1-MIN(MAX(Formula!$C$33+(YEAR(D786)-Formula!$C$34)/(Formula!$C$35-Formula!$C$34)*(Formula!$C$32-Formula!$C$33),Formula!$C$33),Formula!$C$32)),1)</f>
        <v>1</v>
      </c>
      <c r="W786" s="17">
        <f t="shared" si="5"/>
        <v>9.6</v>
      </c>
    </row>
    <row r="787" ht="15.75" customHeight="1">
      <c r="A787" s="8" t="s">
        <v>1423</v>
      </c>
      <c r="B787" s="7" t="s">
        <v>1416</v>
      </c>
      <c r="C787" s="13" t="s">
        <v>1417</v>
      </c>
      <c r="D787" s="7" t="s">
        <v>142</v>
      </c>
      <c r="E787" s="8" t="s">
        <v>72</v>
      </c>
      <c r="F787" s="8" t="s">
        <v>318</v>
      </c>
      <c r="G787" s="7" t="s">
        <v>1418</v>
      </c>
      <c r="H787" s="7" t="s">
        <v>1419</v>
      </c>
      <c r="I787" s="8">
        <v>1205.0</v>
      </c>
      <c r="J787" s="8">
        <v>3.2</v>
      </c>
      <c r="K787" s="8" t="s">
        <v>321</v>
      </c>
      <c r="L787" s="8" t="s">
        <v>322</v>
      </c>
      <c r="M787" s="8" t="s">
        <v>365</v>
      </c>
      <c r="N787" s="8">
        <v>9.3</v>
      </c>
      <c r="O787" s="14">
        <f t="shared" si="1"/>
        <v>44562</v>
      </c>
      <c r="P787" s="15">
        <f>IFERROR(VLOOKUP(K787,Formula!$A$11:$B$20,2,FALSE),Formula!$C$26)</f>
        <v>0.9</v>
      </c>
      <c r="Q787" s="15">
        <f>IF(AND(ISNUMBER(J787),J787&gt;0),1/J787,IF(AND(ISNUMBER(I787),I787&gt;0),SQRT(MIN(I787,Formula!$C$27))/Formula!$C$24,1/Formula!$C$25))</f>
        <v>0.3125</v>
      </c>
      <c r="R787" s="15">
        <f t="shared" si="2"/>
        <v>0.28125</v>
      </c>
      <c r="S787" s="15">
        <f>IF(H787&lt;&gt;"",EXP(-Formula!$C$28*(EOMONTH(H787,0)-H787)),EXP(-Formula!$C$28*(EOMONTH(D787,0)-D787)))</f>
        <v>0.6065306597</v>
      </c>
      <c r="T787" s="15">
        <f t="shared" si="3"/>
        <v>0.3015113446</v>
      </c>
      <c r="U787" s="15">
        <f t="shared" si="4"/>
        <v>0.05143383977</v>
      </c>
      <c r="V787" s="16">
        <f>IF(AND(L787="Among all respondents",NOT(OR(K787="Online poll in Telegram channel",K787="Website online poll",K787="CAWI (Computer Assisted Web Interviewing)"))),1/(1-MIN(MAX(Formula!$C$33+(YEAR(D787)-Formula!$C$34)/(Formula!$C$35-Formula!$C$34)*(Formula!$C$32-Formula!$C$33),Formula!$C$33),Formula!$C$32)),1)</f>
        <v>1</v>
      </c>
      <c r="W787" s="17">
        <f t="shared" si="5"/>
        <v>9.3</v>
      </c>
    </row>
    <row r="788" ht="15.75" customHeight="1">
      <c r="A788" s="8" t="s">
        <v>1424</v>
      </c>
      <c r="B788" s="7" t="s">
        <v>1416</v>
      </c>
      <c r="C788" s="13" t="s">
        <v>1417</v>
      </c>
      <c r="D788" s="7" t="s">
        <v>142</v>
      </c>
      <c r="E788" s="8" t="s">
        <v>72</v>
      </c>
      <c r="F788" s="8" t="s">
        <v>318</v>
      </c>
      <c r="G788" s="7" t="s">
        <v>1418</v>
      </c>
      <c r="H788" s="7" t="s">
        <v>1419</v>
      </c>
      <c r="I788" s="8">
        <v>1205.0</v>
      </c>
      <c r="J788" s="8">
        <v>3.2</v>
      </c>
      <c r="K788" s="8" t="s">
        <v>321</v>
      </c>
      <c r="L788" s="8" t="s">
        <v>322</v>
      </c>
      <c r="M788" s="8" t="s">
        <v>1153</v>
      </c>
      <c r="N788" s="8">
        <v>6.8</v>
      </c>
      <c r="O788" s="14">
        <f t="shared" si="1"/>
        <v>44562</v>
      </c>
      <c r="P788" s="15">
        <f>IFERROR(VLOOKUP(K788,Formula!$A$11:$B$20,2,FALSE),Formula!$C$26)</f>
        <v>0.9</v>
      </c>
      <c r="Q788" s="15">
        <f>IF(AND(ISNUMBER(J788),J788&gt;0),1/J788,IF(AND(ISNUMBER(I788),I788&gt;0),SQRT(MIN(I788,Formula!$C$27))/Formula!$C$24,1/Formula!$C$25))</f>
        <v>0.3125</v>
      </c>
      <c r="R788" s="15">
        <f t="shared" si="2"/>
        <v>0.28125</v>
      </c>
      <c r="S788" s="15">
        <f>IF(H788&lt;&gt;"",EXP(-Formula!$C$28*(EOMONTH(H788,0)-H788)),EXP(-Formula!$C$28*(EOMONTH(D788,0)-D788)))</f>
        <v>0.6065306597</v>
      </c>
      <c r="T788" s="15">
        <f t="shared" si="3"/>
        <v>0.3015113446</v>
      </c>
      <c r="U788" s="15">
        <f t="shared" si="4"/>
        <v>0.05143383977</v>
      </c>
      <c r="V788" s="16">
        <f>IF(AND(L788="Among all respondents",NOT(OR(K788="Online poll in Telegram channel",K788="Website online poll",K788="CAWI (Computer Assisted Web Interviewing)"))),1/(1-MIN(MAX(Formula!$C$33+(YEAR(D788)-Formula!$C$34)/(Formula!$C$35-Formula!$C$34)*(Formula!$C$32-Formula!$C$33),Formula!$C$33),Formula!$C$32)),1)</f>
        <v>1</v>
      </c>
      <c r="W788" s="17">
        <f t="shared" si="5"/>
        <v>6.8</v>
      </c>
    </row>
    <row r="789" ht="15.75" customHeight="1">
      <c r="A789" s="8" t="s">
        <v>1425</v>
      </c>
      <c r="B789" s="7" t="s">
        <v>1416</v>
      </c>
      <c r="C789" s="13" t="s">
        <v>1417</v>
      </c>
      <c r="D789" s="7" t="s">
        <v>142</v>
      </c>
      <c r="E789" s="8" t="s">
        <v>72</v>
      </c>
      <c r="F789" s="8" t="s">
        <v>318</v>
      </c>
      <c r="G789" s="7" t="s">
        <v>1418</v>
      </c>
      <c r="H789" s="7" t="s">
        <v>1419</v>
      </c>
      <c r="I789" s="8">
        <v>1205.0</v>
      </c>
      <c r="J789" s="8">
        <v>3.2</v>
      </c>
      <c r="K789" s="8" t="s">
        <v>321</v>
      </c>
      <c r="L789" s="8" t="s">
        <v>322</v>
      </c>
      <c r="M789" s="8" t="s">
        <v>333</v>
      </c>
      <c r="N789" s="8">
        <v>5.0</v>
      </c>
      <c r="O789" s="14">
        <f t="shared" si="1"/>
        <v>44562</v>
      </c>
      <c r="P789" s="15">
        <f>IFERROR(VLOOKUP(K789,Formula!$A$11:$B$20,2,FALSE),Formula!$C$26)</f>
        <v>0.9</v>
      </c>
      <c r="Q789" s="15">
        <f>IF(AND(ISNUMBER(J789),J789&gt;0),1/J789,IF(AND(ISNUMBER(I789),I789&gt;0),SQRT(MIN(I789,Formula!$C$27))/Formula!$C$24,1/Formula!$C$25))</f>
        <v>0.3125</v>
      </c>
      <c r="R789" s="15">
        <f t="shared" si="2"/>
        <v>0.28125</v>
      </c>
      <c r="S789" s="15">
        <f>IF(H789&lt;&gt;"",EXP(-Formula!$C$28*(EOMONTH(H789,0)-H789)),EXP(-Formula!$C$28*(EOMONTH(D789,0)-D789)))</f>
        <v>0.6065306597</v>
      </c>
      <c r="T789" s="15">
        <f t="shared" si="3"/>
        <v>0.3015113446</v>
      </c>
      <c r="U789" s="15">
        <f t="shared" si="4"/>
        <v>0.05143383977</v>
      </c>
      <c r="V789" s="16">
        <f>IF(AND(L789="Among all respondents",NOT(OR(K789="Online poll in Telegram channel",K789="Website online poll",K789="CAWI (Computer Assisted Web Interviewing)"))),1/(1-MIN(MAX(Formula!$C$33+(YEAR(D789)-Formula!$C$34)/(Formula!$C$35-Formula!$C$34)*(Formula!$C$32-Formula!$C$33),Formula!$C$33),Formula!$C$32)),1)</f>
        <v>1</v>
      </c>
      <c r="W789" s="17">
        <f t="shared" si="5"/>
        <v>5</v>
      </c>
    </row>
    <row r="790" ht="15.75" customHeight="1">
      <c r="A790" s="8" t="s">
        <v>1426</v>
      </c>
      <c r="B790" s="7" t="s">
        <v>1416</v>
      </c>
      <c r="C790" s="13" t="s">
        <v>1417</v>
      </c>
      <c r="D790" s="7" t="s">
        <v>142</v>
      </c>
      <c r="E790" s="8" t="s">
        <v>72</v>
      </c>
      <c r="F790" s="8" t="s">
        <v>318</v>
      </c>
      <c r="G790" s="7" t="s">
        <v>1418</v>
      </c>
      <c r="H790" s="7" t="s">
        <v>1419</v>
      </c>
      <c r="I790" s="8">
        <v>1205.0</v>
      </c>
      <c r="J790" s="8">
        <v>3.2</v>
      </c>
      <c r="K790" s="8" t="s">
        <v>321</v>
      </c>
      <c r="L790" s="8" t="s">
        <v>322</v>
      </c>
      <c r="M790" s="8" t="s">
        <v>386</v>
      </c>
      <c r="N790" s="8">
        <v>4.3</v>
      </c>
      <c r="O790" s="14">
        <f t="shared" si="1"/>
        <v>44562</v>
      </c>
      <c r="P790" s="15">
        <f>IFERROR(VLOOKUP(K790,Formula!$A$11:$B$20,2,FALSE),Formula!$C$26)</f>
        <v>0.9</v>
      </c>
      <c r="Q790" s="15">
        <f>IF(AND(ISNUMBER(J790),J790&gt;0),1/J790,IF(AND(ISNUMBER(I790),I790&gt;0),SQRT(MIN(I790,Formula!$C$27))/Formula!$C$24,1/Formula!$C$25))</f>
        <v>0.3125</v>
      </c>
      <c r="R790" s="15">
        <f t="shared" si="2"/>
        <v>0.28125</v>
      </c>
      <c r="S790" s="15">
        <f>IF(H790&lt;&gt;"",EXP(-Formula!$C$28*(EOMONTH(H790,0)-H790)),EXP(-Formula!$C$28*(EOMONTH(D790,0)-D790)))</f>
        <v>0.6065306597</v>
      </c>
      <c r="T790" s="15">
        <f t="shared" si="3"/>
        <v>0.3015113446</v>
      </c>
      <c r="U790" s="15">
        <f t="shared" si="4"/>
        <v>0.05143383977</v>
      </c>
      <c r="V790" s="16">
        <f>IF(AND(L790="Among all respondents",NOT(OR(K790="Online poll in Telegram channel",K790="Website online poll",K790="CAWI (Computer Assisted Web Interviewing)"))),1/(1-MIN(MAX(Formula!$C$33+(YEAR(D790)-Formula!$C$34)/(Formula!$C$35-Formula!$C$34)*(Formula!$C$32-Formula!$C$33),Formula!$C$33),Formula!$C$32)),1)</f>
        <v>1</v>
      </c>
      <c r="W790" s="17">
        <f t="shared" si="5"/>
        <v>4.3</v>
      </c>
    </row>
    <row r="791" ht="15.75" customHeight="1">
      <c r="A791" s="8" t="s">
        <v>1427</v>
      </c>
      <c r="B791" s="7" t="s">
        <v>1416</v>
      </c>
      <c r="C791" s="13" t="s">
        <v>1417</v>
      </c>
      <c r="D791" s="7" t="s">
        <v>142</v>
      </c>
      <c r="E791" s="8" t="s">
        <v>72</v>
      </c>
      <c r="F791" s="8" t="s">
        <v>318</v>
      </c>
      <c r="G791" s="7" t="s">
        <v>1418</v>
      </c>
      <c r="H791" s="7" t="s">
        <v>1419</v>
      </c>
      <c r="I791" s="8">
        <v>1205.0</v>
      </c>
      <c r="J791" s="8">
        <v>3.2</v>
      </c>
      <c r="K791" s="8" t="s">
        <v>321</v>
      </c>
      <c r="L791" s="8" t="s">
        <v>322</v>
      </c>
      <c r="M791" s="8" t="s">
        <v>388</v>
      </c>
      <c r="N791" s="8">
        <v>3.4</v>
      </c>
      <c r="O791" s="14">
        <f t="shared" si="1"/>
        <v>44562</v>
      </c>
      <c r="P791" s="15">
        <f>IFERROR(VLOOKUP(K791,Formula!$A$11:$B$20,2,FALSE),Formula!$C$26)</f>
        <v>0.9</v>
      </c>
      <c r="Q791" s="15">
        <f>IF(AND(ISNUMBER(J791),J791&gt;0),1/J791,IF(AND(ISNUMBER(I791),I791&gt;0),SQRT(MIN(I791,Formula!$C$27))/Formula!$C$24,1/Formula!$C$25))</f>
        <v>0.3125</v>
      </c>
      <c r="R791" s="15">
        <f t="shared" si="2"/>
        <v>0.28125</v>
      </c>
      <c r="S791" s="15">
        <f>IF(H791&lt;&gt;"",EXP(-Formula!$C$28*(EOMONTH(H791,0)-H791)),EXP(-Formula!$C$28*(EOMONTH(D791,0)-D791)))</f>
        <v>0.6065306597</v>
      </c>
      <c r="T791" s="15">
        <f t="shared" si="3"/>
        <v>0.3015113446</v>
      </c>
      <c r="U791" s="15">
        <f t="shared" si="4"/>
        <v>0.05143383977</v>
      </c>
      <c r="V791" s="16">
        <f>IF(AND(L791="Among all respondents",NOT(OR(K791="Online poll in Telegram channel",K791="Website online poll",K791="CAWI (Computer Assisted Web Interviewing)"))),1/(1-MIN(MAX(Formula!$C$33+(YEAR(D791)-Formula!$C$34)/(Formula!$C$35-Formula!$C$34)*(Formula!$C$32-Formula!$C$33),Formula!$C$33),Formula!$C$32)),1)</f>
        <v>1</v>
      </c>
      <c r="W791" s="17">
        <f t="shared" si="5"/>
        <v>3.4</v>
      </c>
    </row>
    <row r="792" ht="15.75" customHeight="1">
      <c r="A792" s="8" t="s">
        <v>1428</v>
      </c>
      <c r="B792" s="7" t="s">
        <v>1416</v>
      </c>
      <c r="C792" s="13" t="s">
        <v>1417</v>
      </c>
      <c r="D792" s="7" t="s">
        <v>142</v>
      </c>
      <c r="E792" s="8" t="s">
        <v>72</v>
      </c>
      <c r="F792" s="8" t="s">
        <v>318</v>
      </c>
      <c r="G792" s="7" t="s">
        <v>1418</v>
      </c>
      <c r="H792" s="7" t="s">
        <v>1419</v>
      </c>
      <c r="I792" s="8">
        <v>1205.0</v>
      </c>
      <c r="J792" s="8">
        <v>3.2</v>
      </c>
      <c r="K792" s="8" t="s">
        <v>321</v>
      </c>
      <c r="L792" s="8" t="s">
        <v>322</v>
      </c>
      <c r="M792" s="8" t="s">
        <v>1334</v>
      </c>
      <c r="N792" s="8">
        <v>2.6</v>
      </c>
      <c r="O792" s="14">
        <f t="shared" si="1"/>
        <v>44562</v>
      </c>
      <c r="P792" s="15">
        <f>IFERROR(VLOOKUP(K792,Formula!$A$11:$B$20,2,FALSE),Formula!$C$26)</f>
        <v>0.9</v>
      </c>
      <c r="Q792" s="15">
        <f>IF(AND(ISNUMBER(J792),J792&gt;0),1/J792,IF(AND(ISNUMBER(I792),I792&gt;0),SQRT(MIN(I792,Formula!$C$27))/Formula!$C$24,1/Formula!$C$25))</f>
        <v>0.3125</v>
      </c>
      <c r="R792" s="15">
        <f t="shared" si="2"/>
        <v>0.28125</v>
      </c>
      <c r="S792" s="15">
        <f>IF(H792&lt;&gt;"",EXP(-Formula!$C$28*(EOMONTH(H792,0)-H792)),EXP(-Formula!$C$28*(EOMONTH(D792,0)-D792)))</f>
        <v>0.6065306597</v>
      </c>
      <c r="T792" s="15">
        <f t="shared" si="3"/>
        <v>0.3015113446</v>
      </c>
      <c r="U792" s="15">
        <f t="shared" si="4"/>
        <v>0.05143383977</v>
      </c>
      <c r="V792" s="16">
        <f>IF(AND(L792="Among all respondents",NOT(OR(K792="Online poll in Telegram channel",K792="Website online poll",K792="CAWI (Computer Assisted Web Interviewing)"))),1/(1-MIN(MAX(Formula!$C$33+(YEAR(D792)-Formula!$C$34)/(Formula!$C$35-Formula!$C$34)*(Formula!$C$32-Formula!$C$33),Formula!$C$33),Formula!$C$32)),1)</f>
        <v>1</v>
      </c>
      <c r="W792" s="17">
        <f t="shared" si="5"/>
        <v>2.6</v>
      </c>
    </row>
    <row r="793" ht="15.75" customHeight="1">
      <c r="A793" s="8" t="s">
        <v>1429</v>
      </c>
      <c r="B793" s="7" t="s">
        <v>1416</v>
      </c>
      <c r="C793" s="13" t="s">
        <v>1417</v>
      </c>
      <c r="D793" s="7" t="s">
        <v>142</v>
      </c>
      <c r="E793" s="8" t="s">
        <v>72</v>
      </c>
      <c r="F793" s="8" t="s">
        <v>318</v>
      </c>
      <c r="G793" s="7" t="s">
        <v>1418</v>
      </c>
      <c r="H793" s="7" t="s">
        <v>1419</v>
      </c>
      <c r="I793" s="8">
        <v>1205.0</v>
      </c>
      <c r="J793" s="8">
        <v>3.2</v>
      </c>
      <c r="K793" s="8" t="s">
        <v>321</v>
      </c>
      <c r="L793" s="8" t="s">
        <v>322</v>
      </c>
      <c r="M793" s="8" t="s">
        <v>740</v>
      </c>
      <c r="N793" s="8">
        <v>1.1</v>
      </c>
      <c r="O793" s="14">
        <f t="shared" si="1"/>
        <v>44562</v>
      </c>
      <c r="P793" s="15">
        <f>IFERROR(VLOOKUP(K793,Formula!$A$11:$B$20,2,FALSE),Formula!$C$26)</f>
        <v>0.9</v>
      </c>
      <c r="Q793" s="15">
        <f>IF(AND(ISNUMBER(J793),J793&gt;0),1/J793,IF(AND(ISNUMBER(I793),I793&gt;0),SQRT(MIN(I793,Formula!$C$27))/Formula!$C$24,1/Formula!$C$25))</f>
        <v>0.3125</v>
      </c>
      <c r="R793" s="15">
        <f t="shared" si="2"/>
        <v>0.28125</v>
      </c>
      <c r="S793" s="15">
        <f>IF(H793&lt;&gt;"",EXP(-Formula!$C$28*(EOMONTH(H793,0)-H793)),EXP(-Formula!$C$28*(EOMONTH(D793,0)-D793)))</f>
        <v>0.6065306597</v>
      </c>
      <c r="T793" s="15">
        <f t="shared" si="3"/>
        <v>0.3015113446</v>
      </c>
      <c r="U793" s="15">
        <f t="shared" si="4"/>
        <v>0.05143383977</v>
      </c>
      <c r="V793" s="16">
        <f>IF(AND(L793="Among all respondents",NOT(OR(K793="Online poll in Telegram channel",K793="Website online poll",K793="CAWI (Computer Assisted Web Interviewing)"))),1/(1-MIN(MAX(Formula!$C$33+(YEAR(D793)-Formula!$C$34)/(Formula!$C$35-Formula!$C$34)*(Formula!$C$32-Formula!$C$33),Formula!$C$33),Formula!$C$32)),1)</f>
        <v>1</v>
      </c>
      <c r="W793" s="17">
        <f t="shared" si="5"/>
        <v>1.1</v>
      </c>
    </row>
    <row r="794" ht="15.75" customHeight="1">
      <c r="A794" s="8" t="s">
        <v>1430</v>
      </c>
      <c r="B794" s="7" t="s">
        <v>1431</v>
      </c>
      <c r="C794" s="13" t="s">
        <v>1432</v>
      </c>
      <c r="D794" s="7" t="s">
        <v>143</v>
      </c>
      <c r="E794" s="8" t="s">
        <v>145</v>
      </c>
      <c r="F794" s="8" t="s">
        <v>318</v>
      </c>
      <c r="G794" s="7" t="s">
        <v>149</v>
      </c>
      <c r="H794" s="7" t="s">
        <v>147</v>
      </c>
      <c r="I794" s="8">
        <v>2018.0</v>
      </c>
      <c r="J794" s="8">
        <v>2.3</v>
      </c>
      <c r="K794" s="8" t="s">
        <v>583</v>
      </c>
      <c r="L794" s="8" t="s">
        <v>322</v>
      </c>
      <c r="M794" s="8" t="s">
        <v>323</v>
      </c>
      <c r="N794" s="8">
        <v>24.2</v>
      </c>
      <c r="O794" s="14">
        <f t="shared" si="1"/>
        <v>44531</v>
      </c>
      <c r="P794" s="15">
        <f>IFERROR(VLOOKUP(K794,Formula!$A$11:$B$20,2,FALSE),Formula!$C$26)</f>
        <v>0.95</v>
      </c>
      <c r="Q794" s="15">
        <f>IF(AND(ISNUMBER(J794),J794&gt;0),1/J794,IF(AND(ISNUMBER(I794),I794&gt;0),SQRT(MIN(I794,Formula!$C$27))/Formula!$C$24,1/Formula!$C$25))</f>
        <v>0.4347826087</v>
      </c>
      <c r="R794" s="15">
        <f t="shared" si="2"/>
        <v>0.4130434783</v>
      </c>
      <c r="S794" s="15">
        <f>IF(H794&lt;&gt;"",EXP(-Formula!$C$28*(EOMONTH(H794,0)-H794)),EXP(-Formula!$C$28*(EOMONTH(D794,0)-D794)))</f>
        <v>0.6376281516</v>
      </c>
      <c r="T794" s="15">
        <f t="shared" si="3"/>
        <v>0.2041241452</v>
      </c>
      <c r="U794" s="15">
        <f t="shared" si="4"/>
        <v>0.05375979841</v>
      </c>
      <c r="V794" s="16">
        <f>IF(AND(L794="Among all respondents",NOT(OR(K794="Online poll in Telegram channel",K794="Website online poll",K794="CAWI (Computer Assisted Web Interviewing)"))),1/(1-MIN(MAX(Formula!$C$33+(YEAR(D794)-Formula!$C$34)/(Formula!$C$35-Formula!$C$34)*(Formula!$C$32-Formula!$C$33),Formula!$C$33),Formula!$C$32)),1)</f>
        <v>1</v>
      </c>
      <c r="W794" s="17">
        <f t="shared" si="5"/>
        <v>24.2</v>
      </c>
    </row>
    <row r="795" ht="15.75" customHeight="1">
      <c r="A795" s="8" t="s">
        <v>1433</v>
      </c>
      <c r="B795" s="7" t="s">
        <v>1431</v>
      </c>
      <c r="C795" s="13" t="s">
        <v>1432</v>
      </c>
      <c r="D795" s="7" t="s">
        <v>143</v>
      </c>
      <c r="E795" s="8" t="s">
        <v>145</v>
      </c>
      <c r="F795" s="8" t="s">
        <v>318</v>
      </c>
      <c r="G795" s="7" t="s">
        <v>149</v>
      </c>
      <c r="H795" s="7" t="s">
        <v>147</v>
      </c>
      <c r="I795" s="8">
        <v>2018.0</v>
      </c>
      <c r="J795" s="8">
        <v>2.3</v>
      </c>
      <c r="K795" s="8" t="s">
        <v>583</v>
      </c>
      <c r="L795" s="8" t="s">
        <v>322</v>
      </c>
      <c r="M795" s="8" t="s">
        <v>329</v>
      </c>
      <c r="N795" s="8">
        <v>16.1</v>
      </c>
      <c r="O795" s="14">
        <f t="shared" si="1"/>
        <v>44531</v>
      </c>
      <c r="P795" s="15">
        <f>IFERROR(VLOOKUP(K795,Formula!$A$11:$B$20,2,FALSE),Formula!$C$26)</f>
        <v>0.95</v>
      </c>
      <c r="Q795" s="15">
        <f>IF(AND(ISNUMBER(J795),J795&gt;0),1/J795,IF(AND(ISNUMBER(I795),I795&gt;0),SQRT(MIN(I795,Formula!$C$27))/Formula!$C$24,1/Formula!$C$25))</f>
        <v>0.4347826087</v>
      </c>
      <c r="R795" s="15">
        <f t="shared" si="2"/>
        <v>0.4130434783</v>
      </c>
      <c r="S795" s="15">
        <f>IF(H795&lt;&gt;"",EXP(-Formula!$C$28*(EOMONTH(H795,0)-H795)),EXP(-Formula!$C$28*(EOMONTH(D795,0)-D795)))</f>
        <v>0.6376281516</v>
      </c>
      <c r="T795" s="15">
        <f t="shared" si="3"/>
        <v>0.2041241452</v>
      </c>
      <c r="U795" s="15">
        <f t="shared" si="4"/>
        <v>0.05375979841</v>
      </c>
      <c r="V795" s="16">
        <f>IF(AND(L795="Among all respondents",NOT(OR(K795="Online poll in Telegram channel",K795="Website online poll",K795="CAWI (Computer Assisted Web Interviewing)"))),1/(1-MIN(MAX(Formula!$C$33+(YEAR(D795)-Formula!$C$34)/(Formula!$C$35-Formula!$C$34)*(Formula!$C$32-Formula!$C$33),Formula!$C$33),Formula!$C$32)),1)</f>
        <v>1</v>
      </c>
      <c r="W795" s="17">
        <f t="shared" si="5"/>
        <v>16.1</v>
      </c>
    </row>
    <row r="796" ht="15.75" customHeight="1">
      <c r="A796" s="8" t="s">
        <v>1434</v>
      </c>
      <c r="B796" s="7" t="s">
        <v>1431</v>
      </c>
      <c r="C796" s="13" t="s">
        <v>1432</v>
      </c>
      <c r="D796" s="7" t="s">
        <v>143</v>
      </c>
      <c r="E796" s="8" t="s">
        <v>145</v>
      </c>
      <c r="F796" s="8" t="s">
        <v>318</v>
      </c>
      <c r="G796" s="7" t="s">
        <v>149</v>
      </c>
      <c r="H796" s="7" t="s">
        <v>147</v>
      </c>
      <c r="I796" s="8">
        <v>2018.0</v>
      </c>
      <c r="J796" s="8">
        <v>2.3</v>
      </c>
      <c r="K796" s="8" t="s">
        <v>583</v>
      </c>
      <c r="L796" s="8" t="s">
        <v>322</v>
      </c>
      <c r="M796" s="8" t="s">
        <v>337</v>
      </c>
      <c r="N796" s="8">
        <v>9.9</v>
      </c>
      <c r="O796" s="14">
        <f t="shared" si="1"/>
        <v>44531</v>
      </c>
      <c r="P796" s="15">
        <f>IFERROR(VLOOKUP(K796,Formula!$A$11:$B$20,2,FALSE),Formula!$C$26)</f>
        <v>0.95</v>
      </c>
      <c r="Q796" s="15">
        <f>IF(AND(ISNUMBER(J796),J796&gt;0),1/J796,IF(AND(ISNUMBER(I796),I796&gt;0),SQRT(MIN(I796,Formula!$C$27))/Formula!$C$24,1/Formula!$C$25))</f>
        <v>0.4347826087</v>
      </c>
      <c r="R796" s="15">
        <f t="shared" si="2"/>
        <v>0.4130434783</v>
      </c>
      <c r="S796" s="15">
        <f>IF(H796&lt;&gt;"",EXP(-Formula!$C$28*(EOMONTH(H796,0)-H796)),EXP(-Formula!$C$28*(EOMONTH(D796,0)-D796)))</f>
        <v>0.6376281516</v>
      </c>
      <c r="T796" s="15">
        <f t="shared" si="3"/>
        <v>0.2041241452</v>
      </c>
      <c r="U796" s="15">
        <f t="shared" si="4"/>
        <v>0.05375979841</v>
      </c>
      <c r="V796" s="16">
        <f>IF(AND(L796="Among all respondents",NOT(OR(K796="Online poll in Telegram channel",K796="Website online poll",K796="CAWI (Computer Assisted Web Interviewing)"))),1/(1-MIN(MAX(Formula!$C$33+(YEAR(D796)-Formula!$C$34)/(Formula!$C$35-Formula!$C$34)*(Formula!$C$32-Formula!$C$33),Formula!$C$33),Formula!$C$32)),1)</f>
        <v>1</v>
      </c>
      <c r="W796" s="17">
        <f t="shared" si="5"/>
        <v>9.9</v>
      </c>
    </row>
    <row r="797" ht="15.75" customHeight="1">
      <c r="A797" s="8" t="s">
        <v>1435</v>
      </c>
      <c r="B797" s="7" t="s">
        <v>1431</v>
      </c>
      <c r="C797" s="13" t="s">
        <v>1432</v>
      </c>
      <c r="D797" s="7" t="s">
        <v>143</v>
      </c>
      <c r="E797" s="8" t="s">
        <v>145</v>
      </c>
      <c r="F797" s="8" t="s">
        <v>318</v>
      </c>
      <c r="G797" s="7" t="s">
        <v>149</v>
      </c>
      <c r="H797" s="7" t="s">
        <v>147</v>
      </c>
      <c r="I797" s="8">
        <v>2018.0</v>
      </c>
      <c r="J797" s="8">
        <v>2.3</v>
      </c>
      <c r="K797" s="8" t="s">
        <v>583</v>
      </c>
      <c r="L797" s="8" t="s">
        <v>322</v>
      </c>
      <c r="M797" s="8" t="s">
        <v>333</v>
      </c>
      <c r="N797" s="8">
        <v>9.3</v>
      </c>
      <c r="O797" s="14">
        <f t="shared" si="1"/>
        <v>44531</v>
      </c>
      <c r="P797" s="15">
        <f>IFERROR(VLOOKUP(K797,Formula!$A$11:$B$20,2,FALSE),Formula!$C$26)</f>
        <v>0.95</v>
      </c>
      <c r="Q797" s="15">
        <f>IF(AND(ISNUMBER(J797),J797&gt;0),1/J797,IF(AND(ISNUMBER(I797),I797&gt;0),SQRT(MIN(I797,Formula!$C$27))/Formula!$C$24,1/Formula!$C$25))</f>
        <v>0.4347826087</v>
      </c>
      <c r="R797" s="15">
        <f t="shared" si="2"/>
        <v>0.4130434783</v>
      </c>
      <c r="S797" s="15">
        <f>IF(H797&lt;&gt;"",EXP(-Formula!$C$28*(EOMONTH(H797,0)-H797)),EXP(-Formula!$C$28*(EOMONTH(D797,0)-D797)))</f>
        <v>0.6376281516</v>
      </c>
      <c r="T797" s="15">
        <f t="shared" si="3"/>
        <v>0.2041241452</v>
      </c>
      <c r="U797" s="15">
        <f t="shared" si="4"/>
        <v>0.05375979841</v>
      </c>
      <c r="V797" s="16">
        <f>IF(AND(L797="Among all respondents",NOT(OR(K797="Online poll in Telegram channel",K797="Website online poll",K797="CAWI (Computer Assisted Web Interviewing)"))),1/(1-MIN(MAX(Formula!$C$33+(YEAR(D797)-Formula!$C$34)/(Formula!$C$35-Formula!$C$34)*(Formula!$C$32-Formula!$C$33),Formula!$C$33),Formula!$C$32)),1)</f>
        <v>1</v>
      </c>
      <c r="W797" s="17">
        <f t="shared" si="5"/>
        <v>9.3</v>
      </c>
    </row>
    <row r="798" ht="15.75" customHeight="1">
      <c r="A798" s="8" t="s">
        <v>1436</v>
      </c>
      <c r="B798" s="7" t="s">
        <v>1431</v>
      </c>
      <c r="C798" s="13" t="s">
        <v>1432</v>
      </c>
      <c r="D798" s="7" t="s">
        <v>143</v>
      </c>
      <c r="E798" s="8" t="s">
        <v>145</v>
      </c>
      <c r="F798" s="8" t="s">
        <v>318</v>
      </c>
      <c r="G798" s="7" t="s">
        <v>149</v>
      </c>
      <c r="H798" s="7" t="s">
        <v>147</v>
      </c>
      <c r="I798" s="8">
        <v>2018.0</v>
      </c>
      <c r="J798" s="8">
        <v>2.3</v>
      </c>
      <c r="K798" s="8" t="s">
        <v>583</v>
      </c>
      <c r="L798" s="8" t="s">
        <v>322</v>
      </c>
      <c r="M798" s="8" t="s">
        <v>365</v>
      </c>
      <c r="N798" s="8">
        <v>9.2</v>
      </c>
      <c r="O798" s="14">
        <f t="shared" si="1"/>
        <v>44531</v>
      </c>
      <c r="P798" s="15">
        <f>IFERROR(VLOOKUP(K798,Formula!$A$11:$B$20,2,FALSE),Formula!$C$26)</f>
        <v>0.95</v>
      </c>
      <c r="Q798" s="15">
        <f>IF(AND(ISNUMBER(J798),J798&gt;0),1/J798,IF(AND(ISNUMBER(I798),I798&gt;0),SQRT(MIN(I798,Formula!$C$27))/Formula!$C$24,1/Formula!$C$25))</f>
        <v>0.4347826087</v>
      </c>
      <c r="R798" s="15">
        <f t="shared" si="2"/>
        <v>0.4130434783</v>
      </c>
      <c r="S798" s="15">
        <f>IF(H798&lt;&gt;"",EXP(-Formula!$C$28*(EOMONTH(H798,0)-H798)),EXP(-Formula!$C$28*(EOMONTH(D798,0)-D798)))</f>
        <v>0.6376281516</v>
      </c>
      <c r="T798" s="15">
        <f t="shared" si="3"/>
        <v>0.2041241452</v>
      </c>
      <c r="U798" s="15">
        <f t="shared" si="4"/>
        <v>0.05375979841</v>
      </c>
      <c r="V798" s="16">
        <f>IF(AND(L798="Among all respondents",NOT(OR(K798="Online poll in Telegram channel",K798="Website online poll",K798="CAWI (Computer Assisted Web Interviewing)"))),1/(1-MIN(MAX(Formula!$C$33+(YEAR(D798)-Formula!$C$34)/(Formula!$C$35-Formula!$C$34)*(Formula!$C$32-Formula!$C$33),Formula!$C$33),Formula!$C$32)),1)</f>
        <v>1</v>
      </c>
      <c r="W798" s="17">
        <f t="shared" si="5"/>
        <v>9.2</v>
      </c>
    </row>
    <row r="799" ht="15.75" customHeight="1">
      <c r="A799" s="8" t="s">
        <v>1437</v>
      </c>
      <c r="B799" s="7" t="s">
        <v>1431</v>
      </c>
      <c r="C799" s="13" t="s">
        <v>1432</v>
      </c>
      <c r="D799" s="7" t="s">
        <v>143</v>
      </c>
      <c r="E799" s="8" t="s">
        <v>145</v>
      </c>
      <c r="F799" s="8" t="s">
        <v>318</v>
      </c>
      <c r="G799" s="7" t="s">
        <v>149</v>
      </c>
      <c r="H799" s="7" t="s">
        <v>147</v>
      </c>
      <c r="I799" s="8">
        <v>2018.0</v>
      </c>
      <c r="J799" s="8">
        <v>2.3</v>
      </c>
      <c r="K799" s="8" t="s">
        <v>583</v>
      </c>
      <c r="L799" s="8" t="s">
        <v>322</v>
      </c>
      <c r="M799" s="8" t="s">
        <v>828</v>
      </c>
      <c r="N799" s="8">
        <v>6.4</v>
      </c>
      <c r="O799" s="14">
        <f t="shared" si="1"/>
        <v>44531</v>
      </c>
      <c r="P799" s="15">
        <f>IFERROR(VLOOKUP(K799,Formula!$A$11:$B$20,2,FALSE),Formula!$C$26)</f>
        <v>0.95</v>
      </c>
      <c r="Q799" s="15">
        <f>IF(AND(ISNUMBER(J799),J799&gt;0),1/J799,IF(AND(ISNUMBER(I799),I799&gt;0),SQRT(MIN(I799,Formula!$C$27))/Formula!$C$24,1/Formula!$C$25))</f>
        <v>0.4347826087</v>
      </c>
      <c r="R799" s="15">
        <f t="shared" si="2"/>
        <v>0.4130434783</v>
      </c>
      <c r="S799" s="15">
        <f>IF(H799&lt;&gt;"",EXP(-Formula!$C$28*(EOMONTH(H799,0)-H799)),EXP(-Formula!$C$28*(EOMONTH(D799,0)-D799)))</f>
        <v>0.6376281516</v>
      </c>
      <c r="T799" s="15">
        <f t="shared" si="3"/>
        <v>0.2041241452</v>
      </c>
      <c r="U799" s="15">
        <f t="shared" si="4"/>
        <v>0.05375979841</v>
      </c>
      <c r="V799" s="16">
        <f>IF(AND(L799="Among all respondents",NOT(OR(K799="Online poll in Telegram channel",K799="Website online poll",K799="CAWI (Computer Assisted Web Interviewing)"))),1/(1-MIN(MAX(Formula!$C$33+(YEAR(D799)-Formula!$C$34)/(Formula!$C$35-Formula!$C$34)*(Formula!$C$32-Formula!$C$33),Formula!$C$33),Formula!$C$32)),1)</f>
        <v>1</v>
      </c>
      <c r="W799" s="17">
        <f t="shared" si="5"/>
        <v>6.4</v>
      </c>
    </row>
    <row r="800" ht="15.75" customHeight="1">
      <c r="A800" s="8" t="s">
        <v>1438</v>
      </c>
      <c r="B800" s="7" t="s">
        <v>1431</v>
      </c>
      <c r="C800" s="13" t="s">
        <v>1432</v>
      </c>
      <c r="D800" s="7" t="s">
        <v>143</v>
      </c>
      <c r="E800" s="8" t="s">
        <v>145</v>
      </c>
      <c r="F800" s="8" t="s">
        <v>318</v>
      </c>
      <c r="G800" s="7" t="s">
        <v>149</v>
      </c>
      <c r="H800" s="7" t="s">
        <v>147</v>
      </c>
      <c r="I800" s="8">
        <v>2018.0</v>
      </c>
      <c r="J800" s="8">
        <v>2.3</v>
      </c>
      <c r="K800" s="8" t="s">
        <v>583</v>
      </c>
      <c r="L800" s="8" t="s">
        <v>322</v>
      </c>
      <c r="M800" s="8" t="s">
        <v>1153</v>
      </c>
      <c r="N800" s="8">
        <v>6.3</v>
      </c>
      <c r="O800" s="14">
        <f t="shared" si="1"/>
        <v>44531</v>
      </c>
      <c r="P800" s="15">
        <f>IFERROR(VLOOKUP(K800,Formula!$A$11:$B$20,2,FALSE),Formula!$C$26)</f>
        <v>0.95</v>
      </c>
      <c r="Q800" s="15">
        <f>IF(AND(ISNUMBER(J800),J800&gt;0),1/J800,IF(AND(ISNUMBER(I800),I800&gt;0),SQRT(MIN(I800,Formula!$C$27))/Formula!$C$24,1/Formula!$C$25))</f>
        <v>0.4347826087</v>
      </c>
      <c r="R800" s="15">
        <f t="shared" si="2"/>
        <v>0.4130434783</v>
      </c>
      <c r="S800" s="15">
        <f>IF(H800&lt;&gt;"",EXP(-Formula!$C$28*(EOMONTH(H800,0)-H800)),EXP(-Formula!$C$28*(EOMONTH(D800,0)-D800)))</f>
        <v>0.6376281516</v>
      </c>
      <c r="T800" s="15">
        <f t="shared" si="3"/>
        <v>0.2041241452</v>
      </c>
      <c r="U800" s="15">
        <f t="shared" si="4"/>
        <v>0.05375979841</v>
      </c>
      <c r="V800" s="16">
        <f>IF(AND(L800="Among all respondents",NOT(OR(K800="Online poll in Telegram channel",K800="Website online poll",K800="CAWI (Computer Assisted Web Interviewing)"))),1/(1-MIN(MAX(Formula!$C$33+(YEAR(D800)-Formula!$C$34)/(Formula!$C$35-Formula!$C$34)*(Formula!$C$32-Formula!$C$33),Formula!$C$33),Formula!$C$32)),1)</f>
        <v>1</v>
      </c>
      <c r="W800" s="17">
        <f t="shared" si="5"/>
        <v>6.3</v>
      </c>
    </row>
    <row r="801" ht="15.75" customHeight="1">
      <c r="A801" s="8" t="s">
        <v>1439</v>
      </c>
      <c r="B801" s="7" t="s">
        <v>1431</v>
      </c>
      <c r="C801" s="13" t="s">
        <v>1432</v>
      </c>
      <c r="D801" s="7" t="s">
        <v>143</v>
      </c>
      <c r="E801" s="8" t="s">
        <v>145</v>
      </c>
      <c r="F801" s="8" t="s">
        <v>318</v>
      </c>
      <c r="G801" s="7" t="s">
        <v>149</v>
      </c>
      <c r="H801" s="7" t="s">
        <v>147</v>
      </c>
      <c r="I801" s="8">
        <v>2018.0</v>
      </c>
      <c r="J801" s="8">
        <v>2.3</v>
      </c>
      <c r="K801" s="8" t="s">
        <v>583</v>
      </c>
      <c r="L801" s="8" t="s">
        <v>322</v>
      </c>
      <c r="M801" s="8" t="s">
        <v>386</v>
      </c>
      <c r="N801" s="8">
        <v>5.0</v>
      </c>
      <c r="O801" s="14">
        <f t="shared" si="1"/>
        <v>44531</v>
      </c>
      <c r="P801" s="15">
        <f>IFERROR(VLOOKUP(K801,Formula!$A$11:$B$20,2,FALSE),Formula!$C$26)</f>
        <v>0.95</v>
      </c>
      <c r="Q801" s="15">
        <f>IF(AND(ISNUMBER(J801),J801&gt;0),1/J801,IF(AND(ISNUMBER(I801),I801&gt;0),SQRT(MIN(I801,Formula!$C$27))/Formula!$C$24,1/Formula!$C$25))</f>
        <v>0.4347826087</v>
      </c>
      <c r="R801" s="15">
        <f t="shared" si="2"/>
        <v>0.4130434783</v>
      </c>
      <c r="S801" s="15">
        <f>IF(H801&lt;&gt;"",EXP(-Formula!$C$28*(EOMONTH(H801,0)-H801)),EXP(-Formula!$C$28*(EOMONTH(D801,0)-D801)))</f>
        <v>0.6376281516</v>
      </c>
      <c r="T801" s="15">
        <f t="shared" si="3"/>
        <v>0.2041241452</v>
      </c>
      <c r="U801" s="15">
        <f t="shared" si="4"/>
        <v>0.05375979841</v>
      </c>
      <c r="V801" s="16">
        <f>IF(AND(L801="Among all respondents",NOT(OR(K801="Online poll in Telegram channel",K801="Website online poll",K801="CAWI (Computer Assisted Web Interviewing)"))),1/(1-MIN(MAX(Formula!$C$33+(YEAR(D801)-Formula!$C$34)/(Formula!$C$35-Formula!$C$34)*(Formula!$C$32-Formula!$C$33),Formula!$C$33),Formula!$C$32)),1)</f>
        <v>1</v>
      </c>
      <c r="W801" s="17">
        <f t="shared" si="5"/>
        <v>5</v>
      </c>
    </row>
    <row r="802" ht="15.75" customHeight="1">
      <c r="A802" s="8" t="s">
        <v>1440</v>
      </c>
      <c r="B802" s="7" t="s">
        <v>1431</v>
      </c>
      <c r="C802" s="13" t="s">
        <v>1432</v>
      </c>
      <c r="D802" s="7" t="s">
        <v>143</v>
      </c>
      <c r="E802" s="8" t="s">
        <v>145</v>
      </c>
      <c r="F802" s="8" t="s">
        <v>318</v>
      </c>
      <c r="G802" s="7" t="s">
        <v>149</v>
      </c>
      <c r="H802" s="7" t="s">
        <v>147</v>
      </c>
      <c r="I802" s="8">
        <v>2018.0</v>
      </c>
      <c r="J802" s="8">
        <v>2.3</v>
      </c>
      <c r="K802" s="8" t="s">
        <v>583</v>
      </c>
      <c r="L802" s="8" t="s">
        <v>322</v>
      </c>
      <c r="M802" s="8" t="s">
        <v>339</v>
      </c>
      <c r="N802" s="8">
        <v>2.7</v>
      </c>
      <c r="O802" s="14">
        <f t="shared" si="1"/>
        <v>44531</v>
      </c>
      <c r="P802" s="15">
        <f>IFERROR(VLOOKUP(K802,Formula!$A$11:$B$20,2,FALSE),Formula!$C$26)</f>
        <v>0.95</v>
      </c>
      <c r="Q802" s="15">
        <f>IF(AND(ISNUMBER(J802),J802&gt;0),1/J802,IF(AND(ISNUMBER(I802),I802&gt;0),SQRT(MIN(I802,Formula!$C$27))/Formula!$C$24,1/Formula!$C$25))</f>
        <v>0.4347826087</v>
      </c>
      <c r="R802" s="15">
        <f t="shared" si="2"/>
        <v>0.4130434783</v>
      </c>
      <c r="S802" s="15">
        <f>IF(H802&lt;&gt;"",EXP(-Formula!$C$28*(EOMONTH(H802,0)-H802)),EXP(-Formula!$C$28*(EOMONTH(D802,0)-D802)))</f>
        <v>0.6376281516</v>
      </c>
      <c r="T802" s="15">
        <f t="shared" si="3"/>
        <v>0.2041241452</v>
      </c>
      <c r="U802" s="15">
        <f t="shared" si="4"/>
        <v>0.05375979841</v>
      </c>
      <c r="V802" s="16">
        <f>IF(AND(L802="Among all respondents",NOT(OR(K802="Online poll in Telegram channel",K802="Website online poll",K802="CAWI (Computer Assisted Web Interviewing)"))),1/(1-MIN(MAX(Formula!$C$33+(YEAR(D802)-Formula!$C$34)/(Formula!$C$35-Formula!$C$34)*(Formula!$C$32-Formula!$C$33),Formula!$C$33),Formula!$C$32)),1)</f>
        <v>1</v>
      </c>
      <c r="W802" s="17">
        <f t="shared" si="5"/>
        <v>2.7</v>
      </c>
    </row>
    <row r="803" ht="15.75" customHeight="1">
      <c r="A803" s="8" t="s">
        <v>1441</v>
      </c>
      <c r="B803" s="7" t="s">
        <v>1431</v>
      </c>
      <c r="C803" s="13" t="s">
        <v>1432</v>
      </c>
      <c r="D803" s="7" t="s">
        <v>143</v>
      </c>
      <c r="E803" s="8" t="s">
        <v>145</v>
      </c>
      <c r="F803" s="8" t="s">
        <v>318</v>
      </c>
      <c r="G803" s="7" t="s">
        <v>149</v>
      </c>
      <c r="H803" s="7" t="s">
        <v>147</v>
      </c>
      <c r="I803" s="8">
        <v>2018.0</v>
      </c>
      <c r="J803" s="8">
        <v>2.3</v>
      </c>
      <c r="K803" s="8" t="s">
        <v>583</v>
      </c>
      <c r="L803" s="8" t="s">
        <v>322</v>
      </c>
      <c r="M803" s="8" t="s">
        <v>1398</v>
      </c>
      <c r="N803" s="8">
        <v>2.2</v>
      </c>
      <c r="O803" s="14">
        <f t="shared" si="1"/>
        <v>44531</v>
      </c>
      <c r="P803" s="15">
        <f>IFERROR(VLOOKUP(K803,Formula!$A$11:$B$20,2,FALSE),Formula!$C$26)</f>
        <v>0.95</v>
      </c>
      <c r="Q803" s="15">
        <f>IF(AND(ISNUMBER(J803),J803&gt;0),1/J803,IF(AND(ISNUMBER(I803),I803&gt;0),SQRT(MIN(I803,Formula!$C$27))/Formula!$C$24,1/Formula!$C$25))</f>
        <v>0.4347826087</v>
      </c>
      <c r="R803" s="15">
        <f t="shared" si="2"/>
        <v>0.4130434783</v>
      </c>
      <c r="S803" s="15">
        <f>IF(H803&lt;&gt;"",EXP(-Formula!$C$28*(EOMONTH(H803,0)-H803)),EXP(-Formula!$C$28*(EOMONTH(D803,0)-D803)))</f>
        <v>0.6376281516</v>
      </c>
      <c r="T803" s="15">
        <f t="shared" si="3"/>
        <v>0.2041241452</v>
      </c>
      <c r="U803" s="15">
        <f t="shared" si="4"/>
        <v>0.05375979841</v>
      </c>
      <c r="V803" s="16">
        <f>IF(AND(L803="Among all respondents",NOT(OR(K803="Online poll in Telegram channel",K803="Website online poll",K803="CAWI (Computer Assisted Web Interviewing)"))),1/(1-MIN(MAX(Formula!$C$33+(YEAR(D803)-Formula!$C$34)/(Formula!$C$35-Formula!$C$34)*(Formula!$C$32-Formula!$C$33),Formula!$C$33),Formula!$C$32)),1)</f>
        <v>1</v>
      </c>
      <c r="W803" s="17">
        <f t="shared" si="5"/>
        <v>2.2</v>
      </c>
    </row>
    <row r="804" ht="15.75" customHeight="1">
      <c r="A804" s="8" t="s">
        <v>1442</v>
      </c>
      <c r="B804" s="7" t="s">
        <v>1431</v>
      </c>
      <c r="C804" s="13" t="s">
        <v>1432</v>
      </c>
      <c r="D804" s="7" t="s">
        <v>143</v>
      </c>
      <c r="E804" s="8" t="s">
        <v>145</v>
      </c>
      <c r="F804" s="8" t="s">
        <v>318</v>
      </c>
      <c r="G804" s="7" t="s">
        <v>149</v>
      </c>
      <c r="H804" s="7" t="s">
        <v>147</v>
      </c>
      <c r="I804" s="8">
        <v>2018.0</v>
      </c>
      <c r="J804" s="8">
        <v>2.3</v>
      </c>
      <c r="K804" s="8" t="s">
        <v>583</v>
      </c>
      <c r="L804" s="8" t="s">
        <v>322</v>
      </c>
      <c r="M804" s="8" t="s">
        <v>388</v>
      </c>
      <c r="N804" s="8">
        <v>1.7</v>
      </c>
      <c r="O804" s="14">
        <f t="shared" si="1"/>
        <v>44531</v>
      </c>
      <c r="P804" s="15">
        <f>IFERROR(VLOOKUP(K804,Formula!$A$11:$B$20,2,FALSE),Formula!$C$26)</f>
        <v>0.95</v>
      </c>
      <c r="Q804" s="15">
        <f>IF(AND(ISNUMBER(J804),J804&gt;0),1/J804,IF(AND(ISNUMBER(I804),I804&gt;0),SQRT(MIN(I804,Formula!$C$27))/Formula!$C$24,1/Formula!$C$25))</f>
        <v>0.4347826087</v>
      </c>
      <c r="R804" s="15">
        <f t="shared" si="2"/>
        <v>0.4130434783</v>
      </c>
      <c r="S804" s="15">
        <f>IF(H804&lt;&gt;"",EXP(-Formula!$C$28*(EOMONTH(H804,0)-H804)),EXP(-Formula!$C$28*(EOMONTH(D804,0)-D804)))</f>
        <v>0.6376281516</v>
      </c>
      <c r="T804" s="15">
        <f t="shared" si="3"/>
        <v>0.2041241452</v>
      </c>
      <c r="U804" s="15">
        <f t="shared" si="4"/>
        <v>0.05375979841</v>
      </c>
      <c r="V804" s="16">
        <f>IF(AND(L804="Among all respondents",NOT(OR(K804="Online poll in Telegram channel",K804="Website online poll",K804="CAWI (Computer Assisted Web Interviewing)"))),1/(1-MIN(MAX(Formula!$C$33+(YEAR(D804)-Formula!$C$34)/(Formula!$C$35-Formula!$C$34)*(Formula!$C$32-Formula!$C$33),Formula!$C$33),Formula!$C$32)),1)</f>
        <v>1</v>
      </c>
      <c r="W804" s="17">
        <f t="shared" si="5"/>
        <v>1.7</v>
      </c>
    </row>
    <row r="805" ht="15.75" customHeight="1">
      <c r="A805" s="8" t="s">
        <v>1443</v>
      </c>
      <c r="B805" s="7" t="s">
        <v>1431</v>
      </c>
      <c r="C805" s="13" t="s">
        <v>1432</v>
      </c>
      <c r="D805" s="7" t="s">
        <v>143</v>
      </c>
      <c r="E805" s="8" t="s">
        <v>145</v>
      </c>
      <c r="F805" s="8" t="s">
        <v>318</v>
      </c>
      <c r="G805" s="7" t="s">
        <v>149</v>
      </c>
      <c r="H805" s="7" t="s">
        <v>147</v>
      </c>
      <c r="I805" s="8">
        <v>2018.0</v>
      </c>
      <c r="J805" s="8">
        <v>2.3</v>
      </c>
      <c r="K805" s="8" t="s">
        <v>583</v>
      </c>
      <c r="L805" s="8" t="s">
        <v>322</v>
      </c>
      <c r="M805" s="8" t="s">
        <v>838</v>
      </c>
      <c r="N805" s="8">
        <v>1.6</v>
      </c>
      <c r="O805" s="14">
        <f t="shared" si="1"/>
        <v>44531</v>
      </c>
      <c r="P805" s="15">
        <f>IFERROR(VLOOKUP(K805,Formula!$A$11:$B$20,2,FALSE),Formula!$C$26)</f>
        <v>0.95</v>
      </c>
      <c r="Q805" s="15">
        <f>IF(AND(ISNUMBER(J805),J805&gt;0),1/J805,IF(AND(ISNUMBER(I805),I805&gt;0),SQRT(MIN(I805,Formula!$C$27))/Formula!$C$24,1/Formula!$C$25))</f>
        <v>0.4347826087</v>
      </c>
      <c r="R805" s="15">
        <f t="shared" si="2"/>
        <v>0.4130434783</v>
      </c>
      <c r="S805" s="15">
        <f>IF(H805&lt;&gt;"",EXP(-Formula!$C$28*(EOMONTH(H805,0)-H805)),EXP(-Formula!$C$28*(EOMONTH(D805,0)-D805)))</f>
        <v>0.6376281516</v>
      </c>
      <c r="T805" s="15">
        <f t="shared" si="3"/>
        <v>0.2041241452</v>
      </c>
      <c r="U805" s="15">
        <f t="shared" si="4"/>
        <v>0.05375979841</v>
      </c>
      <c r="V805" s="16">
        <f>IF(AND(L805="Among all respondents",NOT(OR(K805="Online poll in Telegram channel",K805="Website online poll",K805="CAWI (Computer Assisted Web Interviewing)"))),1/(1-MIN(MAX(Formula!$C$33+(YEAR(D805)-Formula!$C$34)/(Formula!$C$35-Formula!$C$34)*(Formula!$C$32-Formula!$C$33),Formula!$C$33),Formula!$C$32)),1)</f>
        <v>1</v>
      </c>
      <c r="W805" s="17">
        <f t="shared" si="5"/>
        <v>1.6</v>
      </c>
    </row>
    <row r="806" ht="15.75" customHeight="1">
      <c r="A806" s="8" t="s">
        <v>1444</v>
      </c>
      <c r="B806" s="7" t="s">
        <v>1431</v>
      </c>
      <c r="C806" s="13" t="s">
        <v>1432</v>
      </c>
      <c r="D806" s="7" t="s">
        <v>143</v>
      </c>
      <c r="E806" s="8" t="s">
        <v>145</v>
      </c>
      <c r="F806" s="8" t="s">
        <v>318</v>
      </c>
      <c r="G806" s="7" t="s">
        <v>149</v>
      </c>
      <c r="H806" s="7" t="s">
        <v>147</v>
      </c>
      <c r="I806" s="8">
        <v>2018.0</v>
      </c>
      <c r="J806" s="8">
        <v>2.3</v>
      </c>
      <c r="K806" s="8" t="s">
        <v>583</v>
      </c>
      <c r="L806" s="8" t="s">
        <v>322</v>
      </c>
      <c r="M806" s="8" t="s">
        <v>343</v>
      </c>
      <c r="N806" s="8">
        <v>1.4</v>
      </c>
      <c r="O806" s="14">
        <f t="shared" si="1"/>
        <v>44531</v>
      </c>
      <c r="P806" s="15">
        <f>IFERROR(VLOOKUP(K806,Formula!$A$11:$B$20,2,FALSE),Formula!$C$26)</f>
        <v>0.95</v>
      </c>
      <c r="Q806" s="15">
        <f>IF(AND(ISNUMBER(J806),J806&gt;0),1/J806,IF(AND(ISNUMBER(I806),I806&gt;0),SQRT(MIN(I806,Formula!$C$27))/Formula!$C$24,1/Formula!$C$25))</f>
        <v>0.4347826087</v>
      </c>
      <c r="R806" s="15">
        <f t="shared" si="2"/>
        <v>0.4130434783</v>
      </c>
      <c r="S806" s="15">
        <f>IF(H806&lt;&gt;"",EXP(-Formula!$C$28*(EOMONTH(H806,0)-H806)),EXP(-Formula!$C$28*(EOMONTH(D806,0)-D806)))</f>
        <v>0.6376281516</v>
      </c>
      <c r="T806" s="15">
        <f t="shared" si="3"/>
        <v>0.2041241452</v>
      </c>
      <c r="U806" s="15">
        <f t="shared" si="4"/>
        <v>0.05375979841</v>
      </c>
      <c r="V806" s="16">
        <f>IF(AND(L806="Among all respondents",NOT(OR(K806="Online poll in Telegram channel",K806="Website online poll",K806="CAWI (Computer Assisted Web Interviewing)"))),1/(1-MIN(MAX(Formula!$C$33+(YEAR(D806)-Formula!$C$34)/(Formula!$C$35-Formula!$C$34)*(Formula!$C$32-Formula!$C$33),Formula!$C$33),Formula!$C$32)),1)</f>
        <v>1</v>
      </c>
      <c r="W806" s="17">
        <f t="shared" si="5"/>
        <v>1.4</v>
      </c>
    </row>
    <row r="807" ht="15.75" customHeight="1">
      <c r="A807" s="8" t="s">
        <v>1445</v>
      </c>
      <c r="B807" s="7" t="s">
        <v>1431</v>
      </c>
      <c r="C807" s="13" t="s">
        <v>1432</v>
      </c>
      <c r="D807" s="7" t="s">
        <v>143</v>
      </c>
      <c r="E807" s="8" t="s">
        <v>145</v>
      </c>
      <c r="F807" s="8" t="s">
        <v>318</v>
      </c>
      <c r="G807" s="7" t="s">
        <v>149</v>
      </c>
      <c r="H807" s="7" t="s">
        <v>147</v>
      </c>
      <c r="I807" s="8">
        <v>2018.0</v>
      </c>
      <c r="J807" s="8">
        <v>2.3</v>
      </c>
      <c r="K807" s="8" t="s">
        <v>583</v>
      </c>
      <c r="L807" s="8" t="s">
        <v>373</v>
      </c>
      <c r="M807" s="8" t="s">
        <v>1446</v>
      </c>
      <c r="N807" s="8">
        <v>9.3</v>
      </c>
      <c r="O807" s="14">
        <f t="shared" si="1"/>
        <v>44531</v>
      </c>
      <c r="P807" s="15">
        <f>IFERROR(VLOOKUP(K807,Formula!$A$11:$B$20,2,FALSE),Formula!$C$26)</f>
        <v>0.95</v>
      </c>
      <c r="Q807" s="15">
        <f>IF(AND(ISNUMBER(J807),J807&gt;0),1/J807,IF(AND(ISNUMBER(I807),I807&gt;0),SQRT(MIN(I807,Formula!$C$27))/Formula!$C$24,1/Formula!$C$25))</f>
        <v>0.4347826087</v>
      </c>
      <c r="R807" s="15">
        <f t="shared" si="2"/>
        <v>0.4130434783</v>
      </c>
      <c r="S807" s="15">
        <f>IF(H807&lt;&gt;"",EXP(-Formula!$C$28*(EOMONTH(H807,0)-H807)),EXP(-Formula!$C$28*(EOMONTH(D807,0)-D807)))</f>
        <v>0.6376281516</v>
      </c>
      <c r="T807" s="15">
        <f t="shared" si="3"/>
        <v>0.2041241452</v>
      </c>
      <c r="U807" s="15">
        <f t="shared" si="4"/>
        <v>0.05375979841</v>
      </c>
      <c r="V807" s="16">
        <f>IF(AND(L807="Among all respondents",NOT(OR(K807="Online poll in Telegram channel",K807="Website online poll",K807="CAWI (Computer Assisted Web Interviewing)"))),1/(1-MIN(MAX(Formula!$C$33+(YEAR(D807)-Formula!$C$34)/(Formula!$C$35-Formula!$C$34)*(Formula!$C$32-Formula!$C$33),Formula!$C$33),Formula!$C$32)),1)</f>
        <v>1.052631579</v>
      </c>
      <c r="W807" s="17">
        <f t="shared" si="5"/>
        <v>9.789473684</v>
      </c>
    </row>
    <row r="808" ht="15.75" customHeight="1">
      <c r="A808" s="8" t="s">
        <v>1447</v>
      </c>
      <c r="B808" s="7" t="s">
        <v>1431</v>
      </c>
      <c r="C808" s="13" t="s">
        <v>1432</v>
      </c>
      <c r="D808" s="7" t="s">
        <v>143</v>
      </c>
      <c r="E808" s="8" t="s">
        <v>145</v>
      </c>
      <c r="F808" s="8" t="s">
        <v>318</v>
      </c>
      <c r="G808" s="7" t="s">
        <v>149</v>
      </c>
      <c r="H808" s="7" t="s">
        <v>147</v>
      </c>
      <c r="I808" s="8">
        <v>2018.0</v>
      </c>
      <c r="J808" s="8">
        <v>2.3</v>
      </c>
      <c r="K808" s="8" t="s">
        <v>583</v>
      </c>
      <c r="L808" s="8" t="s">
        <v>373</v>
      </c>
      <c r="M808" s="8" t="s">
        <v>1448</v>
      </c>
      <c r="N808" s="8">
        <v>6.4</v>
      </c>
      <c r="O808" s="14">
        <f t="shared" si="1"/>
        <v>44531</v>
      </c>
      <c r="P808" s="15">
        <f>IFERROR(VLOOKUP(K808,Formula!$A$11:$B$20,2,FALSE),Formula!$C$26)</f>
        <v>0.95</v>
      </c>
      <c r="Q808" s="15">
        <f>IF(AND(ISNUMBER(J808),J808&gt;0),1/J808,IF(AND(ISNUMBER(I808),I808&gt;0),SQRT(MIN(I808,Formula!$C$27))/Formula!$C$24,1/Formula!$C$25))</f>
        <v>0.4347826087</v>
      </c>
      <c r="R808" s="15">
        <f t="shared" si="2"/>
        <v>0.4130434783</v>
      </c>
      <c r="S808" s="15">
        <f>IF(H808&lt;&gt;"",EXP(-Formula!$C$28*(EOMONTH(H808,0)-H808)),EXP(-Formula!$C$28*(EOMONTH(D808,0)-D808)))</f>
        <v>0.6376281516</v>
      </c>
      <c r="T808" s="15">
        <f t="shared" si="3"/>
        <v>0.2041241452</v>
      </c>
      <c r="U808" s="15">
        <f t="shared" si="4"/>
        <v>0.05375979841</v>
      </c>
      <c r="V808" s="16">
        <f>IF(AND(L808="Among all respondents",NOT(OR(K808="Online poll in Telegram channel",K808="Website online poll",K808="CAWI (Computer Assisted Web Interviewing)"))),1/(1-MIN(MAX(Formula!$C$33+(YEAR(D808)-Formula!$C$34)/(Formula!$C$35-Formula!$C$34)*(Formula!$C$32-Formula!$C$33),Formula!$C$33),Formula!$C$32)),1)</f>
        <v>1.052631579</v>
      </c>
      <c r="W808" s="17">
        <f t="shared" si="5"/>
        <v>6.736842105</v>
      </c>
    </row>
    <row r="809" ht="15.75" customHeight="1">
      <c r="A809" s="8" t="s">
        <v>1449</v>
      </c>
      <c r="B809" s="7" t="s">
        <v>1431</v>
      </c>
      <c r="C809" s="13" t="s">
        <v>1432</v>
      </c>
      <c r="D809" s="7" t="s">
        <v>143</v>
      </c>
      <c r="E809" s="8" t="s">
        <v>145</v>
      </c>
      <c r="F809" s="8" t="s">
        <v>318</v>
      </c>
      <c r="G809" s="7" t="s">
        <v>149</v>
      </c>
      <c r="H809" s="7" t="s">
        <v>147</v>
      </c>
      <c r="I809" s="8">
        <v>2018.0</v>
      </c>
      <c r="J809" s="8">
        <v>2.3</v>
      </c>
      <c r="K809" s="8" t="s">
        <v>583</v>
      </c>
      <c r="L809" s="8" t="s">
        <v>373</v>
      </c>
      <c r="M809" s="8" t="s">
        <v>1450</v>
      </c>
      <c r="N809" s="8">
        <v>4.4</v>
      </c>
      <c r="O809" s="14">
        <f t="shared" si="1"/>
        <v>44531</v>
      </c>
      <c r="P809" s="15">
        <f>IFERROR(VLOOKUP(K809,Formula!$A$11:$B$20,2,FALSE),Formula!$C$26)</f>
        <v>0.95</v>
      </c>
      <c r="Q809" s="15">
        <f>IF(AND(ISNUMBER(J809),J809&gt;0),1/J809,IF(AND(ISNUMBER(I809),I809&gt;0),SQRT(MIN(I809,Formula!$C$27))/Formula!$C$24,1/Formula!$C$25))</f>
        <v>0.4347826087</v>
      </c>
      <c r="R809" s="15">
        <f t="shared" si="2"/>
        <v>0.4130434783</v>
      </c>
      <c r="S809" s="15">
        <f>IF(H809&lt;&gt;"",EXP(-Formula!$C$28*(EOMONTH(H809,0)-H809)),EXP(-Formula!$C$28*(EOMONTH(D809,0)-D809)))</f>
        <v>0.6376281516</v>
      </c>
      <c r="T809" s="15">
        <f t="shared" si="3"/>
        <v>0.2041241452</v>
      </c>
      <c r="U809" s="15">
        <f t="shared" si="4"/>
        <v>0.05375979841</v>
      </c>
      <c r="V809" s="16">
        <f>IF(AND(L809="Among all respondents",NOT(OR(K809="Online poll in Telegram channel",K809="Website online poll",K809="CAWI (Computer Assisted Web Interviewing)"))),1/(1-MIN(MAX(Formula!$C$33+(YEAR(D809)-Formula!$C$34)/(Formula!$C$35-Formula!$C$34)*(Formula!$C$32-Formula!$C$33),Formula!$C$33),Formula!$C$32)),1)</f>
        <v>1.052631579</v>
      </c>
      <c r="W809" s="17">
        <f t="shared" si="5"/>
        <v>4.631578947</v>
      </c>
    </row>
    <row r="810" ht="15.75" customHeight="1">
      <c r="A810" s="8" t="s">
        <v>1451</v>
      </c>
      <c r="B810" s="7" t="s">
        <v>1431</v>
      </c>
      <c r="C810" s="13" t="s">
        <v>1432</v>
      </c>
      <c r="D810" s="7" t="s">
        <v>143</v>
      </c>
      <c r="E810" s="8" t="s">
        <v>145</v>
      </c>
      <c r="F810" s="8" t="s">
        <v>318</v>
      </c>
      <c r="G810" s="7" t="s">
        <v>149</v>
      </c>
      <c r="H810" s="7" t="s">
        <v>147</v>
      </c>
      <c r="I810" s="8">
        <v>2018.0</v>
      </c>
      <c r="J810" s="8">
        <v>2.3</v>
      </c>
      <c r="K810" s="8" t="s">
        <v>583</v>
      </c>
      <c r="L810" s="8" t="s">
        <v>373</v>
      </c>
      <c r="M810" s="8" t="s">
        <v>1452</v>
      </c>
      <c r="N810" s="8">
        <v>4.2</v>
      </c>
      <c r="O810" s="14">
        <f t="shared" si="1"/>
        <v>44531</v>
      </c>
      <c r="P810" s="15">
        <f>IFERROR(VLOOKUP(K810,Formula!$A$11:$B$20,2,FALSE),Formula!$C$26)</f>
        <v>0.95</v>
      </c>
      <c r="Q810" s="15">
        <f>IF(AND(ISNUMBER(J810),J810&gt;0),1/J810,IF(AND(ISNUMBER(I810),I810&gt;0),SQRT(MIN(I810,Formula!$C$27))/Formula!$C$24,1/Formula!$C$25))</f>
        <v>0.4347826087</v>
      </c>
      <c r="R810" s="15">
        <f t="shared" si="2"/>
        <v>0.4130434783</v>
      </c>
      <c r="S810" s="15">
        <f>IF(H810&lt;&gt;"",EXP(-Formula!$C$28*(EOMONTH(H810,0)-H810)),EXP(-Formula!$C$28*(EOMONTH(D810,0)-D810)))</f>
        <v>0.6376281516</v>
      </c>
      <c r="T810" s="15">
        <f t="shared" si="3"/>
        <v>0.2041241452</v>
      </c>
      <c r="U810" s="15">
        <f t="shared" si="4"/>
        <v>0.05375979841</v>
      </c>
      <c r="V810" s="16">
        <f>IF(AND(L810="Among all respondents",NOT(OR(K810="Online poll in Telegram channel",K810="Website online poll",K810="CAWI (Computer Assisted Web Interviewing)"))),1/(1-MIN(MAX(Formula!$C$33+(YEAR(D810)-Formula!$C$34)/(Formula!$C$35-Formula!$C$34)*(Formula!$C$32-Formula!$C$33),Formula!$C$33),Formula!$C$32)),1)</f>
        <v>1.052631579</v>
      </c>
      <c r="W810" s="17">
        <f t="shared" si="5"/>
        <v>4.421052632</v>
      </c>
    </row>
    <row r="811" ht="15.75" customHeight="1">
      <c r="A811" s="8" t="s">
        <v>1453</v>
      </c>
      <c r="B811" s="7" t="s">
        <v>1431</v>
      </c>
      <c r="C811" s="13" t="s">
        <v>1432</v>
      </c>
      <c r="D811" s="7" t="s">
        <v>143</v>
      </c>
      <c r="E811" s="8" t="s">
        <v>145</v>
      </c>
      <c r="F811" s="8" t="s">
        <v>318</v>
      </c>
      <c r="G811" s="7" t="s">
        <v>149</v>
      </c>
      <c r="H811" s="7" t="s">
        <v>147</v>
      </c>
      <c r="I811" s="8">
        <v>2018.0</v>
      </c>
      <c r="J811" s="8">
        <v>2.3</v>
      </c>
      <c r="K811" s="8" t="s">
        <v>583</v>
      </c>
      <c r="L811" s="8" t="s">
        <v>373</v>
      </c>
      <c r="M811" s="8" t="s">
        <v>1454</v>
      </c>
      <c r="N811" s="8">
        <v>2.7</v>
      </c>
      <c r="O811" s="14">
        <f t="shared" si="1"/>
        <v>44531</v>
      </c>
      <c r="P811" s="15">
        <f>IFERROR(VLOOKUP(K811,Formula!$A$11:$B$20,2,FALSE),Formula!$C$26)</f>
        <v>0.95</v>
      </c>
      <c r="Q811" s="15">
        <f>IF(AND(ISNUMBER(J811),J811&gt;0),1/J811,IF(AND(ISNUMBER(I811),I811&gt;0),SQRT(MIN(I811,Formula!$C$27))/Formula!$C$24,1/Formula!$C$25))</f>
        <v>0.4347826087</v>
      </c>
      <c r="R811" s="15">
        <f t="shared" si="2"/>
        <v>0.4130434783</v>
      </c>
      <c r="S811" s="15">
        <f>IF(H811&lt;&gt;"",EXP(-Formula!$C$28*(EOMONTH(H811,0)-H811)),EXP(-Formula!$C$28*(EOMONTH(D811,0)-D811)))</f>
        <v>0.6376281516</v>
      </c>
      <c r="T811" s="15">
        <f t="shared" si="3"/>
        <v>0.2041241452</v>
      </c>
      <c r="U811" s="15">
        <f t="shared" si="4"/>
        <v>0.05375979841</v>
      </c>
      <c r="V811" s="16">
        <f>IF(AND(L811="Among all respondents",NOT(OR(K811="Online poll in Telegram channel",K811="Website online poll",K811="CAWI (Computer Assisted Web Interviewing)"))),1/(1-MIN(MAX(Formula!$C$33+(YEAR(D811)-Formula!$C$34)/(Formula!$C$35-Formula!$C$34)*(Formula!$C$32-Formula!$C$33),Formula!$C$33),Formula!$C$32)),1)</f>
        <v>1.052631579</v>
      </c>
      <c r="W811" s="17">
        <f t="shared" si="5"/>
        <v>2.842105263</v>
      </c>
    </row>
    <row r="812" ht="15.75" customHeight="1">
      <c r="A812" s="8" t="s">
        <v>1455</v>
      </c>
      <c r="B812" s="7" t="s">
        <v>1431</v>
      </c>
      <c r="C812" s="13" t="s">
        <v>1432</v>
      </c>
      <c r="D812" s="7" t="s">
        <v>143</v>
      </c>
      <c r="E812" s="8" t="s">
        <v>145</v>
      </c>
      <c r="F812" s="8" t="s">
        <v>318</v>
      </c>
      <c r="G812" s="7" t="s">
        <v>149</v>
      </c>
      <c r="H812" s="7" t="s">
        <v>147</v>
      </c>
      <c r="I812" s="8">
        <v>2018.0</v>
      </c>
      <c r="J812" s="8">
        <v>2.3</v>
      </c>
      <c r="K812" s="8" t="s">
        <v>583</v>
      </c>
      <c r="L812" s="8" t="s">
        <v>373</v>
      </c>
      <c r="M812" s="8" t="s">
        <v>1456</v>
      </c>
      <c r="N812" s="8">
        <v>2.6</v>
      </c>
      <c r="O812" s="14">
        <f t="shared" si="1"/>
        <v>44531</v>
      </c>
      <c r="P812" s="15">
        <f>IFERROR(VLOOKUP(K812,Formula!$A$11:$B$20,2,FALSE),Formula!$C$26)</f>
        <v>0.95</v>
      </c>
      <c r="Q812" s="15">
        <f>IF(AND(ISNUMBER(J812),J812&gt;0),1/J812,IF(AND(ISNUMBER(I812),I812&gt;0),SQRT(MIN(I812,Formula!$C$27))/Formula!$C$24,1/Formula!$C$25))</f>
        <v>0.4347826087</v>
      </c>
      <c r="R812" s="15">
        <f t="shared" si="2"/>
        <v>0.4130434783</v>
      </c>
      <c r="S812" s="15">
        <f>IF(H812&lt;&gt;"",EXP(-Formula!$C$28*(EOMONTH(H812,0)-H812)),EXP(-Formula!$C$28*(EOMONTH(D812,0)-D812)))</f>
        <v>0.6376281516</v>
      </c>
      <c r="T812" s="15">
        <f t="shared" si="3"/>
        <v>0.2041241452</v>
      </c>
      <c r="U812" s="15">
        <f t="shared" si="4"/>
        <v>0.05375979841</v>
      </c>
      <c r="V812" s="16">
        <f>IF(AND(L812="Among all respondents",NOT(OR(K812="Online poll in Telegram channel",K812="Website online poll",K812="CAWI (Computer Assisted Web Interviewing)"))),1/(1-MIN(MAX(Formula!$C$33+(YEAR(D812)-Formula!$C$34)/(Formula!$C$35-Formula!$C$34)*(Formula!$C$32-Formula!$C$33),Formula!$C$33),Formula!$C$32)),1)</f>
        <v>1.052631579</v>
      </c>
      <c r="W812" s="17">
        <f t="shared" si="5"/>
        <v>2.736842105</v>
      </c>
    </row>
    <row r="813" ht="15.75" customHeight="1">
      <c r="A813" s="8" t="s">
        <v>1457</v>
      </c>
      <c r="B813" s="7" t="s">
        <v>1431</v>
      </c>
      <c r="C813" s="13" t="s">
        <v>1432</v>
      </c>
      <c r="D813" s="7" t="s">
        <v>143</v>
      </c>
      <c r="E813" s="8" t="s">
        <v>145</v>
      </c>
      <c r="F813" s="8" t="s">
        <v>318</v>
      </c>
      <c r="G813" s="7" t="s">
        <v>149</v>
      </c>
      <c r="H813" s="7" t="s">
        <v>147</v>
      </c>
      <c r="I813" s="8">
        <v>2018.0</v>
      </c>
      <c r="J813" s="8">
        <v>2.3</v>
      </c>
      <c r="K813" s="8" t="s">
        <v>583</v>
      </c>
      <c r="L813" s="8" t="s">
        <v>373</v>
      </c>
      <c r="M813" s="8" t="s">
        <v>1458</v>
      </c>
      <c r="N813" s="8">
        <v>2.0</v>
      </c>
      <c r="O813" s="14">
        <f t="shared" si="1"/>
        <v>44531</v>
      </c>
      <c r="P813" s="15">
        <f>IFERROR(VLOOKUP(K813,Formula!$A$11:$B$20,2,FALSE),Formula!$C$26)</f>
        <v>0.95</v>
      </c>
      <c r="Q813" s="15">
        <f>IF(AND(ISNUMBER(J813),J813&gt;0),1/J813,IF(AND(ISNUMBER(I813),I813&gt;0),SQRT(MIN(I813,Formula!$C$27))/Formula!$C$24,1/Formula!$C$25))</f>
        <v>0.4347826087</v>
      </c>
      <c r="R813" s="15">
        <f t="shared" si="2"/>
        <v>0.4130434783</v>
      </c>
      <c r="S813" s="15">
        <f>IF(H813&lt;&gt;"",EXP(-Formula!$C$28*(EOMONTH(H813,0)-H813)),EXP(-Formula!$C$28*(EOMONTH(D813,0)-D813)))</f>
        <v>0.6376281516</v>
      </c>
      <c r="T813" s="15">
        <f t="shared" si="3"/>
        <v>0.2041241452</v>
      </c>
      <c r="U813" s="15">
        <f t="shared" si="4"/>
        <v>0.05375979841</v>
      </c>
      <c r="V813" s="16">
        <f>IF(AND(L813="Among all respondents",NOT(OR(K813="Online poll in Telegram channel",K813="Website online poll",K813="CAWI (Computer Assisted Web Interviewing)"))),1/(1-MIN(MAX(Formula!$C$33+(YEAR(D813)-Formula!$C$34)/(Formula!$C$35-Formula!$C$34)*(Formula!$C$32-Formula!$C$33),Formula!$C$33),Formula!$C$32)),1)</f>
        <v>1.052631579</v>
      </c>
      <c r="W813" s="17">
        <f t="shared" si="5"/>
        <v>2.105263158</v>
      </c>
    </row>
    <row r="814" ht="15.75" customHeight="1">
      <c r="A814" s="8" t="s">
        <v>1459</v>
      </c>
      <c r="B814" s="7" t="s">
        <v>1431</v>
      </c>
      <c r="C814" s="13" t="s">
        <v>1432</v>
      </c>
      <c r="D814" s="7" t="s">
        <v>143</v>
      </c>
      <c r="E814" s="8" t="s">
        <v>145</v>
      </c>
      <c r="F814" s="8" t="s">
        <v>318</v>
      </c>
      <c r="G814" s="7" t="s">
        <v>149</v>
      </c>
      <c r="H814" s="7" t="s">
        <v>147</v>
      </c>
      <c r="I814" s="8">
        <v>2018.0</v>
      </c>
      <c r="J814" s="8">
        <v>2.3</v>
      </c>
      <c r="K814" s="8" t="s">
        <v>583</v>
      </c>
      <c r="L814" s="8" t="s">
        <v>373</v>
      </c>
      <c r="M814" s="8" t="s">
        <v>1460</v>
      </c>
      <c r="N814" s="8">
        <v>1.9</v>
      </c>
      <c r="O814" s="14">
        <f t="shared" si="1"/>
        <v>44531</v>
      </c>
      <c r="P814" s="15">
        <f>IFERROR(VLOOKUP(K814,Formula!$A$11:$B$20,2,FALSE),Formula!$C$26)</f>
        <v>0.95</v>
      </c>
      <c r="Q814" s="15">
        <f>IF(AND(ISNUMBER(J814),J814&gt;0),1/J814,IF(AND(ISNUMBER(I814),I814&gt;0),SQRT(MIN(I814,Formula!$C$27))/Formula!$C$24,1/Formula!$C$25))</f>
        <v>0.4347826087</v>
      </c>
      <c r="R814" s="15">
        <f t="shared" si="2"/>
        <v>0.4130434783</v>
      </c>
      <c r="S814" s="15">
        <f>IF(H814&lt;&gt;"",EXP(-Formula!$C$28*(EOMONTH(H814,0)-H814)),EXP(-Formula!$C$28*(EOMONTH(D814,0)-D814)))</f>
        <v>0.6376281516</v>
      </c>
      <c r="T814" s="15">
        <f t="shared" si="3"/>
        <v>0.2041241452</v>
      </c>
      <c r="U814" s="15">
        <f t="shared" si="4"/>
        <v>0.05375979841</v>
      </c>
      <c r="V814" s="16">
        <f>IF(AND(L814="Among all respondents",NOT(OR(K814="Online poll in Telegram channel",K814="Website online poll",K814="CAWI (Computer Assisted Web Interviewing)"))),1/(1-MIN(MAX(Formula!$C$33+(YEAR(D814)-Formula!$C$34)/(Formula!$C$35-Formula!$C$34)*(Formula!$C$32-Formula!$C$33),Formula!$C$33),Formula!$C$32)),1)</f>
        <v>1.052631579</v>
      </c>
      <c r="W814" s="17">
        <f t="shared" si="5"/>
        <v>2</v>
      </c>
    </row>
    <row r="815" ht="15.75" customHeight="1">
      <c r="A815" s="8" t="s">
        <v>1461</v>
      </c>
      <c r="B815" s="7" t="s">
        <v>1431</v>
      </c>
      <c r="C815" s="13" t="s">
        <v>1432</v>
      </c>
      <c r="D815" s="7" t="s">
        <v>143</v>
      </c>
      <c r="E815" s="8" t="s">
        <v>145</v>
      </c>
      <c r="F815" s="8" t="s">
        <v>318</v>
      </c>
      <c r="G815" s="7" t="s">
        <v>149</v>
      </c>
      <c r="H815" s="7" t="s">
        <v>147</v>
      </c>
      <c r="I815" s="8">
        <v>2018.0</v>
      </c>
      <c r="J815" s="8">
        <v>2.3</v>
      </c>
      <c r="K815" s="8" t="s">
        <v>583</v>
      </c>
      <c r="L815" s="8" t="s">
        <v>373</v>
      </c>
      <c r="M815" s="8" t="s">
        <v>1462</v>
      </c>
      <c r="N815" s="8">
        <v>1.3</v>
      </c>
      <c r="O815" s="14">
        <f t="shared" si="1"/>
        <v>44531</v>
      </c>
      <c r="P815" s="15">
        <f>IFERROR(VLOOKUP(K815,Formula!$A$11:$B$20,2,FALSE),Formula!$C$26)</f>
        <v>0.95</v>
      </c>
      <c r="Q815" s="15">
        <f>IF(AND(ISNUMBER(J815),J815&gt;0),1/J815,IF(AND(ISNUMBER(I815),I815&gt;0),SQRT(MIN(I815,Formula!$C$27))/Formula!$C$24,1/Formula!$C$25))</f>
        <v>0.4347826087</v>
      </c>
      <c r="R815" s="15">
        <f t="shared" si="2"/>
        <v>0.4130434783</v>
      </c>
      <c r="S815" s="15">
        <f>IF(H815&lt;&gt;"",EXP(-Formula!$C$28*(EOMONTH(H815,0)-H815)),EXP(-Formula!$C$28*(EOMONTH(D815,0)-D815)))</f>
        <v>0.6376281516</v>
      </c>
      <c r="T815" s="15">
        <f t="shared" si="3"/>
        <v>0.2041241452</v>
      </c>
      <c r="U815" s="15">
        <f t="shared" si="4"/>
        <v>0.05375979841</v>
      </c>
      <c r="V815" s="16">
        <f>IF(AND(L815="Among all respondents",NOT(OR(K815="Online poll in Telegram channel",K815="Website online poll",K815="CAWI (Computer Assisted Web Interviewing)"))),1/(1-MIN(MAX(Formula!$C$33+(YEAR(D815)-Formula!$C$34)/(Formula!$C$35-Formula!$C$34)*(Formula!$C$32-Formula!$C$33),Formula!$C$33),Formula!$C$32)),1)</f>
        <v>1.052631579</v>
      </c>
      <c r="W815" s="17">
        <f t="shared" si="5"/>
        <v>1.368421053</v>
      </c>
    </row>
    <row r="816" ht="15.75" customHeight="1">
      <c r="A816" s="8" t="s">
        <v>1463</v>
      </c>
      <c r="B816" s="7" t="s">
        <v>1431</v>
      </c>
      <c r="C816" s="13" t="s">
        <v>1432</v>
      </c>
      <c r="D816" s="7" t="s">
        <v>143</v>
      </c>
      <c r="E816" s="8" t="s">
        <v>145</v>
      </c>
      <c r="F816" s="8" t="s">
        <v>318</v>
      </c>
      <c r="G816" s="7" t="s">
        <v>149</v>
      </c>
      <c r="H816" s="7" t="s">
        <v>147</v>
      </c>
      <c r="I816" s="8">
        <v>2018.0</v>
      </c>
      <c r="J816" s="8">
        <v>2.3</v>
      </c>
      <c r="K816" s="8" t="s">
        <v>583</v>
      </c>
      <c r="L816" s="8" t="s">
        <v>373</v>
      </c>
      <c r="M816" s="8" t="s">
        <v>1464</v>
      </c>
      <c r="N816" s="8">
        <v>1.1</v>
      </c>
      <c r="O816" s="14">
        <f t="shared" si="1"/>
        <v>44531</v>
      </c>
      <c r="P816" s="15">
        <f>IFERROR(VLOOKUP(K816,Formula!$A$11:$B$20,2,FALSE),Formula!$C$26)</f>
        <v>0.95</v>
      </c>
      <c r="Q816" s="15">
        <f>IF(AND(ISNUMBER(J816),J816&gt;0),1/J816,IF(AND(ISNUMBER(I816),I816&gt;0),SQRT(MIN(I816,Formula!$C$27))/Formula!$C$24,1/Formula!$C$25))</f>
        <v>0.4347826087</v>
      </c>
      <c r="R816" s="15">
        <f t="shared" si="2"/>
        <v>0.4130434783</v>
      </c>
      <c r="S816" s="15">
        <f>IF(H816&lt;&gt;"",EXP(-Formula!$C$28*(EOMONTH(H816,0)-H816)),EXP(-Formula!$C$28*(EOMONTH(D816,0)-D816)))</f>
        <v>0.6376281516</v>
      </c>
      <c r="T816" s="15">
        <f t="shared" si="3"/>
        <v>0.2041241452</v>
      </c>
      <c r="U816" s="15">
        <f t="shared" si="4"/>
        <v>0.05375979841</v>
      </c>
      <c r="V816" s="16">
        <f>IF(AND(L816="Among all respondents",NOT(OR(K816="Online poll in Telegram channel",K816="Website online poll",K816="CAWI (Computer Assisted Web Interviewing)"))),1/(1-MIN(MAX(Formula!$C$33+(YEAR(D816)-Formula!$C$34)/(Formula!$C$35-Formula!$C$34)*(Formula!$C$32-Formula!$C$33),Formula!$C$33),Formula!$C$32)),1)</f>
        <v>1.052631579</v>
      </c>
      <c r="W816" s="17">
        <f t="shared" si="5"/>
        <v>1.157894737</v>
      </c>
    </row>
    <row r="817" ht="15.75" customHeight="1">
      <c r="A817" s="8" t="s">
        <v>1465</v>
      </c>
      <c r="B817" s="7" t="s">
        <v>1431</v>
      </c>
      <c r="C817" s="13" t="s">
        <v>1432</v>
      </c>
      <c r="D817" s="7" t="s">
        <v>143</v>
      </c>
      <c r="E817" s="8" t="s">
        <v>145</v>
      </c>
      <c r="F817" s="8" t="s">
        <v>318</v>
      </c>
      <c r="G817" s="7" t="s">
        <v>149</v>
      </c>
      <c r="H817" s="7" t="s">
        <v>147</v>
      </c>
      <c r="I817" s="8">
        <v>2018.0</v>
      </c>
      <c r="J817" s="8">
        <v>2.3</v>
      </c>
      <c r="K817" s="8" t="s">
        <v>583</v>
      </c>
      <c r="L817" s="8" t="s">
        <v>373</v>
      </c>
      <c r="M817" s="8" t="s">
        <v>1466</v>
      </c>
      <c r="N817" s="8">
        <v>0.8</v>
      </c>
      <c r="O817" s="14">
        <f t="shared" si="1"/>
        <v>44531</v>
      </c>
      <c r="P817" s="15">
        <f>IFERROR(VLOOKUP(K817,Formula!$A$11:$B$20,2,FALSE),Formula!$C$26)</f>
        <v>0.95</v>
      </c>
      <c r="Q817" s="15">
        <f>IF(AND(ISNUMBER(J817),J817&gt;0),1/J817,IF(AND(ISNUMBER(I817),I817&gt;0),SQRT(MIN(I817,Formula!$C$27))/Formula!$C$24,1/Formula!$C$25))</f>
        <v>0.4347826087</v>
      </c>
      <c r="R817" s="15">
        <f t="shared" si="2"/>
        <v>0.4130434783</v>
      </c>
      <c r="S817" s="15">
        <f>IF(H817&lt;&gt;"",EXP(-Formula!$C$28*(EOMONTH(H817,0)-H817)),EXP(-Formula!$C$28*(EOMONTH(D817,0)-D817)))</f>
        <v>0.6376281516</v>
      </c>
      <c r="T817" s="15">
        <f t="shared" si="3"/>
        <v>0.2041241452</v>
      </c>
      <c r="U817" s="15">
        <f t="shared" si="4"/>
        <v>0.05375979841</v>
      </c>
      <c r="V817" s="16">
        <f>IF(AND(L817="Among all respondents",NOT(OR(K817="Online poll in Telegram channel",K817="Website online poll",K817="CAWI (Computer Assisted Web Interviewing)"))),1/(1-MIN(MAX(Formula!$C$33+(YEAR(D817)-Formula!$C$34)/(Formula!$C$35-Formula!$C$34)*(Formula!$C$32-Formula!$C$33),Formula!$C$33),Formula!$C$32)),1)</f>
        <v>1.052631579</v>
      </c>
      <c r="W817" s="17">
        <f t="shared" si="5"/>
        <v>0.8421052632</v>
      </c>
    </row>
    <row r="818" ht="15.75" customHeight="1">
      <c r="A818" s="8" t="s">
        <v>1467</v>
      </c>
      <c r="B818" s="7" t="s">
        <v>1468</v>
      </c>
      <c r="C818" s="13" t="s">
        <v>1469</v>
      </c>
      <c r="D818" s="7" t="s">
        <v>146</v>
      </c>
      <c r="E818" s="8" t="s">
        <v>61</v>
      </c>
      <c r="F818" s="8" t="s">
        <v>318</v>
      </c>
      <c r="G818" s="7" t="s">
        <v>149</v>
      </c>
      <c r="H818" s="7" t="s">
        <v>1470</v>
      </c>
      <c r="I818" s="8">
        <v>15116.0</v>
      </c>
      <c r="J818" s="8">
        <v>1.5</v>
      </c>
      <c r="K818" s="8" t="s">
        <v>467</v>
      </c>
      <c r="L818" s="8" t="s">
        <v>322</v>
      </c>
      <c r="M818" s="8" t="s">
        <v>323</v>
      </c>
      <c r="N818" s="8">
        <v>26.36</v>
      </c>
      <c r="O818" s="14">
        <f t="shared" si="1"/>
        <v>44531</v>
      </c>
      <c r="P818" s="15">
        <f>IFERROR(VLOOKUP(K818,Formula!$A$11:$B$20,2,FALSE),Formula!$C$26)</f>
        <v>1</v>
      </c>
      <c r="Q818" s="15">
        <f>IF(AND(ISNUMBER(J818),J818&gt;0),1/J818,IF(AND(ISNUMBER(I818),I818&gt;0),SQRT(MIN(I818,Formula!$C$27))/Formula!$C$24,1/Formula!$C$25))</f>
        <v>0.6666666667</v>
      </c>
      <c r="R818" s="15">
        <f t="shared" si="2"/>
        <v>0.6666666667</v>
      </c>
      <c r="S818" s="15">
        <f>IF(H818&lt;&gt;"",EXP(-Formula!$C$28*(EOMONTH(H818,0)-H818)),EXP(-Formula!$C$28*(EOMONTH(D818,0)-D818)))</f>
        <v>0.5488116361</v>
      </c>
      <c r="T818" s="15">
        <f t="shared" si="3"/>
        <v>0.2236067977</v>
      </c>
      <c r="U818" s="15">
        <f t="shared" si="4"/>
        <v>0.08181200834</v>
      </c>
      <c r="V818" s="16">
        <f>IF(AND(L818="Among all respondents",NOT(OR(K818="Online poll in Telegram channel",K818="Website online poll",K818="CAWI (Computer Assisted Web Interviewing)"))),1/(1-MIN(MAX(Formula!$C$33+(YEAR(D818)-Formula!$C$34)/(Formula!$C$35-Formula!$C$34)*(Formula!$C$32-Formula!$C$33),Formula!$C$33),Formula!$C$32)),1)</f>
        <v>1</v>
      </c>
      <c r="W818" s="17">
        <f t="shared" si="5"/>
        <v>26.36</v>
      </c>
    </row>
    <row r="819" ht="15.75" customHeight="1">
      <c r="A819" s="8" t="s">
        <v>1471</v>
      </c>
      <c r="B819" s="7" t="s">
        <v>1468</v>
      </c>
      <c r="C819" s="13" t="s">
        <v>1469</v>
      </c>
      <c r="D819" s="7" t="s">
        <v>146</v>
      </c>
      <c r="E819" s="8" t="s">
        <v>61</v>
      </c>
      <c r="F819" s="8" t="s">
        <v>318</v>
      </c>
      <c r="G819" s="7" t="s">
        <v>149</v>
      </c>
      <c r="H819" s="7" t="s">
        <v>1470</v>
      </c>
      <c r="I819" s="8">
        <v>15116.0</v>
      </c>
      <c r="J819" s="8">
        <v>1.5</v>
      </c>
      <c r="K819" s="8" t="s">
        <v>467</v>
      </c>
      <c r="L819" s="8" t="s">
        <v>322</v>
      </c>
      <c r="M819" s="8" t="s">
        <v>329</v>
      </c>
      <c r="N819" s="8">
        <v>18.63</v>
      </c>
      <c r="O819" s="14">
        <f t="shared" si="1"/>
        <v>44531</v>
      </c>
      <c r="P819" s="15">
        <f>IFERROR(VLOOKUP(K819,Formula!$A$11:$B$20,2,FALSE),Formula!$C$26)</f>
        <v>1</v>
      </c>
      <c r="Q819" s="15">
        <f>IF(AND(ISNUMBER(J819),J819&gt;0),1/J819,IF(AND(ISNUMBER(I819),I819&gt;0),SQRT(MIN(I819,Formula!$C$27))/Formula!$C$24,1/Formula!$C$25))</f>
        <v>0.6666666667</v>
      </c>
      <c r="R819" s="15">
        <f t="shared" si="2"/>
        <v>0.6666666667</v>
      </c>
      <c r="S819" s="15">
        <f>IF(H819&lt;&gt;"",EXP(-Formula!$C$28*(EOMONTH(H819,0)-H819)),EXP(-Formula!$C$28*(EOMONTH(D819,0)-D819)))</f>
        <v>0.5488116361</v>
      </c>
      <c r="T819" s="15">
        <f t="shared" si="3"/>
        <v>0.2236067977</v>
      </c>
      <c r="U819" s="15">
        <f t="shared" si="4"/>
        <v>0.08181200834</v>
      </c>
      <c r="V819" s="16">
        <f>IF(AND(L819="Among all respondents",NOT(OR(K819="Online poll in Telegram channel",K819="Website online poll",K819="CAWI (Computer Assisted Web Interviewing)"))),1/(1-MIN(MAX(Formula!$C$33+(YEAR(D819)-Formula!$C$34)/(Formula!$C$35-Formula!$C$34)*(Formula!$C$32-Formula!$C$33),Formula!$C$33),Formula!$C$32)),1)</f>
        <v>1</v>
      </c>
      <c r="W819" s="17">
        <f t="shared" si="5"/>
        <v>18.63</v>
      </c>
    </row>
    <row r="820" ht="15.75" customHeight="1">
      <c r="A820" s="8" t="s">
        <v>1472</v>
      </c>
      <c r="B820" s="7" t="s">
        <v>1468</v>
      </c>
      <c r="C820" s="13" t="s">
        <v>1469</v>
      </c>
      <c r="D820" s="7" t="s">
        <v>146</v>
      </c>
      <c r="E820" s="8" t="s">
        <v>61</v>
      </c>
      <c r="F820" s="8" t="s">
        <v>318</v>
      </c>
      <c r="G820" s="7" t="s">
        <v>149</v>
      </c>
      <c r="H820" s="7" t="s">
        <v>1470</v>
      </c>
      <c r="I820" s="8">
        <v>15116.0</v>
      </c>
      <c r="J820" s="8">
        <v>1.5</v>
      </c>
      <c r="K820" s="8" t="s">
        <v>467</v>
      </c>
      <c r="L820" s="8" t="s">
        <v>322</v>
      </c>
      <c r="M820" s="8" t="s">
        <v>365</v>
      </c>
      <c r="N820" s="8">
        <v>15.24</v>
      </c>
      <c r="O820" s="14">
        <f t="shared" si="1"/>
        <v>44531</v>
      </c>
      <c r="P820" s="15">
        <f>IFERROR(VLOOKUP(K820,Formula!$A$11:$B$20,2,FALSE),Formula!$C$26)</f>
        <v>1</v>
      </c>
      <c r="Q820" s="15">
        <f>IF(AND(ISNUMBER(J820),J820&gt;0),1/J820,IF(AND(ISNUMBER(I820),I820&gt;0),SQRT(MIN(I820,Formula!$C$27))/Formula!$C$24,1/Formula!$C$25))</f>
        <v>0.6666666667</v>
      </c>
      <c r="R820" s="15">
        <f t="shared" si="2"/>
        <v>0.6666666667</v>
      </c>
      <c r="S820" s="15">
        <f>IF(H820&lt;&gt;"",EXP(-Formula!$C$28*(EOMONTH(H820,0)-H820)),EXP(-Formula!$C$28*(EOMONTH(D820,0)-D820)))</f>
        <v>0.5488116361</v>
      </c>
      <c r="T820" s="15">
        <f t="shared" si="3"/>
        <v>0.2236067977</v>
      </c>
      <c r="U820" s="15">
        <f t="shared" si="4"/>
        <v>0.08181200834</v>
      </c>
      <c r="V820" s="16">
        <f>IF(AND(L820="Among all respondents",NOT(OR(K820="Online poll in Telegram channel",K820="Website online poll",K820="CAWI (Computer Assisted Web Interviewing)"))),1/(1-MIN(MAX(Formula!$C$33+(YEAR(D820)-Formula!$C$34)/(Formula!$C$35-Formula!$C$34)*(Formula!$C$32-Formula!$C$33),Formula!$C$33),Formula!$C$32)),1)</f>
        <v>1</v>
      </c>
      <c r="W820" s="17">
        <f t="shared" si="5"/>
        <v>15.24</v>
      </c>
    </row>
    <row r="821" ht="15.75" customHeight="1">
      <c r="A821" s="8" t="s">
        <v>1473</v>
      </c>
      <c r="B821" s="7" t="s">
        <v>1468</v>
      </c>
      <c r="C821" s="13" t="s">
        <v>1469</v>
      </c>
      <c r="D821" s="7" t="s">
        <v>146</v>
      </c>
      <c r="E821" s="8" t="s">
        <v>61</v>
      </c>
      <c r="F821" s="8" t="s">
        <v>318</v>
      </c>
      <c r="G821" s="7" t="s">
        <v>149</v>
      </c>
      <c r="H821" s="7" t="s">
        <v>1470</v>
      </c>
      <c r="I821" s="8">
        <v>15116.0</v>
      </c>
      <c r="J821" s="8">
        <v>1.5</v>
      </c>
      <c r="K821" s="8" t="s">
        <v>467</v>
      </c>
      <c r="L821" s="8" t="s">
        <v>322</v>
      </c>
      <c r="M821" s="8" t="s">
        <v>337</v>
      </c>
      <c r="N821" s="8">
        <v>13.48</v>
      </c>
      <c r="O821" s="14">
        <f t="shared" si="1"/>
        <v>44531</v>
      </c>
      <c r="P821" s="15">
        <f>IFERROR(VLOOKUP(K821,Formula!$A$11:$B$20,2,FALSE),Formula!$C$26)</f>
        <v>1</v>
      </c>
      <c r="Q821" s="15">
        <f>IF(AND(ISNUMBER(J821),J821&gt;0),1/J821,IF(AND(ISNUMBER(I821),I821&gt;0),SQRT(MIN(I821,Formula!$C$27))/Formula!$C$24,1/Formula!$C$25))</f>
        <v>0.6666666667</v>
      </c>
      <c r="R821" s="15">
        <f t="shared" si="2"/>
        <v>0.6666666667</v>
      </c>
      <c r="S821" s="15">
        <f>IF(H821&lt;&gt;"",EXP(-Formula!$C$28*(EOMONTH(H821,0)-H821)),EXP(-Formula!$C$28*(EOMONTH(D821,0)-D821)))</f>
        <v>0.5488116361</v>
      </c>
      <c r="T821" s="15">
        <f t="shared" si="3"/>
        <v>0.2236067977</v>
      </c>
      <c r="U821" s="15">
        <f t="shared" si="4"/>
        <v>0.08181200834</v>
      </c>
      <c r="V821" s="16">
        <f>IF(AND(L821="Among all respondents",NOT(OR(K821="Online poll in Telegram channel",K821="Website online poll",K821="CAWI (Computer Assisted Web Interviewing)"))),1/(1-MIN(MAX(Formula!$C$33+(YEAR(D821)-Formula!$C$34)/(Formula!$C$35-Formula!$C$34)*(Formula!$C$32-Formula!$C$33),Formula!$C$33),Formula!$C$32)),1)</f>
        <v>1</v>
      </c>
      <c r="W821" s="17">
        <f t="shared" si="5"/>
        <v>13.48</v>
      </c>
    </row>
    <row r="822" ht="15.75" customHeight="1">
      <c r="A822" s="8" t="s">
        <v>1474</v>
      </c>
      <c r="B822" s="7" t="s">
        <v>1468</v>
      </c>
      <c r="C822" s="13" t="s">
        <v>1469</v>
      </c>
      <c r="D822" s="7" t="s">
        <v>146</v>
      </c>
      <c r="E822" s="8" t="s">
        <v>61</v>
      </c>
      <c r="F822" s="8" t="s">
        <v>318</v>
      </c>
      <c r="G822" s="7" t="s">
        <v>149</v>
      </c>
      <c r="H822" s="7" t="s">
        <v>1470</v>
      </c>
      <c r="I822" s="8">
        <v>15116.0</v>
      </c>
      <c r="J822" s="8">
        <v>1.5</v>
      </c>
      <c r="K822" s="8" t="s">
        <v>467</v>
      </c>
      <c r="L822" s="8" t="s">
        <v>322</v>
      </c>
      <c r="M822" s="8" t="s">
        <v>828</v>
      </c>
      <c r="N822" s="8">
        <v>4.87</v>
      </c>
      <c r="O822" s="14">
        <f t="shared" si="1"/>
        <v>44531</v>
      </c>
      <c r="P822" s="15">
        <f>IFERROR(VLOOKUP(K822,Formula!$A$11:$B$20,2,FALSE),Formula!$C$26)</f>
        <v>1</v>
      </c>
      <c r="Q822" s="15">
        <f>IF(AND(ISNUMBER(J822),J822&gt;0),1/J822,IF(AND(ISNUMBER(I822),I822&gt;0),SQRT(MIN(I822,Formula!$C$27))/Formula!$C$24,1/Formula!$C$25))</f>
        <v>0.6666666667</v>
      </c>
      <c r="R822" s="15">
        <f t="shared" si="2"/>
        <v>0.6666666667</v>
      </c>
      <c r="S822" s="15">
        <f>IF(H822&lt;&gt;"",EXP(-Formula!$C$28*(EOMONTH(H822,0)-H822)),EXP(-Formula!$C$28*(EOMONTH(D822,0)-D822)))</f>
        <v>0.5488116361</v>
      </c>
      <c r="T822" s="15">
        <f t="shared" si="3"/>
        <v>0.2236067977</v>
      </c>
      <c r="U822" s="15">
        <f t="shared" si="4"/>
        <v>0.08181200834</v>
      </c>
      <c r="V822" s="16">
        <f>IF(AND(L822="Among all respondents",NOT(OR(K822="Online poll in Telegram channel",K822="Website online poll",K822="CAWI (Computer Assisted Web Interviewing)"))),1/(1-MIN(MAX(Formula!$C$33+(YEAR(D822)-Formula!$C$34)/(Formula!$C$35-Formula!$C$34)*(Formula!$C$32-Formula!$C$33),Formula!$C$33),Formula!$C$32)),1)</f>
        <v>1</v>
      </c>
      <c r="W822" s="17">
        <f t="shared" si="5"/>
        <v>4.87</v>
      </c>
    </row>
    <row r="823" ht="15.75" customHeight="1">
      <c r="A823" s="8" t="s">
        <v>1475</v>
      </c>
      <c r="B823" s="7" t="s">
        <v>1468</v>
      </c>
      <c r="C823" s="13" t="s">
        <v>1469</v>
      </c>
      <c r="D823" s="7" t="s">
        <v>146</v>
      </c>
      <c r="E823" s="8" t="s">
        <v>61</v>
      </c>
      <c r="F823" s="8" t="s">
        <v>318</v>
      </c>
      <c r="G823" s="7" t="s">
        <v>149</v>
      </c>
      <c r="H823" s="7" t="s">
        <v>1470</v>
      </c>
      <c r="I823" s="8">
        <v>15116.0</v>
      </c>
      <c r="J823" s="8">
        <v>1.5</v>
      </c>
      <c r="K823" s="8" t="s">
        <v>467</v>
      </c>
      <c r="L823" s="8" t="s">
        <v>322</v>
      </c>
      <c r="M823" s="8" t="s">
        <v>333</v>
      </c>
      <c r="N823" s="8">
        <v>3.38</v>
      </c>
      <c r="O823" s="14">
        <f t="shared" si="1"/>
        <v>44531</v>
      </c>
      <c r="P823" s="15">
        <f>IFERROR(VLOOKUP(K823,Formula!$A$11:$B$20,2,FALSE),Formula!$C$26)</f>
        <v>1</v>
      </c>
      <c r="Q823" s="15">
        <f>IF(AND(ISNUMBER(J823),J823&gt;0),1/J823,IF(AND(ISNUMBER(I823),I823&gt;0),SQRT(MIN(I823,Formula!$C$27))/Formula!$C$24,1/Formula!$C$25))</f>
        <v>0.6666666667</v>
      </c>
      <c r="R823" s="15">
        <f t="shared" si="2"/>
        <v>0.6666666667</v>
      </c>
      <c r="S823" s="15">
        <f>IF(H823&lt;&gt;"",EXP(-Formula!$C$28*(EOMONTH(H823,0)-H823)),EXP(-Formula!$C$28*(EOMONTH(D823,0)-D823)))</f>
        <v>0.5488116361</v>
      </c>
      <c r="T823" s="15">
        <f t="shared" si="3"/>
        <v>0.2236067977</v>
      </c>
      <c r="U823" s="15">
        <f t="shared" si="4"/>
        <v>0.08181200834</v>
      </c>
      <c r="V823" s="16">
        <f>IF(AND(L823="Among all respondents",NOT(OR(K823="Online poll in Telegram channel",K823="Website online poll",K823="CAWI (Computer Assisted Web Interviewing)"))),1/(1-MIN(MAX(Formula!$C$33+(YEAR(D823)-Formula!$C$34)/(Formula!$C$35-Formula!$C$34)*(Formula!$C$32-Formula!$C$33),Formula!$C$33),Formula!$C$32)),1)</f>
        <v>1</v>
      </c>
      <c r="W823" s="17">
        <f t="shared" si="5"/>
        <v>3.38</v>
      </c>
    </row>
    <row r="824" ht="15.75" customHeight="1">
      <c r="A824" s="8" t="s">
        <v>1476</v>
      </c>
      <c r="B824" s="7" t="s">
        <v>1468</v>
      </c>
      <c r="C824" s="13" t="s">
        <v>1469</v>
      </c>
      <c r="D824" s="7" t="s">
        <v>146</v>
      </c>
      <c r="E824" s="8" t="s">
        <v>61</v>
      </c>
      <c r="F824" s="8" t="s">
        <v>318</v>
      </c>
      <c r="G824" s="7" t="s">
        <v>149</v>
      </c>
      <c r="H824" s="7" t="s">
        <v>1470</v>
      </c>
      <c r="I824" s="8">
        <v>15116.0</v>
      </c>
      <c r="J824" s="8">
        <v>1.5</v>
      </c>
      <c r="K824" s="8" t="s">
        <v>467</v>
      </c>
      <c r="L824" s="8" t="s">
        <v>322</v>
      </c>
      <c r="M824" s="8" t="s">
        <v>1153</v>
      </c>
      <c r="N824" s="8">
        <v>2.71</v>
      </c>
      <c r="O824" s="14">
        <f t="shared" si="1"/>
        <v>44531</v>
      </c>
      <c r="P824" s="15">
        <f>IFERROR(VLOOKUP(K824,Formula!$A$11:$B$20,2,FALSE),Formula!$C$26)</f>
        <v>1</v>
      </c>
      <c r="Q824" s="15">
        <f>IF(AND(ISNUMBER(J824),J824&gt;0),1/J824,IF(AND(ISNUMBER(I824),I824&gt;0),SQRT(MIN(I824,Formula!$C$27))/Formula!$C$24,1/Formula!$C$25))</f>
        <v>0.6666666667</v>
      </c>
      <c r="R824" s="15">
        <f t="shared" si="2"/>
        <v>0.6666666667</v>
      </c>
      <c r="S824" s="15">
        <f>IF(H824&lt;&gt;"",EXP(-Formula!$C$28*(EOMONTH(H824,0)-H824)),EXP(-Formula!$C$28*(EOMONTH(D824,0)-D824)))</f>
        <v>0.5488116361</v>
      </c>
      <c r="T824" s="15">
        <f t="shared" si="3"/>
        <v>0.2236067977</v>
      </c>
      <c r="U824" s="15">
        <f t="shared" si="4"/>
        <v>0.08181200834</v>
      </c>
      <c r="V824" s="16">
        <f>IF(AND(L824="Among all respondents",NOT(OR(K824="Online poll in Telegram channel",K824="Website online poll",K824="CAWI (Computer Assisted Web Interviewing)"))),1/(1-MIN(MAX(Formula!$C$33+(YEAR(D824)-Formula!$C$34)/(Formula!$C$35-Formula!$C$34)*(Formula!$C$32-Formula!$C$33),Formula!$C$33),Formula!$C$32)),1)</f>
        <v>1</v>
      </c>
      <c r="W824" s="17">
        <f t="shared" si="5"/>
        <v>2.71</v>
      </c>
    </row>
    <row r="825" ht="15.75" customHeight="1">
      <c r="A825" s="8" t="s">
        <v>1477</v>
      </c>
      <c r="B825" s="7" t="s">
        <v>1468</v>
      </c>
      <c r="C825" s="13" t="s">
        <v>1469</v>
      </c>
      <c r="D825" s="7" t="s">
        <v>146</v>
      </c>
      <c r="E825" s="8" t="s">
        <v>61</v>
      </c>
      <c r="F825" s="8" t="s">
        <v>318</v>
      </c>
      <c r="G825" s="7" t="s">
        <v>149</v>
      </c>
      <c r="H825" s="7" t="s">
        <v>1470</v>
      </c>
      <c r="I825" s="8">
        <v>15116.0</v>
      </c>
      <c r="J825" s="8">
        <v>1.5</v>
      </c>
      <c r="K825" s="8" t="s">
        <v>467</v>
      </c>
      <c r="L825" s="8" t="s">
        <v>322</v>
      </c>
      <c r="M825" s="8" t="s">
        <v>836</v>
      </c>
      <c r="N825" s="8">
        <v>2.45</v>
      </c>
      <c r="O825" s="14">
        <f t="shared" si="1"/>
        <v>44531</v>
      </c>
      <c r="P825" s="15">
        <f>IFERROR(VLOOKUP(K825,Formula!$A$11:$B$20,2,FALSE),Formula!$C$26)</f>
        <v>1</v>
      </c>
      <c r="Q825" s="15">
        <f>IF(AND(ISNUMBER(J825),J825&gt;0),1/J825,IF(AND(ISNUMBER(I825),I825&gt;0),SQRT(MIN(I825,Formula!$C$27))/Formula!$C$24,1/Formula!$C$25))</f>
        <v>0.6666666667</v>
      </c>
      <c r="R825" s="15">
        <f t="shared" si="2"/>
        <v>0.6666666667</v>
      </c>
      <c r="S825" s="15">
        <f>IF(H825&lt;&gt;"",EXP(-Formula!$C$28*(EOMONTH(H825,0)-H825)),EXP(-Formula!$C$28*(EOMONTH(D825,0)-D825)))</f>
        <v>0.5488116361</v>
      </c>
      <c r="T825" s="15">
        <f t="shared" si="3"/>
        <v>0.2236067977</v>
      </c>
      <c r="U825" s="15">
        <f t="shared" si="4"/>
        <v>0.08181200834</v>
      </c>
      <c r="V825" s="16">
        <f>IF(AND(L825="Among all respondents",NOT(OR(K825="Online poll in Telegram channel",K825="Website online poll",K825="CAWI (Computer Assisted Web Interviewing)"))),1/(1-MIN(MAX(Formula!$C$33+(YEAR(D825)-Formula!$C$34)/(Formula!$C$35-Formula!$C$34)*(Formula!$C$32-Formula!$C$33),Formula!$C$33),Formula!$C$32)),1)</f>
        <v>1</v>
      </c>
      <c r="W825" s="17">
        <f t="shared" si="5"/>
        <v>2.45</v>
      </c>
    </row>
    <row r="826" ht="15.75" customHeight="1">
      <c r="A826" s="8" t="s">
        <v>1478</v>
      </c>
      <c r="B826" s="7" t="s">
        <v>1468</v>
      </c>
      <c r="C826" s="13" t="s">
        <v>1469</v>
      </c>
      <c r="D826" s="7" t="s">
        <v>146</v>
      </c>
      <c r="E826" s="8" t="s">
        <v>61</v>
      </c>
      <c r="F826" s="8" t="s">
        <v>318</v>
      </c>
      <c r="G826" s="7" t="s">
        <v>149</v>
      </c>
      <c r="H826" s="7" t="s">
        <v>1470</v>
      </c>
      <c r="I826" s="8">
        <v>15116.0</v>
      </c>
      <c r="J826" s="8">
        <v>1.5</v>
      </c>
      <c r="K826" s="8" t="s">
        <v>467</v>
      </c>
      <c r="L826" s="8" t="s">
        <v>322</v>
      </c>
      <c r="M826" s="8" t="s">
        <v>388</v>
      </c>
      <c r="N826" s="8">
        <v>2.18</v>
      </c>
      <c r="O826" s="14">
        <f t="shared" si="1"/>
        <v>44531</v>
      </c>
      <c r="P826" s="15">
        <f>IFERROR(VLOOKUP(K826,Formula!$A$11:$B$20,2,FALSE),Formula!$C$26)</f>
        <v>1</v>
      </c>
      <c r="Q826" s="15">
        <f>IF(AND(ISNUMBER(J826),J826&gt;0),1/J826,IF(AND(ISNUMBER(I826),I826&gt;0),SQRT(MIN(I826,Formula!$C$27))/Formula!$C$24,1/Formula!$C$25))</f>
        <v>0.6666666667</v>
      </c>
      <c r="R826" s="15">
        <f t="shared" si="2"/>
        <v>0.6666666667</v>
      </c>
      <c r="S826" s="15">
        <f>IF(H826&lt;&gt;"",EXP(-Formula!$C$28*(EOMONTH(H826,0)-H826)),EXP(-Formula!$C$28*(EOMONTH(D826,0)-D826)))</f>
        <v>0.5488116361</v>
      </c>
      <c r="T826" s="15">
        <f t="shared" si="3"/>
        <v>0.2236067977</v>
      </c>
      <c r="U826" s="15">
        <f t="shared" si="4"/>
        <v>0.08181200834</v>
      </c>
      <c r="V826" s="16">
        <f>IF(AND(L826="Among all respondents",NOT(OR(K826="Online poll in Telegram channel",K826="Website online poll",K826="CAWI (Computer Assisted Web Interviewing)"))),1/(1-MIN(MAX(Formula!$C$33+(YEAR(D826)-Formula!$C$34)/(Formula!$C$35-Formula!$C$34)*(Formula!$C$32-Formula!$C$33),Formula!$C$33),Formula!$C$32)),1)</f>
        <v>1</v>
      </c>
      <c r="W826" s="17">
        <f t="shared" si="5"/>
        <v>2.18</v>
      </c>
    </row>
    <row r="827" ht="15.75" customHeight="1">
      <c r="A827" s="8" t="s">
        <v>1479</v>
      </c>
      <c r="B827" s="7" t="s">
        <v>1468</v>
      </c>
      <c r="C827" s="13" t="s">
        <v>1469</v>
      </c>
      <c r="D827" s="7" t="s">
        <v>146</v>
      </c>
      <c r="E827" s="8" t="s">
        <v>61</v>
      </c>
      <c r="F827" s="8" t="s">
        <v>318</v>
      </c>
      <c r="G827" s="7" t="s">
        <v>149</v>
      </c>
      <c r="H827" s="7" t="s">
        <v>1470</v>
      </c>
      <c r="I827" s="8">
        <v>15116.0</v>
      </c>
      <c r="J827" s="8">
        <v>1.5</v>
      </c>
      <c r="K827" s="8" t="s">
        <v>467</v>
      </c>
      <c r="L827" s="8" t="s">
        <v>322</v>
      </c>
      <c r="M827" s="8" t="s">
        <v>740</v>
      </c>
      <c r="N827" s="8">
        <v>1.98</v>
      </c>
      <c r="O827" s="14">
        <f t="shared" si="1"/>
        <v>44531</v>
      </c>
      <c r="P827" s="15">
        <f>IFERROR(VLOOKUP(K827,Formula!$A$11:$B$20,2,FALSE),Formula!$C$26)</f>
        <v>1</v>
      </c>
      <c r="Q827" s="15">
        <f>IF(AND(ISNUMBER(J827),J827&gt;0),1/J827,IF(AND(ISNUMBER(I827),I827&gt;0),SQRT(MIN(I827,Formula!$C$27))/Formula!$C$24,1/Formula!$C$25))</f>
        <v>0.6666666667</v>
      </c>
      <c r="R827" s="15">
        <f t="shared" si="2"/>
        <v>0.6666666667</v>
      </c>
      <c r="S827" s="15">
        <f>IF(H827&lt;&gt;"",EXP(-Formula!$C$28*(EOMONTH(H827,0)-H827)),EXP(-Formula!$C$28*(EOMONTH(D827,0)-D827)))</f>
        <v>0.5488116361</v>
      </c>
      <c r="T827" s="15">
        <f t="shared" si="3"/>
        <v>0.2236067977</v>
      </c>
      <c r="U827" s="15">
        <f t="shared" si="4"/>
        <v>0.08181200834</v>
      </c>
      <c r="V827" s="16">
        <f>IF(AND(L827="Among all respondents",NOT(OR(K827="Online poll in Telegram channel",K827="Website online poll",K827="CAWI (Computer Assisted Web Interviewing)"))),1/(1-MIN(MAX(Formula!$C$33+(YEAR(D827)-Formula!$C$34)/(Formula!$C$35-Formula!$C$34)*(Formula!$C$32-Formula!$C$33),Formula!$C$33),Formula!$C$32)),1)</f>
        <v>1</v>
      </c>
      <c r="W827" s="17">
        <f t="shared" si="5"/>
        <v>1.98</v>
      </c>
    </row>
    <row r="828" ht="15.75" customHeight="1">
      <c r="A828" s="8" t="s">
        <v>1480</v>
      </c>
      <c r="B828" s="7" t="s">
        <v>1468</v>
      </c>
      <c r="C828" s="13" t="s">
        <v>1469</v>
      </c>
      <c r="D828" s="7" t="s">
        <v>146</v>
      </c>
      <c r="E828" s="8" t="s">
        <v>61</v>
      </c>
      <c r="F828" s="8" t="s">
        <v>318</v>
      </c>
      <c r="G828" s="7" t="s">
        <v>149</v>
      </c>
      <c r="H828" s="7" t="s">
        <v>1470</v>
      </c>
      <c r="I828" s="8">
        <v>15116.0</v>
      </c>
      <c r="J828" s="8">
        <v>1.5</v>
      </c>
      <c r="K828" s="8" t="s">
        <v>467</v>
      </c>
      <c r="L828" s="8" t="s">
        <v>322</v>
      </c>
      <c r="M828" s="8" t="s">
        <v>386</v>
      </c>
      <c r="N828" s="8">
        <v>1.27</v>
      </c>
      <c r="O828" s="14">
        <f t="shared" si="1"/>
        <v>44531</v>
      </c>
      <c r="P828" s="15">
        <f>IFERROR(VLOOKUP(K828,Formula!$A$11:$B$20,2,FALSE),Formula!$C$26)</f>
        <v>1</v>
      </c>
      <c r="Q828" s="15">
        <f>IF(AND(ISNUMBER(J828),J828&gt;0),1/J828,IF(AND(ISNUMBER(I828),I828&gt;0),SQRT(MIN(I828,Formula!$C$27))/Formula!$C$24,1/Formula!$C$25))</f>
        <v>0.6666666667</v>
      </c>
      <c r="R828" s="15">
        <f t="shared" si="2"/>
        <v>0.6666666667</v>
      </c>
      <c r="S828" s="15">
        <f>IF(H828&lt;&gt;"",EXP(-Formula!$C$28*(EOMONTH(H828,0)-H828)),EXP(-Formula!$C$28*(EOMONTH(D828,0)-D828)))</f>
        <v>0.5488116361</v>
      </c>
      <c r="T828" s="15">
        <f t="shared" si="3"/>
        <v>0.2236067977</v>
      </c>
      <c r="U828" s="15">
        <f t="shared" si="4"/>
        <v>0.08181200834</v>
      </c>
      <c r="V828" s="16">
        <f>IF(AND(L828="Among all respondents",NOT(OR(K828="Online poll in Telegram channel",K828="Website online poll",K828="CAWI (Computer Assisted Web Interviewing)"))),1/(1-MIN(MAX(Formula!$C$33+(YEAR(D828)-Formula!$C$34)/(Formula!$C$35-Formula!$C$34)*(Formula!$C$32-Formula!$C$33),Formula!$C$33),Formula!$C$32)),1)</f>
        <v>1</v>
      </c>
      <c r="W828" s="17">
        <f t="shared" si="5"/>
        <v>1.27</v>
      </c>
    </row>
    <row r="829" ht="15.75" customHeight="1">
      <c r="A829" s="8" t="s">
        <v>1481</v>
      </c>
      <c r="B829" s="7" t="s">
        <v>1468</v>
      </c>
      <c r="C829" s="13" t="s">
        <v>1469</v>
      </c>
      <c r="D829" s="7" t="s">
        <v>146</v>
      </c>
      <c r="E829" s="8" t="s">
        <v>61</v>
      </c>
      <c r="F829" s="8" t="s">
        <v>318</v>
      </c>
      <c r="G829" s="7" t="s">
        <v>149</v>
      </c>
      <c r="H829" s="7" t="s">
        <v>1470</v>
      </c>
      <c r="I829" s="8">
        <v>15116.0</v>
      </c>
      <c r="J829" s="8">
        <v>1.5</v>
      </c>
      <c r="K829" s="8" t="s">
        <v>467</v>
      </c>
      <c r="L829" s="8" t="s">
        <v>322</v>
      </c>
      <c r="M829" s="8" t="s">
        <v>343</v>
      </c>
      <c r="N829" s="8">
        <v>1.2</v>
      </c>
      <c r="O829" s="14">
        <f t="shared" si="1"/>
        <v>44531</v>
      </c>
      <c r="P829" s="15">
        <f>IFERROR(VLOOKUP(K829,Formula!$A$11:$B$20,2,FALSE),Formula!$C$26)</f>
        <v>1</v>
      </c>
      <c r="Q829" s="15">
        <f>IF(AND(ISNUMBER(J829),J829&gt;0),1/J829,IF(AND(ISNUMBER(I829),I829&gt;0),SQRT(MIN(I829,Formula!$C$27))/Formula!$C$24,1/Formula!$C$25))</f>
        <v>0.6666666667</v>
      </c>
      <c r="R829" s="15">
        <f t="shared" si="2"/>
        <v>0.6666666667</v>
      </c>
      <c r="S829" s="15">
        <f>IF(H829&lt;&gt;"",EXP(-Formula!$C$28*(EOMONTH(H829,0)-H829)),EXP(-Formula!$C$28*(EOMONTH(D829,0)-D829)))</f>
        <v>0.5488116361</v>
      </c>
      <c r="T829" s="15">
        <f t="shared" si="3"/>
        <v>0.2236067977</v>
      </c>
      <c r="U829" s="15">
        <f t="shared" si="4"/>
        <v>0.08181200834</v>
      </c>
      <c r="V829" s="16">
        <f>IF(AND(L829="Among all respondents",NOT(OR(K829="Online poll in Telegram channel",K829="Website online poll",K829="CAWI (Computer Assisted Web Interviewing)"))),1/(1-MIN(MAX(Formula!$C$33+(YEAR(D829)-Formula!$C$34)/(Formula!$C$35-Formula!$C$34)*(Formula!$C$32-Formula!$C$33),Formula!$C$33),Formula!$C$32)),1)</f>
        <v>1</v>
      </c>
      <c r="W829" s="17">
        <f t="shared" si="5"/>
        <v>1.2</v>
      </c>
    </row>
    <row r="830" ht="15.75" customHeight="1">
      <c r="A830" s="8" t="s">
        <v>1482</v>
      </c>
      <c r="B830" s="7" t="s">
        <v>1468</v>
      </c>
      <c r="C830" s="13" t="s">
        <v>1469</v>
      </c>
      <c r="D830" s="7" t="s">
        <v>146</v>
      </c>
      <c r="E830" s="8" t="s">
        <v>61</v>
      </c>
      <c r="F830" s="8" t="s">
        <v>318</v>
      </c>
      <c r="G830" s="7" t="s">
        <v>149</v>
      </c>
      <c r="H830" s="7" t="s">
        <v>1470</v>
      </c>
      <c r="I830" s="8">
        <v>15116.0</v>
      </c>
      <c r="J830" s="8">
        <v>1.5</v>
      </c>
      <c r="K830" s="8" t="s">
        <v>467</v>
      </c>
      <c r="L830" s="8" t="s">
        <v>322</v>
      </c>
      <c r="M830" s="8" t="s">
        <v>838</v>
      </c>
      <c r="N830" s="8">
        <v>0.99</v>
      </c>
      <c r="O830" s="14">
        <f t="shared" si="1"/>
        <v>44531</v>
      </c>
      <c r="P830" s="15">
        <f>IFERROR(VLOOKUP(K830,Formula!$A$11:$B$20,2,FALSE),Formula!$C$26)</f>
        <v>1</v>
      </c>
      <c r="Q830" s="15">
        <f>IF(AND(ISNUMBER(J830),J830&gt;0),1/J830,IF(AND(ISNUMBER(I830),I830&gt;0),SQRT(MIN(I830,Formula!$C$27))/Formula!$C$24,1/Formula!$C$25))</f>
        <v>0.6666666667</v>
      </c>
      <c r="R830" s="15">
        <f t="shared" si="2"/>
        <v>0.6666666667</v>
      </c>
      <c r="S830" s="15">
        <f>IF(H830&lt;&gt;"",EXP(-Formula!$C$28*(EOMONTH(H830,0)-H830)),EXP(-Formula!$C$28*(EOMONTH(D830,0)-D830)))</f>
        <v>0.5488116361</v>
      </c>
      <c r="T830" s="15">
        <f t="shared" si="3"/>
        <v>0.2236067977</v>
      </c>
      <c r="U830" s="15">
        <f t="shared" si="4"/>
        <v>0.08181200834</v>
      </c>
      <c r="V830" s="16">
        <f>IF(AND(L830="Among all respondents",NOT(OR(K830="Online poll in Telegram channel",K830="Website online poll",K830="CAWI (Computer Assisted Web Interviewing)"))),1/(1-MIN(MAX(Formula!$C$33+(YEAR(D830)-Formula!$C$34)/(Formula!$C$35-Formula!$C$34)*(Formula!$C$32-Formula!$C$33),Formula!$C$33),Formula!$C$32)),1)</f>
        <v>1</v>
      </c>
      <c r="W830" s="17">
        <f t="shared" si="5"/>
        <v>0.99</v>
      </c>
    </row>
    <row r="831" ht="15.75" customHeight="1">
      <c r="A831" s="8" t="s">
        <v>1483</v>
      </c>
      <c r="B831" s="7" t="s">
        <v>1468</v>
      </c>
      <c r="C831" s="13" t="s">
        <v>1469</v>
      </c>
      <c r="D831" s="7" t="s">
        <v>146</v>
      </c>
      <c r="E831" s="8" t="s">
        <v>61</v>
      </c>
      <c r="F831" s="8" t="s">
        <v>318</v>
      </c>
      <c r="G831" s="7" t="s">
        <v>149</v>
      </c>
      <c r="H831" s="7" t="s">
        <v>1470</v>
      </c>
      <c r="I831" s="8">
        <v>15116.0</v>
      </c>
      <c r="J831" s="8">
        <v>1.5</v>
      </c>
      <c r="K831" s="8" t="s">
        <v>467</v>
      </c>
      <c r="L831" s="8" t="s">
        <v>322</v>
      </c>
      <c r="M831" s="8" t="s">
        <v>743</v>
      </c>
      <c r="N831" s="8">
        <v>0.95</v>
      </c>
      <c r="O831" s="14">
        <f t="shared" si="1"/>
        <v>44531</v>
      </c>
      <c r="P831" s="15">
        <f>IFERROR(VLOOKUP(K831,Formula!$A$11:$B$20,2,FALSE),Formula!$C$26)</f>
        <v>1</v>
      </c>
      <c r="Q831" s="15">
        <f>IF(AND(ISNUMBER(J831),J831&gt;0),1/J831,IF(AND(ISNUMBER(I831),I831&gt;0),SQRT(MIN(I831,Formula!$C$27))/Formula!$C$24,1/Formula!$C$25))</f>
        <v>0.6666666667</v>
      </c>
      <c r="R831" s="15">
        <f t="shared" si="2"/>
        <v>0.6666666667</v>
      </c>
      <c r="S831" s="15">
        <f>IF(H831&lt;&gt;"",EXP(-Formula!$C$28*(EOMONTH(H831,0)-H831)),EXP(-Formula!$C$28*(EOMONTH(D831,0)-D831)))</f>
        <v>0.5488116361</v>
      </c>
      <c r="T831" s="15">
        <f t="shared" si="3"/>
        <v>0.2236067977</v>
      </c>
      <c r="U831" s="15">
        <f t="shared" si="4"/>
        <v>0.08181200834</v>
      </c>
      <c r="V831" s="16">
        <f>IF(AND(L831="Among all respondents",NOT(OR(K831="Online poll in Telegram channel",K831="Website online poll",K831="CAWI (Computer Assisted Web Interviewing)"))),1/(1-MIN(MAX(Formula!$C$33+(YEAR(D831)-Formula!$C$34)/(Formula!$C$35-Formula!$C$34)*(Formula!$C$32-Formula!$C$33),Formula!$C$33),Formula!$C$32)),1)</f>
        <v>1</v>
      </c>
      <c r="W831" s="17">
        <f t="shared" si="5"/>
        <v>0.95</v>
      </c>
    </row>
    <row r="832" ht="15.75" customHeight="1">
      <c r="A832" s="8" t="s">
        <v>1484</v>
      </c>
      <c r="B832" s="7" t="s">
        <v>1468</v>
      </c>
      <c r="C832" s="13" t="s">
        <v>1469</v>
      </c>
      <c r="D832" s="7" t="s">
        <v>146</v>
      </c>
      <c r="E832" s="8" t="s">
        <v>61</v>
      </c>
      <c r="F832" s="8" t="s">
        <v>318</v>
      </c>
      <c r="G832" s="7" t="s">
        <v>149</v>
      </c>
      <c r="H832" s="7" t="s">
        <v>1470</v>
      </c>
      <c r="I832" s="8">
        <v>15116.0</v>
      </c>
      <c r="J832" s="8">
        <v>1.5</v>
      </c>
      <c r="K832" s="8" t="s">
        <v>467</v>
      </c>
      <c r="L832" s="8" t="s">
        <v>322</v>
      </c>
      <c r="M832" s="8" t="s">
        <v>1334</v>
      </c>
      <c r="N832" s="8">
        <v>0.77</v>
      </c>
      <c r="O832" s="14">
        <f t="shared" si="1"/>
        <v>44531</v>
      </c>
      <c r="P832" s="15">
        <f>IFERROR(VLOOKUP(K832,Formula!$A$11:$B$20,2,FALSE),Formula!$C$26)</f>
        <v>1</v>
      </c>
      <c r="Q832" s="15">
        <f>IF(AND(ISNUMBER(J832),J832&gt;0),1/J832,IF(AND(ISNUMBER(I832),I832&gt;0),SQRT(MIN(I832,Formula!$C$27))/Formula!$C$24,1/Formula!$C$25))</f>
        <v>0.6666666667</v>
      </c>
      <c r="R832" s="15">
        <f t="shared" si="2"/>
        <v>0.6666666667</v>
      </c>
      <c r="S832" s="15">
        <f>IF(H832&lt;&gt;"",EXP(-Formula!$C$28*(EOMONTH(H832,0)-H832)),EXP(-Formula!$C$28*(EOMONTH(D832,0)-D832)))</f>
        <v>0.5488116361</v>
      </c>
      <c r="T832" s="15">
        <f t="shared" si="3"/>
        <v>0.2236067977</v>
      </c>
      <c r="U832" s="15">
        <f t="shared" si="4"/>
        <v>0.08181200834</v>
      </c>
      <c r="V832" s="16">
        <f>IF(AND(L832="Among all respondents",NOT(OR(K832="Online poll in Telegram channel",K832="Website online poll",K832="CAWI (Computer Assisted Web Interviewing)"))),1/(1-MIN(MAX(Formula!$C$33+(YEAR(D832)-Formula!$C$34)/(Formula!$C$35-Formula!$C$34)*(Formula!$C$32-Formula!$C$33),Formula!$C$33),Formula!$C$32)),1)</f>
        <v>1</v>
      </c>
      <c r="W832" s="17">
        <f t="shared" si="5"/>
        <v>0.77</v>
      </c>
    </row>
    <row r="833" ht="15.75" customHeight="1">
      <c r="A833" s="8" t="s">
        <v>1485</v>
      </c>
      <c r="B833" s="7" t="s">
        <v>1468</v>
      </c>
      <c r="C833" s="13" t="s">
        <v>1469</v>
      </c>
      <c r="D833" s="7" t="s">
        <v>146</v>
      </c>
      <c r="E833" s="8" t="s">
        <v>61</v>
      </c>
      <c r="F833" s="8" t="s">
        <v>318</v>
      </c>
      <c r="G833" s="7" t="s">
        <v>149</v>
      </c>
      <c r="H833" s="7" t="s">
        <v>1470</v>
      </c>
      <c r="I833" s="8">
        <v>15116.0</v>
      </c>
      <c r="J833" s="8">
        <v>1.5</v>
      </c>
      <c r="K833" s="8" t="s">
        <v>467</v>
      </c>
      <c r="L833" s="8" t="s">
        <v>322</v>
      </c>
      <c r="M833" s="8" t="s">
        <v>1486</v>
      </c>
      <c r="N833" s="8">
        <v>0.73</v>
      </c>
      <c r="O833" s="14">
        <f t="shared" si="1"/>
        <v>44531</v>
      </c>
      <c r="P833" s="15">
        <f>IFERROR(VLOOKUP(K833,Formula!$A$11:$B$20,2,FALSE),Formula!$C$26)</f>
        <v>1</v>
      </c>
      <c r="Q833" s="15">
        <f>IF(AND(ISNUMBER(J833),J833&gt;0),1/J833,IF(AND(ISNUMBER(I833),I833&gt;0),SQRT(MIN(I833,Formula!$C$27))/Formula!$C$24,1/Formula!$C$25))</f>
        <v>0.6666666667</v>
      </c>
      <c r="R833" s="15">
        <f t="shared" si="2"/>
        <v>0.6666666667</v>
      </c>
      <c r="S833" s="15">
        <f>IF(H833&lt;&gt;"",EXP(-Formula!$C$28*(EOMONTH(H833,0)-H833)),EXP(-Formula!$C$28*(EOMONTH(D833,0)-D833)))</f>
        <v>0.5488116361</v>
      </c>
      <c r="T833" s="15">
        <f t="shared" si="3"/>
        <v>0.2236067977</v>
      </c>
      <c r="U833" s="15">
        <f t="shared" si="4"/>
        <v>0.08181200834</v>
      </c>
      <c r="V833" s="16">
        <f>IF(AND(L833="Among all respondents",NOT(OR(K833="Online poll in Telegram channel",K833="Website online poll",K833="CAWI (Computer Assisted Web Interviewing)"))),1/(1-MIN(MAX(Formula!$C$33+(YEAR(D833)-Formula!$C$34)/(Formula!$C$35-Formula!$C$34)*(Formula!$C$32-Formula!$C$33),Formula!$C$33),Formula!$C$32)),1)</f>
        <v>1</v>
      </c>
      <c r="W833" s="17">
        <f t="shared" si="5"/>
        <v>0.73</v>
      </c>
    </row>
    <row r="834" ht="15.75" customHeight="1">
      <c r="A834" s="8" t="s">
        <v>1487</v>
      </c>
      <c r="B834" s="7" t="s">
        <v>1468</v>
      </c>
      <c r="C834" s="13" t="s">
        <v>1469</v>
      </c>
      <c r="D834" s="7" t="s">
        <v>146</v>
      </c>
      <c r="E834" s="8" t="s">
        <v>61</v>
      </c>
      <c r="F834" s="8" t="s">
        <v>318</v>
      </c>
      <c r="G834" s="7" t="s">
        <v>149</v>
      </c>
      <c r="H834" s="7" t="s">
        <v>1470</v>
      </c>
      <c r="I834" s="8">
        <v>15116.0</v>
      </c>
      <c r="J834" s="8">
        <v>1.5</v>
      </c>
      <c r="K834" s="8" t="s">
        <v>467</v>
      </c>
      <c r="L834" s="8" t="s">
        <v>322</v>
      </c>
      <c r="M834" s="8" t="s">
        <v>1488</v>
      </c>
      <c r="N834" s="8">
        <v>0.58</v>
      </c>
      <c r="O834" s="14">
        <f t="shared" si="1"/>
        <v>44531</v>
      </c>
      <c r="P834" s="15">
        <f>IFERROR(VLOOKUP(K834,Formula!$A$11:$B$20,2,FALSE),Formula!$C$26)</f>
        <v>1</v>
      </c>
      <c r="Q834" s="15">
        <f>IF(AND(ISNUMBER(J834),J834&gt;0),1/J834,IF(AND(ISNUMBER(I834),I834&gt;0),SQRT(MIN(I834,Formula!$C$27))/Formula!$C$24,1/Formula!$C$25))</f>
        <v>0.6666666667</v>
      </c>
      <c r="R834" s="15">
        <f t="shared" si="2"/>
        <v>0.6666666667</v>
      </c>
      <c r="S834" s="15">
        <f>IF(H834&lt;&gt;"",EXP(-Formula!$C$28*(EOMONTH(H834,0)-H834)),EXP(-Formula!$C$28*(EOMONTH(D834,0)-D834)))</f>
        <v>0.5488116361</v>
      </c>
      <c r="T834" s="15">
        <f t="shared" si="3"/>
        <v>0.2236067977</v>
      </c>
      <c r="U834" s="15">
        <f t="shared" si="4"/>
        <v>0.08181200834</v>
      </c>
      <c r="V834" s="16">
        <f>IF(AND(L834="Among all respondents",NOT(OR(K834="Online poll in Telegram channel",K834="Website online poll",K834="CAWI (Computer Assisted Web Interviewing)"))),1/(1-MIN(MAX(Formula!$C$33+(YEAR(D834)-Formula!$C$34)/(Formula!$C$35-Formula!$C$34)*(Formula!$C$32-Formula!$C$33),Formula!$C$33),Formula!$C$32)),1)</f>
        <v>1</v>
      </c>
      <c r="W834" s="17">
        <f t="shared" si="5"/>
        <v>0.58</v>
      </c>
    </row>
    <row r="835" ht="15.75" customHeight="1">
      <c r="A835" s="8" t="s">
        <v>1489</v>
      </c>
      <c r="B835" s="7" t="s">
        <v>1468</v>
      </c>
      <c r="C835" s="13" t="s">
        <v>1469</v>
      </c>
      <c r="D835" s="7" t="s">
        <v>146</v>
      </c>
      <c r="E835" s="8" t="s">
        <v>61</v>
      </c>
      <c r="F835" s="8" t="s">
        <v>318</v>
      </c>
      <c r="G835" s="7" t="s">
        <v>149</v>
      </c>
      <c r="H835" s="7" t="s">
        <v>1470</v>
      </c>
      <c r="I835" s="8">
        <v>15116.0</v>
      </c>
      <c r="J835" s="8">
        <v>1.5</v>
      </c>
      <c r="K835" s="8" t="s">
        <v>467</v>
      </c>
      <c r="L835" s="8" t="s">
        <v>322</v>
      </c>
      <c r="M835" s="8" t="s">
        <v>858</v>
      </c>
      <c r="N835" s="8">
        <v>0.35</v>
      </c>
      <c r="O835" s="14">
        <f t="shared" si="1"/>
        <v>44531</v>
      </c>
      <c r="P835" s="15">
        <f>IFERROR(VLOOKUP(K835,Formula!$A$11:$B$20,2,FALSE),Formula!$C$26)</f>
        <v>1</v>
      </c>
      <c r="Q835" s="15">
        <f>IF(AND(ISNUMBER(J835),J835&gt;0),1/J835,IF(AND(ISNUMBER(I835),I835&gt;0),SQRT(MIN(I835,Formula!$C$27))/Formula!$C$24,1/Formula!$C$25))</f>
        <v>0.6666666667</v>
      </c>
      <c r="R835" s="15">
        <f t="shared" si="2"/>
        <v>0.6666666667</v>
      </c>
      <c r="S835" s="15">
        <f>IF(H835&lt;&gt;"",EXP(-Formula!$C$28*(EOMONTH(H835,0)-H835)),EXP(-Formula!$C$28*(EOMONTH(D835,0)-D835)))</f>
        <v>0.5488116361</v>
      </c>
      <c r="T835" s="15">
        <f t="shared" si="3"/>
        <v>0.2236067977</v>
      </c>
      <c r="U835" s="15">
        <f t="shared" si="4"/>
        <v>0.08181200834</v>
      </c>
      <c r="V835" s="16">
        <f>IF(AND(L835="Among all respondents",NOT(OR(K835="Online poll in Telegram channel",K835="Website online poll",K835="CAWI (Computer Assisted Web Interviewing)"))),1/(1-MIN(MAX(Formula!$C$33+(YEAR(D835)-Formula!$C$34)/(Formula!$C$35-Formula!$C$34)*(Formula!$C$32-Formula!$C$33),Formula!$C$33),Formula!$C$32)),1)</f>
        <v>1</v>
      </c>
      <c r="W835" s="17">
        <f t="shared" si="5"/>
        <v>0.35</v>
      </c>
    </row>
    <row r="836" ht="15.75" customHeight="1">
      <c r="A836" s="8" t="s">
        <v>1490</v>
      </c>
      <c r="B836" s="7" t="s">
        <v>1468</v>
      </c>
      <c r="C836" s="13" t="s">
        <v>1469</v>
      </c>
      <c r="D836" s="7" t="s">
        <v>146</v>
      </c>
      <c r="E836" s="8" t="s">
        <v>61</v>
      </c>
      <c r="F836" s="8" t="s">
        <v>318</v>
      </c>
      <c r="G836" s="7" t="s">
        <v>149</v>
      </c>
      <c r="H836" s="7" t="s">
        <v>1470</v>
      </c>
      <c r="I836" s="8">
        <v>15116.0</v>
      </c>
      <c r="J836" s="8">
        <v>1.5</v>
      </c>
      <c r="K836" s="8" t="s">
        <v>467</v>
      </c>
      <c r="L836" s="8" t="s">
        <v>322</v>
      </c>
      <c r="M836" s="8" t="s">
        <v>335</v>
      </c>
      <c r="N836" s="8">
        <v>0.28</v>
      </c>
      <c r="O836" s="14">
        <f t="shared" si="1"/>
        <v>44531</v>
      </c>
      <c r="P836" s="15">
        <f>IFERROR(VLOOKUP(K836,Formula!$A$11:$B$20,2,FALSE),Formula!$C$26)</f>
        <v>1</v>
      </c>
      <c r="Q836" s="15">
        <f>IF(AND(ISNUMBER(J836),J836&gt;0),1/J836,IF(AND(ISNUMBER(I836),I836&gt;0),SQRT(MIN(I836,Formula!$C$27))/Formula!$C$24,1/Formula!$C$25))</f>
        <v>0.6666666667</v>
      </c>
      <c r="R836" s="15">
        <f t="shared" si="2"/>
        <v>0.6666666667</v>
      </c>
      <c r="S836" s="15">
        <f>IF(H836&lt;&gt;"",EXP(-Formula!$C$28*(EOMONTH(H836,0)-H836)),EXP(-Formula!$C$28*(EOMONTH(D836,0)-D836)))</f>
        <v>0.5488116361</v>
      </c>
      <c r="T836" s="15">
        <f t="shared" si="3"/>
        <v>0.2236067977</v>
      </c>
      <c r="U836" s="15">
        <f t="shared" si="4"/>
        <v>0.08181200834</v>
      </c>
      <c r="V836" s="16">
        <f>IF(AND(L836="Among all respondents",NOT(OR(K836="Online poll in Telegram channel",K836="Website online poll",K836="CAWI (Computer Assisted Web Interviewing)"))),1/(1-MIN(MAX(Formula!$C$33+(YEAR(D836)-Formula!$C$34)/(Formula!$C$35-Formula!$C$34)*(Formula!$C$32-Formula!$C$33),Formula!$C$33),Formula!$C$32)),1)</f>
        <v>1</v>
      </c>
      <c r="W836" s="17">
        <f t="shared" si="5"/>
        <v>0.28</v>
      </c>
    </row>
    <row r="837" ht="15.75" customHeight="1">
      <c r="A837" s="8" t="s">
        <v>1491</v>
      </c>
      <c r="B837" s="7" t="s">
        <v>1468</v>
      </c>
      <c r="C837" s="13" t="s">
        <v>1469</v>
      </c>
      <c r="D837" s="7" t="s">
        <v>146</v>
      </c>
      <c r="E837" s="8" t="s">
        <v>61</v>
      </c>
      <c r="F837" s="8" t="s">
        <v>318</v>
      </c>
      <c r="G837" s="7" t="s">
        <v>149</v>
      </c>
      <c r="H837" s="7" t="s">
        <v>1470</v>
      </c>
      <c r="I837" s="8">
        <v>15116.0</v>
      </c>
      <c r="J837" s="8">
        <v>1.5</v>
      </c>
      <c r="K837" s="8" t="s">
        <v>467</v>
      </c>
      <c r="L837" s="8" t="s">
        <v>322</v>
      </c>
      <c r="M837" s="8" t="s">
        <v>978</v>
      </c>
      <c r="N837" s="8">
        <v>0.23</v>
      </c>
      <c r="O837" s="14">
        <f t="shared" si="1"/>
        <v>44531</v>
      </c>
      <c r="P837" s="15">
        <f>IFERROR(VLOOKUP(K837,Formula!$A$11:$B$20,2,FALSE),Formula!$C$26)</f>
        <v>1</v>
      </c>
      <c r="Q837" s="15">
        <f>IF(AND(ISNUMBER(J837),J837&gt;0),1/J837,IF(AND(ISNUMBER(I837),I837&gt;0),SQRT(MIN(I837,Formula!$C$27))/Formula!$C$24,1/Formula!$C$25))</f>
        <v>0.6666666667</v>
      </c>
      <c r="R837" s="15">
        <f t="shared" si="2"/>
        <v>0.6666666667</v>
      </c>
      <c r="S837" s="15">
        <f>IF(H837&lt;&gt;"",EXP(-Formula!$C$28*(EOMONTH(H837,0)-H837)),EXP(-Formula!$C$28*(EOMONTH(D837,0)-D837)))</f>
        <v>0.5488116361</v>
      </c>
      <c r="T837" s="15">
        <f t="shared" si="3"/>
        <v>0.2236067977</v>
      </c>
      <c r="U837" s="15">
        <f t="shared" si="4"/>
        <v>0.08181200834</v>
      </c>
      <c r="V837" s="16">
        <f>IF(AND(L837="Among all respondents",NOT(OR(K837="Online poll in Telegram channel",K837="Website online poll",K837="CAWI (Computer Assisted Web Interviewing)"))),1/(1-MIN(MAX(Formula!$C$33+(YEAR(D837)-Formula!$C$34)/(Formula!$C$35-Formula!$C$34)*(Formula!$C$32-Formula!$C$33),Formula!$C$33),Formula!$C$32)),1)</f>
        <v>1</v>
      </c>
      <c r="W837" s="17">
        <f t="shared" si="5"/>
        <v>0.23</v>
      </c>
    </row>
    <row r="838" ht="15.75" customHeight="1">
      <c r="A838" s="8" t="s">
        <v>1492</v>
      </c>
      <c r="B838" s="7" t="s">
        <v>1493</v>
      </c>
      <c r="C838" s="13" t="s">
        <v>1494</v>
      </c>
      <c r="D838" s="7" t="s">
        <v>147</v>
      </c>
      <c r="E838" s="8" t="s">
        <v>40</v>
      </c>
      <c r="F838" s="8" t="s">
        <v>318</v>
      </c>
      <c r="G838" s="7" t="s">
        <v>1495</v>
      </c>
      <c r="H838" s="7" t="s">
        <v>1496</v>
      </c>
      <c r="I838" s="8">
        <v>2500.0</v>
      </c>
      <c r="J838" s="8">
        <v>2.0</v>
      </c>
      <c r="K838" s="8" t="s">
        <v>321</v>
      </c>
      <c r="L838" s="8" t="s">
        <v>322</v>
      </c>
      <c r="M838" s="8" t="s">
        <v>323</v>
      </c>
      <c r="N838" s="8">
        <v>24.2</v>
      </c>
      <c r="O838" s="14">
        <f t="shared" si="1"/>
        <v>44531</v>
      </c>
      <c r="P838" s="15">
        <f>IFERROR(VLOOKUP(K838,Formula!$A$11:$B$20,2,FALSE),Formula!$C$26)</f>
        <v>0.9</v>
      </c>
      <c r="Q838" s="15">
        <f>IF(AND(ISNUMBER(J838),J838&gt;0),1/J838,IF(AND(ISNUMBER(I838),I838&gt;0),SQRT(MIN(I838,Formula!$C$27))/Formula!$C$24,1/Formula!$C$25))</f>
        <v>0.5</v>
      </c>
      <c r="R838" s="15">
        <f t="shared" si="2"/>
        <v>0.45</v>
      </c>
      <c r="S838" s="15">
        <f>IF(H838&lt;&gt;"",EXP(-Formula!$C$28*(EOMONTH(H838,0)-H838)),EXP(-Formula!$C$28*(EOMONTH(D838,0)-D838)))</f>
        <v>0.5220457768</v>
      </c>
      <c r="T838" s="15">
        <f t="shared" si="3"/>
        <v>0.1961161351</v>
      </c>
      <c r="U838" s="15">
        <f t="shared" si="4"/>
        <v>0.04607172005</v>
      </c>
      <c r="V838" s="16">
        <f>IF(AND(L838="Among all respondents",NOT(OR(K838="Online poll in Telegram channel",K838="Website online poll",K838="CAWI (Computer Assisted Web Interviewing)"))),1/(1-MIN(MAX(Formula!$C$33+(YEAR(D838)-Formula!$C$34)/(Formula!$C$35-Formula!$C$34)*(Formula!$C$32-Formula!$C$33),Formula!$C$33),Formula!$C$32)),1)</f>
        <v>1</v>
      </c>
      <c r="W838" s="17">
        <f t="shared" si="5"/>
        <v>24.2</v>
      </c>
    </row>
    <row r="839" ht="15.75" customHeight="1">
      <c r="A839" s="8" t="s">
        <v>1497</v>
      </c>
      <c r="B839" s="7" t="s">
        <v>1493</v>
      </c>
      <c r="C839" s="13" t="s">
        <v>1494</v>
      </c>
      <c r="D839" s="7" t="s">
        <v>147</v>
      </c>
      <c r="E839" s="8" t="s">
        <v>40</v>
      </c>
      <c r="F839" s="8" t="s">
        <v>318</v>
      </c>
      <c r="G839" s="7" t="s">
        <v>1495</v>
      </c>
      <c r="H839" s="7" t="s">
        <v>1496</v>
      </c>
      <c r="I839" s="8">
        <v>2500.0</v>
      </c>
      <c r="J839" s="8">
        <v>2.0</v>
      </c>
      <c r="K839" s="8" t="s">
        <v>321</v>
      </c>
      <c r="L839" s="8" t="s">
        <v>322</v>
      </c>
      <c r="M839" s="8" t="s">
        <v>329</v>
      </c>
      <c r="N839" s="8">
        <v>13.7</v>
      </c>
      <c r="O839" s="14">
        <f t="shared" si="1"/>
        <v>44531</v>
      </c>
      <c r="P839" s="15">
        <f>IFERROR(VLOOKUP(K839,Formula!$A$11:$B$20,2,FALSE),Formula!$C$26)</f>
        <v>0.9</v>
      </c>
      <c r="Q839" s="15">
        <f>IF(AND(ISNUMBER(J839),J839&gt;0),1/J839,IF(AND(ISNUMBER(I839),I839&gt;0),SQRT(MIN(I839,Formula!$C$27))/Formula!$C$24,1/Formula!$C$25))</f>
        <v>0.5</v>
      </c>
      <c r="R839" s="15">
        <f t="shared" si="2"/>
        <v>0.45</v>
      </c>
      <c r="S839" s="15">
        <f>IF(H839&lt;&gt;"",EXP(-Formula!$C$28*(EOMONTH(H839,0)-H839)),EXP(-Formula!$C$28*(EOMONTH(D839,0)-D839)))</f>
        <v>0.5220457768</v>
      </c>
      <c r="T839" s="15">
        <f t="shared" si="3"/>
        <v>0.1961161351</v>
      </c>
      <c r="U839" s="15">
        <f t="shared" si="4"/>
        <v>0.04607172005</v>
      </c>
      <c r="V839" s="16">
        <f>IF(AND(L839="Among all respondents",NOT(OR(K839="Online poll in Telegram channel",K839="Website online poll",K839="CAWI (Computer Assisted Web Interviewing)"))),1/(1-MIN(MAX(Formula!$C$33+(YEAR(D839)-Formula!$C$34)/(Formula!$C$35-Formula!$C$34)*(Formula!$C$32-Formula!$C$33),Formula!$C$33),Formula!$C$32)),1)</f>
        <v>1</v>
      </c>
      <c r="W839" s="17">
        <f t="shared" si="5"/>
        <v>13.7</v>
      </c>
    </row>
    <row r="840" ht="15.75" customHeight="1">
      <c r="A840" s="8" t="s">
        <v>1498</v>
      </c>
      <c r="B840" s="7" t="s">
        <v>1493</v>
      </c>
      <c r="C840" s="13" t="s">
        <v>1494</v>
      </c>
      <c r="D840" s="7" t="s">
        <v>147</v>
      </c>
      <c r="E840" s="8" t="s">
        <v>40</v>
      </c>
      <c r="F840" s="8" t="s">
        <v>318</v>
      </c>
      <c r="G840" s="7" t="s">
        <v>1495</v>
      </c>
      <c r="H840" s="7" t="s">
        <v>1496</v>
      </c>
      <c r="I840" s="8">
        <v>2500.0</v>
      </c>
      <c r="J840" s="8">
        <v>2.0</v>
      </c>
      <c r="K840" s="8" t="s">
        <v>321</v>
      </c>
      <c r="L840" s="8" t="s">
        <v>322</v>
      </c>
      <c r="M840" s="8" t="s">
        <v>337</v>
      </c>
      <c r="N840" s="8">
        <v>9.6</v>
      </c>
      <c r="O840" s="14">
        <f t="shared" si="1"/>
        <v>44531</v>
      </c>
      <c r="P840" s="15">
        <f>IFERROR(VLOOKUP(K840,Formula!$A$11:$B$20,2,FALSE),Formula!$C$26)</f>
        <v>0.9</v>
      </c>
      <c r="Q840" s="15">
        <f>IF(AND(ISNUMBER(J840),J840&gt;0),1/J840,IF(AND(ISNUMBER(I840),I840&gt;0),SQRT(MIN(I840,Formula!$C$27))/Formula!$C$24,1/Formula!$C$25))</f>
        <v>0.5</v>
      </c>
      <c r="R840" s="15">
        <f t="shared" si="2"/>
        <v>0.45</v>
      </c>
      <c r="S840" s="15">
        <f>IF(H840&lt;&gt;"",EXP(-Formula!$C$28*(EOMONTH(H840,0)-H840)),EXP(-Formula!$C$28*(EOMONTH(D840,0)-D840)))</f>
        <v>0.5220457768</v>
      </c>
      <c r="T840" s="15">
        <f t="shared" si="3"/>
        <v>0.1961161351</v>
      </c>
      <c r="U840" s="15">
        <f t="shared" si="4"/>
        <v>0.04607172005</v>
      </c>
      <c r="V840" s="16">
        <f>IF(AND(L840="Among all respondents",NOT(OR(K840="Online poll in Telegram channel",K840="Website online poll",K840="CAWI (Computer Assisted Web Interviewing)"))),1/(1-MIN(MAX(Formula!$C$33+(YEAR(D840)-Formula!$C$34)/(Formula!$C$35-Formula!$C$34)*(Formula!$C$32-Formula!$C$33),Formula!$C$33),Formula!$C$32)),1)</f>
        <v>1</v>
      </c>
      <c r="W840" s="17">
        <f t="shared" si="5"/>
        <v>9.6</v>
      </c>
    </row>
    <row r="841" ht="15.75" customHeight="1">
      <c r="A841" s="8" t="s">
        <v>1499</v>
      </c>
      <c r="B841" s="7" t="s">
        <v>1493</v>
      </c>
      <c r="C841" s="13" t="s">
        <v>1494</v>
      </c>
      <c r="D841" s="7" t="s">
        <v>147</v>
      </c>
      <c r="E841" s="8" t="s">
        <v>40</v>
      </c>
      <c r="F841" s="8" t="s">
        <v>318</v>
      </c>
      <c r="G841" s="7" t="s">
        <v>1495</v>
      </c>
      <c r="H841" s="7" t="s">
        <v>1496</v>
      </c>
      <c r="I841" s="8">
        <v>2500.0</v>
      </c>
      <c r="J841" s="8">
        <v>2.0</v>
      </c>
      <c r="K841" s="8" t="s">
        <v>321</v>
      </c>
      <c r="L841" s="8" t="s">
        <v>322</v>
      </c>
      <c r="M841" s="8" t="s">
        <v>365</v>
      </c>
      <c r="N841" s="8">
        <v>9.2</v>
      </c>
      <c r="O841" s="14">
        <f t="shared" si="1"/>
        <v>44531</v>
      </c>
      <c r="P841" s="15">
        <f>IFERROR(VLOOKUP(K841,Formula!$A$11:$B$20,2,FALSE),Formula!$C$26)</f>
        <v>0.9</v>
      </c>
      <c r="Q841" s="15">
        <f>IF(AND(ISNUMBER(J841),J841&gt;0),1/J841,IF(AND(ISNUMBER(I841),I841&gt;0),SQRT(MIN(I841,Formula!$C$27))/Formula!$C$24,1/Formula!$C$25))</f>
        <v>0.5</v>
      </c>
      <c r="R841" s="15">
        <f t="shared" si="2"/>
        <v>0.45</v>
      </c>
      <c r="S841" s="15">
        <f>IF(H841&lt;&gt;"",EXP(-Formula!$C$28*(EOMONTH(H841,0)-H841)),EXP(-Formula!$C$28*(EOMONTH(D841,0)-D841)))</f>
        <v>0.5220457768</v>
      </c>
      <c r="T841" s="15">
        <f t="shared" si="3"/>
        <v>0.1961161351</v>
      </c>
      <c r="U841" s="15">
        <f t="shared" si="4"/>
        <v>0.04607172005</v>
      </c>
      <c r="V841" s="16">
        <f>IF(AND(L841="Among all respondents",NOT(OR(K841="Online poll in Telegram channel",K841="Website online poll",K841="CAWI (Computer Assisted Web Interviewing)"))),1/(1-MIN(MAX(Formula!$C$33+(YEAR(D841)-Formula!$C$34)/(Formula!$C$35-Formula!$C$34)*(Formula!$C$32-Formula!$C$33),Formula!$C$33),Formula!$C$32)),1)</f>
        <v>1</v>
      </c>
      <c r="W841" s="17">
        <f t="shared" si="5"/>
        <v>9.2</v>
      </c>
    </row>
    <row r="842" ht="15.75" customHeight="1">
      <c r="A842" s="8" t="s">
        <v>1500</v>
      </c>
      <c r="B842" s="7" t="s">
        <v>1493</v>
      </c>
      <c r="C842" s="13" t="s">
        <v>1494</v>
      </c>
      <c r="D842" s="7" t="s">
        <v>147</v>
      </c>
      <c r="E842" s="8" t="s">
        <v>40</v>
      </c>
      <c r="F842" s="8" t="s">
        <v>318</v>
      </c>
      <c r="G842" s="7" t="s">
        <v>1495</v>
      </c>
      <c r="H842" s="7" t="s">
        <v>1496</v>
      </c>
      <c r="I842" s="8">
        <v>2500.0</v>
      </c>
      <c r="J842" s="8">
        <v>2.0</v>
      </c>
      <c r="K842" s="8" t="s">
        <v>321</v>
      </c>
      <c r="L842" s="8" t="s">
        <v>322</v>
      </c>
      <c r="M842" s="8" t="s">
        <v>1153</v>
      </c>
      <c r="N842" s="8">
        <v>6.9</v>
      </c>
      <c r="O842" s="14">
        <f t="shared" si="1"/>
        <v>44531</v>
      </c>
      <c r="P842" s="15">
        <f>IFERROR(VLOOKUP(K842,Formula!$A$11:$B$20,2,FALSE),Formula!$C$26)</f>
        <v>0.9</v>
      </c>
      <c r="Q842" s="15">
        <f>IF(AND(ISNUMBER(J842),J842&gt;0),1/J842,IF(AND(ISNUMBER(I842),I842&gt;0),SQRT(MIN(I842,Formula!$C$27))/Formula!$C$24,1/Formula!$C$25))</f>
        <v>0.5</v>
      </c>
      <c r="R842" s="15">
        <f t="shared" si="2"/>
        <v>0.45</v>
      </c>
      <c r="S842" s="15">
        <f>IF(H842&lt;&gt;"",EXP(-Formula!$C$28*(EOMONTH(H842,0)-H842)),EXP(-Formula!$C$28*(EOMONTH(D842,0)-D842)))</f>
        <v>0.5220457768</v>
      </c>
      <c r="T842" s="15">
        <f t="shared" si="3"/>
        <v>0.1961161351</v>
      </c>
      <c r="U842" s="15">
        <f t="shared" si="4"/>
        <v>0.04607172005</v>
      </c>
      <c r="V842" s="16">
        <f>IF(AND(L842="Among all respondents",NOT(OR(K842="Online poll in Telegram channel",K842="Website online poll",K842="CAWI (Computer Assisted Web Interviewing)"))),1/(1-MIN(MAX(Formula!$C$33+(YEAR(D842)-Formula!$C$34)/(Formula!$C$35-Formula!$C$34)*(Formula!$C$32-Formula!$C$33),Formula!$C$33),Formula!$C$32)),1)</f>
        <v>1</v>
      </c>
      <c r="W842" s="17">
        <f t="shared" si="5"/>
        <v>6.9</v>
      </c>
    </row>
    <row r="843" ht="15.75" customHeight="1">
      <c r="A843" s="8" t="s">
        <v>1501</v>
      </c>
      <c r="B843" s="7" t="s">
        <v>1493</v>
      </c>
      <c r="C843" s="13" t="s">
        <v>1494</v>
      </c>
      <c r="D843" s="7" t="s">
        <v>147</v>
      </c>
      <c r="E843" s="8" t="s">
        <v>40</v>
      </c>
      <c r="F843" s="8" t="s">
        <v>318</v>
      </c>
      <c r="G843" s="7" t="s">
        <v>1495</v>
      </c>
      <c r="H843" s="7" t="s">
        <v>1496</v>
      </c>
      <c r="I843" s="8">
        <v>2500.0</v>
      </c>
      <c r="J843" s="8">
        <v>2.0</v>
      </c>
      <c r="K843" s="8" t="s">
        <v>321</v>
      </c>
      <c r="L843" s="8" t="s">
        <v>322</v>
      </c>
      <c r="M843" s="8" t="s">
        <v>333</v>
      </c>
      <c r="N843" s="8">
        <v>6.8</v>
      </c>
      <c r="O843" s="14">
        <f t="shared" si="1"/>
        <v>44531</v>
      </c>
      <c r="P843" s="15">
        <f>IFERROR(VLOOKUP(K843,Formula!$A$11:$B$20,2,FALSE),Formula!$C$26)</f>
        <v>0.9</v>
      </c>
      <c r="Q843" s="15">
        <f>IF(AND(ISNUMBER(J843),J843&gt;0),1/J843,IF(AND(ISNUMBER(I843),I843&gt;0),SQRT(MIN(I843,Formula!$C$27))/Formula!$C$24,1/Formula!$C$25))</f>
        <v>0.5</v>
      </c>
      <c r="R843" s="15">
        <f t="shared" si="2"/>
        <v>0.45</v>
      </c>
      <c r="S843" s="15">
        <f>IF(H843&lt;&gt;"",EXP(-Formula!$C$28*(EOMONTH(H843,0)-H843)),EXP(-Formula!$C$28*(EOMONTH(D843,0)-D843)))</f>
        <v>0.5220457768</v>
      </c>
      <c r="T843" s="15">
        <f t="shared" si="3"/>
        <v>0.1961161351</v>
      </c>
      <c r="U843" s="15">
        <f t="shared" si="4"/>
        <v>0.04607172005</v>
      </c>
      <c r="V843" s="16">
        <f>IF(AND(L843="Among all respondents",NOT(OR(K843="Online poll in Telegram channel",K843="Website online poll",K843="CAWI (Computer Assisted Web Interviewing)"))),1/(1-MIN(MAX(Formula!$C$33+(YEAR(D843)-Formula!$C$34)/(Formula!$C$35-Formula!$C$34)*(Formula!$C$32-Formula!$C$33),Formula!$C$33),Formula!$C$32)),1)</f>
        <v>1</v>
      </c>
      <c r="W843" s="17">
        <f t="shared" si="5"/>
        <v>6.8</v>
      </c>
    </row>
    <row r="844" ht="15.75" customHeight="1">
      <c r="A844" s="8" t="s">
        <v>1502</v>
      </c>
      <c r="B844" s="7" t="s">
        <v>1493</v>
      </c>
      <c r="C844" s="13" t="s">
        <v>1494</v>
      </c>
      <c r="D844" s="7" t="s">
        <v>147</v>
      </c>
      <c r="E844" s="8" t="s">
        <v>40</v>
      </c>
      <c r="F844" s="8" t="s">
        <v>318</v>
      </c>
      <c r="G844" s="7" t="s">
        <v>1495</v>
      </c>
      <c r="H844" s="7" t="s">
        <v>1496</v>
      </c>
      <c r="I844" s="8">
        <v>2500.0</v>
      </c>
      <c r="J844" s="8">
        <v>2.0</v>
      </c>
      <c r="K844" s="8" t="s">
        <v>321</v>
      </c>
      <c r="L844" s="8" t="s">
        <v>322</v>
      </c>
      <c r="M844" s="8" t="s">
        <v>828</v>
      </c>
      <c r="N844" s="8">
        <v>6.7</v>
      </c>
      <c r="O844" s="14">
        <f t="shared" si="1"/>
        <v>44531</v>
      </c>
      <c r="P844" s="15">
        <f>IFERROR(VLOOKUP(K844,Formula!$A$11:$B$20,2,FALSE),Formula!$C$26)</f>
        <v>0.9</v>
      </c>
      <c r="Q844" s="15">
        <f>IF(AND(ISNUMBER(J844),J844&gt;0),1/J844,IF(AND(ISNUMBER(I844),I844&gt;0),SQRT(MIN(I844,Formula!$C$27))/Formula!$C$24,1/Formula!$C$25))</f>
        <v>0.5</v>
      </c>
      <c r="R844" s="15">
        <f t="shared" si="2"/>
        <v>0.45</v>
      </c>
      <c r="S844" s="15">
        <f>IF(H844&lt;&gt;"",EXP(-Formula!$C$28*(EOMONTH(H844,0)-H844)),EXP(-Formula!$C$28*(EOMONTH(D844,0)-D844)))</f>
        <v>0.5220457768</v>
      </c>
      <c r="T844" s="15">
        <f t="shared" si="3"/>
        <v>0.1961161351</v>
      </c>
      <c r="U844" s="15">
        <f t="shared" si="4"/>
        <v>0.04607172005</v>
      </c>
      <c r="V844" s="16">
        <f>IF(AND(L844="Among all respondents",NOT(OR(K844="Online poll in Telegram channel",K844="Website online poll",K844="CAWI (Computer Assisted Web Interviewing)"))),1/(1-MIN(MAX(Formula!$C$33+(YEAR(D844)-Formula!$C$34)/(Formula!$C$35-Formula!$C$34)*(Formula!$C$32-Formula!$C$33),Formula!$C$33),Formula!$C$32)),1)</f>
        <v>1</v>
      </c>
      <c r="W844" s="17">
        <f t="shared" si="5"/>
        <v>6.7</v>
      </c>
    </row>
    <row r="845" ht="15.75" customHeight="1">
      <c r="A845" s="8" t="s">
        <v>1503</v>
      </c>
      <c r="B845" s="7" t="s">
        <v>1493</v>
      </c>
      <c r="C845" s="13" t="s">
        <v>1494</v>
      </c>
      <c r="D845" s="7" t="s">
        <v>147</v>
      </c>
      <c r="E845" s="8" t="s">
        <v>40</v>
      </c>
      <c r="F845" s="8" t="s">
        <v>318</v>
      </c>
      <c r="G845" s="7" t="s">
        <v>1495</v>
      </c>
      <c r="H845" s="7" t="s">
        <v>1496</v>
      </c>
      <c r="I845" s="8">
        <v>2500.0</v>
      </c>
      <c r="J845" s="8">
        <v>2.0</v>
      </c>
      <c r="K845" s="8" t="s">
        <v>321</v>
      </c>
      <c r="L845" s="8" t="s">
        <v>322</v>
      </c>
      <c r="M845" s="8" t="s">
        <v>386</v>
      </c>
      <c r="N845" s="8">
        <v>6.2</v>
      </c>
      <c r="O845" s="14">
        <f t="shared" si="1"/>
        <v>44531</v>
      </c>
      <c r="P845" s="15">
        <f>IFERROR(VLOOKUP(K845,Formula!$A$11:$B$20,2,FALSE),Formula!$C$26)</f>
        <v>0.9</v>
      </c>
      <c r="Q845" s="15">
        <f>IF(AND(ISNUMBER(J845),J845&gt;0),1/J845,IF(AND(ISNUMBER(I845),I845&gt;0),SQRT(MIN(I845,Formula!$C$27))/Formula!$C$24,1/Formula!$C$25))</f>
        <v>0.5</v>
      </c>
      <c r="R845" s="15">
        <f t="shared" si="2"/>
        <v>0.45</v>
      </c>
      <c r="S845" s="15">
        <f>IF(H845&lt;&gt;"",EXP(-Formula!$C$28*(EOMONTH(H845,0)-H845)),EXP(-Formula!$C$28*(EOMONTH(D845,0)-D845)))</f>
        <v>0.5220457768</v>
      </c>
      <c r="T845" s="15">
        <f t="shared" si="3"/>
        <v>0.1961161351</v>
      </c>
      <c r="U845" s="15">
        <f t="shared" si="4"/>
        <v>0.04607172005</v>
      </c>
      <c r="V845" s="16">
        <f>IF(AND(L845="Among all respondents",NOT(OR(K845="Online poll in Telegram channel",K845="Website online poll",K845="CAWI (Computer Assisted Web Interviewing)"))),1/(1-MIN(MAX(Formula!$C$33+(YEAR(D845)-Formula!$C$34)/(Formula!$C$35-Formula!$C$34)*(Formula!$C$32-Formula!$C$33),Formula!$C$33),Formula!$C$32)),1)</f>
        <v>1</v>
      </c>
      <c r="W845" s="17">
        <f t="shared" si="5"/>
        <v>6.2</v>
      </c>
    </row>
    <row r="846" ht="15.75" customHeight="1">
      <c r="A846" s="8" t="s">
        <v>1504</v>
      </c>
      <c r="B846" s="7" t="s">
        <v>1493</v>
      </c>
      <c r="C846" s="13" t="s">
        <v>1494</v>
      </c>
      <c r="D846" s="7" t="s">
        <v>147</v>
      </c>
      <c r="E846" s="8" t="s">
        <v>40</v>
      </c>
      <c r="F846" s="8" t="s">
        <v>318</v>
      </c>
      <c r="G846" s="7" t="s">
        <v>1495</v>
      </c>
      <c r="H846" s="7" t="s">
        <v>1496</v>
      </c>
      <c r="I846" s="8">
        <v>2500.0</v>
      </c>
      <c r="J846" s="8">
        <v>2.0</v>
      </c>
      <c r="K846" s="8" t="s">
        <v>321</v>
      </c>
      <c r="L846" s="8" t="s">
        <v>322</v>
      </c>
      <c r="M846" s="8" t="s">
        <v>388</v>
      </c>
      <c r="N846" s="8">
        <v>3.1</v>
      </c>
      <c r="O846" s="14">
        <f t="shared" si="1"/>
        <v>44531</v>
      </c>
      <c r="P846" s="15">
        <f>IFERROR(VLOOKUP(K846,Formula!$A$11:$B$20,2,FALSE),Formula!$C$26)</f>
        <v>0.9</v>
      </c>
      <c r="Q846" s="15">
        <f>IF(AND(ISNUMBER(J846),J846&gt;0),1/J846,IF(AND(ISNUMBER(I846),I846&gt;0),SQRT(MIN(I846,Formula!$C$27))/Formula!$C$24,1/Formula!$C$25))</f>
        <v>0.5</v>
      </c>
      <c r="R846" s="15">
        <f t="shared" si="2"/>
        <v>0.45</v>
      </c>
      <c r="S846" s="15">
        <f>IF(H846&lt;&gt;"",EXP(-Formula!$C$28*(EOMONTH(H846,0)-H846)),EXP(-Formula!$C$28*(EOMONTH(D846,0)-D846)))</f>
        <v>0.5220457768</v>
      </c>
      <c r="T846" s="15">
        <f t="shared" si="3"/>
        <v>0.1961161351</v>
      </c>
      <c r="U846" s="15">
        <f t="shared" si="4"/>
        <v>0.04607172005</v>
      </c>
      <c r="V846" s="16">
        <f>IF(AND(L846="Among all respondents",NOT(OR(K846="Online poll in Telegram channel",K846="Website online poll",K846="CAWI (Computer Assisted Web Interviewing)"))),1/(1-MIN(MAX(Formula!$C$33+(YEAR(D846)-Formula!$C$34)/(Formula!$C$35-Formula!$C$34)*(Formula!$C$32-Formula!$C$33),Formula!$C$33),Formula!$C$32)),1)</f>
        <v>1</v>
      </c>
      <c r="W846" s="17">
        <f t="shared" si="5"/>
        <v>3.1</v>
      </c>
    </row>
    <row r="847" ht="15.75" customHeight="1">
      <c r="A847" s="8" t="s">
        <v>1505</v>
      </c>
      <c r="B847" s="7" t="s">
        <v>1493</v>
      </c>
      <c r="C847" s="13" t="s">
        <v>1494</v>
      </c>
      <c r="D847" s="7" t="s">
        <v>147</v>
      </c>
      <c r="E847" s="8" t="s">
        <v>40</v>
      </c>
      <c r="F847" s="8" t="s">
        <v>318</v>
      </c>
      <c r="G847" s="7" t="s">
        <v>1495</v>
      </c>
      <c r="H847" s="7" t="s">
        <v>1496</v>
      </c>
      <c r="I847" s="8">
        <v>2500.0</v>
      </c>
      <c r="J847" s="8">
        <v>2.0</v>
      </c>
      <c r="K847" s="8" t="s">
        <v>321</v>
      </c>
      <c r="L847" s="8" t="s">
        <v>322</v>
      </c>
      <c r="M847" s="8" t="s">
        <v>743</v>
      </c>
      <c r="N847" s="8">
        <v>2.9</v>
      </c>
      <c r="O847" s="14">
        <f t="shared" si="1"/>
        <v>44531</v>
      </c>
      <c r="P847" s="15">
        <f>IFERROR(VLOOKUP(K847,Formula!$A$11:$B$20,2,FALSE),Formula!$C$26)</f>
        <v>0.9</v>
      </c>
      <c r="Q847" s="15">
        <f>IF(AND(ISNUMBER(J847),J847&gt;0),1/J847,IF(AND(ISNUMBER(I847),I847&gt;0),SQRT(MIN(I847,Formula!$C$27))/Formula!$C$24,1/Formula!$C$25))</f>
        <v>0.5</v>
      </c>
      <c r="R847" s="15">
        <f t="shared" si="2"/>
        <v>0.45</v>
      </c>
      <c r="S847" s="15">
        <f>IF(H847&lt;&gt;"",EXP(-Formula!$C$28*(EOMONTH(H847,0)-H847)),EXP(-Formula!$C$28*(EOMONTH(D847,0)-D847)))</f>
        <v>0.5220457768</v>
      </c>
      <c r="T847" s="15">
        <f t="shared" si="3"/>
        <v>0.1961161351</v>
      </c>
      <c r="U847" s="15">
        <f t="shared" si="4"/>
        <v>0.04607172005</v>
      </c>
      <c r="V847" s="16">
        <f>IF(AND(L847="Among all respondents",NOT(OR(K847="Online poll in Telegram channel",K847="Website online poll",K847="CAWI (Computer Assisted Web Interviewing)"))),1/(1-MIN(MAX(Formula!$C$33+(YEAR(D847)-Formula!$C$34)/(Formula!$C$35-Formula!$C$34)*(Formula!$C$32-Formula!$C$33),Formula!$C$33),Formula!$C$32)),1)</f>
        <v>1</v>
      </c>
      <c r="W847" s="17">
        <f t="shared" si="5"/>
        <v>2.9</v>
      </c>
    </row>
    <row r="848" ht="15.75" customHeight="1">
      <c r="A848" s="8" t="s">
        <v>1506</v>
      </c>
      <c r="B848" s="7" t="s">
        <v>1493</v>
      </c>
      <c r="C848" s="13" t="s">
        <v>1494</v>
      </c>
      <c r="D848" s="7" t="s">
        <v>147</v>
      </c>
      <c r="E848" s="8" t="s">
        <v>40</v>
      </c>
      <c r="F848" s="8" t="s">
        <v>318</v>
      </c>
      <c r="G848" s="7" t="s">
        <v>1495</v>
      </c>
      <c r="H848" s="7" t="s">
        <v>1496</v>
      </c>
      <c r="I848" s="8">
        <v>2500.0</v>
      </c>
      <c r="J848" s="8">
        <v>2.0</v>
      </c>
      <c r="K848" s="8" t="s">
        <v>321</v>
      </c>
      <c r="L848" s="8" t="s">
        <v>322</v>
      </c>
      <c r="M848" s="8" t="s">
        <v>836</v>
      </c>
      <c r="N848" s="8">
        <v>2.3</v>
      </c>
      <c r="O848" s="14">
        <f t="shared" si="1"/>
        <v>44531</v>
      </c>
      <c r="P848" s="15">
        <f>IFERROR(VLOOKUP(K848,Formula!$A$11:$B$20,2,FALSE),Formula!$C$26)</f>
        <v>0.9</v>
      </c>
      <c r="Q848" s="15">
        <f>IF(AND(ISNUMBER(J848),J848&gt;0),1/J848,IF(AND(ISNUMBER(I848),I848&gt;0),SQRT(MIN(I848,Formula!$C$27))/Formula!$C$24,1/Formula!$C$25))</f>
        <v>0.5</v>
      </c>
      <c r="R848" s="15">
        <f t="shared" si="2"/>
        <v>0.45</v>
      </c>
      <c r="S848" s="15">
        <f>IF(H848&lt;&gt;"",EXP(-Formula!$C$28*(EOMONTH(H848,0)-H848)),EXP(-Formula!$C$28*(EOMONTH(D848,0)-D848)))</f>
        <v>0.5220457768</v>
      </c>
      <c r="T848" s="15">
        <f t="shared" si="3"/>
        <v>0.1961161351</v>
      </c>
      <c r="U848" s="15">
        <f t="shared" si="4"/>
        <v>0.04607172005</v>
      </c>
      <c r="V848" s="16">
        <f>IF(AND(L848="Among all respondents",NOT(OR(K848="Online poll in Telegram channel",K848="Website online poll",K848="CAWI (Computer Assisted Web Interviewing)"))),1/(1-MIN(MAX(Formula!$C$33+(YEAR(D848)-Formula!$C$34)/(Formula!$C$35-Formula!$C$34)*(Formula!$C$32-Formula!$C$33),Formula!$C$33),Formula!$C$32)),1)</f>
        <v>1</v>
      </c>
      <c r="W848" s="17">
        <f t="shared" si="5"/>
        <v>2.3</v>
      </c>
    </row>
    <row r="849" ht="15.75" customHeight="1">
      <c r="A849" s="8" t="s">
        <v>1507</v>
      </c>
      <c r="B849" s="7" t="s">
        <v>1493</v>
      </c>
      <c r="C849" s="13" t="s">
        <v>1494</v>
      </c>
      <c r="D849" s="7" t="s">
        <v>147</v>
      </c>
      <c r="E849" s="8" t="s">
        <v>40</v>
      </c>
      <c r="F849" s="8" t="s">
        <v>318</v>
      </c>
      <c r="G849" s="7" t="s">
        <v>1495</v>
      </c>
      <c r="H849" s="7" t="s">
        <v>1496</v>
      </c>
      <c r="I849" s="8">
        <v>2500.0</v>
      </c>
      <c r="J849" s="8">
        <v>2.0</v>
      </c>
      <c r="K849" s="8" t="s">
        <v>321</v>
      </c>
      <c r="L849" s="8" t="s">
        <v>322</v>
      </c>
      <c r="M849" s="8" t="s">
        <v>740</v>
      </c>
      <c r="N849" s="8">
        <v>2.2</v>
      </c>
      <c r="O849" s="14">
        <f t="shared" si="1"/>
        <v>44531</v>
      </c>
      <c r="P849" s="15">
        <f>IFERROR(VLOOKUP(K849,Formula!$A$11:$B$20,2,FALSE),Formula!$C$26)</f>
        <v>0.9</v>
      </c>
      <c r="Q849" s="15">
        <f>IF(AND(ISNUMBER(J849),J849&gt;0),1/J849,IF(AND(ISNUMBER(I849),I849&gt;0),SQRT(MIN(I849,Formula!$C$27))/Formula!$C$24,1/Formula!$C$25))</f>
        <v>0.5</v>
      </c>
      <c r="R849" s="15">
        <f t="shared" si="2"/>
        <v>0.45</v>
      </c>
      <c r="S849" s="15">
        <f>IF(H849&lt;&gt;"",EXP(-Formula!$C$28*(EOMONTH(H849,0)-H849)),EXP(-Formula!$C$28*(EOMONTH(D849,0)-D849)))</f>
        <v>0.5220457768</v>
      </c>
      <c r="T849" s="15">
        <f t="shared" si="3"/>
        <v>0.1961161351</v>
      </c>
      <c r="U849" s="15">
        <f t="shared" si="4"/>
        <v>0.04607172005</v>
      </c>
      <c r="V849" s="16">
        <f>IF(AND(L849="Among all respondents",NOT(OR(K849="Online poll in Telegram channel",K849="Website online poll",K849="CAWI (Computer Assisted Web Interviewing)"))),1/(1-MIN(MAX(Formula!$C$33+(YEAR(D849)-Formula!$C$34)/(Formula!$C$35-Formula!$C$34)*(Formula!$C$32-Formula!$C$33),Formula!$C$33),Formula!$C$32)),1)</f>
        <v>1</v>
      </c>
      <c r="W849" s="17">
        <f t="shared" si="5"/>
        <v>2.2</v>
      </c>
    </row>
    <row r="850" ht="15.75" customHeight="1">
      <c r="A850" s="8" t="s">
        <v>1508</v>
      </c>
      <c r="B850" s="7" t="s">
        <v>1493</v>
      </c>
      <c r="C850" s="13" t="s">
        <v>1494</v>
      </c>
      <c r="D850" s="7" t="s">
        <v>147</v>
      </c>
      <c r="E850" s="8" t="s">
        <v>40</v>
      </c>
      <c r="F850" s="8" t="s">
        <v>318</v>
      </c>
      <c r="G850" s="7" t="s">
        <v>1495</v>
      </c>
      <c r="H850" s="7" t="s">
        <v>1496</v>
      </c>
      <c r="I850" s="8">
        <v>2500.0</v>
      </c>
      <c r="J850" s="8">
        <v>2.0</v>
      </c>
      <c r="K850" s="8" t="s">
        <v>321</v>
      </c>
      <c r="L850" s="8" t="s">
        <v>322</v>
      </c>
      <c r="M850" s="8" t="s">
        <v>343</v>
      </c>
      <c r="N850" s="8">
        <v>2.0</v>
      </c>
      <c r="O850" s="14">
        <f t="shared" si="1"/>
        <v>44531</v>
      </c>
      <c r="P850" s="15">
        <f>IFERROR(VLOOKUP(K850,Formula!$A$11:$B$20,2,FALSE),Formula!$C$26)</f>
        <v>0.9</v>
      </c>
      <c r="Q850" s="15">
        <f>IF(AND(ISNUMBER(J850),J850&gt;0),1/J850,IF(AND(ISNUMBER(I850),I850&gt;0),SQRT(MIN(I850,Formula!$C$27))/Formula!$C$24,1/Formula!$C$25))</f>
        <v>0.5</v>
      </c>
      <c r="R850" s="15">
        <f t="shared" si="2"/>
        <v>0.45</v>
      </c>
      <c r="S850" s="15">
        <f>IF(H850&lt;&gt;"",EXP(-Formula!$C$28*(EOMONTH(H850,0)-H850)),EXP(-Formula!$C$28*(EOMONTH(D850,0)-D850)))</f>
        <v>0.5220457768</v>
      </c>
      <c r="T850" s="15">
        <f t="shared" si="3"/>
        <v>0.1961161351</v>
      </c>
      <c r="U850" s="15">
        <f t="shared" si="4"/>
        <v>0.04607172005</v>
      </c>
      <c r="V850" s="16">
        <f>IF(AND(L850="Among all respondents",NOT(OR(K850="Online poll in Telegram channel",K850="Website online poll",K850="CAWI (Computer Assisted Web Interviewing)"))),1/(1-MIN(MAX(Formula!$C$33+(YEAR(D850)-Formula!$C$34)/(Formula!$C$35-Formula!$C$34)*(Formula!$C$32-Formula!$C$33),Formula!$C$33),Formula!$C$32)),1)</f>
        <v>1</v>
      </c>
      <c r="W850" s="17">
        <f t="shared" si="5"/>
        <v>2</v>
      </c>
    </row>
    <row r="851" ht="15.75" customHeight="1">
      <c r="A851" s="8" t="s">
        <v>1509</v>
      </c>
      <c r="B851" s="7" t="s">
        <v>1510</v>
      </c>
      <c r="C851" s="13" t="s">
        <v>1511</v>
      </c>
      <c r="D851" s="7" t="s">
        <v>154</v>
      </c>
      <c r="E851" s="8" t="s">
        <v>155</v>
      </c>
      <c r="F851" s="8" t="s">
        <v>318</v>
      </c>
      <c r="G851" s="7" t="s">
        <v>1512</v>
      </c>
      <c r="H851" s="7" t="s">
        <v>153</v>
      </c>
      <c r="I851" s="8">
        <v>10000.0</v>
      </c>
      <c r="J851" s="8">
        <v>1.0</v>
      </c>
      <c r="K851" s="8" t="s">
        <v>583</v>
      </c>
      <c r="L851" s="8" t="s">
        <v>322</v>
      </c>
      <c r="M851" s="8" t="s">
        <v>323</v>
      </c>
      <c r="N851" s="8">
        <v>23.6</v>
      </c>
      <c r="O851" s="14">
        <f t="shared" si="1"/>
        <v>44531</v>
      </c>
      <c r="P851" s="15">
        <f>IFERROR(VLOOKUP(K851,Formula!$A$11:$B$20,2,FALSE),Formula!$C$26)</f>
        <v>0.95</v>
      </c>
      <c r="Q851" s="15">
        <f>IF(AND(ISNUMBER(J851),J851&gt;0),1/J851,IF(AND(ISNUMBER(I851),I851&gt;0),SQRT(MIN(I851,Formula!$C$27))/Formula!$C$24,1/Formula!$C$25))</f>
        <v>1</v>
      </c>
      <c r="R851" s="15">
        <f t="shared" si="2"/>
        <v>0.95</v>
      </c>
      <c r="S851" s="15">
        <f>IF(H851&lt;&gt;"",EXP(-Formula!$C$28*(EOMONTH(H851,0)-H851)),EXP(-Formula!$C$28*(EOMONTH(D851,0)-D851)))</f>
        <v>0.3499377491</v>
      </c>
      <c r="T851" s="15">
        <f t="shared" si="3"/>
        <v>0.2773500981</v>
      </c>
      <c r="U851" s="15">
        <f t="shared" si="4"/>
        <v>0.0922025056</v>
      </c>
      <c r="V851" s="16">
        <f>IF(AND(L851="Among all respondents",NOT(OR(K851="Online poll in Telegram channel",K851="Website online poll",K851="CAWI (Computer Assisted Web Interviewing)"))),1/(1-MIN(MAX(Formula!$C$33+(YEAR(D851)-Formula!$C$34)/(Formula!$C$35-Formula!$C$34)*(Formula!$C$32-Formula!$C$33),Formula!$C$33),Formula!$C$32)),1)</f>
        <v>1</v>
      </c>
      <c r="W851" s="17">
        <f t="shared" si="5"/>
        <v>23.6</v>
      </c>
    </row>
    <row r="852" ht="15.75" customHeight="1">
      <c r="A852" s="8" t="s">
        <v>1513</v>
      </c>
      <c r="B852" s="7" t="s">
        <v>1510</v>
      </c>
      <c r="C852" s="13" t="s">
        <v>1511</v>
      </c>
      <c r="D852" s="7" t="s">
        <v>154</v>
      </c>
      <c r="E852" s="8" t="s">
        <v>155</v>
      </c>
      <c r="F852" s="8" t="s">
        <v>318</v>
      </c>
      <c r="G852" s="7" t="s">
        <v>1512</v>
      </c>
      <c r="H852" s="7" t="s">
        <v>153</v>
      </c>
      <c r="I852" s="8">
        <v>10000.0</v>
      </c>
      <c r="J852" s="8">
        <v>1.0</v>
      </c>
      <c r="K852" s="8" t="s">
        <v>583</v>
      </c>
      <c r="L852" s="8" t="s">
        <v>322</v>
      </c>
      <c r="M852" s="8" t="s">
        <v>329</v>
      </c>
      <c r="N852" s="8">
        <v>15.5</v>
      </c>
      <c r="O852" s="14">
        <f t="shared" si="1"/>
        <v>44531</v>
      </c>
      <c r="P852" s="15">
        <f>IFERROR(VLOOKUP(K852,Formula!$A$11:$B$20,2,FALSE),Formula!$C$26)</f>
        <v>0.95</v>
      </c>
      <c r="Q852" s="15">
        <f>IF(AND(ISNUMBER(J852),J852&gt;0),1/J852,IF(AND(ISNUMBER(I852),I852&gt;0),SQRT(MIN(I852,Formula!$C$27))/Formula!$C$24,1/Formula!$C$25))</f>
        <v>1</v>
      </c>
      <c r="R852" s="15">
        <f t="shared" si="2"/>
        <v>0.95</v>
      </c>
      <c r="S852" s="15">
        <f>IF(H852&lt;&gt;"",EXP(-Formula!$C$28*(EOMONTH(H852,0)-H852)),EXP(-Formula!$C$28*(EOMONTH(D852,0)-D852)))</f>
        <v>0.3499377491</v>
      </c>
      <c r="T852" s="15">
        <f t="shared" si="3"/>
        <v>0.2773500981</v>
      </c>
      <c r="U852" s="15">
        <f t="shared" si="4"/>
        <v>0.0922025056</v>
      </c>
      <c r="V852" s="16">
        <f>IF(AND(L852="Among all respondents",NOT(OR(K852="Online poll in Telegram channel",K852="Website online poll",K852="CAWI (Computer Assisted Web Interviewing)"))),1/(1-MIN(MAX(Formula!$C$33+(YEAR(D852)-Formula!$C$34)/(Formula!$C$35-Formula!$C$34)*(Formula!$C$32-Formula!$C$33),Formula!$C$33),Formula!$C$32)),1)</f>
        <v>1</v>
      </c>
      <c r="W852" s="17">
        <f t="shared" si="5"/>
        <v>15.5</v>
      </c>
    </row>
    <row r="853" ht="15.75" customHeight="1">
      <c r="A853" s="8" t="s">
        <v>1514</v>
      </c>
      <c r="B853" s="7" t="s">
        <v>1510</v>
      </c>
      <c r="C853" s="13" t="s">
        <v>1511</v>
      </c>
      <c r="D853" s="7" t="s">
        <v>154</v>
      </c>
      <c r="E853" s="8" t="s">
        <v>155</v>
      </c>
      <c r="F853" s="8" t="s">
        <v>318</v>
      </c>
      <c r="G853" s="7" t="s">
        <v>1512</v>
      </c>
      <c r="H853" s="7" t="s">
        <v>153</v>
      </c>
      <c r="I853" s="8">
        <v>10000.0</v>
      </c>
      <c r="J853" s="8">
        <v>1.0</v>
      </c>
      <c r="K853" s="8" t="s">
        <v>583</v>
      </c>
      <c r="L853" s="8" t="s">
        <v>322</v>
      </c>
      <c r="M853" s="8" t="s">
        <v>365</v>
      </c>
      <c r="N853" s="8">
        <v>11.9</v>
      </c>
      <c r="O853" s="14">
        <f t="shared" si="1"/>
        <v>44531</v>
      </c>
      <c r="P853" s="15">
        <f>IFERROR(VLOOKUP(K853,Formula!$A$11:$B$20,2,FALSE),Formula!$C$26)</f>
        <v>0.95</v>
      </c>
      <c r="Q853" s="15">
        <f>IF(AND(ISNUMBER(J853),J853&gt;0),1/J853,IF(AND(ISNUMBER(I853),I853&gt;0),SQRT(MIN(I853,Formula!$C$27))/Formula!$C$24,1/Formula!$C$25))</f>
        <v>1</v>
      </c>
      <c r="R853" s="15">
        <f t="shared" si="2"/>
        <v>0.95</v>
      </c>
      <c r="S853" s="15">
        <f>IF(H853&lt;&gt;"",EXP(-Formula!$C$28*(EOMONTH(H853,0)-H853)),EXP(-Formula!$C$28*(EOMONTH(D853,0)-D853)))</f>
        <v>0.3499377491</v>
      </c>
      <c r="T853" s="15">
        <f t="shared" si="3"/>
        <v>0.2773500981</v>
      </c>
      <c r="U853" s="15">
        <f t="shared" si="4"/>
        <v>0.0922025056</v>
      </c>
      <c r="V853" s="16">
        <f>IF(AND(L853="Among all respondents",NOT(OR(K853="Online poll in Telegram channel",K853="Website online poll",K853="CAWI (Computer Assisted Web Interviewing)"))),1/(1-MIN(MAX(Formula!$C$33+(YEAR(D853)-Formula!$C$34)/(Formula!$C$35-Formula!$C$34)*(Formula!$C$32-Formula!$C$33),Formula!$C$33),Formula!$C$32)),1)</f>
        <v>1</v>
      </c>
      <c r="W853" s="17">
        <f t="shared" si="5"/>
        <v>11.9</v>
      </c>
    </row>
    <row r="854" ht="15.75" customHeight="1">
      <c r="A854" s="8" t="s">
        <v>1515</v>
      </c>
      <c r="B854" s="7" t="s">
        <v>1510</v>
      </c>
      <c r="C854" s="13" t="s">
        <v>1511</v>
      </c>
      <c r="D854" s="7" t="s">
        <v>154</v>
      </c>
      <c r="E854" s="8" t="s">
        <v>155</v>
      </c>
      <c r="F854" s="8" t="s">
        <v>318</v>
      </c>
      <c r="G854" s="7" t="s">
        <v>1512</v>
      </c>
      <c r="H854" s="7" t="s">
        <v>153</v>
      </c>
      <c r="I854" s="8">
        <v>10000.0</v>
      </c>
      <c r="J854" s="8">
        <v>1.0</v>
      </c>
      <c r="K854" s="8" t="s">
        <v>583</v>
      </c>
      <c r="L854" s="8" t="s">
        <v>322</v>
      </c>
      <c r="M854" s="8" t="s">
        <v>337</v>
      </c>
      <c r="N854" s="8">
        <v>9.4</v>
      </c>
      <c r="O854" s="14">
        <f t="shared" si="1"/>
        <v>44531</v>
      </c>
      <c r="P854" s="15">
        <f>IFERROR(VLOOKUP(K854,Formula!$A$11:$B$20,2,FALSE),Formula!$C$26)</f>
        <v>0.95</v>
      </c>
      <c r="Q854" s="15">
        <f>IF(AND(ISNUMBER(J854),J854&gt;0),1/J854,IF(AND(ISNUMBER(I854),I854&gt;0),SQRT(MIN(I854,Formula!$C$27))/Formula!$C$24,1/Formula!$C$25))</f>
        <v>1</v>
      </c>
      <c r="R854" s="15">
        <f t="shared" si="2"/>
        <v>0.95</v>
      </c>
      <c r="S854" s="15">
        <f>IF(H854&lt;&gt;"",EXP(-Formula!$C$28*(EOMONTH(H854,0)-H854)),EXP(-Formula!$C$28*(EOMONTH(D854,0)-D854)))</f>
        <v>0.3499377491</v>
      </c>
      <c r="T854" s="15">
        <f t="shared" si="3"/>
        <v>0.2773500981</v>
      </c>
      <c r="U854" s="15">
        <f t="shared" si="4"/>
        <v>0.0922025056</v>
      </c>
      <c r="V854" s="16">
        <f>IF(AND(L854="Among all respondents",NOT(OR(K854="Online poll in Telegram channel",K854="Website online poll",K854="CAWI (Computer Assisted Web Interviewing)"))),1/(1-MIN(MAX(Formula!$C$33+(YEAR(D854)-Formula!$C$34)/(Formula!$C$35-Formula!$C$34)*(Formula!$C$32-Formula!$C$33),Formula!$C$33),Formula!$C$32)),1)</f>
        <v>1</v>
      </c>
      <c r="W854" s="17">
        <f t="shared" si="5"/>
        <v>9.4</v>
      </c>
    </row>
    <row r="855" ht="15.75" customHeight="1">
      <c r="A855" s="8" t="s">
        <v>1516</v>
      </c>
      <c r="B855" s="7" t="s">
        <v>1510</v>
      </c>
      <c r="C855" s="13" t="s">
        <v>1511</v>
      </c>
      <c r="D855" s="7" t="s">
        <v>154</v>
      </c>
      <c r="E855" s="8" t="s">
        <v>155</v>
      </c>
      <c r="F855" s="8" t="s">
        <v>318</v>
      </c>
      <c r="G855" s="7" t="s">
        <v>1512</v>
      </c>
      <c r="H855" s="7" t="s">
        <v>153</v>
      </c>
      <c r="I855" s="8">
        <v>10000.0</v>
      </c>
      <c r="J855" s="8">
        <v>1.0</v>
      </c>
      <c r="K855" s="8" t="s">
        <v>583</v>
      </c>
      <c r="L855" s="8" t="s">
        <v>322</v>
      </c>
      <c r="M855" s="8" t="s">
        <v>333</v>
      </c>
      <c r="N855" s="8">
        <v>7.5</v>
      </c>
      <c r="O855" s="14">
        <f t="shared" si="1"/>
        <v>44531</v>
      </c>
      <c r="P855" s="15">
        <f>IFERROR(VLOOKUP(K855,Formula!$A$11:$B$20,2,FALSE),Formula!$C$26)</f>
        <v>0.95</v>
      </c>
      <c r="Q855" s="15">
        <f>IF(AND(ISNUMBER(J855),J855&gt;0),1/J855,IF(AND(ISNUMBER(I855),I855&gt;0),SQRT(MIN(I855,Formula!$C$27))/Formula!$C$24,1/Formula!$C$25))</f>
        <v>1</v>
      </c>
      <c r="R855" s="15">
        <f t="shared" si="2"/>
        <v>0.95</v>
      </c>
      <c r="S855" s="15">
        <f>IF(H855&lt;&gt;"",EXP(-Formula!$C$28*(EOMONTH(H855,0)-H855)),EXP(-Formula!$C$28*(EOMONTH(D855,0)-D855)))</f>
        <v>0.3499377491</v>
      </c>
      <c r="T855" s="15">
        <f t="shared" si="3"/>
        <v>0.2773500981</v>
      </c>
      <c r="U855" s="15">
        <f t="shared" si="4"/>
        <v>0.0922025056</v>
      </c>
      <c r="V855" s="16">
        <f>IF(AND(L855="Among all respondents",NOT(OR(K855="Online poll in Telegram channel",K855="Website online poll",K855="CAWI (Computer Assisted Web Interviewing)"))),1/(1-MIN(MAX(Formula!$C$33+(YEAR(D855)-Formula!$C$34)/(Formula!$C$35-Formula!$C$34)*(Formula!$C$32-Formula!$C$33),Formula!$C$33),Formula!$C$32)),1)</f>
        <v>1</v>
      </c>
      <c r="W855" s="17">
        <f t="shared" si="5"/>
        <v>7.5</v>
      </c>
    </row>
    <row r="856" ht="15.75" customHeight="1">
      <c r="A856" s="8" t="s">
        <v>1517</v>
      </c>
      <c r="B856" s="7" t="s">
        <v>1510</v>
      </c>
      <c r="C856" s="13" t="s">
        <v>1511</v>
      </c>
      <c r="D856" s="7" t="s">
        <v>154</v>
      </c>
      <c r="E856" s="8" t="s">
        <v>155</v>
      </c>
      <c r="F856" s="8" t="s">
        <v>318</v>
      </c>
      <c r="G856" s="7" t="s">
        <v>1512</v>
      </c>
      <c r="H856" s="7" t="s">
        <v>153</v>
      </c>
      <c r="I856" s="8">
        <v>10000.0</v>
      </c>
      <c r="J856" s="8">
        <v>1.0</v>
      </c>
      <c r="K856" s="8" t="s">
        <v>583</v>
      </c>
      <c r="L856" s="8" t="s">
        <v>322</v>
      </c>
      <c r="M856" s="8" t="s">
        <v>1153</v>
      </c>
      <c r="N856" s="8">
        <v>7.0</v>
      </c>
      <c r="O856" s="14">
        <f t="shared" si="1"/>
        <v>44531</v>
      </c>
      <c r="P856" s="15">
        <f>IFERROR(VLOOKUP(K856,Formula!$A$11:$B$20,2,FALSE),Formula!$C$26)</f>
        <v>0.95</v>
      </c>
      <c r="Q856" s="15">
        <f>IF(AND(ISNUMBER(J856),J856&gt;0),1/J856,IF(AND(ISNUMBER(I856),I856&gt;0),SQRT(MIN(I856,Formula!$C$27))/Formula!$C$24,1/Formula!$C$25))</f>
        <v>1</v>
      </c>
      <c r="R856" s="15">
        <f t="shared" si="2"/>
        <v>0.95</v>
      </c>
      <c r="S856" s="15">
        <f>IF(H856&lt;&gt;"",EXP(-Formula!$C$28*(EOMONTH(H856,0)-H856)),EXP(-Formula!$C$28*(EOMONTH(D856,0)-D856)))</f>
        <v>0.3499377491</v>
      </c>
      <c r="T856" s="15">
        <f t="shared" si="3"/>
        <v>0.2773500981</v>
      </c>
      <c r="U856" s="15">
        <f t="shared" si="4"/>
        <v>0.0922025056</v>
      </c>
      <c r="V856" s="16">
        <f>IF(AND(L856="Among all respondents",NOT(OR(K856="Online poll in Telegram channel",K856="Website online poll",K856="CAWI (Computer Assisted Web Interviewing)"))),1/(1-MIN(MAX(Formula!$C$33+(YEAR(D856)-Formula!$C$34)/(Formula!$C$35-Formula!$C$34)*(Formula!$C$32-Formula!$C$33),Formula!$C$33),Formula!$C$32)),1)</f>
        <v>1</v>
      </c>
      <c r="W856" s="17">
        <f t="shared" si="5"/>
        <v>7</v>
      </c>
    </row>
    <row r="857" ht="15.75" customHeight="1">
      <c r="A857" s="8" t="s">
        <v>1518</v>
      </c>
      <c r="B857" s="7" t="s">
        <v>1510</v>
      </c>
      <c r="C857" s="13" t="s">
        <v>1511</v>
      </c>
      <c r="D857" s="7" t="s">
        <v>154</v>
      </c>
      <c r="E857" s="8" t="s">
        <v>155</v>
      </c>
      <c r="F857" s="8" t="s">
        <v>318</v>
      </c>
      <c r="G857" s="7" t="s">
        <v>1512</v>
      </c>
      <c r="H857" s="7" t="s">
        <v>153</v>
      </c>
      <c r="I857" s="8">
        <v>10000.0</v>
      </c>
      <c r="J857" s="8">
        <v>1.0</v>
      </c>
      <c r="K857" s="8" t="s">
        <v>583</v>
      </c>
      <c r="L857" s="8" t="s">
        <v>322</v>
      </c>
      <c r="M857" s="8" t="s">
        <v>828</v>
      </c>
      <c r="N857" s="8">
        <v>6.9</v>
      </c>
      <c r="O857" s="14">
        <f t="shared" si="1"/>
        <v>44531</v>
      </c>
      <c r="P857" s="15">
        <f>IFERROR(VLOOKUP(K857,Formula!$A$11:$B$20,2,FALSE),Formula!$C$26)</f>
        <v>0.95</v>
      </c>
      <c r="Q857" s="15">
        <f>IF(AND(ISNUMBER(J857),J857&gt;0),1/J857,IF(AND(ISNUMBER(I857),I857&gt;0),SQRT(MIN(I857,Formula!$C$27))/Formula!$C$24,1/Formula!$C$25))</f>
        <v>1</v>
      </c>
      <c r="R857" s="15">
        <f t="shared" si="2"/>
        <v>0.95</v>
      </c>
      <c r="S857" s="15">
        <f>IF(H857&lt;&gt;"",EXP(-Formula!$C$28*(EOMONTH(H857,0)-H857)),EXP(-Formula!$C$28*(EOMONTH(D857,0)-D857)))</f>
        <v>0.3499377491</v>
      </c>
      <c r="T857" s="15">
        <f t="shared" si="3"/>
        <v>0.2773500981</v>
      </c>
      <c r="U857" s="15">
        <f t="shared" si="4"/>
        <v>0.0922025056</v>
      </c>
      <c r="V857" s="16">
        <f>IF(AND(L857="Among all respondents",NOT(OR(K857="Online poll in Telegram channel",K857="Website online poll",K857="CAWI (Computer Assisted Web Interviewing)"))),1/(1-MIN(MAX(Formula!$C$33+(YEAR(D857)-Formula!$C$34)/(Formula!$C$35-Formula!$C$34)*(Formula!$C$32-Formula!$C$33),Formula!$C$33),Formula!$C$32)),1)</f>
        <v>1</v>
      </c>
      <c r="W857" s="17">
        <f t="shared" si="5"/>
        <v>6.9</v>
      </c>
    </row>
    <row r="858" ht="15.75" customHeight="1">
      <c r="A858" s="8" t="s">
        <v>1519</v>
      </c>
      <c r="B858" s="7" t="s">
        <v>1510</v>
      </c>
      <c r="C858" s="13" t="s">
        <v>1511</v>
      </c>
      <c r="D858" s="7" t="s">
        <v>154</v>
      </c>
      <c r="E858" s="8" t="s">
        <v>155</v>
      </c>
      <c r="F858" s="8" t="s">
        <v>318</v>
      </c>
      <c r="G858" s="7" t="s">
        <v>1512</v>
      </c>
      <c r="H858" s="7" t="s">
        <v>153</v>
      </c>
      <c r="I858" s="8">
        <v>10000.0</v>
      </c>
      <c r="J858" s="8">
        <v>1.0</v>
      </c>
      <c r="K858" s="8" t="s">
        <v>583</v>
      </c>
      <c r="L858" s="8" t="s">
        <v>322</v>
      </c>
      <c r="M858" s="8" t="s">
        <v>386</v>
      </c>
      <c r="N858" s="8">
        <v>3.8</v>
      </c>
      <c r="O858" s="14">
        <f t="shared" si="1"/>
        <v>44531</v>
      </c>
      <c r="P858" s="15">
        <f>IFERROR(VLOOKUP(K858,Formula!$A$11:$B$20,2,FALSE),Formula!$C$26)</f>
        <v>0.95</v>
      </c>
      <c r="Q858" s="15">
        <f>IF(AND(ISNUMBER(J858),J858&gt;0),1/J858,IF(AND(ISNUMBER(I858),I858&gt;0),SQRT(MIN(I858,Formula!$C$27))/Formula!$C$24,1/Formula!$C$25))</f>
        <v>1</v>
      </c>
      <c r="R858" s="15">
        <f t="shared" si="2"/>
        <v>0.95</v>
      </c>
      <c r="S858" s="15">
        <f>IF(H858&lt;&gt;"",EXP(-Formula!$C$28*(EOMONTH(H858,0)-H858)),EXP(-Formula!$C$28*(EOMONTH(D858,0)-D858)))</f>
        <v>0.3499377491</v>
      </c>
      <c r="T858" s="15">
        <f t="shared" si="3"/>
        <v>0.2773500981</v>
      </c>
      <c r="U858" s="15">
        <f t="shared" si="4"/>
        <v>0.0922025056</v>
      </c>
      <c r="V858" s="16">
        <f>IF(AND(L858="Among all respondents",NOT(OR(K858="Online poll in Telegram channel",K858="Website online poll",K858="CAWI (Computer Assisted Web Interviewing)"))),1/(1-MIN(MAX(Formula!$C$33+(YEAR(D858)-Formula!$C$34)/(Formula!$C$35-Formula!$C$34)*(Formula!$C$32-Formula!$C$33),Formula!$C$33),Formula!$C$32)),1)</f>
        <v>1</v>
      </c>
      <c r="W858" s="17">
        <f t="shared" si="5"/>
        <v>3.8</v>
      </c>
    </row>
    <row r="859" ht="15.75" customHeight="1">
      <c r="A859" s="8" t="s">
        <v>1520</v>
      </c>
      <c r="B859" s="7" t="s">
        <v>1510</v>
      </c>
      <c r="C859" s="13" t="s">
        <v>1511</v>
      </c>
      <c r="D859" s="7" t="s">
        <v>154</v>
      </c>
      <c r="E859" s="8" t="s">
        <v>155</v>
      </c>
      <c r="F859" s="8" t="s">
        <v>318</v>
      </c>
      <c r="G859" s="7" t="s">
        <v>1512</v>
      </c>
      <c r="H859" s="7" t="s">
        <v>153</v>
      </c>
      <c r="I859" s="8">
        <v>10000.0</v>
      </c>
      <c r="J859" s="8">
        <v>1.0</v>
      </c>
      <c r="K859" s="8" t="s">
        <v>583</v>
      </c>
      <c r="L859" s="8" t="s">
        <v>322</v>
      </c>
      <c r="M859" s="8" t="s">
        <v>388</v>
      </c>
      <c r="N859" s="8">
        <v>2.4</v>
      </c>
      <c r="O859" s="14">
        <f t="shared" si="1"/>
        <v>44531</v>
      </c>
      <c r="P859" s="15">
        <f>IFERROR(VLOOKUP(K859,Formula!$A$11:$B$20,2,FALSE),Formula!$C$26)</f>
        <v>0.95</v>
      </c>
      <c r="Q859" s="15">
        <f>IF(AND(ISNUMBER(J859),J859&gt;0),1/J859,IF(AND(ISNUMBER(I859),I859&gt;0),SQRT(MIN(I859,Formula!$C$27))/Formula!$C$24,1/Formula!$C$25))</f>
        <v>1</v>
      </c>
      <c r="R859" s="15">
        <f t="shared" si="2"/>
        <v>0.95</v>
      </c>
      <c r="S859" s="15">
        <f>IF(H859&lt;&gt;"",EXP(-Formula!$C$28*(EOMONTH(H859,0)-H859)),EXP(-Formula!$C$28*(EOMONTH(D859,0)-D859)))</f>
        <v>0.3499377491</v>
      </c>
      <c r="T859" s="15">
        <f t="shared" si="3"/>
        <v>0.2773500981</v>
      </c>
      <c r="U859" s="15">
        <f t="shared" si="4"/>
        <v>0.0922025056</v>
      </c>
      <c r="V859" s="16">
        <f>IF(AND(L859="Among all respondents",NOT(OR(K859="Online poll in Telegram channel",K859="Website online poll",K859="CAWI (Computer Assisted Web Interviewing)"))),1/(1-MIN(MAX(Formula!$C$33+(YEAR(D859)-Formula!$C$34)/(Formula!$C$35-Formula!$C$34)*(Formula!$C$32-Formula!$C$33),Formula!$C$33),Formula!$C$32)),1)</f>
        <v>1</v>
      </c>
      <c r="W859" s="17">
        <f t="shared" si="5"/>
        <v>2.4</v>
      </c>
    </row>
    <row r="860" ht="15.75" customHeight="1">
      <c r="A860" s="8" t="s">
        <v>1521</v>
      </c>
      <c r="B860" s="7" t="s">
        <v>1510</v>
      </c>
      <c r="C860" s="13" t="s">
        <v>1511</v>
      </c>
      <c r="D860" s="7" t="s">
        <v>154</v>
      </c>
      <c r="E860" s="8" t="s">
        <v>155</v>
      </c>
      <c r="F860" s="8" t="s">
        <v>318</v>
      </c>
      <c r="G860" s="7" t="s">
        <v>1512</v>
      </c>
      <c r="H860" s="7" t="s">
        <v>153</v>
      </c>
      <c r="I860" s="8">
        <v>10000.0</v>
      </c>
      <c r="J860" s="8">
        <v>1.0</v>
      </c>
      <c r="K860" s="8" t="s">
        <v>583</v>
      </c>
      <c r="L860" s="8" t="s">
        <v>322</v>
      </c>
      <c r="M860" s="8" t="s">
        <v>740</v>
      </c>
      <c r="N860" s="8">
        <v>1.3</v>
      </c>
      <c r="O860" s="14">
        <f t="shared" si="1"/>
        <v>44531</v>
      </c>
      <c r="P860" s="15">
        <f>IFERROR(VLOOKUP(K860,Formula!$A$11:$B$20,2,FALSE),Formula!$C$26)</f>
        <v>0.95</v>
      </c>
      <c r="Q860" s="15">
        <f>IF(AND(ISNUMBER(J860),J860&gt;0),1/J860,IF(AND(ISNUMBER(I860),I860&gt;0),SQRT(MIN(I860,Formula!$C$27))/Formula!$C$24,1/Formula!$C$25))</f>
        <v>1</v>
      </c>
      <c r="R860" s="15">
        <f t="shared" si="2"/>
        <v>0.95</v>
      </c>
      <c r="S860" s="15">
        <f>IF(H860&lt;&gt;"",EXP(-Formula!$C$28*(EOMONTH(H860,0)-H860)),EXP(-Formula!$C$28*(EOMONTH(D860,0)-D860)))</f>
        <v>0.3499377491</v>
      </c>
      <c r="T860" s="15">
        <f t="shared" si="3"/>
        <v>0.2773500981</v>
      </c>
      <c r="U860" s="15">
        <f t="shared" si="4"/>
        <v>0.0922025056</v>
      </c>
      <c r="V860" s="16">
        <f>IF(AND(L860="Among all respondents",NOT(OR(K860="Online poll in Telegram channel",K860="Website online poll",K860="CAWI (Computer Assisted Web Interviewing)"))),1/(1-MIN(MAX(Formula!$C$33+(YEAR(D860)-Formula!$C$34)/(Formula!$C$35-Formula!$C$34)*(Formula!$C$32-Formula!$C$33),Formula!$C$33),Formula!$C$32)),1)</f>
        <v>1</v>
      </c>
      <c r="W860" s="17">
        <f t="shared" si="5"/>
        <v>1.3</v>
      </c>
    </row>
    <row r="861" ht="15.75" customHeight="1">
      <c r="A861" s="8" t="s">
        <v>1522</v>
      </c>
      <c r="B861" s="7" t="s">
        <v>1510</v>
      </c>
      <c r="C861" s="13" t="s">
        <v>1511</v>
      </c>
      <c r="D861" s="7" t="s">
        <v>154</v>
      </c>
      <c r="E861" s="8" t="s">
        <v>155</v>
      </c>
      <c r="F861" s="8" t="s">
        <v>318</v>
      </c>
      <c r="G861" s="7" t="s">
        <v>1512</v>
      </c>
      <c r="H861" s="7" t="s">
        <v>153</v>
      </c>
      <c r="I861" s="8">
        <v>10000.0</v>
      </c>
      <c r="J861" s="8">
        <v>1.0</v>
      </c>
      <c r="K861" s="8" t="s">
        <v>583</v>
      </c>
      <c r="L861" s="8" t="s">
        <v>322</v>
      </c>
      <c r="M861" s="8" t="s">
        <v>343</v>
      </c>
      <c r="N861" s="8">
        <v>1.2</v>
      </c>
      <c r="O861" s="14">
        <f t="shared" si="1"/>
        <v>44531</v>
      </c>
      <c r="P861" s="15">
        <f>IFERROR(VLOOKUP(K861,Formula!$A$11:$B$20,2,FALSE),Formula!$C$26)</f>
        <v>0.95</v>
      </c>
      <c r="Q861" s="15">
        <f>IF(AND(ISNUMBER(J861),J861&gt;0),1/J861,IF(AND(ISNUMBER(I861),I861&gt;0),SQRT(MIN(I861,Formula!$C$27))/Formula!$C$24,1/Formula!$C$25))</f>
        <v>1</v>
      </c>
      <c r="R861" s="15">
        <f t="shared" si="2"/>
        <v>0.95</v>
      </c>
      <c r="S861" s="15">
        <f>IF(H861&lt;&gt;"",EXP(-Formula!$C$28*(EOMONTH(H861,0)-H861)),EXP(-Formula!$C$28*(EOMONTH(D861,0)-D861)))</f>
        <v>0.3499377491</v>
      </c>
      <c r="T861" s="15">
        <f t="shared" si="3"/>
        <v>0.2773500981</v>
      </c>
      <c r="U861" s="15">
        <f t="shared" si="4"/>
        <v>0.0922025056</v>
      </c>
      <c r="V861" s="16">
        <f>IF(AND(L861="Among all respondents",NOT(OR(K861="Online poll in Telegram channel",K861="Website online poll",K861="CAWI (Computer Assisted Web Interviewing)"))),1/(1-MIN(MAX(Formula!$C$33+(YEAR(D861)-Formula!$C$34)/(Formula!$C$35-Formula!$C$34)*(Formula!$C$32-Formula!$C$33),Formula!$C$33),Formula!$C$32)),1)</f>
        <v>1</v>
      </c>
      <c r="W861" s="17">
        <f t="shared" si="5"/>
        <v>1.2</v>
      </c>
    </row>
    <row r="862" ht="15.75" customHeight="1">
      <c r="A862" s="8" t="s">
        <v>1523</v>
      </c>
      <c r="B862" s="7" t="s">
        <v>1510</v>
      </c>
      <c r="C862" s="13" t="s">
        <v>1511</v>
      </c>
      <c r="D862" s="7" t="s">
        <v>154</v>
      </c>
      <c r="E862" s="8" t="s">
        <v>155</v>
      </c>
      <c r="F862" s="8" t="s">
        <v>318</v>
      </c>
      <c r="G862" s="7" t="s">
        <v>1512</v>
      </c>
      <c r="H862" s="7" t="s">
        <v>153</v>
      </c>
      <c r="I862" s="8">
        <v>10000.0</v>
      </c>
      <c r="J862" s="8">
        <v>1.0</v>
      </c>
      <c r="K862" s="8" t="s">
        <v>583</v>
      </c>
      <c r="L862" s="8" t="s">
        <v>322</v>
      </c>
      <c r="M862" s="8" t="s">
        <v>858</v>
      </c>
      <c r="N862" s="8">
        <v>0.8</v>
      </c>
      <c r="O862" s="14">
        <f t="shared" si="1"/>
        <v>44531</v>
      </c>
      <c r="P862" s="15">
        <f>IFERROR(VLOOKUP(K862,Formula!$A$11:$B$20,2,FALSE),Formula!$C$26)</f>
        <v>0.95</v>
      </c>
      <c r="Q862" s="15">
        <f>IF(AND(ISNUMBER(J862),J862&gt;0),1/J862,IF(AND(ISNUMBER(I862),I862&gt;0),SQRT(MIN(I862,Formula!$C$27))/Formula!$C$24,1/Formula!$C$25))</f>
        <v>1</v>
      </c>
      <c r="R862" s="15">
        <f t="shared" si="2"/>
        <v>0.95</v>
      </c>
      <c r="S862" s="15">
        <f>IF(H862&lt;&gt;"",EXP(-Formula!$C$28*(EOMONTH(H862,0)-H862)),EXP(-Formula!$C$28*(EOMONTH(D862,0)-D862)))</f>
        <v>0.3499377491</v>
      </c>
      <c r="T862" s="15">
        <f t="shared" si="3"/>
        <v>0.2773500981</v>
      </c>
      <c r="U862" s="15">
        <f t="shared" si="4"/>
        <v>0.0922025056</v>
      </c>
      <c r="V862" s="16">
        <f>IF(AND(L862="Among all respondents",NOT(OR(K862="Online poll in Telegram channel",K862="Website online poll",K862="CAWI (Computer Assisted Web Interviewing)"))),1/(1-MIN(MAX(Formula!$C$33+(YEAR(D862)-Formula!$C$34)/(Formula!$C$35-Formula!$C$34)*(Formula!$C$32-Formula!$C$33),Formula!$C$33),Formula!$C$32)),1)</f>
        <v>1</v>
      </c>
      <c r="W862" s="17">
        <f t="shared" si="5"/>
        <v>0.8</v>
      </c>
    </row>
    <row r="863" ht="15.75" customHeight="1">
      <c r="A863" s="8" t="s">
        <v>1524</v>
      </c>
      <c r="B863" s="7" t="s">
        <v>1510</v>
      </c>
      <c r="C863" s="13" t="s">
        <v>1511</v>
      </c>
      <c r="D863" s="7" t="s">
        <v>154</v>
      </c>
      <c r="E863" s="8" t="s">
        <v>155</v>
      </c>
      <c r="F863" s="8" t="s">
        <v>318</v>
      </c>
      <c r="G863" s="7" t="s">
        <v>1512</v>
      </c>
      <c r="H863" s="7" t="s">
        <v>153</v>
      </c>
      <c r="I863" s="8">
        <v>10000.0</v>
      </c>
      <c r="J863" s="8">
        <v>1.0</v>
      </c>
      <c r="K863" s="8" t="s">
        <v>583</v>
      </c>
      <c r="L863" s="8" t="s">
        <v>322</v>
      </c>
      <c r="M863" s="8" t="s">
        <v>743</v>
      </c>
      <c r="N863" s="8">
        <v>0.7</v>
      </c>
      <c r="O863" s="14">
        <f t="shared" si="1"/>
        <v>44531</v>
      </c>
      <c r="P863" s="15">
        <f>IFERROR(VLOOKUP(K863,Formula!$A$11:$B$20,2,FALSE),Formula!$C$26)</f>
        <v>0.95</v>
      </c>
      <c r="Q863" s="15">
        <f>IF(AND(ISNUMBER(J863),J863&gt;0),1/J863,IF(AND(ISNUMBER(I863),I863&gt;0),SQRT(MIN(I863,Formula!$C$27))/Formula!$C$24,1/Formula!$C$25))</f>
        <v>1</v>
      </c>
      <c r="R863" s="15">
        <f t="shared" si="2"/>
        <v>0.95</v>
      </c>
      <c r="S863" s="15">
        <f>IF(H863&lt;&gt;"",EXP(-Formula!$C$28*(EOMONTH(H863,0)-H863)),EXP(-Formula!$C$28*(EOMONTH(D863,0)-D863)))</f>
        <v>0.3499377491</v>
      </c>
      <c r="T863" s="15">
        <f t="shared" si="3"/>
        <v>0.2773500981</v>
      </c>
      <c r="U863" s="15">
        <f t="shared" si="4"/>
        <v>0.0922025056</v>
      </c>
      <c r="V863" s="16">
        <f>IF(AND(L863="Among all respondents",NOT(OR(K863="Online poll in Telegram channel",K863="Website online poll",K863="CAWI (Computer Assisted Web Interviewing)"))),1/(1-MIN(MAX(Formula!$C$33+(YEAR(D863)-Formula!$C$34)/(Formula!$C$35-Formula!$C$34)*(Formula!$C$32-Formula!$C$33),Formula!$C$33),Formula!$C$32)),1)</f>
        <v>1</v>
      </c>
      <c r="W863" s="17">
        <f t="shared" si="5"/>
        <v>0.7</v>
      </c>
    </row>
    <row r="864" ht="15.75" customHeight="1">
      <c r="A864" s="8" t="s">
        <v>1525</v>
      </c>
      <c r="B864" s="7" t="s">
        <v>1526</v>
      </c>
      <c r="C864" s="13" t="s">
        <v>1527</v>
      </c>
      <c r="D864" s="7" t="s">
        <v>148</v>
      </c>
      <c r="E864" s="8" t="s">
        <v>72</v>
      </c>
      <c r="F864" s="8" t="s">
        <v>318</v>
      </c>
      <c r="G864" s="7" t="s">
        <v>157</v>
      </c>
      <c r="H864" s="7" t="s">
        <v>149</v>
      </c>
      <c r="I864" s="8">
        <v>2025.0</v>
      </c>
      <c r="J864" s="8">
        <v>3.3</v>
      </c>
      <c r="K864" s="8" t="s">
        <v>583</v>
      </c>
      <c r="L864" s="8" t="s">
        <v>322</v>
      </c>
      <c r="M864" s="8" t="s">
        <v>323</v>
      </c>
      <c r="N864" s="8">
        <v>27.6</v>
      </c>
      <c r="O864" s="14">
        <f t="shared" si="1"/>
        <v>44531</v>
      </c>
      <c r="P864" s="15">
        <f>IFERROR(VLOOKUP(K864,Formula!$A$11:$B$20,2,FALSE),Formula!$C$26)</f>
        <v>0.95</v>
      </c>
      <c r="Q864" s="15">
        <f>IF(AND(ISNUMBER(J864),J864&gt;0),1/J864,IF(AND(ISNUMBER(I864),I864&gt;0),SQRT(MIN(I864,Formula!$C$27))/Formula!$C$24,1/Formula!$C$25))</f>
        <v>0.303030303</v>
      </c>
      <c r="R864" s="15">
        <f t="shared" si="2"/>
        <v>0.2878787879</v>
      </c>
      <c r="S864" s="15">
        <f>IF(H864&lt;&gt;"",EXP(-Formula!$C$28*(EOMONTH(H864,0)-H864)),EXP(-Formula!$C$28*(EOMONTH(D864,0)-D864)))</f>
        <v>0.4965853038</v>
      </c>
      <c r="T864" s="15">
        <f t="shared" si="3"/>
        <v>0.1924500897</v>
      </c>
      <c r="U864" s="15">
        <f t="shared" si="4"/>
        <v>0.02751196726</v>
      </c>
      <c r="V864" s="16">
        <f>IF(AND(L864="Among all respondents",NOT(OR(K864="Online poll in Telegram channel",K864="Website online poll",K864="CAWI (Computer Assisted Web Interviewing)"))),1/(1-MIN(MAX(Formula!$C$33+(YEAR(D864)-Formula!$C$34)/(Formula!$C$35-Formula!$C$34)*(Formula!$C$32-Formula!$C$33),Formula!$C$33),Formula!$C$32)),1)</f>
        <v>1</v>
      </c>
      <c r="W864" s="17">
        <f t="shared" si="5"/>
        <v>27.6</v>
      </c>
    </row>
    <row r="865" ht="15.75" customHeight="1">
      <c r="A865" s="8" t="s">
        <v>1528</v>
      </c>
      <c r="B865" s="7" t="s">
        <v>1526</v>
      </c>
      <c r="C865" s="13" t="s">
        <v>1527</v>
      </c>
      <c r="D865" s="7" t="s">
        <v>148</v>
      </c>
      <c r="E865" s="8" t="s">
        <v>72</v>
      </c>
      <c r="F865" s="8" t="s">
        <v>318</v>
      </c>
      <c r="G865" s="7" t="s">
        <v>157</v>
      </c>
      <c r="H865" s="7" t="s">
        <v>149</v>
      </c>
      <c r="I865" s="8">
        <v>2025.0</v>
      </c>
      <c r="J865" s="8">
        <v>3.3</v>
      </c>
      <c r="K865" s="8" t="s">
        <v>583</v>
      </c>
      <c r="L865" s="8" t="s">
        <v>322</v>
      </c>
      <c r="M865" s="8" t="s">
        <v>329</v>
      </c>
      <c r="N865" s="8">
        <v>16.0</v>
      </c>
      <c r="O865" s="14">
        <f t="shared" si="1"/>
        <v>44531</v>
      </c>
      <c r="P865" s="15">
        <f>IFERROR(VLOOKUP(K865,Formula!$A$11:$B$20,2,FALSE),Formula!$C$26)</f>
        <v>0.95</v>
      </c>
      <c r="Q865" s="15">
        <f>IF(AND(ISNUMBER(J865),J865&gt;0),1/J865,IF(AND(ISNUMBER(I865),I865&gt;0),SQRT(MIN(I865,Formula!$C$27))/Formula!$C$24,1/Formula!$C$25))</f>
        <v>0.303030303</v>
      </c>
      <c r="R865" s="15">
        <f t="shared" si="2"/>
        <v>0.2878787879</v>
      </c>
      <c r="S865" s="15">
        <f>IF(H865&lt;&gt;"",EXP(-Formula!$C$28*(EOMONTH(H865,0)-H865)),EXP(-Formula!$C$28*(EOMONTH(D865,0)-D865)))</f>
        <v>0.4965853038</v>
      </c>
      <c r="T865" s="15">
        <f t="shared" si="3"/>
        <v>0.1924500897</v>
      </c>
      <c r="U865" s="15">
        <f t="shared" si="4"/>
        <v>0.02751196726</v>
      </c>
      <c r="V865" s="16">
        <f>IF(AND(L865="Among all respondents",NOT(OR(K865="Online poll in Telegram channel",K865="Website online poll",K865="CAWI (Computer Assisted Web Interviewing)"))),1/(1-MIN(MAX(Formula!$C$33+(YEAR(D865)-Formula!$C$34)/(Formula!$C$35-Formula!$C$34)*(Formula!$C$32-Formula!$C$33),Formula!$C$33),Formula!$C$32)),1)</f>
        <v>1</v>
      </c>
      <c r="W865" s="17">
        <f t="shared" si="5"/>
        <v>16</v>
      </c>
    </row>
    <row r="866" ht="15.75" customHeight="1">
      <c r="A866" s="8" t="s">
        <v>1529</v>
      </c>
      <c r="B866" s="7" t="s">
        <v>1526</v>
      </c>
      <c r="C866" s="13" t="s">
        <v>1527</v>
      </c>
      <c r="D866" s="7" t="s">
        <v>148</v>
      </c>
      <c r="E866" s="8" t="s">
        <v>72</v>
      </c>
      <c r="F866" s="8" t="s">
        <v>318</v>
      </c>
      <c r="G866" s="7" t="s">
        <v>157</v>
      </c>
      <c r="H866" s="7" t="s">
        <v>149</v>
      </c>
      <c r="I866" s="8">
        <v>2025.0</v>
      </c>
      <c r="J866" s="8">
        <v>3.3</v>
      </c>
      <c r="K866" s="8" t="s">
        <v>583</v>
      </c>
      <c r="L866" s="8" t="s">
        <v>322</v>
      </c>
      <c r="M866" s="8" t="s">
        <v>365</v>
      </c>
      <c r="N866" s="8">
        <v>9.4</v>
      </c>
      <c r="O866" s="14">
        <f t="shared" si="1"/>
        <v>44531</v>
      </c>
      <c r="P866" s="15">
        <f>IFERROR(VLOOKUP(K866,Formula!$A$11:$B$20,2,FALSE),Formula!$C$26)</f>
        <v>0.95</v>
      </c>
      <c r="Q866" s="15">
        <f>IF(AND(ISNUMBER(J866),J866&gt;0),1/J866,IF(AND(ISNUMBER(I866),I866&gt;0),SQRT(MIN(I866,Formula!$C$27))/Formula!$C$24,1/Formula!$C$25))</f>
        <v>0.303030303</v>
      </c>
      <c r="R866" s="15">
        <f t="shared" si="2"/>
        <v>0.2878787879</v>
      </c>
      <c r="S866" s="15">
        <f>IF(H866&lt;&gt;"",EXP(-Formula!$C$28*(EOMONTH(H866,0)-H866)),EXP(-Formula!$C$28*(EOMONTH(D866,0)-D866)))</f>
        <v>0.4965853038</v>
      </c>
      <c r="T866" s="15">
        <f t="shared" si="3"/>
        <v>0.1924500897</v>
      </c>
      <c r="U866" s="15">
        <f t="shared" si="4"/>
        <v>0.02751196726</v>
      </c>
      <c r="V866" s="16">
        <f>IF(AND(L866="Among all respondents",NOT(OR(K866="Online poll in Telegram channel",K866="Website online poll",K866="CAWI (Computer Assisted Web Interviewing)"))),1/(1-MIN(MAX(Formula!$C$33+(YEAR(D866)-Formula!$C$34)/(Formula!$C$35-Formula!$C$34)*(Formula!$C$32-Formula!$C$33),Formula!$C$33),Formula!$C$32)),1)</f>
        <v>1</v>
      </c>
      <c r="W866" s="17">
        <f t="shared" si="5"/>
        <v>9.4</v>
      </c>
    </row>
    <row r="867" ht="15.75" customHeight="1">
      <c r="A867" s="8" t="s">
        <v>1530</v>
      </c>
      <c r="B867" s="7" t="s">
        <v>1526</v>
      </c>
      <c r="C867" s="13" t="s">
        <v>1527</v>
      </c>
      <c r="D867" s="7" t="s">
        <v>148</v>
      </c>
      <c r="E867" s="8" t="s">
        <v>72</v>
      </c>
      <c r="F867" s="8" t="s">
        <v>318</v>
      </c>
      <c r="G867" s="7" t="s">
        <v>157</v>
      </c>
      <c r="H867" s="7" t="s">
        <v>149</v>
      </c>
      <c r="I867" s="8">
        <v>2025.0</v>
      </c>
      <c r="J867" s="8">
        <v>3.3</v>
      </c>
      <c r="K867" s="8" t="s">
        <v>583</v>
      </c>
      <c r="L867" s="8" t="s">
        <v>322</v>
      </c>
      <c r="M867" s="8" t="s">
        <v>337</v>
      </c>
      <c r="N867" s="8">
        <v>9.0</v>
      </c>
      <c r="O867" s="14">
        <f t="shared" si="1"/>
        <v>44531</v>
      </c>
      <c r="P867" s="15">
        <f>IFERROR(VLOOKUP(K867,Formula!$A$11:$B$20,2,FALSE),Formula!$C$26)</f>
        <v>0.95</v>
      </c>
      <c r="Q867" s="15">
        <f>IF(AND(ISNUMBER(J867),J867&gt;0),1/J867,IF(AND(ISNUMBER(I867),I867&gt;0),SQRT(MIN(I867,Formula!$C$27))/Formula!$C$24,1/Formula!$C$25))</f>
        <v>0.303030303</v>
      </c>
      <c r="R867" s="15">
        <f t="shared" si="2"/>
        <v>0.2878787879</v>
      </c>
      <c r="S867" s="15">
        <f>IF(H867&lt;&gt;"",EXP(-Formula!$C$28*(EOMONTH(H867,0)-H867)),EXP(-Formula!$C$28*(EOMONTH(D867,0)-D867)))</f>
        <v>0.4965853038</v>
      </c>
      <c r="T867" s="15">
        <f t="shared" si="3"/>
        <v>0.1924500897</v>
      </c>
      <c r="U867" s="15">
        <f t="shared" si="4"/>
        <v>0.02751196726</v>
      </c>
      <c r="V867" s="16">
        <f>IF(AND(L867="Among all respondents",NOT(OR(K867="Online poll in Telegram channel",K867="Website online poll",K867="CAWI (Computer Assisted Web Interviewing)"))),1/(1-MIN(MAX(Formula!$C$33+(YEAR(D867)-Formula!$C$34)/(Formula!$C$35-Formula!$C$34)*(Formula!$C$32-Formula!$C$33),Formula!$C$33),Formula!$C$32)),1)</f>
        <v>1</v>
      </c>
      <c r="W867" s="17">
        <f t="shared" si="5"/>
        <v>9</v>
      </c>
    </row>
    <row r="868" ht="15.75" customHeight="1">
      <c r="A868" s="8" t="s">
        <v>1531</v>
      </c>
      <c r="B868" s="7" t="s">
        <v>1526</v>
      </c>
      <c r="C868" s="13" t="s">
        <v>1527</v>
      </c>
      <c r="D868" s="7" t="s">
        <v>148</v>
      </c>
      <c r="E868" s="8" t="s">
        <v>72</v>
      </c>
      <c r="F868" s="8" t="s">
        <v>318</v>
      </c>
      <c r="G868" s="7" t="s">
        <v>157</v>
      </c>
      <c r="H868" s="7" t="s">
        <v>149</v>
      </c>
      <c r="I868" s="8">
        <v>2025.0</v>
      </c>
      <c r="J868" s="8">
        <v>3.3</v>
      </c>
      <c r="K868" s="8" t="s">
        <v>583</v>
      </c>
      <c r="L868" s="8" t="s">
        <v>322</v>
      </c>
      <c r="M868" s="8" t="s">
        <v>828</v>
      </c>
      <c r="N868" s="8">
        <v>6.6</v>
      </c>
      <c r="O868" s="14">
        <f t="shared" si="1"/>
        <v>44531</v>
      </c>
      <c r="P868" s="15">
        <f>IFERROR(VLOOKUP(K868,Formula!$A$11:$B$20,2,FALSE),Formula!$C$26)</f>
        <v>0.95</v>
      </c>
      <c r="Q868" s="15">
        <f>IF(AND(ISNUMBER(J868),J868&gt;0),1/J868,IF(AND(ISNUMBER(I868),I868&gt;0),SQRT(MIN(I868,Formula!$C$27))/Formula!$C$24,1/Formula!$C$25))</f>
        <v>0.303030303</v>
      </c>
      <c r="R868" s="15">
        <f t="shared" si="2"/>
        <v>0.2878787879</v>
      </c>
      <c r="S868" s="15">
        <f>IF(H868&lt;&gt;"",EXP(-Formula!$C$28*(EOMONTH(H868,0)-H868)),EXP(-Formula!$C$28*(EOMONTH(D868,0)-D868)))</f>
        <v>0.4965853038</v>
      </c>
      <c r="T868" s="15">
        <f t="shared" si="3"/>
        <v>0.1924500897</v>
      </c>
      <c r="U868" s="15">
        <f t="shared" si="4"/>
        <v>0.02751196726</v>
      </c>
      <c r="V868" s="16">
        <f>IF(AND(L868="Among all respondents",NOT(OR(K868="Online poll in Telegram channel",K868="Website online poll",K868="CAWI (Computer Assisted Web Interviewing)"))),1/(1-MIN(MAX(Formula!$C$33+(YEAR(D868)-Formula!$C$34)/(Formula!$C$35-Formula!$C$34)*(Formula!$C$32-Formula!$C$33),Formula!$C$33),Formula!$C$32)),1)</f>
        <v>1</v>
      </c>
      <c r="W868" s="17">
        <f t="shared" si="5"/>
        <v>6.6</v>
      </c>
    </row>
    <row r="869" ht="15.75" customHeight="1">
      <c r="A869" s="8" t="s">
        <v>1532</v>
      </c>
      <c r="B869" s="7" t="s">
        <v>1526</v>
      </c>
      <c r="C869" s="13" t="s">
        <v>1527</v>
      </c>
      <c r="D869" s="7" t="s">
        <v>148</v>
      </c>
      <c r="E869" s="8" t="s">
        <v>72</v>
      </c>
      <c r="F869" s="8" t="s">
        <v>318</v>
      </c>
      <c r="G869" s="7" t="s">
        <v>157</v>
      </c>
      <c r="H869" s="7" t="s">
        <v>149</v>
      </c>
      <c r="I869" s="8">
        <v>2025.0</v>
      </c>
      <c r="J869" s="8">
        <v>3.3</v>
      </c>
      <c r="K869" s="8" t="s">
        <v>583</v>
      </c>
      <c r="L869" s="8" t="s">
        <v>322</v>
      </c>
      <c r="M869" s="8" t="s">
        <v>333</v>
      </c>
      <c r="N869" s="8">
        <v>5.9</v>
      </c>
      <c r="O869" s="14">
        <f t="shared" si="1"/>
        <v>44531</v>
      </c>
      <c r="P869" s="15">
        <f>IFERROR(VLOOKUP(K869,Formula!$A$11:$B$20,2,FALSE),Formula!$C$26)</f>
        <v>0.95</v>
      </c>
      <c r="Q869" s="15">
        <f>IF(AND(ISNUMBER(J869),J869&gt;0),1/J869,IF(AND(ISNUMBER(I869),I869&gt;0),SQRT(MIN(I869,Formula!$C$27))/Formula!$C$24,1/Formula!$C$25))</f>
        <v>0.303030303</v>
      </c>
      <c r="R869" s="15">
        <f t="shared" si="2"/>
        <v>0.2878787879</v>
      </c>
      <c r="S869" s="15">
        <f>IF(H869&lt;&gt;"",EXP(-Formula!$C$28*(EOMONTH(H869,0)-H869)),EXP(-Formula!$C$28*(EOMONTH(D869,0)-D869)))</f>
        <v>0.4965853038</v>
      </c>
      <c r="T869" s="15">
        <f t="shared" si="3"/>
        <v>0.1924500897</v>
      </c>
      <c r="U869" s="15">
        <f t="shared" si="4"/>
        <v>0.02751196726</v>
      </c>
      <c r="V869" s="16">
        <f>IF(AND(L869="Among all respondents",NOT(OR(K869="Online poll in Telegram channel",K869="Website online poll",K869="CAWI (Computer Assisted Web Interviewing)"))),1/(1-MIN(MAX(Formula!$C$33+(YEAR(D869)-Formula!$C$34)/(Formula!$C$35-Formula!$C$34)*(Formula!$C$32-Formula!$C$33),Formula!$C$33),Formula!$C$32)),1)</f>
        <v>1</v>
      </c>
      <c r="W869" s="17">
        <f t="shared" si="5"/>
        <v>5.9</v>
      </c>
    </row>
    <row r="870" ht="15.75" customHeight="1">
      <c r="A870" s="8" t="s">
        <v>1533</v>
      </c>
      <c r="B870" s="7" t="s">
        <v>1526</v>
      </c>
      <c r="C870" s="13" t="s">
        <v>1527</v>
      </c>
      <c r="D870" s="7" t="s">
        <v>148</v>
      </c>
      <c r="E870" s="8" t="s">
        <v>72</v>
      </c>
      <c r="F870" s="8" t="s">
        <v>318</v>
      </c>
      <c r="G870" s="7" t="s">
        <v>157</v>
      </c>
      <c r="H870" s="7" t="s">
        <v>149</v>
      </c>
      <c r="I870" s="8">
        <v>2025.0</v>
      </c>
      <c r="J870" s="8">
        <v>3.3</v>
      </c>
      <c r="K870" s="8" t="s">
        <v>583</v>
      </c>
      <c r="L870" s="8" t="s">
        <v>322</v>
      </c>
      <c r="M870" s="8" t="s">
        <v>386</v>
      </c>
      <c r="N870" s="8">
        <v>5.2</v>
      </c>
      <c r="O870" s="14">
        <f t="shared" si="1"/>
        <v>44531</v>
      </c>
      <c r="P870" s="15">
        <f>IFERROR(VLOOKUP(K870,Formula!$A$11:$B$20,2,FALSE),Formula!$C$26)</f>
        <v>0.95</v>
      </c>
      <c r="Q870" s="15">
        <f>IF(AND(ISNUMBER(J870),J870&gt;0),1/J870,IF(AND(ISNUMBER(I870),I870&gt;0),SQRT(MIN(I870,Formula!$C$27))/Formula!$C$24,1/Formula!$C$25))</f>
        <v>0.303030303</v>
      </c>
      <c r="R870" s="15">
        <f t="shared" si="2"/>
        <v>0.2878787879</v>
      </c>
      <c r="S870" s="15">
        <f>IF(H870&lt;&gt;"",EXP(-Formula!$C$28*(EOMONTH(H870,0)-H870)),EXP(-Formula!$C$28*(EOMONTH(D870,0)-D870)))</f>
        <v>0.4965853038</v>
      </c>
      <c r="T870" s="15">
        <f t="shared" si="3"/>
        <v>0.1924500897</v>
      </c>
      <c r="U870" s="15">
        <f t="shared" si="4"/>
        <v>0.02751196726</v>
      </c>
      <c r="V870" s="16">
        <f>IF(AND(L870="Among all respondents",NOT(OR(K870="Online poll in Telegram channel",K870="Website online poll",K870="CAWI (Computer Assisted Web Interviewing)"))),1/(1-MIN(MAX(Formula!$C$33+(YEAR(D870)-Formula!$C$34)/(Formula!$C$35-Formula!$C$34)*(Formula!$C$32-Formula!$C$33),Formula!$C$33),Formula!$C$32)),1)</f>
        <v>1</v>
      </c>
      <c r="W870" s="17">
        <f t="shared" si="5"/>
        <v>5.2</v>
      </c>
    </row>
    <row r="871" ht="15.75" customHeight="1">
      <c r="A871" s="8" t="s">
        <v>1534</v>
      </c>
      <c r="B871" s="7" t="s">
        <v>1526</v>
      </c>
      <c r="C871" s="13" t="s">
        <v>1527</v>
      </c>
      <c r="D871" s="7" t="s">
        <v>148</v>
      </c>
      <c r="E871" s="8" t="s">
        <v>72</v>
      </c>
      <c r="F871" s="8" t="s">
        <v>318</v>
      </c>
      <c r="G871" s="7" t="s">
        <v>157</v>
      </c>
      <c r="H871" s="7" t="s">
        <v>149</v>
      </c>
      <c r="I871" s="8">
        <v>2025.0</v>
      </c>
      <c r="J871" s="8">
        <v>3.3</v>
      </c>
      <c r="K871" s="8" t="s">
        <v>583</v>
      </c>
      <c r="L871" s="8" t="s">
        <v>322</v>
      </c>
      <c r="M871" s="8" t="s">
        <v>1153</v>
      </c>
      <c r="N871" s="8">
        <v>4.9</v>
      </c>
      <c r="O871" s="14">
        <f t="shared" si="1"/>
        <v>44531</v>
      </c>
      <c r="P871" s="15">
        <f>IFERROR(VLOOKUP(K871,Formula!$A$11:$B$20,2,FALSE),Formula!$C$26)</f>
        <v>0.95</v>
      </c>
      <c r="Q871" s="15">
        <f>IF(AND(ISNUMBER(J871),J871&gt;0),1/J871,IF(AND(ISNUMBER(I871),I871&gt;0),SQRT(MIN(I871,Formula!$C$27))/Formula!$C$24,1/Formula!$C$25))</f>
        <v>0.303030303</v>
      </c>
      <c r="R871" s="15">
        <f t="shared" si="2"/>
        <v>0.2878787879</v>
      </c>
      <c r="S871" s="15">
        <f>IF(H871&lt;&gt;"",EXP(-Formula!$C$28*(EOMONTH(H871,0)-H871)),EXP(-Formula!$C$28*(EOMONTH(D871,0)-D871)))</f>
        <v>0.4965853038</v>
      </c>
      <c r="T871" s="15">
        <f t="shared" si="3"/>
        <v>0.1924500897</v>
      </c>
      <c r="U871" s="15">
        <f t="shared" si="4"/>
        <v>0.02751196726</v>
      </c>
      <c r="V871" s="16">
        <f>IF(AND(L871="Among all respondents",NOT(OR(K871="Online poll in Telegram channel",K871="Website online poll",K871="CAWI (Computer Assisted Web Interviewing)"))),1/(1-MIN(MAX(Formula!$C$33+(YEAR(D871)-Formula!$C$34)/(Formula!$C$35-Formula!$C$34)*(Formula!$C$32-Formula!$C$33),Formula!$C$33),Formula!$C$32)),1)</f>
        <v>1</v>
      </c>
      <c r="W871" s="17">
        <f t="shared" si="5"/>
        <v>4.9</v>
      </c>
    </row>
    <row r="872" ht="15.75" customHeight="1">
      <c r="A872" s="8" t="s">
        <v>1535</v>
      </c>
      <c r="B872" s="7" t="s">
        <v>1526</v>
      </c>
      <c r="C872" s="13" t="s">
        <v>1527</v>
      </c>
      <c r="D872" s="7" t="s">
        <v>148</v>
      </c>
      <c r="E872" s="8" t="s">
        <v>72</v>
      </c>
      <c r="F872" s="8" t="s">
        <v>318</v>
      </c>
      <c r="G872" s="7" t="s">
        <v>157</v>
      </c>
      <c r="H872" s="7" t="s">
        <v>149</v>
      </c>
      <c r="I872" s="8">
        <v>2025.0</v>
      </c>
      <c r="J872" s="8">
        <v>3.3</v>
      </c>
      <c r="K872" s="8" t="s">
        <v>583</v>
      </c>
      <c r="L872" s="8" t="s">
        <v>322</v>
      </c>
      <c r="M872" s="8" t="s">
        <v>388</v>
      </c>
      <c r="N872" s="8">
        <v>4.1</v>
      </c>
      <c r="O872" s="14">
        <f t="shared" si="1"/>
        <v>44531</v>
      </c>
      <c r="P872" s="15">
        <f>IFERROR(VLOOKUP(K872,Formula!$A$11:$B$20,2,FALSE),Formula!$C$26)</f>
        <v>0.95</v>
      </c>
      <c r="Q872" s="15">
        <f>IF(AND(ISNUMBER(J872),J872&gt;0),1/J872,IF(AND(ISNUMBER(I872),I872&gt;0),SQRT(MIN(I872,Formula!$C$27))/Formula!$C$24,1/Formula!$C$25))</f>
        <v>0.303030303</v>
      </c>
      <c r="R872" s="15">
        <f t="shared" si="2"/>
        <v>0.2878787879</v>
      </c>
      <c r="S872" s="15">
        <f>IF(H872&lt;&gt;"",EXP(-Formula!$C$28*(EOMONTH(H872,0)-H872)),EXP(-Formula!$C$28*(EOMONTH(D872,0)-D872)))</f>
        <v>0.4965853038</v>
      </c>
      <c r="T872" s="15">
        <f t="shared" si="3"/>
        <v>0.1924500897</v>
      </c>
      <c r="U872" s="15">
        <f t="shared" si="4"/>
        <v>0.02751196726</v>
      </c>
      <c r="V872" s="16">
        <f>IF(AND(L872="Among all respondents",NOT(OR(K872="Online poll in Telegram channel",K872="Website online poll",K872="CAWI (Computer Assisted Web Interviewing)"))),1/(1-MIN(MAX(Formula!$C$33+(YEAR(D872)-Formula!$C$34)/(Formula!$C$35-Formula!$C$34)*(Formula!$C$32-Formula!$C$33),Formula!$C$33),Formula!$C$32)),1)</f>
        <v>1</v>
      </c>
      <c r="W872" s="17">
        <f t="shared" si="5"/>
        <v>4.1</v>
      </c>
    </row>
    <row r="873" ht="15.75" customHeight="1">
      <c r="A873" s="8" t="s">
        <v>1536</v>
      </c>
      <c r="B873" s="7" t="s">
        <v>1526</v>
      </c>
      <c r="C873" s="13" t="s">
        <v>1527</v>
      </c>
      <c r="D873" s="7" t="s">
        <v>148</v>
      </c>
      <c r="E873" s="8" t="s">
        <v>72</v>
      </c>
      <c r="F873" s="8" t="s">
        <v>318</v>
      </c>
      <c r="G873" s="7" t="s">
        <v>157</v>
      </c>
      <c r="H873" s="7" t="s">
        <v>149</v>
      </c>
      <c r="I873" s="8">
        <v>2025.0</v>
      </c>
      <c r="J873" s="8">
        <v>3.3</v>
      </c>
      <c r="K873" s="8" t="s">
        <v>583</v>
      </c>
      <c r="L873" s="8" t="s">
        <v>322</v>
      </c>
      <c r="M873" s="8" t="s">
        <v>339</v>
      </c>
      <c r="N873" s="8">
        <v>3.0</v>
      </c>
      <c r="O873" s="14">
        <f t="shared" si="1"/>
        <v>44531</v>
      </c>
      <c r="P873" s="15">
        <f>IFERROR(VLOOKUP(K873,Formula!$A$11:$B$20,2,FALSE),Formula!$C$26)</f>
        <v>0.95</v>
      </c>
      <c r="Q873" s="15">
        <f>IF(AND(ISNUMBER(J873),J873&gt;0),1/J873,IF(AND(ISNUMBER(I873),I873&gt;0),SQRT(MIN(I873,Formula!$C$27))/Formula!$C$24,1/Formula!$C$25))</f>
        <v>0.303030303</v>
      </c>
      <c r="R873" s="15">
        <f t="shared" si="2"/>
        <v>0.2878787879</v>
      </c>
      <c r="S873" s="15">
        <f>IF(H873&lt;&gt;"",EXP(-Formula!$C$28*(EOMONTH(H873,0)-H873)),EXP(-Formula!$C$28*(EOMONTH(D873,0)-D873)))</f>
        <v>0.4965853038</v>
      </c>
      <c r="T873" s="15">
        <f t="shared" si="3"/>
        <v>0.1924500897</v>
      </c>
      <c r="U873" s="15">
        <f t="shared" si="4"/>
        <v>0.02751196726</v>
      </c>
      <c r="V873" s="16">
        <f>IF(AND(L873="Among all respondents",NOT(OR(K873="Online poll in Telegram channel",K873="Website online poll",K873="CAWI (Computer Assisted Web Interviewing)"))),1/(1-MIN(MAX(Formula!$C$33+(YEAR(D873)-Formula!$C$34)/(Formula!$C$35-Formula!$C$34)*(Formula!$C$32-Formula!$C$33),Formula!$C$33),Formula!$C$32)),1)</f>
        <v>1</v>
      </c>
      <c r="W873" s="17">
        <f t="shared" si="5"/>
        <v>3</v>
      </c>
    </row>
    <row r="874" ht="15.75" customHeight="1">
      <c r="A874" s="8" t="s">
        <v>1537</v>
      </c>
      <c r="B874" s="7" t="s">
        <v>1526</v>
      </c>
      <c r="C874" s="13" t="s">
        <v>1527</v>
      </c>
      <c r="D874" s="7" t="s">
        <v>148</v>
      </c>
      <c r="E874" s="8" t="s">
        <v>72</v>
      </c>
      <c r="F874" s="8" t="s">
        <v>318</v>
      </c>
      <c r="G874" s="7" t="s">
        <v>157</v>
      </c>
      <c r="H874" s="7" t="s">
        <v>149</v>
      </c>
      <c r="I874" s="8">
        <v>2025.0</v>
      </c>
      <c r="J874" s="8">
        <v>3.3</v>
      </c>
      <c r="K874" s="8" t="s">
        <v>583</v>
      </c>
      <c r="L874" s="8" t="s">
        <v>322</v>
      </c>
      <c r="M874" s="8" t="s">
        <v>1334</v>
      </c>
      <c r="N874" s="8">
        <v>1.9</v>
      </c>
      <c r="O874" s="14">
        <f t="shared" si="1"/>
        <v>44531</v>
      </c>
      <c r="P874" s="15">
        <f>IFERROR(VLOOKUP(K874,Formula!$A$11:$B$20,2,FALSE),Formula!$C$26)</f>
        <v>0.95</v>
      </c>
      <c r="Q874" s="15">
        <f>IF(AND(ISNUMBER(J874),J874&gt;0),1/J874,IF(AND(ISNUMBER(I874),I874&gt;0),SQRT(MIN(I874,Formula!$C$27))/Formula!$C$24,1/Formula!$C$25))</f>
        <v>0.303030303</v>
      </c>
      <c r="R874" s="15">
        <f t="shared" si="2"/>
        <v>0.2878787879</v>
      </c>
      <c r="S874" s="15">
        <f>IF(H874&lt;&gt;"",EXP(-Formula!$C$28*(EOMONTH(H874,0)-H874)),EXP(-Formula!$C$28*(EOMONTH(D874,0)-D874)))</f>
        <v>0.4965853038</v>
      </c>
      <c r="T874" s="15">
        <f t="shared" si="3"/>
        <v>0.1924500897</v>
      </c>
      <c r="U874" s="15">
        <f t="shared" si="4"/>
        <v>0.02751196726</v>
      </c>
      <c r="V874" s="16">
        <f>IF(AND(L874="Among all respondents",NOT(OR(K874="Online poll in Telegram channel",K874="Website online poll",K874="CAWI (Computer Assisted Web Interviewing)"))),1/(1-MIN(MAX(Formula!$C$33+(YEAR(D874)-Formula!$C$34)/(Formula!$C$35-Formula!$C$34)*(Formula!$C$32-Formula!$C$33),Formula!$C$33),Formula!$C$32)),1)</f>
        <v>1</v>
      </c>
      <c r="W874" s="17">
        <f t="shared" si="5"/>
        <v>1.9</v>
      </c>
    </row>
    <row r="875" ht="15.75" customHeight="1">
      <c r="A875" s="8" t="s">
        <v>1538</v>
      </c>
      <c r="B875" s="7" t="s">
        <v>1526</v>
      </c>
      <c r="C875" s="13" t="s">
        <v>1527</v>
      </c>
      <c r="D875" s="7" t="s">
        <v>148</v>
      </c>
      <c r="E875" s="8" t="s">
        <v>72</v>
      </c>
      <c r="F875" s="8" t="s">
        <v>318</v>
      </c>
      <c r="G875" s="7" t="s">
        <v>157</v>
      </c>
      <c r="H875" s="7" t="s">
        <v>149</v>
      </c>
      <c r="I875" s="8">
        <v>2025.0</v>
      </c>
      <c r="J875" s="8">
        <v>3.3</v>
      </c>
      <c r="K875" s="8" t="s">
        <v>583</v>
      </c>
      <c r="L875" s="8" t="s">
        <v>322</v>
      </c>
      <c r="M875" s="8" t="s">
        <v>1539</v>
      </c>
      <c r="N875" s="8">
        <v>1.4</v>
      </c>
      <c r="O875" s="14">
        <f t="shared" si="1"/>
        <v>44531</v>
      </c>
      <c r="P875" s="15">
        <f>IFERROR(VLOOKUP(K875,Formula!$A$11:$B$20,2,FALSE),Formula!$C$26)</f>
        <v>0.95</v>
      </c>
      <c r="Q875" s="15">
        <f>IF(AND(ISNUMBER(J875),J875&gt;0),1/J875,IF(AND(ISNUMBER(I875),I875&gt;0),SQRT(MIN(I875,Formula!$C$27))/Formula!$C$24,1/Formula!$C$25))</f>
        <v>0.303030303</v>
      </c>
      <c r="R875" s="15">
        <f t="shared" si="2"/>
        <v>0.2878787879</v>
      </c>
      <c r="S875" s="15">
        <f>IF(H875&lt;&gt;"",EXP(-Formula!$C$28*(EOMONTH(H875,0)-H875)),EXP(-Formula!$C$28*(EOMONTH(D875,0)-D875)))</f>
        <v>0.4965853038</v>
      </c>
      <c r="T875" s="15">
        <f t="shared" si="3"/>
        <v>0.1924500897</v>
      </c>
      <c r="U875" s="15">
        <f t="shared" si="4"/>
        <v>0.02751196726</v>
      </c>
      <c r="V875" s="16">
        <f>IF(AND(L875="Among all respondents",NOT(OR(K875="Online poll in Telegram channel",K875="Website online poll",K875="CAWI (Computer Assisted Web Interviewing)"))),1/(1-MIN(MAX(Formula!$C$33+(YEAR(D875)-Formula!$C$34)/(Formula!$C$35-Formula!$C$34)*(Formula!$C$32-Formula!$C$33),Formula!$C$33),Formula!$C$32)),1)</f>
        <v>1</v>
      </c>
      <c r="W875" s="17">
        <f t="shared" si="5"/>
        <v>1.4</v>
      </c>
    </row>
    <row r="876" ht="15.75" customHeight="1">
      <c r="A876" s="8" t="s">
        <v>1540</v>
      </c>
      <c r="B876" s="7" t="s">
        <v>1526</v>
      </c>
      <c r="C876" s="13" t="s">
        <v>1527</v>
      </c>
      <c r="D876" s="7" t="s">
        <v>148</v>
      </c>
      <c r="E876" s="8" t="s">
        <v>72</v>
      </c>
      <c r="F876" s="8" t="s">
        <v>318</v>
      </c>
      <c r="G876" s="7" t="s">
        <v>157</v>
      </c>
      <c r="H876" s="7" t="s">
        <v>149</v>
      </c>
      <c r="I876" s="8">
        <v>2025.0</v>
      </c>
      <c r="J876" s="8">
        <v>3.3</v>
      </c>
      <c r="K876" s="8" t="s">
        <v>583</v>
      </c>
      <c r="L876" s="8" t="s">
        <v>322</v>
      </c>
      <c r="M876" s="8" t="s">
        <v>343</v>
      </c>
      <c r="N876" s="8">
        <v>1.4</v>
      </c>
      <c r="O876" s="14">
        <f t="shared" si="1"/>
        <v>44531</v>
      </c>
      <c r="P876" s="15">
        <f>IFERROR(VLOOKUP(K876,Formula!$A$11:$B$20,2,FALSE),Formula!$C$26)</f>
        <v>0.95</v>
      </c>
      <c r="Q876" s="15">
        <f>IF(AND(ISNUMBER(J876),J876&gt;0),1/J876,IF(AND(ISNUMBER(I876),I876&gt;0),SQRT(MIN(I876,Formula!$C$27))/Formula!$C$24,1/Formula!$C$25))</f>
        <v>0.303030303</v>
      </c>
      <c r="R876" s="15">
        <f t="shared" si="2"/>
        <v>0.2878787879</v>
      </c>
      <c r="S876" s="15">
        <f>IF(H876&lt;&gt;"",EXP(-Formula!$C$28*(EOMONTH(H876,0)-H876)),EXP(-Formula!$C$28*(EOMONTH(D876,0)-D876)))</f>
        <v>0.4965853038</v>
      </c>
      <c r="T876" s="15">
        <f t="shared" si="3"/>
        <v>0.1924500897</v>
      </c>
      <c r="U876" s="15">
        <f t="shared" si="4"/>
        <v>0.02751196726</v>
      </c>
      <c r="V876" s="16">
        <f>IF(AND(L876="Among all respondents",NOT(OR(K876="Online poll in Telegram channel",K876="Website online poll",K876="CAWI (Computer Assisted Web Interviewing)"))),1/(1-MIN(MAX(Formula!$C$33+(YEAR(D876)-Formula!$C$34)/(Formula!$C$35-Formula!$C$34)*(Formula!$C$32-Formula!$C$33),Formula!$C$33),Formula!$C$32)),1)</f>
        <v>1</v>
      </c>
      <c r="W876" s="17">
        <f t="shared" si="5"/>
        <v>1.4</v>
      </c>
    </row>
    <row r="877" ht="15.75" customHeight="1">
      <c r="A877" s="8" t="s">
        <v>1541</v>
      </c>
      <c r="B877" s="7" t="s">
        <v>1526</v>
      </c>
      <c r="C877" s="13" t="s">
        <v>1527</v>
      </c>
      <c r="D877" s="7" t="s">
        <v>148</v>
      </c>
      <c r="E877" s="8" t="s">
        <v>72</v>
      </c>
      <c r="F877" s="8" t="s">
        <v>318</v>
      </c>
      <c r="G877" s="7" t="s">
        <v>157</v>
      </c>
      <c r="H877" s="7" t="s">
        <v>149</v>
      </c>
      <c r="I877" s="8">
        <v>2025.0</v>
      </c>
      <c r="J877" s="8">
        <v>3.3</v>
      </c>
      <c r="K877" s="8" t="s">
        <v>583</v>
      </c>
      <c r="L877" s="8" t="s">
        <v>322</v>
      </c>
      <c r="M877" s="8" t="s">
        <v>743</v>
      </c>
      <c r="N877" s="8">
        <v>1.1</v>
      </c>
      <c r="O877" s="14">
        <f t="shared" si="1"/>
        <v>44531</v>
      </c>
      <c r="P877" s="15">
        <f>IFERROR(VLOOKUP(K877,Formula!$A$11:$B$20,2,FALSE),Formula!$C$26)</f>
        <v>0.95</v>
      </c>
      <c r="Q877" s="15">
        <f>IF(AND(ISNUMBER(J877),J877&gt;0),1/J877,IF(AND(ISNUMBER(I877),I877&gt;0),SQRT(MIN(I877,Formula!$C$27))/Formula!$C$24,1/Formula!$C$25))</f>
        <v>0.303030303</v>
      </c>
      <c r="R877" s="15">
        <f t="shared" si="2"/>
        <v>0.2878787879</v>
      </c>
      <c r="S877" s="15">
        <f>IF(H877&lt;&gt;"",EXP(-Formula!$C$28*(EOMONTH(H877,0)-H877)),EXP(-Formula!$C$28*(EOMONTH(D877,0)-D877)))</f>
        <v>0.4965853038</v>
      </c>
      <c r="T877" s="15">
        <f t="shared" si="3"/>
        <v>0.1924500897</v>
      </c>
      <c r="U877" s="15">
        <f t="shared" si="4"/>
        <v>0.02751196726</v>
      </c>
      <c r="V877" s="16">
        <f>IF(AND(L877="Among all respondents",NOT(OR(K877="Online poll in Telegram channel",K877="Website online poll",K877="CAWI (Computer Assisted Web Interviewing)"))),1/(1-MIN(MAX(Formula!$C$33+(YEAR(D877)-Formula!$C$34)/(Formula!$C$35-Formula!$C$34)*(Formula!$C$32-Formula!$C$33),Formula!$C$33),Formula!$C$32)),1)</f>
        <v>1</v>
      </c>
      <c r="W877" s="17">
        <f t="shared" si="5"/>
        <v>1.1</v>
      </c>
    </row>
    <row r="878" ht="15.75" customHeight="1">
      <c r="A878" s="8" t="s">
        <v>1542</v>
      </c>
      <c r="B878" s="7" t="s">
        <v>1526</v>
      </c>
      <c r="C878" s="13" t="s">
        <v>1527</v>
      </c>
      <c r="D878" s="7" t="s">
        <v>148</v>
      </c>
      <c r="E878" s="8" t="s">
        <v>72</v>
      </c>
      <c r="F878" s="8" t="s">
        <v>318</v>
      </c>
      <c r="G878" s="7" t="s">
        <v>157</v>
      </c>
      <c r="H878" s="7" t="s">
        <v>149</v>
      </c>
      <c r="I878" s="8">
        <v>2025.0</v>
      </c>
      <c r="J878" s="8">
        <v>3.3</v>
      </c>
      <c r="K878" s="8" t="s">
        <v>583</v>
      </c>
      <c r="L878" s="8" t="s">
        <v>322</v>
      </c>
      <c r="M878" s="8" t="s">
        <v>740</v>
      </c>
      <c r="N878" s="8">
        <v>0.5</v>
      </c>
      <c r="O878" s="14">
        <f t="shared" si="1"/>
        <v>44531</v>
      </c>
      <c r="P878" s="15">
        <f>IFERROR(VLOOKUP(K878,Formula!$A$11:$B$20,2,FALSE),Formula!$C$26)</f>
        <v>0.95</v>
      </c>
      <c r="Q878" s="15">
        <f>IF(AND(ISNUMBER(J878),J878&gt;0),1/J878,IF(AND(ISNUMBER(I878),I878&gt;0),SQRT(MIN(I878,Formula!$C$27))/Formula!$C$24,1/Formula!$C$25))</f>
        <v>0.303030303</v>
      </c>
      <c r="R878" s="15">
        <f t="shared" si="2"/>
        <v>0.2878787879</v>
      </c>
      <c r="S878" s="15">
        <f>IF(H878&lt;&gt;"",EXP(-Formula!$C$28*(EOMONTH(H878,0)-H878)),EXP(-Formula!$C$28*(EOMONTH(D878,0)-D878)))</f>
        <v>0.4965853038</v>
      </c>
      <c r="T878" s="15">
        <f t="shared" si="3"/>
        <v>0.1924500897</v>
      </c>
      <c r="U878" s="15">
        <f t="shared" si="4"/>
        <v>0.02751196726</v>
      </c>
      <c r="V878" s="16">
        <f>IF(AND(L878="Among all respondents",NOT(OR(K878="Online poll in Telegram channel",K878="Website online poll",K878="CAWI (Computer Assisted Web Interviewing)"))),1/(1-MIN(MAX(Formula!$C$33+(YEAR(D878)-Formula!$C$34)/(Formula!$C$35-Formula!$C$34)*(Formula!$C$32-Formula!$C$33),Formula!$C$33),Formula!$C$32)),1)</f>
        <v>1</v>
      </c>
      <c r="W878" s="17">
        <f t="shared" si="5"/>
        <v>0.5</v>
      </c>
    </row>
    <row r="879" ht="15.75" customHeight="1">
      <c r="A879" s="8" t="s">
        <v>1543</v>
      </c>
      <c r="B879" s="7" t="s">
        <v>1526</v>
      </c>
      <c r="C879" s="13" t="s">
        <v>1527</v>
      </c>
      <c r="D879" s="7" t="s">
        <v>148</v>
      </c>
      <c r="E879" s="8" t="s">
        <v>72</v>
      </c>
      <c r="F879" s="8" t="s">
        <v>318</v>
      </c>
      <c r="G879" s="7" t="s">
        <v>157</v>
      </c>
      <c r="H879" s="7" t="s">
        <v>149</v>
      </c>
      <c r="I879" s="8">
        <v>2025.0</v>
      </c>
      <c r="J879" s="8">
        <v>3.3</v>
      </c>
      <c r="K879" s="8" t="s">
        <v>583</v>
      </c>
      <c r="L879" s="8" t="s">
        <v>322</v>
      </c>
      <c r="M879" s="8" t="s">
        <v>1171</v>
      </c>
      <c r="N879" s="8">
        <v>0.3</v>
      </c>
      <c r="O879" s="14">
        <f t="shared" si="1"/>
        <v>44531</v>
      </c>
      <c r="P879" s="15">
        <f>IFERROR(VLOOKUP(K879,Formula!$A$11:$B$20,2,FALSE),Formula!$C$26)</f>
        <v>0.95</v>
      </c>
      <c r="Q879" s="15">
        <f>IF(AND(ISNUMBER(J879),J879&gt;0),1/J879,IF(AND(ISNUMBER(I879),I879&gt;0),SQRT(MIN(I879,Formula!$C$27))/Formula!$C$24,1/Formula!$C$25))</f>
        <v>0.303030303</v>
      </c>
      <c r="R879" s="15">
        <f t="shared" si="2"/>
        <v>0.2878787879</v>
      </c>
      <c r="S879" s="15">
        <f>IF(H879&lt;&gt;"",EXP(-Formula!$C$28*(EOMONTH(H879,0)-H879)),EXP(-Formula!$C$28*(EOMONTH(D879,0)-D879)))</f>
        <v>0.4965853038</v>
      </c>
      <c r="T879" s="15">
        <f t="shared" si="3"/>
        <v>0.1924500897</v>
      </c>
      <c r="U879" s="15">
        <f t="shared" si="4"/>
        <v>0.02751196726</v>
      </c>
      <c r="V879" s="16">
        <f>IF(AND(L879="Among all respondents",NOT(OR(K879="Online poll in Telegram channel",K879="Website online poll",K879="CAWI (Computer Assisted Web Interviewing)"))),1/(1-MIN(MAX(Formula!$C$33+(YEAR(D879)-Formula!$C$34)/(Formula!$C$35-Formula!$C$34)*(Formula!$C$32-Formula!$C$33),Formula!$C$33),Formula!$C$32)),1)</f>
        <v>1</v>
      </c>
      <c r="W879" s="17">
        <f t="shared" si="5"/>
        <v>0.3</v>
      </c>
    </row>
    <row r="880" ht="15.75" customHeight="1">
      <c r="A880" s="8" t="s">
        <v>1544</v>
      </c>
      <c r="B880" s="7" t="s">
        <v>1545</v>
      </c>
      <c r="C880" s="13" t="s">
        <v>1546</v>
      </c>
      <c r="D880" s="7" t="s">
        <v>148</v>
      </c>
      <c r="E880" s="8" t="s">
        <v>17</v>
      </c>
      <c r="F880" s="8" t="s">
        <v>318</v>
      </c>
      <c r="G880" s="7" t="s">
        <v>1547</v>
      </c>
      <c r="H880" s="7" t="s">
        <v>1495</v>
      </c>
      <c r="I880" s="8">
        <v>2000.0</v>
      </c>
      <c r="J880" s="8">
        <v>2.4</v>
      </c>
      <c r="K880" s="8" t="s">
        <v>321</v>
      </c>
      <c r="L880" s="8" t="s">
        <v>373</v>
      </c>
      <c r="M880" s="8" t="s">
        <v>323</v>
      </c>
      <c r="N880" s="8">
        <v>16.7</v>
      </c>
      <c r="O880" s="14">
        <f t="shared" si="1"/>
        <v>44531</v>
      </c>
      <c r="P880" s="15">
        <f>IFERROR(VLOOKUP(K880,Formula!$A$11:$B$20,2,FALSE),Formula!$C$26)</f>
        <v>0.9</v>
      </c>
      <c r="Q880" s="15">
        <f>IF(AND(ISNUMBER(J880),J880&gt;0),1/J880,IF(AND(ISNUMBER(I880),I880&gt;0),SQRT(MIN(I880,Formula!$C$27))/Formula!$C$24,1/Formula!$C$25))</f>
        <v>0.4166666667</v>
      </c>
      <c r="R880" s="15">
        <f t="shared" si="2"/>
        <v>0.375</v>
      </c>
      <c r="S880" s="15">
        <f>IF(H880&lt;&gt;"",EXP(-Formula!$C$28*(EOMONTH(H880,0)-H880)),EXP(-Formula!$C$28*(EOMONTH(D880,0)-D880)))</f>
        <v>0.4723665527</v>
      </c>
      <c r="T880" s="15">
        <f t="shared" si="3"/>
        <v>0.2886751346</v>
      </c>
      <c r="U880" s="15">
        <f t="shared" si="4"/>
        <v>0.05113517932</v>
      </c>
      <c r="V880" s="16">
        <f>IF(AND(L880="Among all respondents",NOT(OR(K880="Online poll in Telegram channel",K880="Website online poll",K880="CAWI (Computer Assisted Web Interviewing)"))),1/(1-MIN(MAX(Formula!$C$33+(YEAR(D880)-Formula!$C$34)/(Formula!$C$35-Formula!$C$34)*(Formula!$C$32-Formula!$C$33),Formula!$C$33),Formula!$C$32)),1)</f>
        <v>1.052631579</v>
      </c>
      <c r="W880" s="17">
        <f t="shared" si="5"/>
        <v>17.57894737</v>
      </c>
    </row>
    <row r="881" ht="15.75" customHeight="1">
      <c r="A881" s="8" t="s">
        <v>1548</v>
      </c>
      <c r="B881" s="7" t="s">
        <v>1545</v>
      </c>
      <c r="C881" s="13" t="s">
        <v>1546</v>
      </c>
      <c r="D881" s="7" t="s">
        <v>148</v>
      </c>
      <c r="E881" s="8" t="s">
        <v>17</v>
      </c>
      <c r="F881" s="8" t="s">
        <v>318</v>
      </c>
      <c r="G881" s="7" t="s">
        <v>1547</v>
      </c>
      <c r="H881" s="7" t="s">
        <v>1495</v>
      </c>
      <c r="I881" s="8">
        <v>2000.0</v>
      </c>
      <c r="J881" s="8">
        <v>2.4</v>
      </c>
      <c r="K881" s="8" t="s">
        <v>321</v>
      </c>
      <c r="L881" s="8" t="s">
        <v>373</v>
      </c>
      <c r="M881" s="8" t="s">
        <v>329</v>
      </c>
      <c r="N881" s="8">
        <v>12.3</v>
      </c>
      <c r="O881" s="14">
        <f t="shared" si="1"/>
        <v>44531</v>
      </c>
      <c r="P881" s="15">
        <f>IFERROR(VLOOKUP(K881,Formula!$A$11:$B$20,2,FALSE),Formula!$C$26)</f>
        <v>0.9</v>
      </c>
      <c r="Q881" s="15">
        <f>IF(AND(ISNUMBER(J881),J881&gt;0),1/J881,IF(AND(ISNUMBER(I881),I881&gt;0),SQRT(MIN(I881,Formula!$C$27))/Formula!$C$24,1/Formula!$C$25))</f>
        <v>0.4166666667</v>
      </c>
      <c r="R881" s="15">
        <f t="shared" si="2"/>
        <v>0.375</v>
      </c>
      <c r="S881" s="15">
        <f>IF(H881&lt;&gt;"",EXP(-Formula!$C$28*(EOMONTH(H881,0)-H881)),EXP(-Formula!$C$28*(EOMONTH(D881,0)-D881)))</f>
        <v>0.4723665527</v>
      </c>
      <c r="T881" s="15">
        <f t="shared" si="3"/>
        <v>0.2886751346</v>
      </c>
      <c r="U881" s="15">
        <f t="shared" si="4"/>
        <v>0.05113517932</v>
      </c>
      <c r="V881" s="16">
        <f>IF(AND(L881="Among all respondents",NOT(OR(K881="Online poll in Telegram channel",K881="Website online poll",K881="CAWI (Computer Assisted Web Interviewing)"))),1/(1-MIN(MAX(Formula!$C$33+(YEAR(D881)-Formula!$C$34)/(Formula!$C$35-Formula!$C$34)*(Formula!$C$32-Formula!$C$33),Formula!$C$33),Formula!$C$32)),1)</f>
        <v>1.052631579</v>
      </c>
      <c r="W881" s="17">
        <f t="shared" si="5"/>
        <v>12.94736842</v>
      </c>
    </row>
    <row r="882" ht="15.75" customHeight="1">
      <c r="A882" s="8" t="s">
        <v>1549</v>
      </c>
      <c r="B882" s="7" t="s">
        <v>1545</v>
      </c>
      <c r="C882" s="13" t="s">
        <v>1546</v>
      </c>
      <c r="D882" s="7" t="s">
        <v>148</v>
      </c>
      <c r="E882" s="8" t="s">
        <v>17</v>
      </c>
      <c r="F882" s="8" t="s">
        <v>318</v>
      </c>
      <c r="G882" s="7" t="s">
        <v>1547</v>
      </c>
      <c r="H882" s="7" t="s">
        <v>1495</v>
      </c>
      <c r="I882" s="8">
        <v>2000.0</v>
      </c>
      <c r="J882" s="8">
        <v>2.4</v>
      </c>
      <c r="K882" s="8" t="s">
        <v>321</v>
      </c>
      <c r="L882" s="8" t="s">
        <v>373</v>
      </c>
      <c r="M882" s="8" t="s">
        <v>337</v>
      </c>
      <c r="N882" s="8">
        <v>8.6</v>
      </c>
      <c r="O882" s="14">
        <f t="shared" si="1"/>
        <v>44531</v>
      </c>
      <c r="P882" s="15">
        <f>IFERROR(VLOOKUP(K882,Formula!$A$11:$B$20,2,FALSE),Formula!$C$26)</f>
        <v>0.9</v>
      </c>
      <c r="Q882" s="15">
        <f>IF(AND(ISNUMBER(J882),J882&gt;0),1/J882,IF(AND(ISNUMBER(I882),I882&gt;0),SQRT(MIN(I882,Formula!$C$27))/Formula!$C$24,1/Formula!$C$25))</f>
        <v>0.4166666667</v>
      </c>
      <c r="R882" s="15">
        <f t="shared" si="2"/>
        <v>0.375</v>
      </c>
      <c r="S882" s="15">
        <f>IF(H882&lt;&gt;"",EXP(-Formula!$C$28*(EOMONTH(H882,0)-H882)),EXP(-Formula!$C$28*(EOMONTH(D882,0)-D882)))</f>
        <v>0.4723665527</v>
      </c>
      <c r="T882" s="15">
        <f t="shared" si="3"/>
        <v>0.2886751346</v>
      </c>
      <c r="U882" s="15">
        <f t="shared" si="4"/>
        <v>0.05113517932</v>
      </c>
      <c r="V882" s="16">
        <f>IF(AND(L882="Among all respondents",NOT(OR(K882="Online poll in Telegram channel",K882="Website online poll",K882="CAWI (Computer Assisted Web Interviewing)"))),1/(1-MIN(MAX(Formula!$C$33+(YEAR(D882)-Formula!$C$34)/(Formula!$C$35-Formula!$C$34)*(Formula!$C$32-Formula!$C$33),Formula!$C$33),Formula!$C$32)),1)</f>
        <v>1.052631579</v>
      </c>
      <c r="W882" s="17">
        <f t="shared" si="5"/>
        <v>9.052631579</v>
      </c>
    </row>
    <row r="883" ht="15.75" customHeight="1">
      <c r="A883" s="8" t="s">
        <v>1550</v>
      </c>
      <c r="B883" s="7" t="s">
        <v>1545</v>
      </c>
      <c r="C883" s="13" t="s">
        <v>1546</v>
      </c>
      <c r="D883" s="7" t="s">
        <v>148</v>
      </c>
      <c r="E883" s="8" t="s">
        <v>17</v>
      </c>
      <c r="F883" s="8" t="s">
        <v>318</v>
      </c>
      <c r="G883" s="7" t="s">
        <v>1547</v>
      </c>
      <c r="H883" s="7" t="s">
        <v>1495</v>
      </c>
      <c r="I883" s="8">
        <v>2000.0</v>
      </c>
      <c r="J883" s="8">
        <v>2.4</v>
      </c>
      <c r="K883" s="8" t="s">
        <v>321</v>
      </c>
      <c r="L883" s="8" t="s">
        <v>373</v>
      </c>
      <c r="M883" s="8" t="s">
        <v>365</v>
      </c>
      <c r="N883" s="8">
        <v>7.9</v>
      </c>
      <c r="O883" s="14">
        <f t="shared" si="1"/>
        <v>44531</v>
      </c>
      <c r="P883" s="15">
        <f>IFERROR(VLOOKUP(K883,Formula!$A$11:$B$20,2,FALSE),Formula!$C$26)</f>
        <v>0.9</v>
      </c>
      <c r="Q883" s="15">
        <f>IF(AND(ISNUMBER(J883),J883&gt;0),1/J883,IF(AND(ISNUMBER(I883),I883&gt;0),SQRT(MIN(I883,Formula!$C$27))/Formula!$C$24,1/Formula!$C$25))</f>
        <v>0.4166666667</v>
      </c>
      <c r="R883" s="15">
        <f t="shared" si="2"/>
        <v>0.375</v>
      </c>
      <c r="S883" s="15">
        <f>IF(H883&lt;&gt;"",EXP(-Formula!$C$28*(EOMONTH(H883,0)-H883)),EXP(-Formula!$C$28*(EOMONTH(D883,0)-D883)))</f>
        <v>0.4723665527</v>
      </c>
      <c r="T883" s="15">
        <f t="shared" si="3"/>
        <v>0.2886751346</v>
      </c>
      <c r="U883" s="15">
        <f t="shared" si="4"/>
        <v>0.05113517932</v>
      </c>
      <c r="V883" s="16">
        <f>IF(AND(L883="Among all respondents",NOT(OR(K883="Online poll in Telegram channel",K883="Website online poll",K883="CAWI (Computer Assisted Web Interviewing)"))),1/(1-MIN(MAX(Formula!$C$33+(YEAR(D883)-Formula!$C$34)/(Formula!$C$35-Formula!$C$34)*(Formula!$C$32-Formula!$C$33),Formula!$C$33),Formula!$C$32)),1)</f>
        <v>1.052631579</v>
      </c>
      <c r="W883" s="17">
        <f t="shared" si="5"/>
        <v>8.315789474</v>
      </c>
    </row>
    <row r="884" ht="15.75" customHeight="1">
      <c r="A884" s="8" t="s">
        <v>1551</v>
      </c>
      <c r="B884" s="7" t="s">
        <v>1545</v>
      </c>
      <c r="C884" s="13" t="s">
        <v>1546</v>
      </c>
      <c r="D884" s="7" t="s">
        <v>148</v>
      </c>
      <c r="E884" s="8" t="s">
        <v>17</v>
      </c>
      <c r="F884" s="8" t="s">
        <v>318</v>
      </c>
      <c r="G884" s="7" t="s">
        <v>1547</v>
      </c>
      <c r="H884" s="7" t="s">
        <v>1495</v>
      </c>
      <c r="I884" s="8">
        <v>2000.0</v>
      </c>
      <c r="J884" s="8">
        <v>2.4</v>
      </c>
      <c r="K884" s="8" t="s">
        <v>321</v>
      </c>
      <c r="L884" s="8" t="s">
        <v>373</v>
      </c>
      <c r="M884" s="8" t="s">
        <v>828</v>
      </c>
      <c r="N884" s="8">
        <v>5.1</v>
      </c>
      <c r="O884" s="14">
        <f t="shared" si="1"/>
        <v>44531</v>
      </c>
      <c r="P884" s="15">
        <f>IFERROR(VLOOKUP(K884,Formula!$A$11:$B$20,2,FALSE),Formula!$C$26)</f>
        <v>0.9</v>
      </c>
      <c r="Q884" s="15">
        <f>IF(AND(ISNUMBER(J884),J884&gt;0),1/J884,IF(AND(ISNUMBER(I884),I884&gt;0),SQRT(MIN(I884,Formula!$C$27))/Formula!$C$24,1/Formula!$C$25))</f>
        <v>0.4166666667</v>
      </c>
      <c r="R884" s="15">
        <f t="shared" si="2"/>
        <v>0.375</v>
      </c>
      <c r="S884" s="15">
        <f>IF(H884&lt;&gt;"",EXP(-Formula!$C$28*(EOMONTH(H884,0)-H884)),EXP(-Formula!$C$28*(EOMONTH(D884,0)-D884)))</f>
        <v>0.4723665527</v>
      </c>
      <c r="T884" s="15">
        <f t="shared" si="3"/>
        <v>0.2886751346</v>
      </c>
      <c r="U884" s="15">
        <f t="shared" si="4"/>
        <v>0.05113517932</v>
      </c>
      <c r="V884" s="16">
        <f>IF(AND(L884="Among all respondents",NOT(OR(K884="Online poll in Telegram channel",K884="Website online poll",K884="CAWI (Computer Assisted Web Interviewing)"))),1/(1-MIN(MAX(Formula!$C$33+(YEAR(D884)-Formula!$C$34)/(Formula!$C$35-Formula!$C$34)*(Formula!$C$32-Formula!$C$33),Formula!$C$33),Formula!$C$32)),1)</f>
        <v>1.052631579</v>
      </c>
      <c r="W884" s="17">
        <f t="shared" si="5"/>
        <v>5.368421053</v>
      </c>
    </row>
    <row r="885" ht="15.75" customHeight="1">
      <c r="A885" s="8" t="s">
        <v>1552</v>
      </c>
      <c r="B885" s="7" t="s">
        <v>1545</v>
      </c>
      <c r="C885" s="13" t="s">
        <v>1546</v>
      </c>
      <c r="D885" s="7" t="s">
        <v>148</v>
      </c>
      <c r="E885" s="8" t="s">
        <v>17</v>
      </c>
      <c r="F885" s="8" t="s">
        <v>318</v>
      </c>
      <c r="G885" s="7" t="s">
        <v>1547</v>
      </c>
      <c r="H885" s="7" t="s">
        <v>1495</v>
      </c>
      <c r="I885" s="8">
        <v>2000.0</v>
      </c>
      <c r="J885" s="8">
        <v>2.4</v>
      </c>
      <c r="K885" s="8" t="s">
        <v>321</v>
      </c>
      <c r="L885" s="8" t="s">
        <v>373</v>
      </c>
      <c r="M885" s="8" t="s">
        <v>333</v>
      </c>
      <c r="N885" s="8">
        <v>4.9</v>
      </c>
      <c r="O885" s="14">
        <f t="shared" si="1"/>
        <v>44531</v>
      </c>
      <c r="P885" s="15">
        <f>IFERROR(VLOOKUP(K885,Formula!$A$11:$B$20,2,FALSE),Formula!$C$26)</f>
        <v>0.9</v>
      </c>
      <c r="Q885" s="15">
        <f>IF(AND(ISNUMBER(J885),J885&gt;0),1/J885,IF(AND(ISNUMBER(I885),I885&gt;0),SQRT(MIN(I885,Formula!$C$27))/Formula!$C$24,1/Formula!$C$25))</f>
        <v>0.4166666667</v>
      </c>
      <c r="R885" s="15">
        <f t="shared" si="2"/>
        <v>0.375</v>
      </c>
      <c r="S885" s="15">
        <f>IF(H885&lt;&gt;"",EXP(-Formula!$C$28*(EOMONTH(H885,0)-H885)),EXP(-Formula!$C$28*(EOMONTH(D885,0)-D885)))</f>
        <v>0.4723665527</v>
      </c>
      <c r="T885" s="15">
        <f t="shared" si="3"/>
        <v>0.2886751346</v>
      </c>
      <c r="U885" s="15">
        <f t="shared" si="4"/>
        <v>0.05113517932</v>
      </c>
      <c r="V885" s="16">
        <f>IF(AND(L885="Among all respondents",NOT(OR(K885="Online poll in Telegram channel",K885="Website online poll",K885="CAWI (Computer Assisted Web Interviewing)"))),1/(1-MIN(MAX(Formula!$C$33+(YEAR(D885)-Formula!$C$34)/(Formula!$C$35-Formula!$C$34)*(Formula!$C$32-Formula!$C$33),Formula!$C$33),Formula!$C$32)),1)</f>
        <v>1.052631579</v>
      </c>
      <c r="W885" s="17">
        <f t="shared" si="5"/>
        <v>5.157894737</v>
      </c>
    </row>
    <row r="886" ht="15.75" customHeight="1">
      <c r="A886" s="8" t="s">
        <v>1553</v>
      </c>
      <c r="B886" s="7" t="s">
        <v>1545</v>
      </c>
      <c r="C886" s="13" t="s">
        <v>1546</v>
      </c>
      <c r="D886" s="7" t="s">
        <v>148</v>
      </c>
      <c r="E886" s="8" t="s">
        <v>17</v>
      </c>
      <c r="F886" s="8" t="s">
        <v>318</v>
      </c>
      <c r="G886" s="7" t="s">
        <v>1547</v>
      </c>
      <c r="H886" s="7" t="s">
        <v>1495</v>
      </c>
      <c r="I886" s="8">
        <v>2000.0</v>
      </c>
      <c r="J886" s="8">
        <v>2.4</v>
      </c>
      <c r="K886" s="8" t="s">
        <v>321</v>
      </c>
      <c r="L886" s="8" t="s">
        <v>373</v>
      </c>
      <c r="M886" s="8" t="s">
        <v>1153</v>
      </c>
      <c r="N886" s="8">
        <v>4.3</v>
      </c>
      <c r="O886" s="14">
        <f t="shared" si="1"/>
        <v>44531</v>
      </c>
      <c r="P886" s="15">
        <f>IFERROR(VLOOKUP(K886,Formula!$A$11:$B$20,2,FALSE),Formula!$C$26)</f>
        <v>0.9</v>
      </c>
      <c r="Q886" s="15">
        <f>IF(AND(ISNUMBER(J886),J886&gt;0),1/J886,IF(AND(ISNUMBER(I886),I886&gt;0),SQRT(MIN(I886,Formula!$C$27))/Formula!$C$24,1/Formula!$C$25))</f>
        <v>0.4166666667</v>
      </c>
      <c r="R886" s="15">
        <f t="shared" si="2"/>
        <v>0.375</v>
      </c>
      <c r="S886" s="15">
        <f>IF(H886&lt;&gt;"",EXP(-Formula!$C$28*(EOMONTH(H886,0)-H886)),EXP(-Formula!$C$28*(EOMONTH(D886,0)-D886)))</f>
        <v>0.4723665527</v>
      </c>
      <c r="T886" s="15">
        <f t="shared" si="3"/>
        <v>0.2886751346</v>
      </c>
      <c r="U886" s="15">
        <f t="shared" si="4"/>
        <v>0.05113517932</v>
      </c>
      <c r="V886" s="16">
        <f>IF(AND(L886="Among all respondents",NOT(OR(K886="Online poll in Telegram channel",K886="Website online poll",K886="CAWI (Computer Assisted Web Interviewing)"))),1/(1-MIN(MAX(Formula!$C$33+(YEAR(D886)-Formula!$C$34)/(Formula!$C$35-Formula!$C$34)*(Formula!$C$32-Formula!$C$33),Formula!$C$33),Formula!$C$32)),1)</f>
        <v>1.052631579</v>
      </c>
      <c r="W886" s="17">
        <f t="shared" si="5"/>
        <v>4.526315789</v>
      </c>
    </row>
    <row r="887" ht="15.75" customHeight="1">
      <c r="A887" s="8" t="s">
        <v>1554</v>
      </c>
      <c r="B887" s="7" t="s">
        <v>1545</v>
      </c>
      <c r="C887" s="13" t="s">
        <v>1546</v>
      </c>
      <c r="D887" s="7" t="s">
        <v>148</v>
      </c>
      <c r="E887" s="8" t="s">
        <v>17</v>
      </c>
      <c r="F887" s="8" t="s">
        <v>318</v>
      </c>
      <c r="G887" s="7" t="s">
        <v>1547</v>
      </c>
      <c r="H887" s="7" t="s">
        <v>1495</v>
      </c>
      <c r="I887" s="8">
        <v>2000.0</v>
      </c>
      <c r="J887" s="8">
        <v>2.4</v>
      </c>
      <c r="K887" s="8" t="s">
        <v>321</v>
      </c>
      <c r="L887" s="8" t="s">
        <v>373</v>
      </c>
      <c r="M887" s="8" t="s">
        <v>386</v>
      </c>
      <c r="N887" s="8">
        <v>4.3</v>
      </c>
      <c r="O887" s="14">
        <f t="shared" si="1"/>
        <v>44531</v>
      </c>
      <c r="P887" s="15">
        <f>IFERROR(VLOOKUP(K887,Formula!$A$11:$B$20,2,FALSE),Formula!$C$26)</f>
        <v>0.9</v>
      </c>
      <c r="Q887" s="15">
        <f>IF(AND(ISNUMBER(J887),J887&gt;0),1/J887,IF(AND(ISNUMBER(I887),I887&gt;0),SQRT(MIN(I887,Formula!$C$27))/Formula!$C$24,1/Formula!$C$25))</f>
        <v>0.4166666667</v>
      </c>
      <c r="R887" s="15">
        <f t="shared" si="2"/>
        <v>0.375</v>
      </c>
      <c r="S887" s="15">
        <f>IF(H887&lt;&gt;"",EXP(-Formula!$C$28*(EOMONTH(H887,0)-H887)),EXP(-Formula!$C$28*(EOMONTH(D887,0)-D887)))</f>
        <v>0.4723665527</v>
      </c>
      <c r="T887" s="15">
        <f t="shared" si="3"/>
        <v>0.2886751346</v>
      </c>
      <c r="U887" s="15">
        <f t="shared" si="4"/>
        <v>0.05113517932</v>
      </c>
      <c r="V887" s="16">
        <f>IF(AND(L887="Among all respondents",NOT(OR(K887="Online poll in Telegram channel",K887="Website online poll",K887="CAWI (Computer Assisted Web Interviewing)"))),1/(1-MIN(MAX(Formula!$C$33+(YEAR(D887)-Formula!$C$34)/(Formula!$C$35-Formula!$C$34)*(Formula!$C$32-Formula!$C$33),Formula!$C$33),Formula!$C$32)),1)</f>
        <v>1.052631579</v>
      </c>
      <c r="W887" s="17">
        <f t="shared" si="5"/>
        <v>4.526315789</v>
      </c>
    </row>
    <row r="888" ht="15.75" customHeight="1">
      <c r="A888" s="8" t="s">
        <v>1555</v>
      </c>
      <c r="B888" s="7" t="s">
        <v>1545</v>
      </c>
      <c r="C888" s="13" t="s">
        <v>1546</v>
      </c>
      <c r="D888" s="7" t="s">
        <v>148</v>
      </c>
      <c r="E888" s="8" t="s">
        <v>17</v>
      </c>
      <c r="F888" s="8" t="s">
        <v>318</v>
      </c>
      <c r="G888" s="7" t="s">
        <v>1547</v>
      </c>
      <c r="H888" s="7" t="s">
        <v>1495</v>
      </c>
      <c r="I888" s="8">
        <v>2000.0</v>
      </c>
      <c r="J888" s="8">
        <v>2.4</v>
      </c>
      <c r="K888" s="8" t="s">
        <v>321</v>
      </c>
      <c r="L888" s="8" t="s">
        <v>373</v>
      </c>
      <c r="M888" s="8" t="s">
        <v>1334</v>
      </c>
      <c r="N888" s="8">
        <v>1.4</v>
      </c>
      <c r="O888" s="14">
        <f t="shared" si="1"/>
        <v>44531</v>
      </c>
      <c r="P888" s="15">
        <f>IFERROR(VLOOKUP(K888,Formula!$A$11:$B$20,2,FALSE),Formula!$C$26)</f>
        <v>0.9</v>
      </c>
      <c r="Q888" s="15">
        <f>IF(AND(ISNUMBER(J888),J888&gt;0),1/J888,IF(AND(ISNUMBER(I888),I888&gt;0),SQRT(MIN(I888,Formula!$C$27))/Formula!$C$24,1/Formula!$C$25))</f>
        <v>0.4166666667</v>
      </c>
      <c r="R888" s="15">
        <f t="shared" si="2"/>
        <v>0.375</v>
      </c>
      <c r="S888" s="15">
        <f>IF(H888&lt;&gt;"",EXP(-Formula!$C$28*(EOMONTH(H888,0)-H888)),EXP(-Formula!$C$28*(EOMONTH(D888,0)-D888)))</f>
        <v>0.4723665527</v>
      </c>
      <c r="T888" s="15">
        <f t="shared" si="3"/>
        <v>0.2886751346</v>
      </c>
      <c r="U888" s="15">
        <f t="shared" si="4"/>
        <v>0.05113517932</v>
      </c>
      <c r="V888" s="16">
        <f>IF(AND(L888="Among all respondents",NOT(OR(K888="Online poll in Telegram channel",K888="Website online poll",K888="CAWI (Computer Assisted Web Interviewing)"))),1/(1-MIN(MAX(Formula!$C$33+(YEAR(D888)-Formula!$C$34)/(Formula!$C$35-Formula!$C$34)*(Formula!$C$32-Formula!$C$33),Formula!$C$33),Formula!$C$32)),1)</f>
        <v>1.052631579</v>
      </c>
      <c r="W888" s="17">
        <f t="shared" si="5"/>
        <v>1.473684211</v>
      </c>
    </row>
    <row r="889" ht="15.75" customHeight="1">
      <c r="A889" s="8" t="s">
        <v>1556</v>
      </c>
      <c r="B889" s="7" t="s">
        <v>1545</v>
      </c>
      <c r="C889" s="13" t="s">
        <v>1546</v>
      </c>
      <c r="D889" s="7" t="s">
        <v>148</v>
      </c>
      <c r="E889" s="8" t="s">
        <v>17</v>
      </c>
      <c r="F889" s="8" t="s">
        <v>318</v>
      </c>
      <c r="G889" s="7" t="s">
        <v>1547</v>
      </c>
      <c r="H889" s="7" t="s">
        <v>1495</v>
      </c>
      <c r="I889" s="8">
        <v>2000.0</v>
      </c>
      <c r="J889" s="8">
        <v>2.4</v>
      </c>
      <c r="K889" s="8" t="s">
        <v>321</v>
      </c>
      <c r="L889" s="8" t="s">
        <v>373</v>
      </c>
      <c r="M889" s="8" t="s">
        <v>740</v>
      </c>
      <c r="N889" s="8">
        <v>0.9</v>
      </c>
      <c r="O889" s="14">
        <f t="shared" si="1"/>
        <v>44531</v>
      </c>
      <c r="P889" s="15">
        <f>IFERROR(VLOOKUP(K889,Formula!$A$11:$B$20,2,FALSE),Formula!$C$26)</f>
        <v>0.9</v>
      </c>
      <c r="Q889" s="15">
        <f>IF(AND(ISNUMBER(J889),J889&gt;0),1/J889,IF(AND(ISNUMBER(I889),I889&gt;0),SQRT(MIN(I889,Formula!$C$27))/Formula!$C$24,1/Formula!$C$25))</f>
        <v>0.4166666667</v>
      </c>
      <c r="R889" s="15">
        <f t="shared" si="2"/>
        <v>0.375</v>
      </c>
      <c r="S889" s="15">
        <f>IF(H889&lt;&gt;"",EXP(-Formula!$C$28*(EOMONTH(H889,0)-H889)),EXP(-Formula!$C$28*(EOMONTH(D889,0)-D889)))</f>
        <v>0.4723665527</v>
      </c>
      <c r="T889" s="15">
        <f t="shared" si="3"/>
        <v>0.2886751346</v>
      </c>
      <c r="U889" s="15">
        <f t="shared" si="4"/>
        <v>0.05113517932</v>
      </c>
      <c r="V889" s="16">
        <f>IF(AND(L889="Among all respondents",NOT(OR(K889="Online poll in Telegram channel",K889="Website online poll",K889="CAWI (Computer Assisted Web Interviewing)"))),1/(1-MIN(MAX(Formula!$C$33+(YEAR(D889)-Formula!$C$34)/(Formula!$C$35-Formula!$C$34)*(Formula!$C$32-Formula!$C$33),Formula!$C$33),Formula!$C$32)),1)</f>
        <v>1.052631579</v>
      </c>
      <c r="W889" s="17">
        <f t="shared" si="5"/>
        <v>0.9473684211</v>
      </c>
    </row>
    <row r="890" ht="15.75" customHeight="1">
      <c r="A890" s="8" t="s">
        <v>1557</v>
      </c>
      <c r="B890" s="7" t="s">
        <v>1545</v>
      </c>
      <c r="C890" s="13" t="s">
        <v>1546</v>
      </c>
      <c r="D890" s="7" t="s">
        <v>148</v>
      </c>
      <c r="E890" s="8" t="s">
        <v>17</v>
      </c>
      <c r="F890" s="8" t="s">
        <v>318</v>
      </c>
      <c r="G890" s="7" t="s">
        <v>1547</v>
      </c>
      <c r="H890" s="7" t="s">
        <v>1495</v>
      </c>
      <c r="I890" s="8">
        <v>2000.0</v>
      </c>
      <c r="J890" s="8">
        <v>2.4</v>
      </c>
      <c r="K890" s="8" t="s">
        <v>321</v>
      </c>
      <c r="L890" s="8" t="s">
        <v>373</v>
      </c>
      <c r="M890" s="8" t="s">
        <v>388</v>
      </c>
      <c r="N890" s="8">
        <v>0.8</v>
      </c>
      <c r="O890" s="14">
        <f t="shared" si="1"/>
        <v>44531</v>
      </c>
      <c r="P890" s="15">
        <f>IFERROR(VLOOKUP(K890,Formula!$A$11:$B$20,2,FALSE),Formula!$C$26)</f>
        <v>0.9</v>
      </c>
      <c r="Q890" s="15">
        <f>IF(AND(ISNUMBER(J890),J890&gt;0),1/J890,IF(AND(ISNUMBER(I890),I890&gt;0),SQRT(MIN(I890,Formula!$C$27))/Formula!$C$24,1/Formula!$C$25))</f>
        <v>0.4166666667</v>
      </c>
      <c r="R890" s="15">
        <f t="shared" si="2"/>
        <v>0.375</v>
      </c>
      <c r="S890" s="15">
        <f>IF(H890&lt;&gt;"",EXP(-Formula!$C$28*(EOMONTH(H890,0)-H890)),EXP(-Formula!$C$28*(EOMONTH(D890,0)-D890)))</f>
        <v>0.4723665527</v>
      </c>
      <c r="T890" s="15">
        <f t="shared" si="3"/>
        <v>0.2886751346</v>
      </c>
      <c r="U890" s="15">
        <f t="shared" si="4"/>
        <v>0.05113517932</v>
      </c>
      <c r="V890" s="16">
        <f>IF(AND(L890="Among all respondents",NOT(OR(K890="Online poll in Telegram channel",K890="Website online poll",K890="CAWI (Computer Assisted Web Interviewing)"))),1/(1-MIN(MAX(Formula!$C$33+(YEAR(D890)-Formula!$C$34)/(Formula!$C$35-Formula!$C$34)*(Formula!$C$32-Formula!$C$33),Formula!$C$33),Formula!$C$32)),1)</f>
        <v>1.052631579</v>
      </c>
      <c r="W890" s="17">
        <f t="shared" si="5"/>
        <v>0.8421052632</v>
      </c>
    </row>
    <row r="891" ht="15.75" customHeight="1">
      <c r="A891" s="8" t="s">
        <v>1558</v>
      </c>
      <c r="B891" s="7" t="s">
        <v>1545</v>
      </c>
      <c r="C891" s="13" t="s">
        <v>1546</v>
      </c>
      <c r="D891" s="7" t="s">
        <v>148</v>
      </c>
      <c r="E891" s="8" t="s">
        <v>17</v>
      </c>
      <c r="F891" s="8" t="s">
        <v>318</v>
      </c>
      <c r="G891" s="7" t="s">
        <v>1547</v>
      </c>
      <c r="H891" s="7" t="s">
        <v>1495</v>
      </c>
      <c r="I891" s="8">
        <v>2000.0</v>
      </c>
      <c r="J891" s="8">
        <v>2.4</v>
      </c>
      <c r="K891" s="8" t="s">
        <v>321</v>
      </c>
      <c r="L891" s="8" t="s">
        <v>373</v>
      </c>
      <c r="M891" s="8" t="s">
        <v>1171</v>
      </c>
      <c r="N891" s="8">
        <v>0.1</v>
      </c>
      <c r="O891" s="14">
        <f t="shared" si="1"/>
        <v>44531</v>
      </c>
      <c r="P891" s="15">
        <f>IFERROR(VLOOKUP(K891,Formula!$A$11:$B$20,2,FALSE),Formula!$C$26)</f>
        <v>0.9</v>
      </c>
      <c r="Q891" s="15">
        <f>IF(AND(ISNUMBER(J891),J891&gt;0),1/J891,IF(AND(ISNUMBER(I891),I891&gt;0),SQRT(MIN(I891,Formula!$C$27))/Formula!$C$24,1/Formula!$C$25))</f>
        <v>0.4166666667</v>
      </c>
      <c r="R891" s="15">
        <f t="shared" si="2"/>
        <v>0.375</v>
      </c>
      <c r="S891" s="15">
        <f>IF(H891&lt;&gt;"",EXP(-Formula!$C$28*(EOMONTH(H891,0)-H891)),EXP(-Formula!$C$28*(EOMONTH(D891,0)-D891)))</f>
        <v>0.4723665527</v>
      </c>
      <c r="T891" s="15">
        <f t="shared" si="3"/>
        <v>0.2886751346</v>
      </c>
      <c r="U891" s="15">
        <f t="shared" si="4"/>
        <v>0.05113517932</v>
      </c>
      <c r="V891" s="16">
        <f>IF(AND(L891="Among all respondents",NOT(OR(K891="Online poll in Telegram channel",K891="Website online poll",K891="CAWI (Computer Assisted Web Interviewing)"))),1/(1-MIN(MAX(Formula!$C$33+(YEAR(D891)-Formula!$C$34)/(Formula!$C$35-Formula!$C$34)*(Formula!$C$32-Formula!$C$33),Formula!$C$33),Formula!$C$32)),1)</f>
        <v>1.052631579</v>
      </c>
      <c r="W891" s="17">
        <f t="shared" si="5"/>
        <v>0.1052631579</v>
      </c>
    </row>
    <row r="892" ht="15.75" customHeight="1">
      <c r="A892" s="8" t="s">
        <v>1559</v>
      </c>
      <c r="B892" s="7" t="s">
        <v>1560</v>
      </c>
      <c r="C892" s="13" t="s">
        <v>1561</v>
      </c>
      <c r="D892" s="7" t="s">
        <v>149</v>
      </c>
      <c r="E892" s="8" t="s">
        <v>150</v>
      </c>
      <c r="F892" s="8" t="s">
        <v>318</v>
      </c>
      <c r="G892" s="7" t="s">
        <v>1562</v>
      </c>
      <c r="H892" s="7" t="s">
        <v>153</v>
      </c>
      <c r="I892" s="8">
        <v>2002.0</v>
      </c>
      <c r="J892" s="8">
        <v>2.2</v>
      </c>
      <c r="K892" s="8" t="s">
        <v>583</v>
      </c>
      <c r="L892" s="8" t="s">
        <v>322</v>
      </c>
      <c r="M892" s="8" t="s">
        <v>323</v>
      </c>
      <c r="N892" s="8">
        <v>21.0</v>
      </c>
      <c r="O892" s="14">
        <f t="shared" si="1"/>
        <v>44531</v>
      </c>
      <c r="P892" s="15">
        <f>IFERROR(VLOOKUP(K892,Formula!$A$11:$B$20,2,FALSE),Formula!$C$26)</f>
        <v>0.95</v>
      </c>
      <c r="Q892" s="15">
        <f>IF(AND(ISNUMBER(J892),J892&gt;0),1/J892,IF(AND(ISNUMBER(I892),I892&gt;0),SQRT(MIN(I892,Formula!$C$27))/Formula!$C$24,1/Formula!$C$25))</f>
        <v>0.4545454545</v>
      </c>
      <c r="R892" s="15">
        <f t="shared" si="2"/>
        <v>0.4318181818</v>
      </c>
      <c r="S892" s="15">
        <f>IF(H892&lt;&gt;"",EXP(-Formula!$C$28*(EOMONTH(H892,0)-H892)),EXP(-Formula!$C$28*(EOMONTH(D892,0)-D892)))</f>
        <v>0.3499377491</v>
      </c>
      <c r="T892" s="15">
        <f t="shared" si="3"/>
        <v>0.2132007164</v>
      </c>
      <c r="U892" s="15">
        <f t="shared" si="4"/>
        <v>0.03221664993</v>
      </c>
      <c r="V892" s="16">
        <f>IF(AND(L892="Among all respondents",NOT(OR(K892="Online poll in Telegram channel",K892="Website online poll",K892="CAWI (Computer Assisted Web Interviewing)"))),1/(1-MIN(MAX(Formula!$C$33+(YEAR(D892)-Formula!$C$34)/(Formula!$C$35-Formula!$C$34)*(Formula!$C$32-Formula!$C$33),Formula!$C$33),Formula!$C$32)),1)</f>
        <v>1</v>
      </c>
      <c r="W892" s="17">
        <f t="shared" si="5"/>
        <v>21</v>
      </c>
    </row>
    <row r="893" ht="15.75" customHeight="1">
      <c r="A893" s="8" t="s">
        <v>1563</v>
      </c>
      <c r="B893" s="7" t="s">
        <v>1560</v>
      </c>
      <c r="C893" s="13" t="s">
        <v>1561</v>
      </c>
      <c r="D893" s="7" t="s">
        <v>149</v>
      </c>
      <c r="E893" s="8" t="s">
        <v>150</v>
      </c>
      <c r="F893" s="8" t="s">
        <v>318</v>
      </c>
      <c r="G893" s="7" t="s">
        <v>1562</v>
      </c>
      <c r="H893" s="7" t="s">
        <v>153</v>
      </c>
      <c r="I893" s="8">
        <v>2002.0</v>
      </c>
      <c r="J893" s="8">
        <v>2.2</v>
      </c>
      <c r="K893" s="8" t="s">
        <v>583</v>
      </c>
      <c r="L893" s="8" t="s">
        <v>322</v>
      </c>
      <c r="M893" s="8" t="s">
        <v>365</v>
      </c>
      <c r="N893" s="8">
        <v>16.1</v>
      </c>
      <c r="O893" s="14">
        <f t="shared" si="1"/>
        <v>44531</v>
      </c>
      <c r="P893" s="15">
        <f>IFERROR(VLOOKUP(K893,Formula!$A$11:$B$20,2,FALSE),Formula!$C$26)</f>
        <v>0.95</v>
      </c>
      <c r="Q893" s="15">
        <f>IF(AND(ISNUMBER(J893),J893&gt;0),1/J893,IF(AND(ISNUMBER(I893),I893&gt;0),SQRT(MIN(I893,Formula!$C$27))/Formula!$C$24,1/Formula!$C$25))</f>
        <v>0.4545454545</v>
      </c>
      <c r="R893" s="15">
        <f t="shared" si="2"/>
        <v>0.4318181818</v>
      </c>
      <c r="S893" s="15">
        <f>IF(H893&lt;&gt;"",EXP(-Formula!$C$28*(EOMONTH(H893,0)-H893)),EXP(-Formula!$C$28*(EOMONTH(D893,0)-D893)))</f>
        <v>0.3499377491</v>
      </c>
      <c r="T893" s="15">
        <f t="shared" si="3"/>
        <v>0.2132007164</v>
      </c>
      <c r="U893" s="15">
        <f t="shared" si="4"/>
        <v>0.03221664993</v>
      </c>
      <c r="V893" s="16">
        <f>IF(AND(L893="Among all respondents",NOT(OR(K893="Online poll in Telegram channel",K893="Website online poll",K893="CAWI (Computer Assisted Web Interviewing)"))),1/(1-MIN(MAX(Formula!$C$33+(YEAR(D893)-Formula!$C$34)/(Formula!$C$35-Formula!$C$34)*(Formula!$C$32-Formula!$C$33),Formula!$C$33),Formula!$C$32)),1)</f>
        <v>1</v>
      </c>
      <c r="W893" s="17">
        <f t="shared" si="5"/>
        <v>16.1</v>
      </c>
    </row>
    <row r="894" ht="15.75" customHeight="1">
      <c r="A894" s="8" t="s">
        <v>1564</v>
      </c>
      <c r="B894" s="7" t="s">
        <v>1560</v>
      </c>
      <c r="C894" s="13" t="s">
        <v>1561</v>
      </c>
      <c r="D894" s="7" t="s">
        <v>149</v>
      </c>
      <c r="E894" s="8" t="s">
        <v>150</v>
      </c>
      <c r="F894" s="8" t="s">
        <v>318</v>
      </c>
      <c r="G894" s="7" t="s">
        <v>1562</v>
      </c>
      <c r="H894" s="7" t="s">
        <v>153</v>
      </c>
      <c r="I894" s="8">
        <v>2002.0</v>
      </c>
      <c r="J894" s="8">
        <v>2.2</v>
      </c>
      <c r="K894" s="8" t="s">
        <v>583</v>
      </c>
      <c r="L894" s="8" t="s">
        <v>322</v>
      </c>
      <c r="M894" s="8" t="s">
        <v>329</v>
      </c>
      <c r="N894" s="8">
        <v>15.3</v>
      </c>
      <c r="O894" s="14">
        <f t="shared" si="1"/>
        <v>44531</v>
      </c>
      <c r="P894" s="15">
        <f>IFERROR(VLOOKUP(K894,Formula!$A$11:$B$20,2,FALSE),Formula!$C$26)</f>
        <v>0.95</v>
      </c>
      <c r="Q894" s="15">
        <f>IF(AND(ISNUMBER(J894),J894&gt;0),1/J894,IF(AND(ISNUMBER(I894),I894&gt;0),SQRT(MIN(I894,Formula!$C$27))/Formula!$C$24,1/Formula!$C$25))</f>
        <v>0.4545454545</v>
      </c>
      <c r="R894" s="15">
        <f t="shared" si="2"/>
        <v>0.4318181818</v>
      </c>
      <c r="S894" s="15">
        <f>IF(H894&lt;&gt;"",EXP(-Formula!$C$28*(EOMONTH(H894,0)-H894)),EXP(-Formula!$C$28*(EOMONTH(D894,0)-D894)))</f>
        <v>0.3499377491</v>
      </c>
      <c r="T894" s="15">
        <f t="shared" si="3"/>
        <v>0.2132007164</v>
      </c>
      <c r="U894" s="15">
        <f t="shared" si="4"/>
        <v>0.03221664993</v>
      </c>
      <c r="V894" s="16">
        <f>IF(AND(L894="Among all respondents",NOT(OR(K894="Online poll in Telegram channel",K894="Website online poll",K894="CAWI (Computer Assisted Web Interviewing)"))),1/(1-MIN(MAX(Formula!$C$33+(YEAR(D894)-Formula!$C$34)/(Formula!$C$35-Formula!$C$34)*(Formula!$C$32-Formula!$C$33),Formula!$C$33),Formula!$C$32)),1)</f>
        <v>1</v>
      </c>
      <c r="W894" s="17">
        <f t="shared" si="5"/>
        <v>15.3</v>
      </c>
    </row>
    <row r="895" ht="15.75" customHeight="1">
      <c r="A895" s="8" t="s">
        <v>1565</v>
      </c>
      <c r="B895" s="7" t="s">
        <v>1560</v>
      </c>
      <c r="C895" s="13" t="s">
        <v>1561</v>
      </c>
      <c r="D895" s="7" t="s">
        <v>149</v>
      </c>
      <c r="E895" s="8" t="s">
        <v>150</v>
      </c>
      <c r="F895" s="8" t="s">
        <v>318</v>
      </c>
      <c r="G895" s="7" t="s">
        <v>1562</v>
      </c>
      <c r="H895" s="7" t="s">
        <v>153</v>
      </c>
      <c r="I895" s="8">
        <v>2002.0</v>
      </c>
      <c r="J895" s="8">
        <v>2.2</v>
      </c>
      <c r="K895" s="8" t="s">
        <v>583</v>
      </c>
      <c r="L895" s="8" t="s">
        <v>322</v>
      </c>
      <c r="M895" s="8" t="s">
        <v>337</v>
      </c>
      <c r="N895" s="8">
        <v>10.6</v>
      </c>
      <c r="O895" s="14">
        <f t="shared" si="1"/>
        <v>44531</v>
      </c>
      <c r="P895" s="15">
        <f>IFERROR(VLOOKUP(K895,Formula!$A$11:$B$20,2,FALSE),Formula!$C$26)</f>
        <v>0.95</v>
      </c>
      <c r="Q895" s="15">
        <f>IF(AND(ISNUMBER(J895),J895&gt;0),1/J895,IF(AND(ISNUMBER(I895),I895&gt;0),SQRT(MIN(I895,Formula!$C$27))/Formula!$C$24,1/Formula!$C$25))</f>
        <v>0.4545454545</v>
      </c>
      <c r="R895" s="15">
        <f t="shared" si="2"/>
        <v>0.4318181818</v>
      </c>
      <c r="S895" s="15">
        <f>IF(H895&lt;&gt;"",EXP(-Formula!$C$28*(EOMONTH(H895,0)-H895)),EXP(-Formula!$C$28*(EOMONTH(D895,0)-D895)))</f>
        <v>0.3499377491</v>
      </c>
      <c r="T895" s="15">
        <f t="shared" si="3"/>
        <v>0.2132007164</v>
      </c>
      <c r="U895" s="15">
        <f t="shared" si="4"/>
        <v>0.03221664993</v>
      </c>
      <c r="V895" s="16">
        <f>IF(AND(L895="Among all respondents",NOT(OR(K895="Online poll in Telegram channel",K895="Website online poll",K895="CAWI (Computer Assisted Web Interviewing)"))),1/(1-MIN(MAX(Formula!$C$33+(YEAR(D895)-Formula!$C$34)/(Formula!$C$35-Formula!$C$34)*(Formula!$C$32-Formula!$C$33),Formula!$C$33),Formula!$C$32)),1)</f>
        <v>1</v>
      </c>
      <c r="W895" s="17">
        <f t="shared" si="5"/>
        <v>10.6</v>
      </c>
    </row>
    <row r="896" ht="15.75" customHeight="1">
      <c r="A896" s="8" t="s">
        <v>1566</v>
      </c>
      <c r="B896" s="7" t="s">
        <v>1560</v>
      </c>
      <c r="C896" s="13" t="s">
        <v>1561</v>
      </c>
      <c r="D896" s="7" t="s">
        <v>149</v>
      </c>
      <c r="E896" s="8" t="s">
        <v>150</v>
      </c>
      <c r="F896" s="8" t="s">
        <v>318</v>
      </c>
      <c r="G896" s="7" t="s">
        <v>1562</v>
      </c>
      <c r="H896" s="7" t="s">
        <v>153</v>
      </c>
      <c r="I896" s="8">
        <v>2002.0</v>
      </c>
      <c r="J896" s="8">
        <v>2.2</v>
      </c>
      <c r="K896" s="8" t="s">
        <v>583</v>
      </c>
      <c r="L896" s="8" t="s">
        <v>322</v>
      </c>
      <c r="M896" s="8" t="s">
        <v>333</v>
      </c>
      <c r="N896" s="8">
        <v>7.6</v>
      </c>
      <c r="O896" s="14">
        <f t="shared" si="1"/>
        <v>44531</v>
      </c>
      <c r="P896" s="15">
        <f>IFERROR(VLOOKUP(K896,Formula!$A$11:$B$20,2,FALSE),Formula!$C$26)</f>
        <v>0.95</v>
      </c>
      <c r="Q896" s="15">
        <f>IF(AND(ISNUMBER(J896),J896&gt;0),1/J896,IF(AND(ISNUMBER(I896),I896&gt;0),SQRT(MIN(I896,Formula!$C$27))/Formula!$C$24,1/Formula!$C$25))</f>
        <v>0.4545454545</v>
      </c>
      <c r="R896" s="15">
        <f t="shared" si="2"/>
        <v>0.4318181818</v>
      </c>
      <c r="S896" s="15">
        <f>IF(H896&lt;&gt;"",EXP(-Formula!$C$28*(EOMONTH(H896,0)-H896)),EXP(-Formula!$C$28*(EOMONTH(D896,0)-D896)))</f>
        <v>0.3499377491</v>
      </c>
      <c r="T896" s="15">
        <f t="shared" si="3"/>
        <v>0.2132007164</v>
      </c>
      <c r="U896" s="15">
        <f t="shared" si="4"/>
        <v>0.03221664993</v>
      </c>
      <c r="V896" s="16">
        <f>IF(AND(L896="Among all respondents",NOT(OR(K896="Online poll in Telegram channel",K896="Website online poll",K896="CAWI (Computer Assisted Web Interviewing)"))),1/(1-MIN(MAX(Formula!$C$33+(YEAR(D896)-Formula!$C$34)/(Formula!$C$35-Formula!$C$34)*(Formula!$C$32-Formula!$C$33),Formula!$C$33),Formula!$C$32)),1)</f>
        <v>1</v>
      </c>
      <c r="W896" s="17">
        <f t="shared" si="5"/>
        <v>7.6</v>
      </c>
    </row>
    <row r="897" ht="15.75" customHeight="1">
      <c r="A897" s="8" t="s">
        <v>1567</v>
      </c>
      <c r="B897" s="7" t="s">
        <v>1560</v>
      </c>
      <c r="C897" s="13" t="s">
        <v>1561</v>
      </c>
      <c r="D897" s="7" t="s">
        <v>149</v>
      </c>
      <c r="E897" s="8" t="s">
        <v>150</v>
      </c>
      <c r="F897" s="8" t="s">
        <v>318</v>
      </c>
      <c r="G897" s="7" t="s">
        <v>1562</v>
      </c>
      <c r="H897" s="7" t="s">
        <v>153</v>
      </c>
      <c r="I897" s="8">
        <v>2002.0</v>
      </c>
      <c r="J897" s="8">
        <v>2.2</v>
      </c>
      <c r="K897" s="8" t="s">
        <v>583</v>
      </c>
      <c r="L897" s="8" t="s">
        <v>322</v>
      </c>
      <c r="M897" s="8" t="s">
        <v>828</v>
      </c>
      <c r="N897" s="8">
        <v>6.3</v>
      </c>
      <c r="O897" s="14">
        <f t="shared" si="1"/>
        <v>44531</v>
      </c>
      <c r="P897" s="15">
        <f>IFERROR(VLOOKUP(K897,Formula!$A$11:$B$20,2,FALSE),Formula!$C$26)</f>
        <v>0.95</v>
      </c>
      <c r="Q897" s="15">
        <f>IF(AND(ISNUMBER(J897),J897&gt;0),1/J897,IF(AND(ISNUMBER(I897),I897&gt;0),SQRT(MIN(I897,Formula!$C$27))/Formula!$C$24,1/Formula!$C$25))</f>
        <v>0.4545454545</v>
      </c>
      <c r="R897" s="15">
        <f t="shared" si="2"/>
        <v>0.4318181818</v>
      </c>
      <c r="S897" s="15">
        <f>IF(H897&lt;&gt;"",EXP(-Formula!$C$28*(EOMONTH(H897,0)-H897)),EXP(-Formula!$C$28*(EOMONTH(D897,0)-D897)))</f>
        <v>0.3499377491</v>
      </c>
      <c r="T897" s="15">
        <f t="shared" si="3"/>
        <v>0.2132007164</v>
      </c>
      <c r="U897" s="15">
        <f t="shared" si="4"/>
        <v>0.03221664993</v>
      </c>
      <c r="V897" s="16">
        <f>IF(AND(L897="Among all respondents",NOT(OR(K897="Online poll in Telegram channel",K897="Website online poll",K897="CAWI (Computer Assisted Web Interviewing)"))),1/(1-MIN(MAX(Formula!$C$33+(YEAR(D897)-Formula!$C$34)/(Formula!$C$35-Formula!$C$34)*(Formula!$C$32-Formula!$C$33),Formula!$C$33),Formula!$C$32)),1)</f>
        <v>1</v>
      </c>
      <c r="W897" s="17">
        <f t="shared" si="5"/>
        <v>6.3</v>
      </c>
    </row>
    <row r="898" ht="15.75" customHeight="1">
      <c r="A898" s="8" t="s">
        <v>1568</v>
      </c>
      <c r="B898" s="7" t="s">
        <v>1560</v>
      </c>
      <c r="C898" s="13" t="s">
        <v>1561</v>
      </c>
      <c r="D898" s="7" t="s">
        <v>149</v>
      </c>
      <c r="E898" s="8" t="s">
        <v>150</v>
      </c>
      <c r="F898" s="8" t="s">
        <v>318</v>
      </c>
      <c r="G898" s="7" t="s">
        <v>1562</v>
      </c>
      <c r="H898" s="7" t="s">
        <v>153</v>
      </c>
      <c r="I898" s="8">
        <v>2002.0</v>
      </c>
      <c r="J898" s="8">
        <v>2.2</v>
      </c>
      <c r="K898" s="8" t="s">
        <v>583</v>
      </c>
      <c r="L898" s="8" t="s">
        <v>322</v>
      </c>
      <c r="M898" s="8" t="s">
        <v>386</v>
      </c>
      <c r="N898" s="8">
        <v>4.8</v>
      </c>
      <c r="O898" s="14">
        <f t="shared" si="1"/>
        <v>44531</v>
      </c>
      <c r="P898" s="15">
        <f>IFERROR(VLOOKUP(K898,Formula!$A$11:$B$20,2,FALSE),Formula!$C$26)</f>
        <v>0.95</v>
      </c>
      <c r="Q898" s="15">
        <f>IF(AND(ISNUMBER(J898),J898&gt;0),1/J898,IF(AND(ISNUMBER(I898),I898&gt;0),SQRT(MIN(I898,Formula!$C$27))/Formula!$C$24,1/Formula!$C$25))</f>
        <v>0.4545454545</v>
      </c>
      <c r="R898" s="15">
        <f t="shared" si="2"/>
        <v>0.4318181818</v>
      </c>
      <c r="S898" s="15">
        <f>IF(H898&lt;&gt;"",EXP(-Formula!$C$28*(EOMONTH(H898,0)-H898)),EXP(-Formula!$C$28*(EOMONTH(D898,0)-D898)))</f>
        <v>0.3499377491</v>
      </c>
      <c r="T898" s="15">
        <f t="shared" si="3"/>
        <v>0.2132007164</v>
      </c>
      <c r="U898" s="15">
        <f t="shared" si="4"/>
        <v>0.03221664993</v>
      </c>
      <c r="V898" s="16">
        <f>IF(AND(L898="Among all respondents",NOT(OR(K898="Online poll in Telegram channel",K898="Website online poll",K898="CAWI (Computer Assisted Web Interviewing)"))),1/(1-MIN(MAX(Formula!$C$33+(YEAR(D898)-Formula!$C$34)/(Formula!$C$35-Formula!$C$34)*(Formula!$C$32-Formula!$C$33),Formula!$C$33),Formula!$C$32)),1)</f>
        <v>1</v>
      </c>
      <c r="W898" s="17">
        <f t="shared" si="5"/>
        <v>4.8</v>
      </c>
    </row>
    <row r="899" ht="15.75" customHeight="1">
      <c r="A899" s="8" t="s">
        <v>1569</v>
      </c>
      <c r="B899" s="7" t="s">
        <v>1560</v>
      </c>
      <c r="C899" s="13" t="s">
        <v>1561</v>
      </c>
      <c r="D899" s="7" t="s">
        <v>149</v>
      </c>
      <c r="E899" s="8" t="s">
        <v>150</v>
      </c>
      <c r="F899" s="8" t="s">
        <v>318</v>
      </c>
      <c r="G899" s="7" t="s">
        <v>1562</v>
      </c>
      <c r="H899" s="7" t="s">
        <v>153</v>
      </c>
      <c r="I899" s="8">
        <v>2002.0</v>
      </c>
      <c r="J899" s="8">
        <v>2.2</v>
      </c>
      <c r="K899" s="8" t="s">
        <v>583</v>
      </c>
      <c r="L899" s="8" t="s">
        <v>322</v>
      </c>
      <c r="M899" s="8" t="s">
        <v>1153</v>
      </c>
      <c r="N899" s="8">
        <v>4.5</v>
      </c>
      <c r="O899" s="14">
        <f t="shared" si="1"/>
        <v>44531</v>
      </c>
      <c r="P899" s="15">
        <f>IFERROR(VLOOKUP(K899,Formula!$A$11:$B$20,2,FALSE),Formula!$C$26)</f>
        <v>0.95</v>
      </c>
      <c r="Q899" s="15">
        <f>IF(AND(ISNUMBER(J899),J899&gt;0),1/J899,IF(AND(ISNUMBER(I899),I899&gt;0),SQRT(MIN(I899,Formula!$C$27))/Formula!$C$24,1/Formula!$C$25))</f>
        <v>0.4545454545</v>
      </c>
      <c r="R899" s="15">
        <f t="shared" si="2"/>
        <v>0.4318181818</v>
      </c>
      <c r="S899" s="15">
        <f>IF(H899&lt;&gt;"",EXP(-Formula!$C$28*(EOMONTH(H899,0)-H899)),EXP(-Formula!$C$28*(EOMONTH(D899,0)-D899)))</f>
        <v>0.3499377491</v>
      </c>
      <c r="T899" s="15">
        <f t="shared" si="3"/>
        <v>0.2132007164</v>
      </c>
      <c r="U899" s="15">
        <f t="shared" si="4"/>
        <v>0.03221664993</v>
      </c>
      <c r="V899" s="16">
        <f>IF(AND(L899="Among all respondents",NOT(OR(K899="Online poll in Telegram channel",K899="Website online poll",K899="CAWI (Computer Assisted Web Interviewing)"))),1/(1-MIN(MAX(Formula!$C$33+(YEAR(D899)-Formula!$C$34)/(Formula!$C$35-Formula!$C$34)*(Formula!$C$32-Formula!$C$33),Formula!$C$33),Formula!$C$32)),1)</f>
        <v>1</v>
      </c>
      <c r="W899" s="17">
        <f t="shared" si="5"/>
        <v>4.5</v>
      </c>
    </row>
    <row r="900" ht="15.75" customHeight="1">
      <c r="A900" s="8" t="s">
        <v>1570</v>
      </c>
      <c r="B900" s="7" t="s">
        <v>1560</v>
      </c>
      <c r="C900" s="13" t="s">
        <v>1561</v>
      </c>
      <c r="D900" s="7" t="s">
        <v>149</v>
      </c>
      <c r="E900" s="8" t="s">
        <v>150</v>
      </c>
      <c r="F900" s="8" t="s">
        <v>318</v>
      </c>
      <c r="G900" s="7" t="s">
        <v>1562</v>
      </c>
      <c r="H900" s="7" t="s">
        <v>153</v>
      </c>
      <c r="I900" s="8">
        <v>2002.0</v>
      </c>
      <c r="J900" s="8">
        <v>2.2</v>
      </c>
      <c r="K900" s="8" t="s">
        <v>583</v>
      </c>
      <c r="L900" s="8" t="s">
        <v>322</v>
      </c>
      <c r="M900" s="8" t="s">
        <v>388</v>
      </c>
      <c r="N900" s="8">
        <v>3.3</v>
      </c>
      <c r="O900" s="14">
        <f t="shared" si="1"/>
        <v>44531</v>
      </c>
      <c r="P900" s="15">
        <f>IFERROR(VLOOKUP(K900,Formula!$A$11:$B$20,2,FALSE),Formula!$C$26)</f>
        <v>0.95</v>
      </c>
      <c r="Q900" s="15">
        <f>IF(AND(ISNUMBER(J900),J900&gt;0),1/J900,IF(AND(ISNUMBER(I900),I900&gt;0),SQRT(MIN(I900,Formula!$C$27))/Formula!$C$24,1/Formula!$C$25))</f>
        <v>0.4545454545</v>
      </c>
      <c r="R900" s="15">
        <f t="shared" si="2"/>
        <v>0.4318181818</v>
      </c>
      <c r="S900" s="15">
        <f>IF(H900&lt;&gt;"",EXP(-Formula!$C$28*(EOMONTH(H900,0)-H900)),EXP(-Formula!$C$28*(EOMONTH(D900,0)-D900)))</f>
        <v>0.3499377491</v>
      </c>
      <c r="T900" s="15">
        <f t="shared" si="3"/>
        <v>0.2132007164</v>
      </c>
      <c r="U900" s="15">
        <f t="shared" si="4"/>
        <v>0.03221664993</v>
      </c>
      <c r="V900" s="16">
        <f>IF(AND(L900="Among all respondents",NOT(OR(K900="Online poll in Telegram channel",K900="Website online poll",K900="CAWI (Computer Assisted Web Interviewing)"))),1/(1-MIN(MAX(Formula!$C$33+(YEAR(D900)-Formula!$C$34)/(Formula!$C$35-Formula!$C$34)*(Formula!$C$32-Formula!$C$33),Formula!$C$33),Formula!$C$32)),1)</f>
        <v>1</v>
      </c>
      <c r="W900" s="17">
        <f t="shared" si="5"/>
        <v>3.3</v>
      </c>
    </row>
    <row r="901" ht="15.75" customHeight="1">
      <c r="A901" s="8" t="s">
        <v>1571</v>
      </c>
      <c r="B901" s="7" t="s">
        <v>1560</v>
      </c>
      <c r="C901" s="13" t="s">
        <v>1561</v>
      </c>
      <c r="D901" s="7" t="s">
        <v>149</v>
      </c>
      <c r="E901" s="8" t="s">
        <v>150</v>
      </c>
      <c r="F901" s="8" t="s">
        <v>318</v>
      </c>
      <c r="G901" s="7" t="s">
        <v>1562</v>
      </c>
      <c r="H901" s="7" t="s">
        <v>153</v>
      </c>
      <c r="I901" s="8">
        <v>2002.0</v>
      </c>
      <c r="J901" s="8">
        <v>2.2</v>
      </c>
      <c r="K901" s="8" t="s">
        <v>583</v>
      </c>
      <c r="L901" s="8" t="s">
        <v>322</v>
      </c>
      <c r="M901" s="8" t="s">
        <v>343</v>
      </c>
      <c r="N901" s="8">
        <v>2.9</v>
      </c>
      <c r="O901" s="14">
        <f t="shared" si="1"/>
        <v>44531</v>
      </c>
      <c r="P901" s="15">
        <f>IFERROR(VLOOKUP(K901,Formula!$A$11:$B$20,2,FALSE),Formula!$C$26)</f>
        <v>0.95</v>
      </c>
      <c r="Q901" s="15">
        <f>IF(AND(ISNUMBER(J901),J901&gt;0),1/J901,IF(AND(ISNUMBER(I901),I901&gt;0),SQRT(MIN(I901,Formula!$C$27))/Formula!$C$24,1/Formula!$C$25))</f>
        <v>0.4545454545</v>
      </c>
      <c r="R901" s="15">
        <f t="shared" si="2"/>
        <v>0.4318181818</v>
      </c>
      <c r="S901" s="15">
        <f>IF(H901&lt;&gt;"",EXP(-Formula!$C$28*(EOMONTH(H901,0)-H901)),EXP(-Formula!$C$28*(EOMONTH(D901,0)-D901)))</f>
        <v>0.3499377491</v>
      </c>
      <c r="T901" s="15">
        <f t="shared" si="3"/>
        <v>0.2132007164</v>
      </c>
      <c r="U901" s="15">
        <f t="shared" si="4"/>
        <v>0.03221664993</v>
      </c>
      <c r="V901" s="16">
        <f>IF(AND(L901="Among all respondents",NOT(OR(K901="Online poll in Telegram channel",K901="Website online poll",K901="CAWI (Computer Assisted Web Interviewing)"))),1/(1-MIN(MAX(Formula!$C$33+(YEAR(D901)-Formula!$C$34)/(Formula!$C$35-Formula!$C$34)*(Formula!$C$32-Formula!$C$33),Formula!$C$33),Formula!$C$32)),1)</f>
        <v>1</v>
      </c>
      <c r="W901" s="17">
        <f t="shared" si="5"/>
        <v>2.9</v>
      </c>
    </row>
    <row r="902" ht="15.75" customHeight="1">
      <c r="A902" s="8" t="s">
        <v>1572</v>
      </c>
      <c r="B902" s="7" t="s">
        <v>1560</v>
      </c>
      <c r="C902" s="13" t="s">
        <v>1561</v>
      </c>
      <c r="D902" s="7" t="s">
        <v>149</v>
      </c>
      <c r="E902" s="8" t="s">
        <v>150</v>
      </c>
      <c r="F902" s="8" t="s">
        <v>318</v>
      </c>
      <c r="G902" s="7" t="s">
        <v>1562</v>
      </c>
      <c r="H902" s="7" t="s">
        <v>153</v>
      </c>
      <c r="I902" s="8">
        <v>2002.0</v>
      </c>
      <c r="J902" s="8">
        <v>2.2</v>
      </c>
      <c r="K902" s="8" t="s">
        <v>583</v>
      </c>
      <c r="L902" s="8" t="s">
        <v>322</v>
      </c>
      <c r="M902" s="8" t="s">
        <v>339</v>
      </c>
      <c r="N902" s="8">
        <v>2.5</v>
      </c>
      <c r="O902" s="14">
        <f t="shared" si="1"/>
        <v>44531</v>
      </c>
      <c r="P902" s="15">
        <f>IFERROR(VLOOKUP(K902,Formula!$A$11:$B$20,2,FALSE),Formula!$C$26)</f>
        <v>0.95</v>
      </c>
      <c r="Q902" s="15">
        <f>IF(AND(ISNUMBER(J902),J902&gt;0),1/J902,IF(AND(ISNUMBER(I902),I902&gt;0),SQRT(MIN(I902,Formula!$C$27))/Formula!$C$24,1/Formula!$C$25))</f>
        <v>0.4545454545</v>
      </c>
      <c r="R902" s="15">
        <f t="shared" si="2"/>
        <v>0.4318181818</v>
      </c>
      <c r="S902" s="15">
        <f>IF(H902&lt;&gt;"",EXP(-Formula!$C$28*(EOMONTH(H902,0)-H902)),EXP(-Formula!$C$28*(EOMONTH(D902,0)-D902)))</f>
        <v>0.3499377491</v>
      </c>
      <c r="T902" s="15">
        <f t="shared" si="3"/>
        <v>0.2132007164</v>
      </c>
      <c r="U902" s="15">
        <f t="shared" si="4"/>
        <v>0.03221664993</v>
      </c>
      <c r="V902" s="16">
        <f>IF(AND(L902="Among all respondents",NOT(OR(K902="Online poll in Telegram channel",K902="Website online poll",K902="CAWI (Computer Assisted Web Interviewing)"))),1/(1-MIN(MAX(Formula!$C$33+(YEAR(D902)-Formula!$C$34)/(Formula!$C$35-Formula!$C$34)*(Formula!$C$32-Formula!$C$33),Formula!$C$33),Formula!$C$32)),1)</f>
        <v>1</v>
      </c>
      <c r="W902" s="17">
        <f t="shared" si="5"/>
        <v>2.5</v>
      </c>
    </row>
    <row r="903" ht="15.75" customHeight="1">
      <c r="A903" s="8" t="s">
        <v>1573</v>
      </c>
      <c r="B903" s="7" t="s">
        <v>1560</v>
      </c>
      <c r="C903" s="13" t="s">
        <v>1561</v>
      </c>
      <c r="D903" s="7" t="s">
        <v>149</v>
      </c>
      <c r="E903" s="8" t="s">
        <v>150</v>
      </c>
      <c r="F903" s="8" t="s">
        <v>318</v>
      </c>
      <c r="G903" s="7" t="s">
        <v>1562</v>
      </c>
      <c r="H903" s="7" t="s">
        <v>153</v>
      </c>
      <c r="I903" s="8">
        <v>2002.0</v>
      </c>
      <c r="J903" s="8">
        <v>2.2</v>
      </c>
      <c r="K903" s="8" t="s">
        <v>583</v>
      </c>
      <c r="L903" s="8" t="s">
        <v>322</v>
      </c>
      <c r="M903" s="8" t="s">
        <v>740</v>
      </c>
      <c r="N903" s="8">
        <v>1.9</v>
      </c>
      <c r="O903" s="14">
        <f t="shared" si="1"/>
        <v>44531</v>
      </c>
      <c r="P903" s="15">
        <f>IFERROR(VLOOKUP(K903,Formula!$A$11:$B$20,2,FALSE),Formula!$C$26)</f>
        <v>0.95</v>
      </c>
      <c r="Q903" s="15">
        <f>IF(AND(ISNUMBER(J903),J903&gt;0),1/J903,IF(AND(ISNUMBER(I903),I903&gt;0),SQRT(MIN(I903,Formula!$C$27))/Formula!$C$24,1/Formula!$C$25))</f>
        <v>0.4545454545</v>
      </c>
      <c r="R903" s="15">
        <f t="shared" si="2"/>
        <v>0.4318181818</v>
      </c>
      <c r="S903" s="15">
        <f>IF(H903&lt;&gt;"",EXP(-Formula!$C$28*(EOMONTH(H903,0)-H903)),EXP(-Formula!$C$28*(EOMONTH(D903,0)-D903)))</f>
        <v>0.3499377491</v>
      </c>
      <c r="T903" s="15">
        <f t="shared" si="3"/>
        <v>0.2132007164</v>
      </c>
      <c r="U903" s="15">
        <f t="shared" si="4"/>
        <v>0.03221664993</v>
      </c>
      <c r="V903" s="16">
        <f>IF(AND(L903="Among all respondents",NOT(OR(K903="Online poll in Telegram channel",K903="Website online poll",K903="CAWI (Computer Assisted Web Interviewing)"))),1/(1-MIN(MAX(Formula!$C$33+(YEAR(D903)-Formula!$C$34)/(Formula!$C$35-Formula!$C$34)*(Formula!$C$32-Formula!$C$33),Formula!$C$33),Formula!$C$32)),1)</f>
        <v>1</v>
      </c>
      <c r="W903" s="17">
        <f t="shared" si="5"/>
        <v>1.9</v>
      </c>
    </row>
    <row r="904" ht="15.75" customHeight="1">
      <c r="A904" s="8" t="s">
        <v>1574</v>
      </c>
      <c r="B904" s="7" t="s">
        <v>1560</v>
      </c>
      <c r="C904" s="13" t="s">
        <v>1561</v>
      </c>
      <c r="D904" s="7" t="s">
        <v>149</v>
      </c>
      <c r="E904" s="8" t="s">
        <v>150</v>
      </c>
      <c r="F904" s="8" t="s">
        <v>318</v>
      </c>
      <c r="G904" s="7" t="s">
        <v>1562</v>
      </c>
      <c r="H904" s="7" t="s">
        <v>153</v>
      </c>
      <c r="I904" s="8">
        <v>2002.0</v>
      </c>
      <c r="J904" s="8">
        <v>2.2</v>
      </c>
      <c r="K904" s="8" t="s">
        <v>583</v>
      </c>
      <c r="L904" s="8" t="s">
        <v>322</v>
      </c>
      <c r="M904" s="8" t="s">
        <v>1171</v>
      </c>
      <c r="N904" s="8">
        <v>0.5</v>
      </c>
      <c r="O904" s="14">
        <f t="shared" si="1"/>
        <v>44531</v>
      </c>
      <c r="P904" s="15">
        <f>IFERROR(VLOOKUP(K904,Formula!$A$11:$B$20,2,FALSE),Formula!$C$26)</f>
        <v>0.95</v>
      </c>
      <c r="Q904" s="15">
        <f>IF(AND(ISNUMBER(J904),J904&gt;0),1/J904,IF(AND(ISNUMBER(I904),I904&gt;0),SQRT(MIN(I904,Formula!$C$27))/Formula!$C$24,1/Formula!$C$25))</f>
        <v>0.4545454545</v>
      </c>
      <c r="R904" s="15">
        <f t="shared" si="2"/>
        <v>0.4318181818</v>
      </c>
      <c r="S904" s="15">
        <f>IF(H904&lt;&gt;"",EXP(-Formula!$C$28*(EOMONTH(H904,0)-H904)),EXP(-Formula!$C$28*(EOMONTH(D904,0)-D904)))</f>
        <v>0.3499377491</v>
      </c>
      <c r="T904" s="15">
        <f t="shared" si="3"/>
        <v>0.2132007164</v>
      </c>
      <c r="U904" s="15">
        <f t="shared" si="4"/>
        <v>0.03221664993</v>
      </c>
      <c r="V904" s="16">
        <f>IF(AND(L904="Among all respondents",NOT(OR(K904="Online poll in Telegram channel",K904="Website online poll",K904="CAWI (Computer Assisted Web Interviewing)"))),1/(1-MIN(MAX(Formula!$C$33+(YEAR(D904)-Formula!$C$34)/(Formula!$C$35-Formula!$C$34)*(Formula!$C$32-Formula!$C$33),Formula!$C$33),Formula!$C$32)),1)</f>
        <v>1</v>
      </c>
      <c r="W904" s="17">
        <f t="shared" si="5"/>
        <v>0.5</v>
      </c>
    </row>
    <row r="905" ht="15.75" customHeight="1">
      <c r="A905" s="8" t="s">
        <v>1575</v>
      </c>
      <c r="B905" s="7" t="s">
        <v>1560</v>
      </c>
      <c r="C905" s="13" t="s">
        <v>1561</v>
      </c>
      <c r="D905" s="7" t="s">
        <v>149</v>
      </c>
      <c r="E905" s="8" t="s">
        <v>150</v>
      </c>
      <c r="F905" s="8" t="s">
        <v>318</v>
      </c>
      <c r="G905" s="7" t="s">
        <v>1562</v>
      </c>
      <c r="H905" s="7" t="s">
        <v>153</v>
      </c>
      <c r="I905" s="8">
        <v>2002.0</v>
      </c>
      <c r="J905" s="8">
        <v>2.2</v>
      </c>
      <c r="K905" s="8" t="s">
        <v>583</v>
      </c>
      <c r="L905" s="8" t="s">
        <v>322</v>
      </c>
      <c r="M905" s="8" t="s">
        <v>335</v>
      </c>
      <c r="N905" s="8">
        <v>0.3</v>
      </c>
      <c r="O905" s="14">
        <f t="shared" si="1"/>
        <v>44531</v>
      </c>
      <c r="P905" s="15">
        <f>IFERROR(VLOOKUP(K905,Formula!$A$11:$B$20,2,FALSE),Formula!$C$26)</f>
        <v>0.95</v>
      </c>
      <c r="Q905" s="15">
        <f>IF(AND(ISNUMBER(J905),J905&gt;0),1/J905,IF(AND(ISNUMBER(I905),I905&gt;0),SQRT(MIN(I905,Formula!$C$27))/Formula!$C$24,1/Formula!$C$25))</f>
        <v>0.4545454545</v>
      </c>
      <c r="R905" s="15">
        <f t="shared" si="2"/>
        <v>0.4318181818</v>
      </c>
      <c r="S905" s="15">
        <f>IF(H905&lt;&gt;"",EXP(-Formula!$C$28*(EOMONTH(H905,0)-H905)),EXP(-Formula!$C$28*(EOMONTH(D905,0)-D905)))</f>
        <v>0.3499377491</v>
      </c>
      <c r="T905" s="15">
        <f t="shared" si="3"/>
        <v>0.2132007164</v>
      </c>
      <c r="U905" s="15">
        <f t="shared" si="4"/>
        <v>0.03221664993</v>
      </c>
      <c r="V905" s="16">
        <f>IF(AND(L905="Among all respondents",NOT(OR(K905="Online poll in Telegram channel",K905="Website online poll",K905="CAWI (Computer Assisted Web Interviewing)"))),1/(1-MIN(MAX(Formula!$C$33+(YEAR(D905)-Formula!$C$34)/(Formula!$C$35-Formula!$C$34)*(Formula!$C$32-Formula!$C$33),Formula!$C$33),Formula!$C$32)),1)</f>
        <v>1</v>
      </c>
      <c r="W905" s="17">
        <f t="shared" si="5"/>
        <v>0.3</v>
      </c>
    </row>
    <row r="906" ht="15.75" customHeight="1">
      <c r="A906" s="8" t="s">
        <v>1576</v>
      </c>
      <c r="B906" s="7" t="s">
        <v>1577</v>
      </c>
      <c r="C906" s="13" t="s">
        <v>1578</v>
      </c>
      <c r="D906" s="7" t="s">
        <v>151</v>
      </c>
      <c r="E906" s="8" t="s">
        <v>57</v>
      </c>
      <c r="F906" s="8" t="s">
        <v>318</v>
      </c>
      <c r="G906" s="7" t="s">
        <v>1579</v>
      </c>
      <c r="H906" s="7" t="s">
        <v>1580</v>
      </c>
      <c r="I906" s="8">
        <v>2000.0</v>
      </c>
      <c r="K906" s="8" t="s">
        <v>351</v>
      </c>
      <c r="L906" s="8" t="s">
        <v>322</v>
      </c>
      <c r="M906" s="8" t="s">
        <v>323</v>
      </c>
      <c r="N906" s="8">
        <v>30.0</v>
      </c>
      <c r="O906" s="14">
        <f t="shared" si="1"/>
        <v>44531</v>
      </c>
      <c r="P906" s="15">
        <f>IFERROR(VLOOKUP(K906,Formula!$A$11:$B$20,2,FALSE),Formula!$C$26)</f>
        <v>0.6</v>
      </c>
      <c r="Q906" s="15">
        <f>IF(AND(ISNUMBER(J906),J906&gt;0),1/J906,IF(AND(ISNUMBER(I906),I906&gt;0),SQRT(MIN(I906,Formula!$C$27))/Formula!$C$24,1/Formula!$C$25))</f>
        <v>0.4563404036</v>
      </c>
      <c r="R906" s="15">
        <f t="shared" si="2"/>
        <v>0.2738042421</v>
      </c>
      <c r="S906" s="15">
        <f>IF(H906&lt;&gt;"",EXP(-Formula!$C$28*(EOMONTH(H906,0)-H906)),EXP(-Formula!$C$28*(EOMONTH(D906,0)-D906)))</f>
        <v>0.3166367694</v>
      </c>
      <c r="T906" s="15">
        <f t="shared" si="3"/>
        <v>0.2672612419</v>
      </c>
      <c r="U906" s="15">
        <f t="shared" si="4"/>
        <v>0.02317061177</v>
      </c>
      <c r="V906" s="16">
        <f>IF(AND(L906="Among all respondents",NOT(OR(K906="Online poll in Telegram channel",K906="Website online poll",K906="CAWI (Computer Assisted Web Interviewing)"))),1/(1-MIN(MAX(Formula!$C$33+(YEAR(D906)-Formula!$C$34)/(Formula!$C$35-Formula!$C$34)*(Formula!$C$32-Formula!$C$33),Formula!$C$33),Formula!$C$32)),1)</f>
        <v>1</v>
      </c>
      <c r="W906" s="17">
        <f t="shared" si="5"/>
        <v>30</v>
      </c>
    </row>
    <row r="907" ht="15.75" customHeight="1">
      <c r="A907" s="8" t="s">
        <v>1581</v>
      </c>
      <c r="B907" s="7" t="s">
        <v>1577</v>
      </c>
      <c r="C907" s="13" t="s">
        <v>1578</v>
      </c>
      <c r="D907" s="7" t="s">
        <v>151</v>
      </c>
      <c r="E907" s="8" t="s">
        <v>57</v>
      </c>
      <c r="F907" s="8" t="s">
        <v>318</v>
      </c>
      <c r="G907" s="7" t="s">
        <v>1579</v>
      </c>
      <c r="H907" s="7" t="s">
        <v>1580</v>
      </c>
      <c r="I907" s="8">
        <v>2000.0</v>
      </c>
      <c r="K907" s="8" t="s">
        <v>351</v>
      </c>
      <c r="L907" s="8" t="s">
        <v>322</v>
      </c>
      <c r="M907" s="8" t="s">
        <v>329</v>
      </c>
      <c r="N907" s="8">
        <v>22.0</v>
      </c>
      <c r="O907" s="14">
        <f t="shared" si="1"/>
        <v>44531</v>
      </c>
      <c r="P907" s="15">
        <f>IFERROR(VLOOKUP(K907,Formula!$A$11:$B$20,2,FALSE),Formula!$C$26)</f>
        <v>0.6</v>
      </c>
      <c r="Q907" s="15">
        <f>IF(AND(ISNUMBER(J907),J907&gt;0),1/J907,IF(AND(ISNUMBER(I907),I907&gt;0),SQRT(MIN(I907,Formula!$C$27))/Formula!$C$24,1/Formula!$C$25))</f>
        <v>0.4563404036</v>
      </c>
      <c r="R907" s="15">
        <f t="shared" si="2"/>
        <v>0.2738042421</v>
      </c>
      <c r="S907" s="15">
        <f>IF(H907&lt;&gt;"",EXP(-Formula!$C$28*(EOMONTH(H907,0)-H907)),EXP(-Formula!$C$28*(EOMONTH(D907,0)-D907)))</f>
        <v>0.3166367694</v>
      </c>
      <c r="T907" s="15">
        <f t="shared" si="3"/>
        <v>0.2672612419</v>
      </c>
      <c r="U907" s="15">
        <f t="shared" si="4"/>
        <v>0.02317061177</v>
      </c>
      <c r="V907" s="16">
        <f>IF(AND(L907="Among all respondents",NOT(OR(K907="Online poll in Telegram channel",K907="Website online poll",K907="CAWI (Computer Assisted Web Interviewing)"))),1/(1-MIN(MAX(Formula!$C$33+(YEAR(D907)-Formula!$C$34)/(Formula!$C$35-Formula!$C$34)*(Formula!$C$32-Formula!$C$33),Formula!$C$33),Formula!$C$32)),1)</f>
        <v>1</v>
      </c>
      <c r="W907" s="17">
        <f t="shared" si="5"/>
        <v>22</v>
      </c>
    </row>
    <row r="908" ht="15.75" customHeight="1">
      <c r="A908" s="8" t="s">
        <v>1582</v>
      </c>
      <c r="B908" s="7" t="s">
        <v>1577</v>
      </c>
      <c r="C908" s="13" t="s">
        <v>1578</v>
      </c>
      <c r="D908" s="7" t="s">
        <v>151</v>
      </c>
      <c r="E908" s="8" t="s">
        <v>57</v>
      </c>
      <c r="F908" s="8" t="s">
        <v>318</v>
      </c>
      <c r="G908" s="7" t="s">
        <v>1579</v>
      </c>
      <c r="H908" s="7" t="s">
        <v>1580</v>
      </c>
      <c r="I908" s="8">
        <v>2000.0</v>
      </c>
      <c r="K908" s="8" t="s">
        <v>351</v>
      </c>
      <c r="L908" s="8" t="s">
        <v>322</v>
      </c>
      <c r="M908" s="8" t="s">
        <v>333</v>
      </c>
      <c r="N908" s="8">
        <v>9.0</v>
      </c>
      <c r="O908" s="14">
        <f t="shared" si="1"/>
        <v>44531</v>
      </c>
      <c r="P908" s="15">
        <f>IFERROR(VLOOKUP(K908,Formula!$A$11:$B$20,2,FALSE),Formula!$C$26)</f>
        <v>0.6</v>
      </c>
      <c r="Q908" s="15">
        <f>IF(AND(ISNUMBER(J908),J908&gt;0),1/J908,IF(AND(ISNUMBER(I908),I908&gt;0),SQRT(MIN(I908,Formula!$C$27))/Formula!$C$24,1/Formula!$C$25))</f>
        <v>0.4563404036</v>
      </c>
      <c r="R908" s="15">
        <f t="shared" si="2"/>
        <v>0.2738042421</v>
      </c>
      <c r="S908" s="15">
        <f>IF(H908&lt;&gt;"",EXP(-Formula!$C$28*(EOMONTH(H908,0)-H908)),EXP(-Formula!$C$28*(EOMONTH(D908,0)-D908)))</f>
        <v>0.3166367694</v>
      </c>
      <c r="T908" s="15">
        <f t="shared" si="3"/>
        <v>0.2672612419</v>
      </c>
      <c r="U908" s="15">
        <f t="shared" si="4"/>
        <v>0.02317061177</v>
      </c>
      <c r="V908" s="16">
        <f>IF(AND(L908="Among all respondents",NOT(OR(K908="Online poll in Telegram channel",K908="Website online poll",K908="CAWI (Computer Assisted Web Interviewing)"))),1/(1-MIN(MAX(Formula!$C$33+(YEAR(D908)-Formula!$C$34)/(Formula!$C$35-Formula!$C$34)*(Formula!$C$32-Formula!$C$33),Formula!$C$33),Formula!$C$32)),1)</f>
        <v>1</v>
      </c>
      <c r="W908" s="17">
        <f t="shared" si="5"/>
        <v>9</v>
      </c>
    </row>
    <row r="909" ht="15.75" customHeight="1">
      <c r="A909" s="8" t="s">
        <v>1583</v>
      </c>
      <c r="B909" s="7" t="s">
        <v>1577</v>
      </c>
      <c r="C909" s="13" t="s">
        <v>1578</v>
      </c>
      <c r="D909" s="7" t="s">
        <v>151</v>
      </c>
      <c r="E909" s="8" t="s">
        <v>57</v>
      </c>
      <c r="F909" s="8" t="s">
        <v>318</v>
      </c>
      <c r="G909" s="7" t="s">
        <v>1579</v>
      </c>
      <c r="H909" s="7" t="s">
        <v>1580</v>
      </c>
      <c r="I909" s="8">
        <v>2000.0</v>
      </c>
      <c r="K909" s="8" t="s">
        <v>351</v>
      </c>
      <c r="L909" s="8" t="s">
        <v>322</v>
      </c>
      <c r="M909" s="8" t="s">
        <v>365</v>
      </c>
      <c r="N909" s="8">
        <v>6.0</v>
      </c>
      <c r="O909" s="14">
        <f t="shared" si="1"/>
        <v>44531</v>
      </c>
      <c r="P909" s="15">
        <f>IFERROR(VLOOKUP(K909,Formula!$A$11:$B$20,2,FALSE),Formula!$C$26)</f>
        <v>0.6</v>
      </c>
      <c r="Q909" s="15">
        <f>IF(AND(ISNUMBER(J909),J909&gt;0),1/J909,IF(AND(ISNUMBER(I909),I909&gt;0),SQRT(MIN(I909,Formula!$C$27))/Formula!$C$24,1/Formula!$C$25))</f>
        <v>0.4563404036</v>
      </c>
      <c r="R909" s="15">
        <f t="shared" si="2"/>
        <v>0.2738042421</v>
      </c>
      <c r="S909" s="15">
        <f>IF(H909&lt;&gt;"",EXP(-Formula!$C$28*(EOMONTH(H909,0)-H909)),EXP(-Formula!$C$28*(EOMONTH(D909,0)-D909)))</f>
        <v>0.3166367694</v>
      </c>
      <c r="T909" s="15">
        <f t="shared" si="3"/>
        <v>0.2672612419</v>
      </c>
      <c r="U909" s="15">
        <f t="shared" si="4"/>
        <v>0.02317061177</v>
      </c>
      <c r="V909" s="16">
        <f>IF(AND(L909="Among all respondents",NOT(OR(K909="Online poll in Telegram channel",K909="Website online poll",K909="CAWI (Computer Assisted Web Interviewing)"))),1/(1-MIN(MAX(Formula!$C$33+(YEAR(D909)-Formula!$C$34)/(Formula!$C$35-Formula!$C$34)*(Formula!$C$32-Formula!$C$33),Formula!$C$33),Formula!$C$32)),1)</f>
        <v>1</v>
      </c>
      <c r="W909" s="17">
        <f t="shared" si="5"/>
        <v>6</v>
      </c>
    </row>
    <row r="910" ht="15.75" customHeight="1">
      <c r="A910" s="8" t="s">
        <v>1584</v>
      </c>
      <c r="B910" s="7" t="s">
        <v>1577</v>
      </c>
      <c r="C910" s="13" t="s">
        <v>1578</v>
      </c>
      <c r="D910" s="7" t="s">
        <v>151</v>
      </c>
      <c r="E910" s="8" t="s">
        <v>57</v>
      </c>
      <c r="F910" s="8" t="s">
        <v>318</v>
      </c>
      <c r="G910" s="7" t="s">
        <v>1579</v>
      </c>
      <c r="H910" s="7" t="s">
        <v>1580</v>
      </c>
      <c r="I910" s="8">
        <v>2000.0</v>
      </c>
      <c r="K910" s="8" t="s">
        <v>351</v>
      </c>
      <c r="L910" s="8" t="s">
        <v>322</v>
      </c>
      <c r="M910" s="8" t="s">
        <v>337</v>
      </c>
      <c r="N910" s="8">
        <v>6.0</v>
      </c>
      <c r="O910" s="14">
        <f t="shared" si="1"/>
        <v>44531</v>
      </c>
      <c r="P910" s="15">
        <f>IFERROR(VLOOKUP(K910,Formula!$A$11:$B$20,2,FALSE),Formula!$C$26)</f>
        <v>0.6</v>
      </c>
      <c r="Q910" s="15">
        <f>IF(AND(ISNUMBER(J910),J910&gt;0),1/J910,IF(AND(ISNUMBER(I910),I910&gt;0),SQRT(MIN(I910,Formula!$C$27))/Formula!$C$24,1/Formula!$C$25))</f>
        <v>0.4563404036</v>
      </c>
      <c r="R910" s="15">
        <f t="shared" si="2"/>
        <v>0.2738042421</v>
      </c>
      <c r="S910" s="15">
        <f>IF(H910&lt;&gt;"",EXP(-Formula!$C$28*(EOMONTH(H910,0)-H910)),EXP(-Formula!$C$28*(EOMONTH(D910,0)-D910)))</f>
        <v>0.3166367694</v>
      </c>
      <c r="T910" s="15">
        <f t="shared" si="3"/>
        <v>0.2672612419</v>
      </c>
      <c r="U910" s="15">
        <f t="shared" si="4"/>
        <v>0.02317061177</v>
      </c>
      <c r="V910" s="16">
        <f>IF(AND(L910="Among all respondents",NOT(OR(K910="Online poll in Telegram channel",K910="Website online poll",K910="CAWI (Computer Assisted Web Interviewing)"))),1/(1-MIN(MAX(Formula!$C$33+(YEAR(D910)-Formula!$C$34)/(Formula!$C$35-Formula!$C$34)*(Formula!$C$32-Formula!$C$33),Formula!$C$33),Formula!$C$32)),1)</f>
        <v>1</v>
      </c>
      <c r="W910" s="17">
        <f t="shared" si="5"/>
        <v>6</v>
      </c>
    </row>
    <row r="911" ht="15.75" customHeight="1">
      <c r="A911" s="8" t="s">
        <v>1585</v>
      </c>
      <c r="B911" s="7" t="s">
        <v>1577</v>
      </c>
      <c r="C911" s="13" t="s">
        <v>1578</v>
      </c>
      <c r="D911" s="7" t="s">
        <v>151</v>
      </c>
      <c r="E911" s="8" t="s">
        <v>57</v>
      </c>
      <c r="F911" s="8" t="s">
        <v>318</v>
      </c>
      <c r="G911" s="7" t="s">
        <v>1579</v>
      </c>
      <c r="H911" s="7" t="s">
        <v>1580</v>
      </c>
      <c r="I911" s="8">
        <v>2000.0</v>
      </c>
      <c r="K911" s="8" t="s">
        <v>351</v>
      </c>
      <c r="L911" s="8" t="s">
        <v>322</v>
      </c>
      <c r="M911" s="8" t="s">
        <v>386</v>
      </c>
      <c r="N911" s="8">
        <v>5.0</v>
      </c>
      <c r="O911" s="14">
        <f t="shared" si="1"/>
        <v>44531</v>
      </c>
      <c r="P911" s="15">
        <f>IFERROR(VLOOKUP(K911,Formula!$A$11:$B$20,2,FALSE),Formula!$C$26)</f>
        <v>0.6</v>
      </c>
      <c r="Q911" s="15">
        <f>IF(AND(ISNUMBER(J911),J911&gt;0),1/J911,IF(AND(ISNUMBER(I911),I911&gt;0),SQRT(MIN(I911,Formula!$C$27))/Formula!$C$24,1/Formula!$C$25))</f>
        <v>0.4563404036</v>
      </c>
      <c r="R911" s="15">
        <f t="shared" si="2"/>
        <v>0.2738042421</v>
      </c>
      <c r="S911" s="15">
        <f>IF(H911&lt;&gt;"",EXP(-Formula!$C$28*(EOMONTH(H911,0)-H911)),EXP(-Formula!$C$28*(EOMONTH(D911,0)-D911)))</f>
        <v>0.3166367694</v>
      </c>
      <c r="T911" s="15">
        <f t="shared" si="3"/>
        <v>0.2672612419</v>
      </c>
      <c r="U911" s="15">
        <f t="shared" si="4"/>
        <v>0.02317061177</v>
      </c>
      <c r="V911" s="16">
        <f>IF(AND(L911="Among all respondents",NOT(OR(K911="Online poll in Telegram channel",K911="Website online poll",K911="CAWI (Computer Assisted Web Interviewing)"))),1/(1-MIN(MAX(Formula!$C$33+(YEAR(D911)-Formula!$C$34)/(Formula!$C$35-Formula!$C$34)*(Formula!$C$32-Formula!$C$33),Formula!$C$33),Formula!$C$32)),1)</f>
        <v>1</v>
      </c>
      <c r="W911" s="17">
        <f t="shared" si="5"/>
        <v>5</v>
      </c>
    </row>
    <row r="912" ht="15.75" customHeight="1">
      <c r="A912" s="8" t="s">
        <v>1586</v>
      </c>
      <c r="B912" s="7" t="s">
        <v>1577</v>
      </c>
      <c r="C912" s="13" t="s">
        <v>1578</v>
      </c>
      <c r="D912" s="7" t="s">
        <v>151</v>
      </c>
      <c r="E912" s="8" t="s">
        <v>57</v>
      </c>
      <c r="F912" s="8" t="s">
        <v>318</v>
      </c>
      <c r="G912" s="7" t="s">
        <v>1579</v>
      </c>
      <c r="H912" s="7" t="s">
        <v>1580</v>
      </c>
      <c r="I912" s="8">
        <v>2000.0</v>
      </c>
      <c r="K912" s="8" t="s">
        <v>351</v>
      </c>
      <c r="L912" s="8" t="s">
        <v>322</v>
      </c>
      <c r="M912" s="8" t="s">
        <v>828</v>
      </c>
      <c r="N912" s="8">
        <v>5.0</v>
      </c>
      <c r="O912" s="14">
        <f t="shared" si="1"/>
        <v>44531</v>
      </c>
      <c r="P912" s="15">
        <f>IFERROR(VLOOKUP(K912,Formula!$A$11:$B$20,2,FALSE),Formula!$C$26)</f>
        <v>0.6</v>
      </c>
      <c r="Q912" s="15">
        <f>IF(AND(ISNUMBER(J912),J912&gt;0),1/J912,IF(AND(ISNUMBER(I912),I912&gt;0),SQRT(MIN(I912,Formula!$C$27))/Formula!$C$24,1/Formula!$C$25))</f>
        <v>0.4563404036</v>
      </c>
      <c r="R912" s="15">
        <f t="shared" si="2"/>
        <v>0.2738042421</v>
      </c>
      <c r="S912" s="15">
        <f>IF(H912&lt;&gt;"",EXP(-Formula!$C$28*(EOMONTH(H912,0)-H912)),EXP(-Formula!$C$28*(EOMONTH(D912,0)-D912)))</f>
        <v>0.3166367694</v>
      </c>
      <c r="T912" s="15">
        <f t="shared" si="3"/>
        <v>0.2672612419</v>
      </c>
      <c r="U912" s="15">
        <f t="shared" si="4"/>
        <v>0.02317061177</v>
      </c>
      <c r="V912" s="16">
        <f>IF(AND(L912="Among all respondents",NOT(OR(K912="Online poll in Telegram channel",K912="Website online poll",K912="CAWI (Computer Assisted Web Interviewing)"))),1/(1-MIN(MAX(Formula!$C$33+(YEAR(D912)-Formula!$C$34)/(Formula!$C$35-Formula!$C$34)*(Formula!$C$32-Formula!$C$33),Formula!$C$33),Formula!$C$32)),1)</f>
        <v>1</v>
      </c>
      <c r="W912" s="17">
        <f t="shared" si="5"/>
        <v>5</v>
      </c>
    </row>
    <row r="913" ht="15.75" customHeight="1">
      <c r="A913" s="8" t="s">
        <v>1587</v>
      </c>
      <c r="B913" s="7" t="s">
        <v>1577</v>
      </c>
      <c r="C913" s="13" t="s">
        <v>1578</v>
      </c>
      <c r="D913" s="7" t="s">
        <v>151</v>
      </c>
      <c r="E913" s="8" t="s">
        <v>57</v>
      </c>
      <c r="F913" s="8" t="s">
        <v>318</v>
      </c>
      <c r="G913" s="7" t="s">
        <v>1579</v>
      </c>
      <c r="H913" s="7" t="s">
        <v>1580</v>
      </c>
      <c r="I913" s="8">
        <v>2000.0</v>
      </c>
      <c r="K913" s="8" t="s">
        <v>351</v>
      </c>
      <c r="L913" s="8" t="s">
        <v>322</v>
      </c>
      <c r="M913" s="8" t="s">
        <v>1153</v>
      </c>
      <c r="N913" s="8">
        <v>4.0</v>
      </c>
      <c r="O913" s="14">
        <f t="shared" si="1"/>
        <v>44531</v>
      </c>
      <c r="P913" s="15">
        <f>IFERROR(VLOOKUP(K913,Formula!$A$11:$B$20,2,FALSE),Formula!$C$26)</f>
        <v>0.6</v>
      </c>
      <c r="Q913" s="15">
        <f>IF(AND(ISNUMBER(J913),J913&gt;0),1/J913,IF(AND(ISNUMBER(I913),I913&gt;0),SQRT(MIN(I913,Formula!$C$27))/Formula!$C$24,1/Formula!$C$25))</f>
        <v>0.4563404036</v>
      </c>
      <c r="R913" s="15">
        <f t="shared" si="2"/>
        <v>0.2738042421</v>
      </c>
      <c r="S913" s="15">
        <f>IF(H913&lt;&gt;"",EXP(-Formula!$C$28*(EOMONTH(H913,0)-H913)),EXP(-Formula!$C$28*(EOMONTH(D913,0)-D913)))</f>
        <v>0.3166367694</v>
      </c>
      <c r="T913" s="15">
        <f t="shared" si="3"/>
        <v>0.2672612419</v>
      </c>
      <c r="U913" s="15">
        <f t="shared" si="4"/>
        <v>0.02317061177</v>
      </c>
      <c r="V913" s="16">
        <f>IF(AND(L913="Among all respondents",NOT(OR(K913="Online poll in Telegram channel",K913="Website online poll",K913="CAWI (Computer Assisted Web Interviewing)"))),1/(1-MIN(MAX(Formula!$C$33+(YEAR(D913)-Formula!$C$34)/(Formula!$C$35-Formula!$C$34)*(Formula!$C$32-Formula!$C$33),Formula!$C$33),Formula!$C$32)),1)</f>
        <v>1</v>
      </c>
      <c r="W913" s="17">
        <f t="shared" si="5"/>
        <v>4</v>
      </c>
    </row>
    <row r="914" ht="15.75" customHeight="1">
      <c r="A914" s="8" t="s">
        <v>1588</v>
      </c>
      <c r="B914" s="7" t="s">
        <v>1577</v>
      </c>
      <c r="C914" s="13" t="s">
        <v>1578</v>
      </c>
      <c r="D914" s="7" t="s">
        <v>151</v>
      </c>
      <c r="E914" s="8" t="s">
        <v>57</v>
      </c>
      <c r="F914" s="8" t="s">
        <v>318</v>
      </c>
      <c r="G914" s="7" t="s">
        <v>1579</v>
      </c>
      <c r="H914" s="7" t="s">
        <v>1580</v>
      </c>
      <c r="I914" s="8">
        <v>2000.0</v>
      </c>
      <c r="K914" s="8" t="s">
        <v>351</v>
      </c>
      <c r="L914" s="8" t="s">
        <v>322</v>
      </c>
      <c r="M914" s="8" t="s">
        <v>388</v>
      </c>
      <c r="N914" s="8">
        <v>3.0</v>
      </c>
      <c r="O914" s="14">
        <f t="shared" si="1"/>
        <v>44531</v>
      </c>
      <c r="P914" s="15">
        <f>IFERROR(VLOOKUP(K914,Formula!$A$11:$B$20,2,FALSE),Formula!$C$26)</f>
        <v>0.6</v>
      </c>
      <c r="Q914" s="15">
        <f>IF(AND(ISNUMBER(J914),J914&gt;0),1/J914,IF(AND(ISNUMBER(I914),I914&gt;0),SQRT(MIN(I914,Formula!$C$27))/Formula!$C$24,1/Formula!$C$25))</f>
        <v>0.4563404036</v>
      </c>
      <c r="R914" s="15">
        <f t="shared" si="2"/>
        <v>0.2738042421</v>
      </c>
      <c r="S914" s="15">
        <f>IF(H914&lt;&gt;"",EXP(-Formula!$C$28*(EOMONTH(H914,0)-H914)),EXP(-Formula!$C$28*(EOMONTH(D914,0)-D914)))</f>
        <v>0.3166367694</v>
      </c>
      <c r="T914" s="15">
        <f t="shared" si="3"/>
        <v>0.2672612419</v>
      </c>
      <c r="U914" s="15">
        <f t="shared" si="4"/>
        <v>0.02317061177</v>
      </c>
      <c r="V914" s="16">
        <f>IF(AND(L914="Among all respondents",NOT(OR(K914="Online poll in Telegram channel",K914="Website online poll",K914="CAWI (Computer Assisted Web Interviewing)"))),1/(1-MIN(MAX(Formula!$C$33+(YEAR(D914)-Formula!$C$34)/(Formula!$C$35-Formula!$C$34)*(Formula!$C$32-Formula!$C$33),Formula!$C$33),Formula!$C$32)),1)</f>
        <v>1</v>
      </c>
      <c r="W914" s="17">
        <f t="shared" si="5"/>
        <v>3</v>
      </c>
    </row>
    <row r="915" ht="15.75" customHeight="1">
      <c r="A915" s="8" t="s">
        <v>1589</v>
      </c>
      <c r="B915" s="7" t="s">
        <v>1577</v>
      </c>
      <c r="C915" s="13" t="s">
        <v>1578</v>
      </c>
      <c r="D915" s="7" t="s">
        <v>151</v>
      </c>
      <c r="E915" s="8" t="s">
        <v>57</v>
      </c>
      <c r="F915" s="8" t="s">
        <v>318</v>
      </c>
      <c r="G915" s="7" t="s">
        <v>1579</v>
      </c>
      <c r="H915" s="7" t="s">
        <v>1580</v>
      </c>
      <c r="I915" s="8">
        <v>2000.0</v>
      </c>
      <c r="K915" s="8" t="s">
        <v>351</v>
      </c>
      <c r="L915" s="8" t="s">
        <v>322</v>
      </c>
      <c r="M915" s="8" t="s">
        <v>343</v>
      </c>
      <c r="N915" s="8">
        <v>3.0</v>
      </c>
      <c r="O915" s="14">
        <f t="shared" si="1"/>
        <v>44531</v>
      </c>
      <c r="P915" s="15">
        <f>IFERROR(VLOOKUP(K915,Formula!$A$11:$B$20,2,FALSE),Formula!$C$26)</f>
        <v>0.6</v>
      </c>
      <c r="Q915" s="15">
        <f>IF(AND(ISNUMBER(J915),J915&gt;0),1/J915,IF(AND(ISNUMBER(I915),I915&gt;0),SQRT(MIN(I915,Formula!$C$27))/Formula!$C$24,1/Formula!$C$25))</f>
        <v>0.4563404036</v>
      </c>
      <c r="R915" s="15">
        <f t="shared" si="2"/>
        <v>0.2738042421</v>
      </c>
      <c r="S915" s="15">
        <f>IF(H915&lt;&gt;"",EXP(-Formula!$C$28*(EOMONTH(H915,0)-H915)),EXP(-Formula!$C$28*(EOMONTH(D915,0)-D915)))</f>
        <v>0.3166367694</v>
      </c>
      <c r="T915" s="15">
        <f t="shared" si="3"/>
        <v>0.2672612419</v>
      </c>
      <c r="U915" s="15">
        <f t="shared" si="4"/>
        <v>0.02317061177</v>
      </c>
      <c r="V915" s="16">
        <f>IF(AND(L915="Among all respondents",NOT(OR(K915="Online poll in Telegram channel",K915="Website online poll",K915="CAWI (Computer Assisted Web Interviewing)"))),1/(1-MIN(MAX(Formula!$C$33+(YEAR(D915)-Formula!$C$34)/(Formula!$C$35-Formula!$C$34)*(Formula!$C$32-Formula!$C$33),Formula!$C$33),Formula!$C$32)),1)</f>
        <v>1</v>
      </c>
      <c r="W915" s="17">
        <f t="shared" si="5"/>
        <v>3</v>
      </c>
    </row>
    <row r="916" ht="15.75" customHeight="1">
      <c r="A916" s="8" t="s">
        <v>1590</v>
      </c>
      <c r="B916" s="7" t="s">
        <v>1577</v>
      </c>
      <c r="C916" s="13" t="s">
        <v>1578</v>
      </c>
      <c r="D916" s="7" t="s">
        <v>151</v>
      </c>
      <c r="E916" s="8" t="s">
        <v>57</v>
      </c>
      <c r="F916" s="8" t="s">
        <v>318</v>
      </c>
      <c r="G916" s="7" t="s">
        <v>1579</v>
      </c>
      <c r="H916" s="7" t="s">
        <v>1580</v>
      </c>
      <c r="I916" s="8">
        <v>2000.0</v>
      </c>
      <c r="K916" s="8" t="s">
        <v>351</v>
      </c>
      <c r="L916" s="8" t="s">
        <v>322</v>
      </c>
      <c r="M916" s="8" t="s">
        <v>836</v>
      </c>
      <c r="N916" s="8">
        <v>2.0</v>
      </c>
      <c r="O916" s="14">
        <f t="shared" si="1"/>
        <v>44531</v>
      </c>
      <c r="P916" s="15">
        <f>IFERROR(VLOOKUP(K916,Formula!$A$11:$B$20,2,FALSE),Formula!$C$26)</f>
        <v>0.6</v>
      </c>
      <c r="Q916" s="15">
        <f>IF(AND(ISNUMBER(J916),J916&gt;0),1/J916,IF(AND(ISNUMBER(I916),I916&gt;0),SQRT(MIN(I916,Formula!$C$27))/Formula!$C$24,1/Formula!$C$25))</f>
        <v>0.4563404036</v>
      </c>
      <c r="R916" s="15">
        <f t="shared" si="2"/>
        <v>0.2738042421</v>
      </c>
      <c r="S916" s="15">
        <f>IF(H916&lt;&gt;"",EXP(-Formula!$C$28*(EOMONTH(H916,0)-H916)),EXP(-Formula!$C$28*(EOMONTH(D916,0)-D916)))</f>
        <v>0.3166367694</v>
      </c>
      <c r="T916" s="15">
        <f t="shared" si="3"/>
        <v>0.2672612419</v>
      </c>
      <c r="U916" s="15">
        <f t="shared" si="4"/>
        <v>0.02317061177</v>
      </c>
      <c r="V916" s="16">
        <f>IF(AND(L916="Among all respondents",NOT(OR(K916="Online poll in Telegram channel",K916="Website online poll",K916="CAWI (Computer Assisted Web Interviewing)"))),1/(1-MIN(MAX(Formula!$C$33+(YEAR(D916)-Formula!$C$34)/(Formula!$C$35-Formula!$C$34)*(Formula!$C$32-Formula!$C$33),Formula!$C$33),Formula!$C$32)),1)</f>
        <v>1</v>
      </c>
      <c r="W916" s="17">
        <f t="shared" si="5"/>
        <v>2</v>
      </c>
    </row>
    <row r="917" ht="15.75" customHeight="1">
      <c r="A917" s="8" t="s">
        <v>1591</v>
      </c>
      <c r="B917" s="7" t="s">
        <v>1577</v>
      </c>
      <c r="C917" s="13" t="s">
        <v>1578</v>
      </c>
      <c r="D917" s="7" t="s">
        <v>151</v>
      </c>
      <c r="E917" s="8" t="s">
        <v>57</v>
      </c>
      <c r="F917" s="8" t="s">
        <v>318</v>
      </c>
      <c r="G917" s="7" t="s">
        <v>1579</v>
      </c>
      <c r="H917" s="7" t="s">
        <v>1580</v>
      </c>
      <c r="I917" s="8">
        <v>2000.0</v>
      </c>
      <c r="K917" s="8" t="s">
        <v>351</v>
      </c>
      <c r="L917" s="8" t="s">
        <v>322</v>
      </c>
      <c r="M917" s="8" t="s">
        <v>743</v>
      </c>
      <c r="N917" s="8">
        <v>2.0</v>
      </c>
      <c r="O917" s="14">
        <f t="shared" si="1"/>
        <v>44531</v>
      </c>
      <c r="P917" s="15">
        <f>IFERROR(VLOOKUP(K917,Formula!$A$11:$B$20,2,FALSE),Formula!$C$26)</f>
        <v>0.6</v>
      </c>
      <c r="Q917" s="15">
        <f>IF(AND(ISNUMBER(J917),J917&gt;0),1/J917,IF(AND(ISNUMBER(I917),I917&gt;0),SQRT(MIN(I917,Formula!$C$27))/Formula!$C$24,1/Formula!$C$25))</f>
        <v>0.4563404036</v>
      </c>
      <c r="R917" s="15">
        <f t="shared" si="2"/>
        <v>0.2738042421</v>
      </c>
      <c r="S917" s="15">
        <f>IF(H917&lt;&gt;"",EXP(-Formula!$C$28*(EOMONTH(H917,0)-H917)),EXP(-Formula!$C$28*(EOMONTH(D917,0)-D917)))</f>
        <v>0.3166367694</v>
      </c>
      <c r="T917" s="15">
        <f t="shared" si="3"/>
        <v>0.2672612419</v>
      </c>
      <c r="U917" s="15">
        <f t="shared" si="4"/>
        <v>0.02317061177</v>
      </c>
      <c r="V917" s="16">
        <f>IF(AND(L917="Among all respondents",NOT(OR(K917="Online poll in Telegram channel",K917="Website online poll",K917="CAWI (Computer Assisted Web Interviewing)"))),1/(1-MIN(MAX(Formula!$C$33+(YEAR(D917)-Formula!$C$34)/(Formula!$C$35-Formula!$C$34)*(Formula!$C$32-Formula!$C$33),Formula!$C$33),Formula!$C$32)),1)</f>
        <v>1</v>
      </c>
      <c r="W917" s="17">
        <f t="shared" si="5"/>
        <v>2</v>
      </c>
    </row>
    <row r="918" ht="15.75" customHeight="1">
      <c r="A918" s="8" t="s">
        <v>1592</v>
      </c>
      <c r="B918" s="7" t="s">
        <v>1577</v>
      </c>
      <c r="C918" s="13" t="s">
        <v>1578</v>
      </c>
      <c r="D918" s="7" t="s">
        <v>151</v>
      </c>
      <c r="E918" s="8" t="s">
        <v>57</v>
      </c>
      <c r="F918" s="8" t="s">
        <v>318</v>
      </c>
      <c r="G918" s="7" t="s">
        <v>1579</v>
      </c>
      <c r="H918" s="7" t="s">
        <v>1580</v>
      </c>
      <c r="I918" s="8">
        <v>2000.0</v>
      </c>
      <c r="K918" s="8" t="s">
        <v>351</v>
      </c>
      <c r="L918" s="8" t="s">
        <v>322</v>
      </c>
      <c r="M918" s="8" t="s">
        <v>740</v>
      </c>
      <c r="N918" s="8">
        <v>1.0</v>
      </c>
      <c r="O918" s="14">
        <f t="shared" si="1"/>
        <v>44531</v>
      </c>
      <c r="P918" s="15">
        <f>IFERROR(VLOOKUP(K918,Formula!$A$11:$B$20,2,FALSE),Formula!$C$26)</f>
        <v>0.6</v>
      </c>
      <c r="Q918" s="15">
        <f>IF(AND(ISNUMBER(J918),J918&gt;0),1/J918,IF(AND(ISNUMBER(I918),I918&gt;0),SQRT(MIN(I918,Formula!$C$27))/Formula!$C$24,1/Formula!$C$25))</f>
        <v>0.4563404036</v>
      </c>
      <c r="R918" s="15">
        <f t="shared" si="2"/>
        <v>0.2738042421</v>
      </c>
      <c r="S918" s="15">
        <f>IF(H918&lt;&gt;"",EXP(-Formula!$C$28*(EOMONTH(H918,0)-H918)),EXP(-Formula!$C$28*(EOMONTH(D918,0)-D918)))</f>
        <v>0.3166367694</v>
      </c>
      <c r="T918" s="15">
        <f t="shared" si="3"/>
        <v>0.2672612419</v>
      </c>
      <c r="U918" s="15">
        <f t="shared" si="4"/>
        <v>0.02317061177</v>
      </c>
      <c r="V918" s="16">
        <f>IF(AND(L918="Among all respondents",NOT(OR(K918="Online poll in Telegram channel",K918="Website online poll",K918="CAWI (Computer Assisted Web Interviewing)"))),1/(1-MIN(MAX(Formula!$C$33+(YEAR(D918)-Formula!$C$34)/(Formula!$C$35-Formula!$C$34)*(Formula!$C$32-Formula!$C$33),Formula!$C$33),Formula!$C$32)),1)</f>
        <v>1</v>
      </c>
      <c r="W918" s="17">
        <f t="shared" si="5"/>
        <v>1</v>
      </c>
    </row>
    <row r="919" ht="15.75" customHeight="1">
      <c r="A919" s="8" t="s">
        <v>1593</v>
      </c>
      <c r="B919" s="7" t="s">
        <v>1577</v>
      </c>
      <c r="C919" s="13" t="s">
        <v>1578</v>
      </c>
      <c r="D919" s="7" t="s">
        <v>151</v>
      </c>
      <c r="E919" s="8" t="s">
        <v>57</v>
      </c>
      <c r="F919" s="8" t="s">
        <v>318</v>
      </c>
      <c r="G919" s="7" t="s">
        <v>1579</v>
      </c>
      <c r="H919" s="7" t="s">
        <v>1580</v>
      </c>
      <c r="I919" s="8">
        <v>2000.0</v>
      </c>
      <c r="K919" s="8" t="s">
        <v>351</v>
      </c>
      <c r="L919" s="8" t="s">
        <v>322</v>
      </c>
      <c r="M919" s="8" t="s">
        <v>858</v>
      </c>
      <c r="N919" s="8">
        <v>1.0</v>
      </c>
      <c r="O919" s="14">
        <f t="shared" si="1"/>
        <v>44531</v>
      </c>
      <c r="P919" s="15">
        <f>IFERROR(VLOOKUP(K919,Formula!$A$11:$B$20,2,FALSE),Formula!$C$26)</f>
        <v>0.6</v>
      </c>
      <c r="Q919" s="15">
        <f>IF(AND(ISNUMBER(J919),J919&gt;0),1/J919,IF(AND(ISNUMBER(I919),I919&gt;0),SQRT(MIN(I919,Formula!$C$27))/Formula!$C$24,1/Formula!$C$25))</f>
        <v>0.4563404036</v>
      </c>
      <c r="R919" s="15">
        <f t="shared" si="2"/>
        <v>0.2738042421</v>
      </c>
      <c r="S919" s="15">
        <f>IF(H919&lt;&gt;"",EXP(-Formula!$C$28*(EOMONTH(H919,0)-H919)),EXP(-Formula!$C$28*(EOMONTH(D919,0)-D919)))</f>
        <v>0.3166367694</v>
      </c>
      <c r="T919" s="15">
        <f t="shared" si="3"/>
        <v>0.2672612419</v>
      </c>
      <c r="U919" s="15">
        <f t="shared" si="4"/>
        <v>0.02317061177</v>
      </c>
      <c r="V919" s="16">
        <f>IF(AND(L919="Among all respondents",NOT(OR(K919="Online poll in Telegram channel",K919="Website online poll",K919="CAWI (Computer Assisted Web Interviewing)"))),1/(1-MIN(MAX(Formula!$C$33+(YEAR(D919)-Formula!$C$34)/(Formula!$C$35-Formula!$C$34)*(Formula!$C$32-Formula!$C$33),Formula!$C$33),Formula!$C$32)),1)</f>
        <v>1</v>
      </c>
      <c r="W919" s="17">
        <f t="shared" si="5"/>
        <v>1</v>
      </c>
    </row>
    <row r="920" ht="15.75" customHeight="1">
      <c r="A920" s="8" t="s">
        <v>1594</v>
      </c>
      <c r="B920" s="7" t="s">
        <v>1595</v>
      </c>
      <c r="C920" s="13" t="s">
        <v>1596</v>
      </c>
      <c r="D920" s="7" t="s">
        <v>152</v>
      </c>
      <c r="E920" s="8" t="s">
        <v>72</v>
      </c>
      <c r="F920" s="8" t="s">
        <v>318</v>
      </c>
      <c r="G920" s="7" t="s">
        <v>1597</v>
      </c>
      <c r="H920" s="7" t="s">
        <v>1547</v>
      </c>
      <c r="I920" s="8">
        <v>2000.0</v>
      </c>
      <c r="J920" s="8">
        <v>2.4</v>
      </c>
      <c r="K920" s="8" t="s">
        <v>321</v>
      </c>
      <c r="L920" s="8" t="s">
        <v>322</v>
      </c>
      <c r="M920" s="8" t="s">
        <v>323</v>
      </c>
      <c r="N920" s="8">
        <v>27.1</v>
      </c>
      <c r="O920" s="14">
        <f t="shared" si="1"/>
        <v>44531</v>
      </c>
      <c r="P920" s="15">
        <f>IFERROR(VLOOKUP(K920,Formula!$A$11:$B$20,2,FALSE),Formula!$C$26)</f>
        <v>0.9</v>
      </c>
      <c r="Q920" s="15">
        <f>IF(AND(ISNUMBER(J920),J920&gt;0),1/J920,IF(AND(ISNUMBER(I920),I920&gt;0),SQRT(MIN(I920,Formula!$C$27))/Formula!$C$24,1/Formula!$C$25))</f>
        <v>0.4166666667</v>
      </c>
      <c r="R920" s="15">
        <f t="shared" si="2"/>
        <v>0.375</v>
      </c>
      <c r="S920" s="15">
        <f>IF(H920&lt;&gt;"",EXP(-Formula!$C$28*(EOMONTH(H920,0)-H920)),EXP(-Formula!$C$28*(EOMONTH(D920,0)-D920)))</f>
        <v>0.3678794412</v>
      </c>
      <c r="T920" s="15">
        <f t="shared" si="3"/>
        <v>0.1924500897</v>
      </c>
      <c r="U920" s="15">
        <f t="shared" si="4"/>
        <v>0.0265494118</v>
      </c>
      <c r="V920" s="16">
        <f>IF(AND(L920="Among all respondents",NOT(OR(K920="Online poll in Telegram channel",K920="Website online poll",K920="CAWI (Computer Assisted Web Interviewing)"))),1/(1-MIN(MAX(Formula!$C$33+(YEAR(D920)-Formula!$C$34)/(Formula!$C$35-Formula!$C$34)*(Formula!$C$32-Formula!$C$33),Formula!$C$33),Formula!$C$32)),1)</f>
        <v>1</v>
      </c>
      <c r="W920" s="17">
        <f t="shared" si="5"/>
        <v>27.1</v>
      </c>
    </row>
    <row r="921" ht="15.75" customHeight="1">
      <c r="A921" s="8" t="s">
        <v>1598</v>
      </c>
      <c r="B921" s="7" t="s">
        <v>1595</v>
      </c>
      <c r="C921" s="13" t="s">
        <v>1596</v>
      </c>
      <c r="D921" s="7" t="s">
        <v>152</v>
      </c>
      <c r="E921" s="8" t="s">
        <v>72</v>
      </c>
      <c r="F921" s="8" t="s">
        <v>318</v>
      </c>
      <c r="G921" s="7" t="s">
        <v>1597</v>
      </c>
      <c r="H921" s="7" t="s">
        <v>1547</v>
      </c>
      <c r="I921" s="8">
        <v>2000.0</v>
      </c>
      <c r="J921" s="8">
        <v>2.4</v>
      </c>
      <c r="K921" s="8" t="s">
        <v>321</v>
      </c>
      <c r="L921" s="8" t="s">
        <v>322</v>
      </c>
      <c r="M921" s="8" t="s">
        <v>329</v>
      </c>
      <c r="N921" s="8">
        <v>19.7</v>
      </c>
      <c r="O921" s="14">
        <f t="shared" si="1"/>
        <v>44531</v>
      </c>
      <c r="P921" s="15">
        <f>IFERROR(VLOOKUP(K921,Formula!$A$11:$B$20,2,FALSE),Formula!$C$26)</f>
        <v>0.9</v>
      </c>
      <c r="Q921" s="15">
        <f>IF(AND(ISNUMBER(J921),J921&gt;0),1/J921,IF(AND(ISNUMBER(I921),I921&gt;0),SQRT(MIN(I921,Formula!$C$27))/Formula!$C$24,1/Formula!$C$25))</f>
        <v>0.4166666667</v>
      </c>
      <c r="R921" s="15">
        <f t="shared" si="2"/>
        <v>0.375</v>
      </c>
      <c r="S921" s="15">
        <f>IF(H921&lt;&gt;"",EXP(-Formula!$C$28*(EOMONTH(H921,0)-H921)),EXP(-Formula!$C$28*(EOMONTH(D921,0)-D921)))</f>
        <v>0.3678794412</v>
      </c>
      <c r="T921" s="15">
        <f t="shared" si="3"/>
        <v>0.1924500897</v>
      </c>
      <c r="U921" s="15">
        <f t="shared" si="4"/>
        <v>0.0265494118</v>
      </c>
      <c r="V921" s="16">
        <f>IF(AND(L921="Among all respondents",NOT(OR(K921="Online poll in Telegram channel",K921="Website online poll",K921="CAWI (Computer Assisted Web Interviewing)"))),1/(1-MIN(MAX(Formula!$C$33+(YEAR(D921)-Formula!$C$34)/(Formula!$C$35-Formula!$C$34)*(Formula!$C$32-Formula!$C$33),Formula!$C$33),Formula!$C$32)),1)</f>
        <v>1</v>
      </c>
      <c r="W921" s="17">
        <f t="shared" si="5"/>
        <v>19.7</v>
      </c>
    </row>
    <row r="922" ht="15.75" customHeight="1">
      <c r="A922" s="8" t="s">
        <v>1599</v>
      </c>
      <c r="B922" s="7" t="s">
        <v>1595</v>
      </c>
      <c r="C922" s="13" t="s">
        <v>1596</v>
      </c>
      <c r="D922" s="7" t="s">
        <v>152</v>
      </c>
      <c r="E922" s="8" t="s">
        <v>72</v>
      </c>
      <c r="F922" s="8" t="s">
        <v>318</v>
      </c>
      <c r="G922" s="7" t="s">
        <v>1597</v>
      </c>
      <c r="H922" s="7" t="s">
        <v>1547</v>
      </c>
      <c r="I922" s="8">
        <v>2000.0</v>
      </c>
      <c r="J922" s="8">
        <v>2.4</v>
      </c>
      <c r="K922" s="8" t="s">
        <v>321</v>
      </c>
      <c r="L922" s="8" t="s">
        <v>322</v>
      </c>
      <c r="M922" s="8" t="s">
        <v>337</v>
      </c>
      <c r="N922" s="8">
        <v>11.3</v>
      </c>
      <c r="O922" s="14">
        <f t="shared" si="1"/>
        <v>44531</v>
      </c>
      <c r="P922" s="15">
        <f>IFERROR(VLOOKUP(K922,Formula!$A$11:$B$20,2,FALSE),Formula!$C$26)</f>
        <v>0.9</v>
      </c>
      <c r="Q922" s="15">
        <f>IF(AND(ISNUMBER(J922),J922&gt;0),1/J922,IF(AND(ISNUMBER(I922),I922&gt;0),SQRT(MIN(I922,Formula!$C$27))/Formula!$C$24,1/Formula!$C$25))</f>
        <v>0.4166666667</v>
      </c>
      <c r="R922" s="15">
        <f t="shared" si="2"/>
        <v>0.375</v>
      </c>
      <c r="S922" s="15">
        <f>IF(H922&lt;&gt;"",EXP(-Formula!$C$28*(EOMONTH(H922,0)-H922)),EXP(-Formula!$C$28*(EOMONTH(D922,0)-D922)))</f>
        <v>0.3678794412</v>
      </c>
      <c r="T922" s="15">
        <f t="shared" si="3"/>
        <v>0.1924500897</v>
      </c>
      <c r="U922" s="15">
        <f t="shared" si="4"/>
        <v>0.0265494118</v>
      </c>
      <c r="V922" s="16">
        <f>IF(AND(L922="Among all respondents",NOT(OR(K922="Online poll in Telegram channel",K922="Website online poll",K922="CAWI (Computer Assisted Web Interviewing)"))),1/(1-MIN(MAX(Formula!$C$33+(YEAR(D922)-Formula!$C$34)/(Formula!$C$35-Formula!$C$34)*(Formula!$C$32-Formula!$C$33),Formula!$C$33),Formula!$C$32)),1)</f>
        <v>1</v>
      </c>
      <c r="W922" s="17">
        <f t="shared" si="5"/>
        <v>11.3</v>
      </c>
    </row>
    <row r="923" ht="15.75" customHeight="1">
      <c r="A923" s="8" t="s">
        <v>1600</v>
      </c>
      <c r="B923" s="7" t="s">
        <v>1595</v>
      </c>
      <c r="C923" s="13" t="s">
        <v>1596</v>
      </c>
      <c r="D923" s="7" t="s">
        <v>152</v>
      </c>
      <c r="E923" s="8" t="s">
        <v>72</v>
      </c>
      <c r="F923" s="8" t="s">
        <v>318</v>
      </c>
      <c r="G923" s="7" t="s">
        <v>1597</v>
      </c>
      <c r="H923" s="7" t="s">
        <v>1547</v>
      </c>
      <c r="I923" s="8">
        <v>2000.0</v>
      </c>
      <c r="J923" s="8">
        <v>2.4</v>
      </c>
      <c r="K923" s="8" t="s">
        <v>321</v>
      </c>
      <c r="L923" s="8" t="s">
        <v>322</v>
      </c>
      <c r="M923" s="8" t="s">
        <v>828</v>
      </c>
      <c r="N923" s="8">
        <v>7.7</v>
      </c>
      <c r="O923" s="14">
        <f t="shared" si="1"/>
        <v>44531</v>
      </c>
      <c r="P923" s="15">
        <f>IFERROR(VLOOKUP(K923,Formula!$A$11:$B$20,2,FALSE),Formula!$C$26)</f>
        <v>0.9</v>
      </c>
      <c r="Q923" s="15">
        <f>IF(AND(ISNUMBER(J923),J923&gt;0),1/J923,IF(AND(ISNUMBER(I923),I923&gt;0),SQRT(MIN(I923,Formula!$C$27))/Formula!$C$24,1/Formula!$C$25))</f>
        <v>0.4166666667</v>
      </c>
      <c r="R923" s="15">
        <f t="shared" si="2"/>
        <v>0.375</v>
      </c>
      <c r="S923" s="15">
        <f>IF(H923&lt;&gt;"",EXP(-Formula!$C$28*(EOMONTH(H923,0)-H923)),EXP(-Formula!$C$28*(EOMONTH(D923,0)-D923)))</f>
        <v>0.3678794412</v>
      </c>
      <c r="T923" s="15">
        <f t="shared" si="3"/>
        <v>0.1924500897</v>
      </c>
      <c r="U923" s="15">
        <f t="shared" si="4"/>
        <v>0.0265494118</v>
      </c>
      <c r="V923" s="16">
        <f>IF(AND(L923="Among all respondents",NOT(OR(K923="Online poll in Telegram channel",K923="Website online poll",K923="CAWI (Computer Assisted Web Interviewing)"))),1/(1-MIN(MAX(Formula!$C$33+(YEAR(D923)-Formula!$C$34)/(Formula!$C$35-Formula!$C$34)*(Formula!$C$32-Formula!$C$33),Formula!$C$33),Formula!$C$32)),1)</f>
        <v>1</v>
      </c>
      <c r="W923" s="17">
        <f t="shared" si="5"/>
        <v>7.7</v>
      </c>
    </row>
    <row r="924" ht="15.75" customHeight="1">
      <c r="A924" s="8" t="s">
        <v>1601</v>
      </c>
      <c r="B924" s="7" t="s">
        <v>1595</v>
      </c>
      <c r="C924" s="13" t="s">
        <v>1596</v>
      </c>
      <c r="D924" s="7" t="s">
        <v>152</v>
      </c>
      <c r="E924" s="8" t="s">
        <v>72</v>
      </c>
      <c r="F924" s="8" t="s">
        <v>318</v>
      </c>
      <c r="G924" s="7" t="s">
        <v>1597</v>
      </c>
      <c r="H924" s="7" t="s">
        <v>1547</v>
      </c>
      <c r="I924" s="8">
        <v>2000.0</v>
      </c>
      <c r="J924" s="8">
        <v>2.4</v>
      </c>
      <c r="K924" s="8" t="s">
        <v>321</v>
      </c>
      <c r="L924" s="8" t="s">
        <v>322</v>
      </c>
      <c r="M924" s="8" t="s">
        <v>365</v>
      </c>
      <c r="N924" s="8">
        <v>6.6</v>
      </c>
      <c r="O924" s="14">
        <f t="shared" si="1"/>
        <v>44531</v>
      </c>
      <c r="P924" s="15">
        <f>IFERROR(VLOOKUP(K924,Formula!$A$11:$B$20,2,FALSE),Formula!$C$26)</f>
        <v>0.9</v>
      </c>
      <c r="Q924" s="15">
        <f>IF(AND(ISNUMBER(J924),J924&gt;0),1/J924,IF(AND(ISNUMBER(I924),I924&gt;0),SQRT(MIN(I924,Formula!$C$27))/Formula!$C$24,1/Formula!$C$25))</f>
        <v>0.4166666667</v>
      </c>
      <c r="R924" s="15">
        <f t="shared" si="2"/>
        <v>0.375</v>
      </c>
      <c r="S924" s="15">
        <f>IF(H924&lt;&gt;"",EXP(-Formula!$C$28*(EOMONTH(H924,0)-H924)),EXP(-Formula!$C$28*(EOMONTH(D924,0)-D924)))</f>
        <v>0.3678794412</v>
      </c>
      <c r="T924" s="15">
        <f t="shared" si="3"/>
        <v>0.1924500897</v>
      </c>
      <c r="U924" s="15">
        <f t="shared" si="4"/>
        <v>0.0265494118</v>
      </c>
      <c r="V924" s="16">
        <f>IF(AND(L924="Among all respondents",NOT(OR(K924="Online poll in Telegram channel",K924="Website online poll",K924="CAWI (Computer Assisted Web Interviewing)"))),1/(1-MIN(MAX(Formula!$C$33+(YEAR(D924)-Formula!$C$34)/(Formula!$C$35-Formula!$C$34)*(Formula!$C$32-Formula!$C$33),Formula!$C$33),Formula!$C$32)),1)</f>
        <v>1</v>
      </c>
      <c r="W924" s="17">
        <f t="shared" si="5"/>
        <v>6.6</v>
      </c>
    </row>
    <row r="925" ht="15.75" customHeight="1">
      <c r="A925" s="8" t="s">
        <v>1602</v>
      </c>
      <c r="B925" s="7" t="s">
        <v>1595</v>
      </c>
      <c r="C925" s="13" t="s">
        <v>1596</v>
      </c>
      <c r="D925" s="7" t="s">
        <v>152</v>
      </c>
      <c r="E925" s="8" t="s">
        <v>72</v>
      </c>
      <c r="F925" s="8" t="s">
        <v>318</v>
      </c>
      <c r="G925" s="7" t="s">
        <v>1597</v>
      </c>
      <c r="H925" s="7" t="s">
        <v>1547</v>
      </c>
      <c r="I925" s="8">
        <v>2000.0</v>
      </c>
      <c r="J925" s="8">
        <v>2.4</v>
      </c>
      <c r="K925" s="8" t="s">
        <v>321</v>
      </c>
      <c r="L925" s="8" t="s">
        <v>322</v>
      </c>
      <c r="M925" s="8" t="s">
        <v>1153</v>
      </c>
      <c r="N925" s="8">
        <v>6.5</v>
      </c>
      <c r="O925" s="14">
        <f t="shared" si="1"/>
        <v>44531</v>
      </c>
      <c r="P925" s="15">
        <f>IFERROR(VLOOKUP(K925,Formula!$A$11:$B$20,2,FALSE),Formula!$C$26)</f>
        <v>0.9</v>
      </c>
      <c r="Q925" s="15">
        <f>IF(AND(ISNUMBER(J925),J925&gt;0),1/J925,IF(AND(ISNUMBER(I925),I925&gt;0),SQRT(MIN(I925,Formula!$C$27))/Formula!$C$24,1/Formula!$C$25))</f>
        <v>0.4166666667</v>
      </c>
      <c r="R925" s="15">
        <f t="shared" si="2"/>
        <v>0.375</v>
      </c>
      <c r="S925" s="15">
        <f>IF(H925&lt;&gt;"",EXP(-Formula!$C$28*(EOMONTH(H925,0)-H925)),EXP(-Formula!$C$28*(EOMONTH(D925,0)-D925)))</f>
        <v>0.3678794412</v>
      </c>
      <c r="T925" s="15">
        <f t="shared" si="3"/>
        <v>0.1924500897</v>
      </c>
      <c r="U925" s="15">
        <f t="shared" si="4"/>
        <v>0.0265494118</v>
      </c>
      <c r="V925" s="16">
        <f>IF(AND(L925="Among all respondents",NOT(OR(K925="Online poll in Telegram channel",K925="Website online poll",K925="CAWI (Computer Assisted Web Interviewing)"))),1/(1-MIN(MAX(Formula!$C$33+(YEAR(D925)-Formula!$C$34)/(Formula!$C$35-Formula!$C$34)*(Formula!$C$32-Formula!$C$33),Formula!$C$33),Formula!$C$32)),1)</f>
        <v>1</v>
      </c>
      <c r="W925" s="17">
        <f t="shared" si="5"/>
        <v>6.5</v>
      </c>
    </row>
    <row r="926" ht="15.75" customHeight="1">
      <c r="A926" s="8" t="s">
        <v>1603</v>
      </c>
      <c r="B926" s="7" t="s">
        <v>1595</v>
      </c>
      <c r="C926" s="13" t="s">
        <v>1596</v>
      </c>
      <c r="D926" s="7" t="s">
        <v>152</v>
      </c>
      <c r="E926" s="8" t="s">
        <v>72</v>
      </c>
      <c r="F926" s="8" t="s">
        <v>318</v>
      </c>
      <c r="G926" s="7" t="s">
        <v>1597</v>
      </c>
      <c r="H926" s="7" t="s">
        <v>1547</v>
      </c>
      <c r="I926" s="8">
        <v>2000.0</v>
      </c>
      <c r="J926" s="8">
        <v>2.4</v>
      </c>
      <c r="K926" s="8" t="s">
        <v>321</v>
      </c>
      <c r="L926" s="8" t="s">
        <v>322</v>
      </c>
      <c r="M926" s="8" t="s">
        <v>333</v>
      </c>
      <c r="N926" s="8">
        <v>6.3</v>
      </c>
      <c r="O926" s="14">
        <f t="shared" si="1"/>
        <v>44531</v>
      </c>
      <c r="P926" s="15">
        <f>IFERROR(VLOOKUP(K926,Formula!$A$11:$B$20,2,FALSE),Formula!$C$26)</f>
        <v>0.9</v>
      </c>
      <c r="Q926" s="15">
        <f>IF(AND(ISNUMBER(J926),J926&gt;0),1/J926,IF(AND(ISNUMBER(I926),I926&gt;0),SQRT(MIN(I926,Formula!$C$27))/Formula!$C$24,1/Formula!$C$25))</f>
        <v>0.4166666667</v>
      </c>
      <c r="R926" s="15">
        <f t="shared" si="2"/>
        <v>0.375</v>
      </c>
      <c r="S926" s="15">
        <f>IF(H926&lt;&gt;"",EXP(-Formula!$C$28*(EOMONTH(H926,0)-H926)),EXP(-Formula!$C$28*(EOMONTH(D926,0)-D926)))</f>
        <v>0.3678794412</v>
      </c>
      <c r="T926" s="15">
        <f t="shared" si="3"/>
        <v>0.1924500897</v>
      </c>
      <c r="U926" s="15">
        <f t="shared" si="4"/>
        <v>0.0265494118</v>
      </c>
      <c r="V926" s="16">
        <f>IF(AND(L926="Among all respondents",NOT(OR(K926="Online poll in Telegram channel",K926="Website online poll",K926="CAWI (Computer Assisted Web Interviewing)"))),1/(1-MIN(MAX(Formula!$C$33+(YEAR(D926)-Formula!$C$34)/(Formula!$C$35-Formula!$C$34)*(Formula!$C$32-Formula!$C$33),Formula!$C$33),Formula!$C$32)),1)</f>
        <v>1</v>
      </c>
      <c r="W926" s="17">
        <f t="shared" si="5"/>
        <v>6.3</v>
      </c>
    </row>
    <row r="927" ht="15.75" customHeight="1">
      <c r="A927" s="8" t="s">
        <v>1604</v>
      </c>
      <c r="B927" s="7" t="s">
        <v>1595</v>
      </c>
      <c r="C927" s="13" t="s">
        <v>1596</v>
      </c>
      <c r="D927" s="7" t="s">
        <v>152</v>
      </c>
      <c r="E927" s="8" t="s">
        <v>72</v>
      </c>
      <c r="F927" s="8" t="s">
        <v>318</v>
      </c>
      <c r="G927" s="7" t="s">
        <v>1597</v>
      </c>
      <c r="H927" s="7" t="s">
        <v>1547</v>
      </c>
      <c r="I927" s="8">
        <v>2000.0</v>
      </c>
      <c r="J927" s="8">
        <v>2.4</v>
      </c>
      <c r="K927" s="8" t="s">
        <v>321</v>
      </c>
      <c r="L927" s="8" t="s">
        <v>322</v>
      </c>
      <c r="M927" s="8" t="s">
        <v>386</v>
      </c>
      <c r="N927" s="8">
        <v>5.1</v>
      </c>
      <c r="O927" s="14">
        <f t="shared" si="1"/>
        <v>44531</v>
      </c>
      <c r="P927" s="15">
        <f>IFERROR(VLOOKUP(K927,Formula!$A$11:$B$20,2,FALSE),Formula!$C$26)</f>
        <v>0.9</v>
      </c>
      <c r="Q927" s="15">
        <f>IF(AND(ISNUMBER(J927),J927&gt;0),1/J927,IF(AND(ISNUMBER(I927),I927&gt;0),SQRT(MIN(I927,Formula!$C$27))/Formula!$C$24,1/Formula!$C$25))</f>
        <v>0.4166666667</v>
      </c>
      <c r="R927" s="15">
        <f t="shared" si="2"/>
        <v>0.375</v>
      </c>
      <c r="S927" s="15">
        <f>IF(H927&lt;&gt;"",EXP(-Formula!$C$28*(EOMONTH(H927,0)-H927)),EXP(-Formula!$C$28*(EOMONTH(D927,0)-D927)))</f>
        <v>0.3678794412</v>
      </c>
      <c r="T927" s="15">
        <f t="shared" si="3"/>
        <v>0.1924500897</v>
      </c>
      <c r="U927" s="15">
        <f t="shared" si="4"/>
        <v>0.0265494118</v>
      </c>
      <c r="V927" s="16">
        <f>IF(AND(L927="Among all respondents",NOT(OR(K927="Online poll in Telegram channel",K927="Website online poll",K927="CAWI (Computer Assisted Web Interviewing)"))),1/(1-MIN(MAX(Formula!$C$33+(YEAR(D927)-Formula!$C$34)/(Formula!$C$35-Formula!$C$34)*(Formula!$C$32-Formula!$C$33),Formula!$C$33),Formula!$C$32)),1)</f>
        <v>1</v>
      </c>
      <c r="W927" s="17">
        <f t="shared" si="5"/>
        <v>5.1</v>
      </c>
    </row>
    <row r="928" ht="15.75" customHeight="1">
      <c r="A928" s="8" t="s">
        <v>1605</v>
      </c>
      <c r="B928" s="7" t="s">
        <v>1595</v>
      </c>
      <c r="C928" s="13" t="s">
        <v>1596</v>
      </c>
      <c r="D928" s="7" t="s">
        <v>152</v>
      </c>
      <c r="E928" s="8" t="s">
        <v>72</v>
      </c>
      <c r="F928" s="8" t="s">
        <v>318</v>
      </c>
      <c r="G928" s="7" t="s">
        <v>1597</v>
      </c>
      <c r="H928" s="7" t="s">
        <v>1547</v>
      </c>
      <c r="I928" s="8">
        <v>2000.0</v>
      </c>
      <c r="J928" s="8">
        <v>2.4</v>
      </c>
      <c r="K928" s="8" t="s">
        <v>321</v>
      </c>
      <c r="L928" s="8" t="s">
        <v>322</v>
      </c>
      <c r="M928" s="8" t="s">
        <v>388</v>
      </c>
      <c r="N928" s="8">
        <v>4.8</v>
      </c>
      <c r="O928" s="14">
        <f t="shared" si="1"/>
        <v>44531</v>
      </c>
      <c r="P928" s="15">
        <f>IFERROR(VLOOKUP(K928,Formula!$A$11:$B$20,2,FALSE),Formula!$C$26)</f>
        <v>0.9</v>
      </c>
      <c r="Q928" s="15">
        <f>IF(AND(ISNUMBER(J928),J928&gt;0),1/J928,IF(AND(ISNUMBER(I928),I928&gt;0),SQRT(MIN(I928,Formula!$C$27))/Formula!$C$24,1/Formula!$C$25))</f>
        <v>0.4166666667</v>
      </c>
      <c r="R928" s="15">
        <f t="shared" si="2"/>
        <v>0.375</v>
      </c>
      <c r="S928" s="15">
        <f>IF(H928&lt;&gt;"",EXP(-Formula!$C$28*(EOMONTH(H928,0)-H928)),EXP(-Formula!$C$28*(EOMONTH(D928,0)-D928)))</f>
        <v>0.3678794412</v>
      </c>
      <c r="T928" s="15">
        <f t="shared" si="3"/>
        <v>0.1924500897</v>
      </c>
      <c r="U928" s="15">
        <f t="shared" si="4"/>
        <v>0.0265494118</v>
      </c>
      <c r="V928" s="16">
        <f>IF(AND(L928="Among all respondents",NOT(OR(K928="Online poll in Telegram channel",K928="Website online poll",K928="CAWI (Computer Assisted Web Interviewing)"))),1/(1-MIN(MAX(Formula!$C$33+(YEAR(D928)-Formula!$C$34)/(Formula!$C$35-Formula!$C$34)*(Formula!$C$32-Formula!$C$33),Formula!$C$33),Formula!$C$32)),1)</f>
        <v>1</v>
      </c>
      <c r="W928" s="17">
        <f t="shared" si="5"/>
        <v>4.8</v>
      </c>
    </row>
    <row r="929" ht="15.75" customHeight="1">
      <c r="A929" s="8" t="s">
        <v>1606</v>
      </c>
      <c r="B929" s="7" t="s">
        <v>1595</v>
      </c>
      <c r="C929" s="13" t="s">
        <v>1596</v>
      </c>
      <c r="D929" s="7" t="s">
        <v>152</v>
      </c>
      <c r="E929" s="8" t="s">
        <v>72</v>
      </c>
      <c r="F929" s="8" t="s">
        <v>318</v>
      </c>
      <c r="G929" s="7" t="s">
        <v>1597</v>
      </c>
      <c r="H929" s="7" t="s">
        <v>1547</v>
      </c>
      <c r="I929" s="8">
        <v>2000.0</v>
      </c>
      <c r="J929" s="8">
        <v>2.4</v>
      </c>
      <c r="K929" s="8" t="s">
        <v>321</v>
      </c>
      <c r="L929" s="8" t="s">
        <v>322</v>
      </c>
      <c r="M929" s="8" t="s">
        <v>740</v>
      </c>
      <c r="N929" s="8">
        <v>1.8</v>
      </c>
      <c r="O929" s="14">
        <f t="shared" si="1"/>
        <v>44531</v>
      </c>
      <c r="P929" s="15">
        <f>IFERROR(VLOOKUP(K929,Formula!$A$11:$B$20,2,FALSE),Formula!$C$26)</f>
        <v>0.9</v>
      </c>
      <c r="Q929" s="15">
        <f>IF(AND(ISNUMBER(J929),J929&gt;0),1/J929,IF(AND(ISNUMBER(I929),I929&gt;0),SQRT(MIN(I929,Formula!$C$27))/Formula!$C$24,1/Formula!$C$25))</f>
        <v>0.4166666667</v>
      </c>
      <c r="R929" s="15">
        <f t="shared" si="2"/>
        <v>0.375</v>
      </c>
      <c r="S929" s="15">
        <f>IF(H929&lt;&gt;"",EXP(-Formula!$C$28*(EOMONTH(H929,0)-H929)),EXP(-Formula!$C$28*(EOMONTH(D929,0)-D929)))</f>
        <v>0.3678794412</v>
      </c>
      <c r="T929" s="15">
        <f t="shared" si="3"/>
        <v>0.1924500897</v>
      </c>
      <c r="U929" s="15">
        <f t="shared" si="4"/>
        <v>0.0265494118</v>
      </c>
      <c r="V929" s="16">
        <f>IF(AND(L929="Among all respondents",NOT(OR(K929="Online poll in Telegram channel",K929="Website online poll",K929="CAWI (Computer Assisted Web Interviewing)"))),1/(1-MIN(MAX(Formula!$C$33+(YEAR(D929)-Formula!$C$34)/(Formula!$C$35-Formula!$C$34)*(Formula!$C$32-Formula!$C$33),Formula!$C$33),Formula!$C$32)),1)</f>
        <v>1</v>
      </c>
      <c r="W929" s="17">
        <f t="shared" si="5"/>
        <v>1.8</v>
      </c>
    </row>
    <row r="930" ht="15.75" customHeight="1">
      <c r="A930" s="8" t="s">
        <v>1607</v>
      </c>
      <c r="B930" s="7" t="s">
        <v>1595</v>
      </c>
      <c r="C930" s="13" t="s">
        <v>1596</v>
      </c>
      <c r="D930" s="7" t="s">
        <v>152</v>
      </c>
      <c r="E930" s="8" t="s">
        <v>72</v>
      </c>
      <c r="F930" s="8" t="s">
        <v>318</v>
      </c>
      <c r="G930" s="7" t="s">
        <v>1597</v>
      </c>
      <c r="H930" s="7" t="s">
        <v>1547</v>
      </c>
      <c r="I930" s="8">
        <v>2000.0</v>
      </c>
      <c r="J930" s="8">
        <v>2.4</v>
      </c>
      <c r="K930" s="8" t="s">
        <v>321</v>
      </c>
      <c r="L930" s="8" t="s">
        <v>322</v>
      </c>
      <c r="M930" s="8" t="s">
        <v>1171</v>
      </c>
      <c r="N930" s="8">
        <v>0.5</v>
      </c>
      <c r="O930" s="14">
        <f t="shared" si="1"/>
        <v>44531</v>
      </c>
      <c r="P930" s="15">
        <f>IFERROR(VLOOKUP(K930,Formula!$A$11:$B$20,2,FALSE),Formula!$C$26)</f>
        <v>0.9</v>
      </c>
      <c r="Q930" s="15">
        <f>IF(AND(ISNUMBER(J930),J930&gt;0),1/J930,IF(AND(ISNUMBER(I930),I930&gt;0),SQRT(MIN(I930,Formula!$C$27))/Formula!$C$24,1/Formula!$C$25))</f>
        <v>0.4166666667</v>
      </c>
      <c r="R930" s="15">
        <f t="shared" si="2"/>
        <v>0.375</v>
      </c>
      <c r="S930" s="15">
        <f>IF(H930&lt;&gt;"",EXP(-Formula!$C$28*(EOMONTH(H930,0)-H930)),EXP(-Formula!$C$28*(EOMONTH(D930,0)-D930)))</f>
        <v>0.3678794412</v>
      </c>
      <c r="T930" s="15">
        <f t="shared" si="3"/>
        <v>0.1924500897</v>
      </c>
      <c r="U930" s="15">
        <f t="shared" si="4"/>
        <v>0.0265494118</v>
      </c>
      <c r="V930" s="16">
        <f>IF(AND(L930="Among all respondents",NOT(OR(K930="Online poll in Telegram channel",K930="Website online poll",K930="CAWI (Computer Assisted Web Interviewing)"))),1/(1-MIN(MAX(Formula!$C$33+(YEAR(D930)-Formula!$C$34)/(Formula!$C$35-Formula!$C$34)*(Formula!$C$32-Formula!$C$33),Formula!$C$33),Formula!$C$32)),1)</f>
        <v>1</v>
      </c>
      <c r="W930" s="17">
        <f t="shared" si="5"/>
        <v>0.5</v>
      </c>
    </row>
    <row r="931" ht="15.75" customHeight="1">
      <c r="A931" s="8" t="s">
        <v>1608</v>
      </c>
      <c r="B931" s="7" t="s">
        <v>1609</v>
      </c>
      <c r="C931" s="13" t="s">
        <v>1610</v>
      </c>
      <c r="D931" s="7" t="s">
        <v>152</v>
      </c>
      <c r="E931" s="8" t="s">
        <v>156</v>
      </c>
      <c r="F931" s="8" t="s">
        <v>318</v>
      </c>
      <c r="G931" s="7" t="s">
        <v>1512</v>
      </c>
      <c r="H931" s="7" t="s">
        <v>153</v>
      </c>
      <c r="I931" s="8">
        <v>2400.0</v>
      </c>
      <c r="J931" s="8">
        <v>2.0</v>
      </c>
      <c r="K931" s="8" t="s">
        <v>583</v>
      </c>
      <c r="L931" s="8" t="s">
        <v>322</v>
      </c>
      <c r="M931" s="8" t="s">
        <v>323</v>
      </c>
      <c r="N931" s="8">
        <v>25.0</v>
      </c>
      <c r="O931" s="14">
        <f t="shared" si="1"/>
        <v>44531</v>
      </c>
      <c r="P931" s="15">
        <f>IFERROR(VLOOKUP(K931,Formula!$A$11:$B$20,2,FALSE),Formula!$C$26)</f>
        <v>0.95</v>
      </c>
      <c r="Q931" s="15">
        <f>IF(AND(ISNUMBER(J931),J931&gt;0),1/J931,IF(AND(ISNUMBER(I931),I931&gt;0),SQRT(MIN(I931,Formula!$C$27))/Formula!$C$24,1/Formula!$C$25))</f>
        <v>0.5</v>
      </c>
      <c r="R931" s="15">
        <f t="shared" si="2"/>
        <v>0.475</v>
      </c>
      <c r="S931" s="15">
        <f>IF(H931&lt;&gt;"",EXP(-Formula!$C$28*(EOMONTH(H931,0)-H931)),EXP(-Formula!$C$28*(EOMONTH(D931,0)-D931)))</f>
        <v>0.3499377491</v>
      </c>
      <c r="T931" s="15">
        <f t="shared" si="3"/>
        <v>0.3015113446</v>
      </c>
      <c r="U931" s="15">
        <f t="shared" si="4"/>
        <v>0.0501173456</v>
      </c>
      <c r="V931" s="16">
        <f>IF(AND(L931="Among all respondents",NOT(OR(K931="Online poll in Telegram channel",K931="Website online poll",K931="CAWI (Computer Assisted Web Interviewing)"))),1/(1-MIN(MAX(Formula!$C$33+(YEAR(D931)-Formula!$C$34)/(Formula!$C$35-Formula!$C$34)*(Formula!$C$32-Formula!$C$33),Formula!$C$33),Formula!$C$32)),1)</f>
        <v>1</v>
      </c>
      <c r="W931" s="17">
        <f t="shared" si="5"/>
        <v>25</v>
      </c>
    </row>
    <row r="932" ht="15.75" customHeight="1">
      <c r="A932" s="8" t="s">
        <v>1611</v>
      </c>
      <c r="B932" s="7" t="s">
        <v>1609</v>
      </c>
      <c r="C932" s="13" t="s">
        <v>1610</v>
      </c>
      <c r="D932" s="7" t="s">
        <v>152</v>
      </c>
      <c r="E932" s="8" t="s">
        <v>156</v>
      </c>
      <c r="F932" s="8" t="s">
        <v>318</v>
      </c>
      <c r="G932" s="7" t="s">
        <v>1512</v>
      </c>
      <c r="H932" s="7" t="s">
        <v>153</v>
      </c>
      <c r="I932" s="8">
        <v>2400.0</v>
      </c>
      <c r="J932" s="8">
        <v>2.0</v>
      </c>
      <c r="K932" s="8" t="s">
        <v>583</v>
      </c>
      <c r="L932" s="8" t="s">
        <v>322</v>
      </c>
      <c r="M932" s="8" t="s">
        <v>329</v>
      </c>
      <c r="N932" s="8">
        <v>16.0</v>
      </c>
      <c r="O932" s="14">
        <f t="shared" si="1"/>
        <v>44531</v>
      </c>
      <c r="P932" s="15">
        <f>IFERROR(VLOOKUP(K932,Formula!$A$11:$B$20,2,FALSE),Formula!$C$26)</f>
        <v>0.95</v>
      </c>
      <c r="Q932" s="15">
        <f>IF(AND(ISNUMBER(J932),J932&gt;0),1/J932,IF(AND(ISNUMBER(I932),I932&gt;0),SQRT(MIN(I932,Formula!$C$27))/Formula!$C$24,1/Formula!$C$25))</f>
        <v>0.5</v>
      </c>
      <c r="R932" s="15">
        <f t="shared" si="2"/>
        <v>0.475</v>
      </c>
      <c r="S932" s="15">
        <f>IF(H932&lt;&gt;"",EXP(-Formula!$C$28*(EOMONTH(H932,0)-H932)),EXP(-Formula!$C$28*(EOMONTH(D932,0)-D932)))</f>
        <v>0.3499377491</v>
      </c>
      <c r="T932" s="15">
        <f t="shared" si="3"/>
        <v>0.3015113446</v>
      </c>
      <c r="U932" s="15">
        <f t="shared" si="4"/>
        <v>0.0501173456</v>
      </c>
      <c r="V932" s="16">
        <f>IF(AND(L932="Among all respondents",NOT(OR(K932="Online poll in Telegram channel",K932="Website online poll",K932="CAWI (Computer Assisted Web Interviewing)"))),1/(1-MIN(MAX(Formula!$C$33+(YEAR(D932)-Formula!$C$34)/(Formula!$C$35-Formula!$C$34)*(Formula!$C$32-Formula!$C$33),Formula!$C$33),Formula!$C$32)),1)</f>
        <v>1</v>
      </c>
      <c r="W932" s="17">
        <f t="shared" si="5"/>
        <v>16</v>
      </c>
    </row>
    <row r="933" ht="15.75" customHeight="1">
      <c r="A933" s="8" t="s">
        <v>1612</v>
      </c>
      <c r="B933" s="7" t="s">
        <v>1609</v>
      </c>
      <c r="C933" s="13" t="s">
        <v>1610</v>
      </c>
      <c r="D933" s="7" t="s">
        <v>152</v>
      </c>
      <c r="E933" s="8" t="s">
        <v>156</v>
      </c>
      <c r="F933" s="8" t="s">
        <v>318</v>
      </c>
      <c r="G933" s="7" t="s">
        <v>1512</v>
      </c>
      <c r="H933" s="7" t="s">
        <v>153</v>
      </c>
      <c r="I933" s="8">
        <v>2400.0</v>
      </c>
      <c r="J933" s="8">
        <v>2.0</v>
      </c>
      <c r="K933" s="8" t="s">
        <v>583</v>
      </c>
      <c r="L933" s="8" t="s">
        <v>322</v>
      </c>
      <c r="M933" s="8" t="s">
        <v>337</v>
      </c>
      <c r="N933" s="8">
        <v>10.0</v>
      </c>
      <c r="O933" s="14">
        <f t="shared" si="1"/>
        <v>44531</v>
      </c>
      <c r="P933" s="15">
        <f>IFERROR(VLOOKUP(K933,Formula!$A$11:$B$20,2,FALSE),Formula!$C$26)</f>
        <v>0.95</v>
      </c>
      <c r="Q933" s="15">
        <f>IF(AND(ISNUMBER(J933),J933&gt;0),1/J933,IF(AND(ISNUMBER(I933),I933&gt;0),SQRT(MIN(I933,Formula!$C$27))/Formula!$C$24,1/Formula!$C$25))</f>
        <v>0.5</v>
      </c>
      <c r="R933" s="15">
        <f t="shared" si="2"/>
        <v>0.475</v>
      </c>
      <c r="S933" s="15">
        <f>IF(H933&lt;&gt;"",EXP(-Formula!$C$28*(EOMONTH(H933,0)-H933)),EXP(-Formula!$C$28*(EOMONTH(D933,0)-D933)))</f>
        <v>0.3499377491</v>
      </c>
      <c r="T933" s="15">
        <f t="shared" si="3"/>
        <v>0.3015113446</v>
      </c>
      <c r="U933" s="15">
        <f t="shared" si="4"/>
        <v>0.0501173456</v>
      </c>
      <c r="V933" s="16">
        <f>IF(AND(L933="Among all respondents",NOT(OR(K933="Online poll in Telegram channel",K933="Website online poll",K933="CAWI (Computer Assisted Web Interviewing)"))),1/(1-MIN(MAX(Formula!$C$33+(YEAR(D933)-Formula!$C$34)/(Formula!$C$35-Formula!$C$34)*(Formula!$C$32-Formula!$C$33),Formula!$C$33),Formula!$C$32)),1)</f>
        <v>1</v>
      </c>
      <c r="W933" s="17">
        <f t="shared" si="5"/>
        <v>10</v>
      </c>
    </row>
    <row r="934" ht="15.75" customHeight="1">
      <c r="A934" s="8" t="s">
        <v>1613</v>
      </c>
      <c r="B934" s="7" t="s">
        <v>1609</v>
      </c>
      <c r="C934" s="13" t="s">
        <v>1610</v>
      </c>
      <c r="D934" s="7" t="s">
        <v>152</v>
      </c>
      <c r="E934" s="8" t="s">
        <v>156</v>
      </c>
      <c r="F934" s="8" t="s">
        <v>318</v>
      </c>
      <c r="G934" s="7" t="s">
        <v>1512</v>
      </c>
      <c r="H934" s="7" t="s">
        <v>153</v>
      </c>
      <c r="I934" s="8">
        <v>2400.0</v>
      </c>
      <c r="J934" s="8">
        <v>2.0</v>
      </c>
      <c r="K934" s="8" t="s">
        <v>583</v>
      </c>
      <c r="L934" s="8" t="s">
        <v>322</v>
      </c>
      <c r="M934" s="8" t="s">
        <v>365</v>
      </c>
      <c r="N934" s="8">
        <v>10.0</v>
      </c>
      <c r="O934" s="14">
        <f t="shared" si="1"/>
        <v>44531</v>
      </c>
      <c r="P934" s="15">
        <f>IFERROR(VLOOKUP(K934,Formula!$A$11:$B$20,2,FALSE),Formula!$C$26)</f>
        <v>0.95</v>
      </c>
      <c r="Q934" s="15">
        <f>IF(AND(ISNUMBER(J934),J934&gt;0),1/J934,IF(AND(ISNUMBER(I934),I934&gt;0),SQRT(MIN(I934,Formula!$C$27))/Formula!$C$24,1/Formula!$C$25))</f>
        <v>0.5</v>
      </c>
      <c r="R934" s="15">
        <f t="shared" si="2"/>
        <v>0.475</v>
      </c>
      <c r="S934" s="15">
        <f>IF(H934&lt;&gt;"",EXP(-Formula!$C$28*(EOMONTH(H934,0)-H934)),EXP(-Formula!$C$28*(EOMONTH(D934,0)-D934)))</f>
        <v>0.3499377491</v>
      </c>
      <c r="T934" s="15">
        <f t="shared" si="3"/>
        <v>0.3015113446</v>
      </c>
      <c r="U934" s="15">
        <f t="shared" si="4"/>
        <v>0.0501173456</v>
      </c>
      <c r="V934" s="16">
        <f>IF(AND(L934="Among all respondents",NOT(OR(K934="Online poll in Telegram channel",K934="Website online poll",K934="CAWI (Computer Assisted Web Interviewing)"))),1/(1-MIN(MAX(Formula!$C$33+(YEAR(D934)-Formula!$C$34)/(Formula!$C$35-Formula!$C$34)*(Formula!$C$32-Formula!$C$33),Formula!$C$33),Formula!$C$32)),1)</f>
        <v>1</v>
      </c>
      <c r="W934" s="17">
        <f t="shared" si="5"/>
        <v>10</v>
      </c>
    </row>
    <row r="935" ht="15.75" customHeight="1">
      <c r="A935" s="8" t="s">
        <v>1614</v>
      </c>
      <c r="B935" s="7" t="s">
        <v>1609</v>
      </c>
      <c r="C935" s="13" t="s">
        <v>1610</v>
      </c>
      <c r="D935" s="7" t="s">
        <v>152</v>
      </c>
      <c r="E935" s="8" t="s">
        <v>156</v>
      </c>
      <c r="F935" s="8" t="s">
        <v>318</v>
      </c>
      <c r="G935" s="7" t="s">
        <v>1512</v>
      </c>
      <c r="H935" s="7" t="s">
        <v>153</v>
      </c>
      <c r="I935" s="8">
        <v>2400.0</v>
      </c>
      <c r="J935" s="8">
        <v>2.0</v>
      </c>
      <c r="K935" s="8" t="s">
        <v>583</v>
      </c>
      <c r="L935" s="8" t="s">
        <v>322</v>
      </c>
      <c r="M935" s="8" t="s">
        <v>828</v>
      </c>
      <c r="N935" s="8">
        <v>8.0</v>
      </c>
      <c r="O935" s="14">
        <f t="shared" si="1"/>
        <v>44531</v>
      </c>
      <c r="P935" s="15">
        <f>IFERROR(VLOOKUP(K935,Formula!$A$11:$B$20,2,FALSE),Formula!$C$26)</f>
        <v>0.95</v>
      </c>
      <c r="Q935" s="15">
        <f>IF(AND(ISNUMBER(J935),J935&gt;0),1/J935,IF(AND(ISNUMBER(I935),I935&gt;0),SQRT(MIN(I935,Formula!$C$27))/Formula!$C$24,1/Formula!$C$25))</f>
        <v>0.5</v>
      </c>
      <c r="R935" s="15">
        <f t="shared" si="2"/>
        <v>0.475</v>
      </c>
      <c r="S935" s="15">
        <f>IF(H935&lt;&gt;"",EXP(-Formula!$C$28*(EOMONTH(H935,0)-H935)),EXP(-Formula!$C$28*(EOMONTH(D935,0)-D935)))</f>
        <v>0.3499377491</v>
      </c>
      <c r="T935" s="15">
        <f t="shared" si="3"/>
        <v>0.3015113446</v>
      </c>
      <c r="U935" s="15">
        <f t="shared" si="4"/>
        <v>0.0501173456</v>
      </c>
      <c r="V935" s="16">
        <f>IF(AND(L935="Among all respondents",NOT(OR(K935="Online poll in Telegram channel",K935="Website online poll",K935="CAWI (Computer Assisted Web Interviewing)"))),1/(1-MIN(MAX(Formula!$C$33+(YEAR(D935)-Formula!$C$34)/(Formula!$C$35-Formula!$C$34)*(Formula!$C$32-Formula!$C$33),Formula!$C$33),Formula!$C$32)),1)</f>
        <v>1</v>
      </c>
      <c r="W935" s="17">
        <f t="shared" si="5"/>
        <v>8</v>
      </c>
    </row>
    <row r="936" ht="15.75" customHeight="1">
      <c r="A936" s="8" t="s">
        <v>1615</v>
      </c>
      <c r="B936" s="7" t="s">
        <v>1609</v>
      </c>
      <c r="C936" s="13" t="s">
        <v>1610</v>
      </c>
      <c r="D936" s="7" t="s">
        <v>152</v>
      </c>
      <c r="E936" s="8" t="s">
        <v>156</v>
      </c>
      <c r="F936" s="8" t="s">
        <v>318</v>
      </c>
      <c r="G936" s="7" t="s">
        <v>1512</v>
      </c>
      <c r="H936" s="7" t="s">
        <v>153</v>
      </c>
      <c r="I936" s="8">
        <v>2400.0</v>
      </c>
      <c r="J936" s="8">
        <v>2.0</v>
      </c>
      <c r="K936" s="8" t="s">
        <v>583</v>
      </c>
      <c r="L936" s="8" t="s">
        <v>322</v>
      </c>
      <c r="M936" s="8" t="s">
        <v>333</v>
      </c>
      <c r="N936" s="8">
        <v>8.0</v>
      </c>
      <c r="O936" s="14">
        <f t="shared" si="1"/>
        <v>44531</v>
      </c>
      <c r="P936" s="15">
        <f>IFERROR(VLOOKUP(K936,Formula!$A$11:$B$20,2,FALSE),Formula!$C$26)</f>
        <v>0.95</v>
      </c>
      <c r="Q936" s="15">
        <f>IF(AND(ISNUMBER(J936),J936&gt;0),1/J936,IF(AND(ISNUMBER(I936),I936&gt;0),SQRT(MIN(I936,Formula!$C$27))/Formula!$C$24,1/Formula!$C$25))</f>
        <v>0.5</v>
      </c>
      <c r="R936" s="15">
        <f t="shared" si="2"/>
        <v>0.475</v>
      </c>
      <c r="S936" s="15">
        <f>IF(H936&lt;&gt;"",EXP(-Formula!$C$28*(EOMONTH(H936,0)-H936)),EXP(-Formula!$C$28*(EOMONTH(D936,0)-D936)))</f>
        <v>0.3499377491</v>
      </c>
      <c r="T936" s="15">
        <f t="shared" si="3"/>
        <v>0.3015113446</v>
      </c>
      <c r="U936" s="15">
        <f t="shared" si="4"/>
        <v>0.0501173456</v>
      </c>
      <c r="V936" s="16">
        <f>IF(AND(L936="Among all respondents",NOT(OR(K936="Online poll in Telegram channel",K936="Website online poll",K936="CAWI (Computer Assisted Web Interviewing)"))),1/(1-MIN(MAX(Formula!$C$33+(YEAR(D936)-Formula!$C$34)/(Formula!$C$35-Formula!$C$34)*(Formula!$C$32-Formula!$C$33),Formula!$C$33),Formula!$C$32)),1)</f>
        <v>1</v>
      </c>
      <c r="W936" s="17">
        <f t="shared" si="5"/>
        <v>8</v>
      </c>
    </row>
    <row r="937" ht="15.75" customHeight="1">
      <c r="A937" s="8" t="s">
        <v>1616</v>
      </c>
      <c r="B937" s="7" t="s">
        <v>1609</v>
      </c>
      <c r="C937" s="13" t="s">
        <v>1610</v>
      </c>
      <c r="D937" s="7" t="s">
        <v>152</v>
      </c>
      <c r="E937" s="8" t="s">
        <v>156</v>
      </c>
      <c r="F937" s="8" t="s">
        <v>318</v>
      </c>
      <c r="G937" s="7" t="s">
        <v>1512</v>
      </c>
      <c r="H937" s="7" t="s">
        <v>153</v>
      </c>
      <c r="I937" s="8">
        <v>2400.0</v>
      </c>
      <c r="J937" s="8">
        <v>2.0</v>
      </c>
      <c r="K937" s="8" t="s">
        <v>583</v>
      </c>
      <c r="L937" s="8" t="s">
        <v>322</v>
      </c>
      <c r="M937" s="8" t="s">
        <v>1153</v>
      </c>
      <c r="N937" s="8">
        <v>7.0</v>
      </c>
      <c r="O937" s="14">
        <f t="shared" si="1"/>
        <v>44531</v>
      </c>
      <c r="P937" s="15">
        <f>IFERROR(VLOOKUP(K937,Formula!$A$11:$B$20,2,FALSE),Formula!$C$26)</f>
        <v>0.95</v>
      </c>
      <c r="Q937" s="15">
        <f>IF(AND(ISNUMBER(J937),J937&gt;0),1/J937,IF(AND(ISNUMBER(I937),I937&gt;0),SQRT(MIN(I937,Formula!$C$27))/Formula!$C$24,1/Formula!$C$25))</f>
        <v>0.5</v>
      </c>
      <c r="R937" s="15">
        <f t="shared" si="2"/>
        <v>0.475</v>
      </c>
      <c r="S937" s="15">
        <f>IF(H937&lt;&gt;"",EXP(-Formula!$C$28*(EOMONTH(H937,0)-H937)),EXP(-Formula!$C$28*(EOMONTH(D937,0)-D937)))</f>
        <v>0.3499377491</v>
      </c>
      <c r="T937" s="15">
        <f t="shared" si="3"/>
        <v>0.3015113446</v>
      </c>
      <c r="U937" s="15">
        <f t="shared" si="4"/>
        <v>0.0501173456</v>
      </c>
      <c r="V937" s="16">
        <f>IF(AND(L937="Among all respondents",NOT(OR(K937="Online poll in Telegram channel",K937="Website online poll",K937="CAWI (Computer Assisted Web Interviewing)"))),1/(1-MIN(MAX(Formula!$C$33+(YEAR(D937)-Formula!$C$34)/(Formula!$C$35-Formula!$C$34)*(Formula!$C$32-Formula!$C$33),Formula!$C$33),Formula!$C$32)),1)</f>
        <v>1</v>
      </c>
      <c r="W937" s="17">
        <f t="shared" si="5"/>
        <v>7</v>
      </c>
    </row>
    <row r="938" ht="15.75" customHeight="1">
      <c r="A938" s="8" t="s">
        <v>1617</v>
      </c>
      <c r="B938" s="7" t="s">
        <v>1609</v>
      </c>
      <c r="C938" s="13" t="s">
        <v>1610</v>
      </c>
      <c r="D938" s="7" t="s">
        <v>152</v>
      </c>
      <c r="E938" s="8" t="s">
        <v>156</v>
      </c>
      <c r="F938" s="8" t="s">
        <v>318</v>
      </c>
      <c r="G938" s="7" t="s">
        <v>1512</v>
      </c>
      <c r="H938" s="7" t="s">
        <v>153</v>
      </c>
      <c r="I938" s="8">
        <v>2400.0</v>
      </c>
      <c r="J938" s="8">
        <v>2.0</v>
      </c>
      <c r="K938" s="8" t="s">
        <v>583</v>
      </c>
      <c r="L938" s="8" t="s">
        <v>322</v>
      </c>
      <c r="M938" s="8" t="s">
        <v>386</v>
      </c>
      <c r="N938" s="8">
        <v>6.0</v>
      </c>
      <c r="O938" s="14">
        <f t="shared" si="1"/>
        <v>44531</v>
      </c>
      <c r="P938" s="15">
        <f>IFERROR(VLOOKUP(K938,Formula!$A$11:$B$20,2,FALSE),Formula!$C$26)</f>
        <v>0.95</v>
      </c>
      <c r="Q938" s="15">
        <f>IF(AND(ISNUMBER(J938),J938&gt;0),1/J938,IF(AND(ISNUMBER(I938),I938&gt;0),SQRT(MIN(I938,Formula!$C$27))/Formula!$C$24,1/Formula!$C$25))</f>
        <v>0.5</v>
      </c>
      <c r="R938" s="15">
        <f t="shared" si="2"/>
        <v>0.475</v>
      </c>
      <c r="S938" s="15">
        <f>IF(H938&lt;&gt;"",EXP(-Formula!$C$28*(EOMONTH(H938,0)-H938)),EXP(-Formula!$C$28*(EOMONTH(D938,0)-D938)))</f>
        <v>0.3499377491</v>
      </c>
      <c r="T938" s="15">
        <f t="shared" si="3"/>
        <v>0.3015113446</v>
      </c>
      <c r="U938" s="15">
        <f t="shared" si="4"/>
        <v>0.0501173456</v>
      </c>
      <c r="V938" s="16">
        <f>IF(AND(L938="Among all respondents",NOT(OR(K938="Online poll in Telegram channel",K938="Website online poll",K938="CAWI (Computer Assisted Web Interviewing)"))),1/(1-MIN(MAX(Formula!$C$33+(YEAR(D938)-Formula!$C$34)/(Formula!$C$35-Formula!$C$34)*(Formula!$C$32-Formula!$C$33),Formula!$C$33),Formula!$C$32)),1)</f>
        <v>1</v>
      </c>
      <c r="W938" s="17">
        <f t="shared" si="5"/>
        <v>6</v>
      </c>
    </row>
    <row r="939" ht="15.75" customHeight="1">
      <c r="A939" s="8" t="s">
        <v>1618</v>
      </c>
      <c r="B939" s="7" t="s">
        <v>1609</v>
      </c>
      <c r="C939" s="13" t="s">
        <v>1610</v>
      </c>
      <c r="D939" s="7" t="s">
        <v>152</v>
      </c>
      <c r="E939" s="8" t="s">
        <v>156</v>
      </c>
      <c r="F939" s="8" t="s">
        <v>318</v>
      </c>
      <c r="G939" s="7" t="s">
        <v>1512</v>
      </c>
      <c r="H939" s="7" t="s">
        <v>153</v>
      </c>
      <c r="I939" s="8">
        <v>2400.0</v>
      </c>
      <c r="J939" s="8">
        <v>2.0</v>
      </c>
      <c r="K939" s="8" t="s">
        <v>583</v>
      </c>
      <c r="L939" s="8" t="s">
        <v>322</v>
      </c>
      <c r="M939" s="8" t="s">
        <v>343</v>
      </c>
      <c r="N939" s="8">
        <v>3.0</v>
      </c>
      <c r="O939" s="14">
        <f t="shared" si="1"/>
        <v>44531</v>
      </c>
      <c r="P939" s="15">
        <f>IFERROR(VLOOKUP(K939,Formula!$A$11:$B$20,2,FALSE),Formula!$C$26)</f>
        <v>0.95</v>
      </c>
      <c r="Q939" s="15">
        <f>IF(AND(ISNUMBER(J939),J939&gt;0),1/J939,IF(AND(ISNUMBER(I939),I939&gt;0),SQRT(MIN(I939,Formula!$C$27))/Formula!$C$24,1/Formula!$C$25))</f>
        <v>0.5</v>
      </c>
      <c r="R939" s="15">
        <f t="shared" si="2"/>
        <v>0.475</v>
      </c>
      <c r="S939" s="15">
        <f>IF(H939&lt;&gt;"",EXP(-Formula!$C$28*(EOMONTH(H939,0)-H939)),EXP(-Formula!$C$28*(EOMONTH(D939,0)-D939)))</f>
        <v>0.3499377491</v>
      </c>
      <c r="T939" s="15">
        <f t="shared" si="3"/>
        <v>0.3015113446</v>
      </c>
      <c r="U939" s="15">
        <f t="shared" si="4"/>
        <v>0.0501173456</v>
      </c>
      <c r="V939" s="16">
        <f>IF(AND(L939="Among all respondents",NOT(OR(K939="Online poll in Telegram channel",K939="Website online poll",K939="CAWI (Computer Assisted Web Interviewing)"))),1/(1-MIN(MAX(Formula!$C$33+(YEAR(D939)-Formula!$C$34)/(Formula!$C$35-Formula!$C$34)*(Formula!$C$32-Formula!$C$33),Formula!$C$33),Formula!$C$32)),1)</f>
        <v>1</v>
      </c>
      <c r="W939" s="17">
        <f t="shared" si="5"/>
        <v>3</v>
      </c>
    </row>
    <row r="940" ht="15.75" customHeight="1">
      <c r="A940" s="8" t="s">
        <v>1619</v>
      </c>
      <c r="B940" s="7" t="s">
        <v>1609</v>
      </c>
      <c r="C940" s="13" t="s">
        <v>1610</v>
      </c>
      <c r="D940" s="7" t="s">
        <v>152</v>
      </c>
      <c r="E940" s="8" t="s">
        <v>156</v>
      </c>
      <c r="F940" s="8" t="s">
        <v>318</v>
      </c>
      <c r="G940" s="7" t="s">
        <v>1512</v>
      </c>
      <c r="H940" s="7" t="s">
        <v>153</v>
      </c>
      <c r="I940" s="8">
        <v>2400.0</v>
      </c>
      <c r="J940" s="8">
        <v>2.0</v>
      </c>
      <c r="K940" s="8" t="s">
        <v>583</v>
      </c>
      <c r="L940" s="8" t="s">
        <v>322</v>
      </c>
      <c r="M940" s="8" t="s">
        <v>1334</v>
      </c>
      <c r="N940" s="8">
        <v>2.0</v>
      </c>
      <c r="O940" s="14">
        <f t="shared" si="1"/>
        <v>44531</v>
      </c>
      <c r="P940" s="15">
        <f>IFERROR(VLOOKUP(K940,Formula!$A$11:$B$20,2,FALSE),Formula!$C$26)</f>
        <v>0.95</v>
      </c>
      <c r="Q940" s="15">
        <f>IF(AND(ISNUMBER(J940),J940&gt;0),1/J940,IF(AND(ISNUMBER(I940),I940&gt;0),SQRT(MIN(I940,Formula!$C$27))/Formula!$C$24,1/Formula!$C$25))</f>
        <v>0.5</v>
      </c>
      <c r="R940" s="15">
        <f t="shared" si="2"/>
        <v>0.475</v>
      </c>
      <c r="S940" s="15">
        <f>IF(H940&lt;&gt;"",EXP(-Formula!$C$28*(EOMONTH(H940,0)-H940)),EXP(-Formula!$C$28*(EOMONTH(D940,0)-D940)))</f>
        <v>0.3499377491</v>
      </c>
      <c r="T940" s="15">
        <f t="shared" si="3"/>
        <v>0.3015113446</v>
      </c>
      <c r="U940" s="15">
        <f t="shared" si="4"/>
        <v>0.0501173456</v>
      </c>
      <c r="V940" s="16">
        <f>IF(AND(L940="Among all respondents",NOT(OR(K940="Online poll in Telegram channel",K940="Website online poll",K940="CAWI (Computer Assisted Web Interviewing)"))),1/(1-MIN(MAX(Formula!$C$33+(YEAR(D940)-Formula!$C$34)/(Formula!$C$35-Formula!$C$34)*(Formula!$C$32-Formula!$C$33),Formula!$C$33),Formula!$C$32)),1)</f>
        <v>1</v>
      </c>
      <c r="W940" s="17">
        <f t="shared" si="5"/>
        <v>2</v>
      </c>
    </row>
    <row r="941" ht="15.75" customHeight="1">
      <c r="A941" s="8" t="s">
        <v>1620</v>
      </c>
      <c r="B941" s="7" t="s">
        <v>1609</v>
      </c>
      <c r="C941" s="13" t="s">
        <v>1610</v>
      </c>
      <c r="D941" s="7" t="s">
        <v>152</v>
      </c>
      <c r="E941" s="8" t="s">
        <v>156</v>
      </c>
      <c r="F941" s="8" t="s">
        <v>318</v>
      </c>
      <c r="G941" s="7" t="s">
        <v>1512</v>
      </c>
      <c r="H941" s="7" t="s">
        <v>153</v>
      </c>
      <c r="I941" s="8">
        <v>2400.0</v>
      </c>
      <c r="J941" s="8">
        <v>2.0</v>
      </c>
      <c r="K941" s="8" t="s">
        <v>583</v>
      </c>
      <c r="L941" s="8" t="s">
        <v>322</v>
      </c>
      <c r="M941" s="8" t="s">
        <v>858</v>
      </c>
      <c r="N941" s="8">
        <v>2.0</v>
      </c>
      <c r="O941" s="14">
        <f t="shared" si="1"/>
        <v>44531</v>
      </c>
      <c r="P941" s="15">
        <f>IFERROR(VLOOKUP(K941,Formula!$A$11:$B$20,2,FALSE),Formula!$C$26)</f>
        <v>0.95</v>
      </c>
      <c r="Q941" s="15">
        <f>IF(AND(ISNUMBER(J941),J941&gt;0),1/J941,IF(AND(ISNUMBER(I941),I941&gt;0),SQRT(MIN(I941,Formula!$C$27))/Formula!$C$24,1/Formula!$C$25))</f>
        <v>0.5</v>
      </c>
      <c r="R941" s="15">
        <f t="shared" si="2"/>
        <v>0.475</v>
      </c>
      <c r="S941" s="15">
        <f>IF(H941&lt;&gt;"",EXP(-Formula!$C$28*(EOMONTH(H941,0)-H941)),EXP(-Formula!$C$28*(EOMONTH(D941,0)-D941)))</f>
        <v>0.3499377491</v>
      </c>
      <c r="T941" s="15">
        <f t="shared" si="3"/>
        <v>0.3015113446</v>
      </c>
      <c r="U941" s="15">
        <f t="shared" si="4"/>
        <v>0.0501173456</v>
      </c>
      <c r="V941" s="16">
        <f>IF(AND(L941="Among all respondents",NOT(OR(K941="Online poll in Telegram channel",K941="Website online poll",K941="CAWI (Computer Assisted Web Interviewing)"))),1/(1-MIN(MAX(Formula!$C$33+(YEAR(D941)-Formula!$C$34)/(Formula!$C$35-Formula!$C$34)*(Formula!$C$32-Formula!$C$33),Formula!$C$33),Formula!$C$32)),1)</f>
        <v>1</v>
      </c>
      <c r="W941" s="17">
        <f t="shared" si="5"/>
        <v>2</v>
      </c>
    </row>
    <row r="942" ht="15.75" customHeight="1">
      <c r="A942" s="8" t="s">
        <v>1621</v>
      </c>
      <c r="B942" s="7" t="s">
        <v>1622</v>
      </c>
      <c r="C942" s="13" t="s">
        <v>1623</v>
      </c>
      <c r="D942" s="7" t="s">
        <v>153</v>
      </c>
      <c r="E942" s="8" t="s">
        <v>40</v>
      </c>
      <c r="F942" s="8" t="s">
        <v>318</v>
      </c>
      <c r="G942" s="7" t="s">
        <v>1624</v>
      </c>
      <c r="H942" s="7" t="s">
        <v>1580</v>
      </c>
      <c r="I942" s="8">
        <v>2500.0</v>
      </c>
      <c r="J942" s="8">
        <v>2.0</v>
      </c>
      <c r="K942" s="8" t="s">
        <v>321</v>
      </c>
      <c r="L942" s="8" t="s">
        <v>322</v>
      </c>
      <c r="M942" s="8" t="s">
        <v>323</v>
      </c>
      <c r="N942" s="8">
        <v>23.5</v>
      </c>
      <c r="O942" s="14">
        <f t="shared" si="1"/>
        <v>44531</v>
      </c>
      <c r="P942" s="15">
        <f>IFERROR(VLOOKUP(K942,Formula!$A$11:$B$20,2,FALSE),Formula!$C$26)</f>
        <v>0.9</v>
      </c>
      <c r="Q942" s="15">
        <f>IF(AND(ISNUMBER(J942),J942&gt;0),1/J942,IF(AND(ISNUMBER(I942),I942&gt;0),SQRT(MIN(I942,Formula!$C$27))/Formula!$C$24,1/Formula!$C$25))</f>
        <v>0.5</v>
      </c>
      <c r="R942" s="15">
        <f t="shared" si="2"/>
        <v>0.45</v>
      </c>
      <c r="S942" s="15">
        <f>IF(H942&lt;&gt;"",EXP(-Formula!$C$28*(EOMONTH(H942,0)-H942)),EXP(-Formula!$C$28*(EOMONTH(D942,0)-D942)))</f>
        <v>0.3166367694</v>
      </c>
      <c r="T942" s="15">
        <f t="shared" si="3"/>
        <v>0.1961161351</v>
      </c>
      <c r="U942" s="15">
        <f t="shared" si="4"/>
        <v>0.02794391075</v>
      </c>
      <c r="V942" s="16">
        <f>IF(AND(L942="Among all respondents",NOT(OR(K942="Online poll in Telegram channel",K942="Website online poll",K942="CAWI (Computer Assisted Web Interviewing)"))),1/(1-MIN(MAX(Formula!$C$33+(YEAR(D942)-Formula!$C$34)/(Formula!$C$35-Formula!$C$34)*(Formula!$C$32-Formula!$C$33),Formula!$C$33),Formula!$C$32)),1)</f>
        <v>1</v>
      </c>
      <c r="W942" s="17">
        <f t="shared" si="5"/>
        <v>23.5</v>
      </c>
    </row>
    <row r="943" ht="15.75" customHeight="1">
      <c r="A943" s="8" t="s">
        <v>1625</v>
      </c>
      <c r="B943" s="7" t="s">
        <v>1622</v>
      </c>
      <c r="C943" s="13" t="s">
        <v>1623</v>
      </c>
      <c r="D943" s="7" t="s">
        <v>153</v>
      </c>
      <c r="E943" s="8" t="s">
        <v>40</v>
      </c>
      <c r="F943" s="8" t="s">
        <v>318</v>
      </c>
      <c r="G943" s="7" t="s">
        <v>1624</v>
      </c>
      <c r="H943" s="7" t="s">
        <v>1580</v>
      </c>
      <c r="I943" s="8">
        <v>2500.0</v>
      </c>
      <c r="J943" s="8">
        <v>2.0</v>
      </c>
      <c r="K943" s="8" t="s">
        <v>321</v>
      </c>
      <c r="L943" s="8" t="s">
        <v>322</v>
      </c>
      <c r="M943" s="8" t="s">
        <v>329</v>
      </c>
      <c r="N943" s="8">
        <v>13.4</v>
      </c>
      <c r="O943" s="14">
        <f t="shared" si="1"/>
        <v>44531</v>
      </c>
      <c r="P943" s="15">
        <f>IFERROR(VLOOKUP(K943,Formula!$A$11:$B$20,2,FALSE),Formula!$C$26)</f>
        <v>0.9</v>
      </c>
      <c r="Q943" s="15">
        <f>IF(AND(ISNUMBER(J943),J943&gt;0),1/J943,IF(AND(ISNUMBER(I943),I943&gt;0),SQRT(MIN(I943,Formula!$C$27))/Formula!$C$24,1/Formula!$C$25))</f>
        <v>0.5</v>
      </c>
      <c r="R943" s="15">
        <f t="shared" si="2"/>
        <v>0.45</v>
      </c>
      <c r="S943" s="15">
        <f>IF(H943&lt;&gt;"",EXP(-Formula!$C$28*(EOMONTH(H943,0)-H943)),EXP(-Formula!$C$28*(EOMONTH(D943,0)-D943)))</f>
        <v>0.3166367694</v>
      </c>
      <c r="T943" s="15">
        <f t="shared" si="3"/>
        <v>0.1961161351</v>
      </c>
      <c r="U943" s="15">
        <f t="shared" si="4"/>
        <v>0.02794391075</v>
      </c>
      <c r="V943" s="16">
        <f>IF(AND(L943="Among all respondents",NOT(OR(K943="Online poll in Telegram channel",K943="Website online poll",K943="CAWI (Computer Assisted Web Interviewing)"))),1/(1-MIN(MAX(Formula!$C$33+(YEAR(D943)-Formula!$C$34)/(Formula!$C$35-Formula!$C$34)*(Formula!$C$32-Formula!$C$33),Formula!$C$33),Formula!$C$32)),1)</f>
        <v>1</v>
      </c>
      <c r="W943" s="17">
        <f t="shared" si="5"/>
        <v>13.4</v>
      </c>
    </row>
    <row r="944" ht="15.75" customHeight="1">
      <c r="A944" s="8" t="s">
        <v>1626</v>
      </c>
      <c r="B944" s="7" t="s">
        <v>1622</v>
      </c>
      <c r="C944" s="13" t="s">
        <v>1623</v>
      </c>
      <c r="D944" s="7" t="s">
        <v>153</v>
      </c>
      <c r="E944" s="8" t="s">
        <v>40</v>
      </c>
      <c r="F944" s="8" t="s">
        <v>318</v>
      </c>
      <c r="G944" s="7" t="s">
        <v>1624</v>
      </c>
      <c r="H944" s="7" t="s">
        <v>1580</v>
      </c>
      <c r="I944" s="8">
        <v>2500.0</v>
      </c>
      <c r="J944" s="8">
        <v>2.0</v>
      </c>
      <c r="K944" s="8" t="s">
        <v>321</v>
      </c>
      <c r="L944" s="8" t="s">
        <v>322</v>
      </c>
      <c r="M944" s="8" t="s">
        <v>337</v>
      </c>
      <c r="N944" s="8">
        <v>9.9</v>
      </c>
      <c r="O944" s="14">
        <f t="shared" si="1"/>
        <v>44531</v>
      </c>
      <c r="P944" s="15">
        <f>IFERROR(VLOOKUP(K944,Formula!$A$11:$B$20,2,FALSE),Formula!$C$26)</f>
        <v>0.9</v>
      </c>
      <c r="Q944" s="15">
        <f>IF(AND(ISNUMBER(J944),J944&gt;0),1/J944,IF(AND(ISNUMBER(I944),I944&gt;0),SQRT(MIN(I944,Formula!$C$27))/Formula!$C$24,1/Formula!$C$25))</f>
        <v>0.5</v>
      </c>
      <c r="R944" s="15">
        <f t="shared" si="2"/>
        <v>0.45</v>
      </c>
      <c r="S944" s="15">
        <f>IF(H944&lt;&gt;"",EXP(-Formula!$C$28*(EOMONTH(H944,0)-H944)),EXP(-Formula!$C$28*(EOMONTH(D944,0)-D944)))</f>
        <v>0.3166367694</v>
      </c>
      <c r="T944" s="15">
        <f t="shared" si="3"/>
        <v>0.1961161351</v>
      </c>
      <c r="U944" s="15">
        <f t="shared" si="4"/>
        <v>0.02794391075</v>
      </c>
      <c r="V944" s="16">
        <f>IF(AND(L944="Among all respondents",NOT(OR(K944="Online poll in Telegram channel",K944="Website online poll",K944="CAWI (Computer Assisted Web Interviewing)"))),1/(1-MIN(MAX(Formula!$C$33+(YEAR(D944)-Formula!$C$34)/(Formula!$C$35-Formula!$C$34)*(Formula!$C$32-Formula!$C$33),Formula!$C$33),Formula!$C$32)),1)</f>
        <v>1</v>
      </c>
      <c r="W944" s="17">
        <f t="shared" si="5"/>
        <v>9.9</v>
      </c>
    </row>
    <row r="945" ht="15.75" customHeight="1">
      <c r="A945" s="8" t="s">
        <v>1627</v>
      </c>
      <c r="B945" s="7" t="s">
        <v>1622</v>
      </c>
      <c r="C945" s="13" t="s">
        <v>1623</v>
      </c>
      <c r="D945" s="7" t="s">
        <v>153</v>
      </c>
      <c r="E945" s="8" t="s">
        <v>40</v>
      </c>
      <c r="F945" s="8" t="s">
        <v>318</v>
      </c>
      <c r="G945" s="7" t="s">
        <v>1624</v>
      </c>
      <c r="H945" s="7" t="s">
        <v>1580</v>
      </c>
      <c r="I945" s="8">
        <v>2500.0</v>
      </c>
      <c r="J945" s="8">
        <v>2.0</v>
      </c>
      <c r="K945" s="8" t="s">
        <v>321</v>
      </c>
      <c r="L945" s="8" t="s">
        <v>322</v>
      </c>
      <c r="M945" s="8" t="s">
        <v>365</v>
      </c>
      <c r="N945" s="8">
        <v>9.3</v>
      </c>
      <c r="O945" s="14">
        <f t="shared" si="1"/>
        <v>44531</v>
      </c>
      <c r="P945" s="15">
        <f>IFERROR(VLOOKUP(K945,Formula!$A$11:$B$20,2,FALSE),Formula!$C$26)</f>
        <v>0.9</v>
      </c>
      <c r="Q945" s="15">
        <f>IF(AND(ISNUMBER(J945),J945&gt;0),1/J945,IF(AND(ISNUMBER(I945),I945&gt;0),SQRT(MIN(I945,Formula!$C$27))/Formula!$C$24,1/Formula!$C$25))</f>
        <v>0.5</v>
      </c>
      <c r="R945" s="15">
        <f t="shared" si="2"/>
        <v>0.45</v>
      </c>
      <c r="S945" s="15">
        <f>IF(H945&lt;&gt;"",EXP(-Formula!$C$28*(EOMONTH(H945,0)-H945)),EXP(-Formula!$C$28*(EOMONTH(D945,0)-D945)))</f>
        <v>0.3166367694</v>
      </c>
      <c r="T945" s="15">
        <f t="shared" si="3"/>
        <v>0.1961161351</v>
      </c>
      <c r="U945" s="15">
        <f t="shared" si="4"/>
        <v>0.02794391075</v>
      </c>
      <c r="V945" s="16">
        <f>IF(AND(L945="Among all respondents",NOT(OR(K945="Online poll in Telegram channel",K945="Website online poll",K945="CAWI (Computer Assisted Web Interviewing)"))),1/(1-MIN(MAX(Formula!$C$33+(YEAR(D945)-Formula!$C$34)/(Formula!$C$35-Formula!$C$34)*(Formula!$C$32-Formula!$C$33),Formula!$C$33),Formula!$C$32)),1)</f>
        <v>1</v>
      </c>
      <c r="W945" s="17">
        <f t="shared" si="5"/>
        <v>9.3</v>
      </c>
    </row>
    <row r="946" ht="15.75" customHeight="1">
      <c r="A946" s="8" t="s">
        <v>1628</v>
      </c>
      <c r="B946" s="7" t="s">
        <v>1622</v>
      </c>
      <c r="C946" s="13" t="s">
        <v>1623</v>
      </c>
      <c r="D946" s="7" t="s">
        <v>153</v>
      </c>
      <c r="E946" s="8" t="s">
        <v>40</v>
      </c>
      <c r="F946" s="8" t="s">
        <v>318</v>
      </c>
      <c r="G946" s="7" t="s">
        <v>1624</v>
      </c>
      <c r="H946" s="7" t="s">
        <v>1580</v>
      </c>
      <c r="I946" s="8">
        <v>2500.0</v>
      </c>
      <c r="J946" s="8">
        <v>2.0</v>
      </c>
      <c r="K946" s="8" t="s">
        <v>321</v>
      </c>
      <c r="L946" s="8" t="s">
        <v>322</v>
      </c>
      <c r="M946" s="8" t="s">
        <v>333</v>
      </c>
      <c r="N946" s="8">
        <v>7.5</v>
      </c>
      <c r="O946" s="14">
        <f t="shared" si="1"/>
        <v>44531</v>
      </c>
      <c r="P946" s="15">
        <f>IFERROR(VLOOKUP(K946,Formula!$A$11:$B$20,2,FALSE),Formula!$C$26)</f>
        <v>0.9</v>
      </c>
      <c r="Q946" s="15">
        <f>IF(AND(ISNUMBER(J946),J946&gt;0),1/J946,IF(AND(ISNUMBER(I946),I946&gt;0),SQRT(MIN(I946,Formula!$C$27))/Formula!$C$24,1/Formula!$C$25))</f>
        <v>0.5</v>
      </c>
      <c r="R946" s="15">
        <f t="shared" si="2"/>
        <v>0.45</v>
      </c>
      <c r="S946" s="15">
        <f>IF(H946&lt;&gt;"",EXP(-Formula!$C$28*(EOMONTH(H946,0)-H946)),EXP(-Formula!$C$28*(EOMONTH(D946,0)-D946)))</f>
        <v>0.3166367694</v>
      </c>
      <c r="T946" s="15">
        <f t="shared" si="3"/>
        <v>0.1961161351</v>
      </c>
      <c r="U946" s="15">
        <f t="shared" si="4"/>
        <v>0.02794391075</v>
      </c>
      <c r="V946" s="16">
        <f>IF(AND(L946="Among all respondents",NOT(OR(K946="Online poll in Telegram channel",K946="Website online poll",K946="CAWI (Computer Assisted Web Interviewing)"))),1/(1-MIN(MAX(Formula!$C$33+(YEAR(D946)-Formula!$C$34)/(Formula!$C$35-Formula!$C$34)*(Formula!$C$32-Formula!$C$33),Formula!$C$33),Formula!$C$32)),1)</f>
        <v>1</v>
      </c>
      <c r="W946" s="17">
        <f t="shared" si="5"/>
        <v>7.5</v>
      </c>
    </row>
    <row r="947" ht="15.75" customHeight="1">
      <c r="A947" s="8" t="s">
        <v>1629</v>
      </c>
      <c r="B947" s="7" t="s">
        <v>1622</v>
      </c>
      <c r="C947" s="13" t="s">
        <v>1623</v>
      </c>
      <c r="D947" s="7" t="s">
        <v>153</v>
      </c>
      <c r="E947" s="8" t="s">
        <v>40</v>
      </c>
      <c r="F947" s="8" t="s">
        <v>318</v>
      </c>
      <c r="G947" s="7" t="s">
        <v>1624</v>
      </c>
      <c r="H947" s="7" t="s">
        <v>1580</v>
      </c>
      <c r="I947" s="8">
        <v>2500.0</v>
      </c>
      <c r="J947" s="8">
        <v>2.0</v>
      </c>
      <c r="K947" s="8" t="s">
        <v>321</v>
      </c>
      <c r="L947" s="8" t="s">
        <v>322</v>
      </c>
      <c r="M947" s="8" t="s">
        <v>828</v>
      </c>
      <c r="N947" s="8">
        <v>6.7</v>
      </c>
      <c r="O947" s="14">
        <f t="shared" si="1"/>
        <v>44531</v>
      </c>
      <c r="P947" s="15">
        <f>IFERROR(VLOOKUP(K947,Formula!$A$11:$B$20,2,FALSE),Formula!$C$26)</f>
        <v>0.9</v>
      </c>
      <c r="Q947" s="15">
        <f>IF(AND(ISNUMBER(J947),J947&gt;0),1/J947,IF(AND(ISNUMBER(I947),I947&gt;0),SQRT(MIN(I947,Formula!$C$27))/Formula!$C$24,1/Formula!$C$25))</f>
        <v>0.5</v>
      </c>
      <c r="R947" s="15">
        <f t="shared" si="2"/>
        <v>0.45</v>
      </c>
      <c r="S947" s="15">
        <f>IF(H947&lt;&gt;"",EXP(-Formula!$C$28*(EOMONTH(H947,0)-H947)),EXP(-Formula!$C$28*(EOMONTH(D947,0)-D947)))</f>
        <v>0.3166367694</v>
      </c>
      <c r="T947" s="15">
        <f t="shared" si="3"/>
        <v>0.1961161351</v>
      </c>
      <c r="U947" s="15">
        <f t="shared" si="4"/>
        <v>0.02794391075</v>
      </c>
      <c r="V947" s="16">
        <f>IF(AND(L947="Among all respondents",NOT(OR(K947="Online poll in Telegram channel",K947="Website online poll",K947="CAWI (Computer Assisted Web Interviewing)"))),1/(1-MIN(MAX(Formula!$C$33+(YEAR(D947)-Formula!$C$34)/(Formula!$C$35-Formula!$C$34)*(Formula!$C$32-Formula!$C$33),Formula!$C$33),Formula!$C$32)),1)</f>
        <v>1</v>
      </c>
      <c r="W947" s="17">
        <f t="shared" si="5"/>
        <v>6.7</v>
      </c>
    </row>
    <row r="948" ht="15.75" customHeight="1">
      <c r="A948" s="8" t="s">
        <v>1630</v>
      </c>
      <c r="B948" s="7" t="s">
        <v>1622</v>
      </c>
      <c r="C948" s="13" t="s">
        <v>1623</v>
      </c>
      <c r="D948" s="7" t="s">
        <v>153</v>
      </c>
      <c r="E948" s="8" t="s">
        <v>40</v>
      </c>
      <c r="F948" s="8" t="s">
        <v>318</v>
      </c>
      <c r="G948" s="7" t="s">
        <v>1624</v>
      </c>
      <c r="H948" s="7" t="s">
        <v>1580</v>
      </c>
      <c r="I948" s="8">
        <v>2500.0</v>
      </c>
      <c r="J948" s="8">
        <v>2.0</v>
      </c>
      <c r="K948" s="8" t="s">
        <v>321</v>
      </c>
      <c r="L948" s="8" t="s">
        <v>322</v>
      </c>
      <c r="M948" s="8" t="s">
        <v>1153</v>
      </c>
      <c r="N948" s="8">
        <v>6.5</v>
      </c>
      <c r="O948" s="14">
        <f t="shared" si="1"/>
        <v>44531</v>
      </c>
      <c r="P948" s="15">
        <f>IFERROR(VLOOKUP(K948,Formula!$A$11:$B$20,2,FALSE),Formula!$C$26)</f>
        <v>0.9</v>
      </c>
      <c r="Q948" s="15">
        <f>IF(AND(ISNUMBER(J948),J948&gt;0),1/J948,IF(AND(ISNUMBER(I948),I948&gt;0),SQRT(MIN(I948,Formula!$C$27))/Formula!$C$24,1/Formula!$C$25))</f>
        <v>0.5</v>
      </c>
      <c r="R948" s="15">
        <f t="shared" si="2"/>
        <v>0.45</v>
      </c>
      <c r="S948" s="15">
        <f>IF(H948&lt;&gt;"",EXP(-Formula!$C$28*(EOMONTH(H948,0)-H948)),EXP(-Formula!$C$28*(EOMONTH(D948,0)-D948)))</f>
        <v>0.3166367694</v>
      </c>
      <c r="T948" s="15">
        <f t="shared" si="3"/>
        <v>0.1961161351</v>
      </c>
      <c r="U948" s="15">
        <f t="shared" si="4"/>
        <v>0.02794391075</v>
      </c>
      <c r="V948" s="16">
        <f>IF(AND(L948="Among all respondents",NOT(OR(K948="Online poll in Telegram channel",K948="Website online poll",K948="CAWI (Computer Assisted Web Interviewing)"))),1/(1-MIN(MAX(Formula!$C$33+(YEAR(D948)-Formula!$C$34)/(Formula!$C$35-Formula!$C$34)*(Formula!$C$32-Formula!$C$33),Formula!$C$33),Formula!$C$32)),1)</f>
        <v>1</v>
      </c>
      <c r="W948" s="17">
        <f t="shared" si="5"/>
        <v>6.5</v>
      </c>
    </row>
    <row r="949" ht="15.75" customHeight="1">
      <c r="A949" s="8" t="s">
        <v>1631</v>
      </c>
      <c r="B949" s="7" t="s">
        <v>1622</v>
      </c>
      <c r="C949" s="13" t="s">
        <v>1623</v>
      </c>
      <c r="D949" s="7" t="s">
        <v>153</v>
      </c>
      <c r="E949" s="8" t="s">
        <v>40</v>
      </c>
      <c r="F949" s="8" t="s">
        <v>318</v>
      </c>
      <c r="G949" s="7" t="s">
        <v>1624</v>
      </c>
      <c r="H949" s="7" t="s">
        <v>1580</v>
      </c>
      <c r="I949" s="8">
        <v>2500.0</v>
      </c>
      <c r="J949" s="8">
        <v>2.0</v>
      </c>
      <c r="K949" s="8" t="s">
        <v>321</v>
      </c>
      <c r="L949" s="8" t="s">
        <v>322</v>
      </c>
      <c r="M949" s="8" t="s">
        <v>386</v>
      </c>
      <c r="N949" s="8">
        <v>5.5</v>
      </c>
      <c r="O949" s="14">
        <f t="shared" si="1"/>
        <v>44531</v>
      </c>
      <c r="P949" s="15">
        <f>IFERROR(VLOOKUP(K949,Formula!$A$11:$B$20,2,FALSE),Formula!$C$26)</f>
        <v>0.9</v>
      </c>
      <c r="Q949" s="15">
        <f>IF(AND(ISNUMBER(J949),J949&gt;0),1/J949,IF(AND(ISNUMBER(I949),I949&gt;0),SQRT(MIN(I949,Formula!$C$27))/Formula!$C$24,1/Formula!$C$25))</f>
        <v>0.5</v>
      </c>
      <c r="R949" s="15">
        <f t="shared" si="2"/>
        <v>0.45</v>
      </c>
      <c r="S949" s="15">
        <f>IF(H949&lt;&gt;"",EXP(-Formula!$C$28*(EOMONTH(H949,0)-H949)),EXP(-Formula!$C$28*(EOMONTH(D949,0)-D949)))</f>
        <v>0.3166367694</v>
      </c>
      <c r="T949" s="15">
        <f t="shared" si="3"/>
        <v>0.1961161351</v>
      </c>
      <c r="U949" s="15">
        <f t="shared" si="4"/>
        <v>0.02794391075</v>
      </c>
      <c r="V949" s="16">
        <f>IF(AND(L949="Among all respondents",NOT(OR(K949="Online poll in Telegram channel",K949="Website online poll",K949="CAWI (Computer Assisted Web Interviewing)"))),1/(1-MIN(MAX(Formula!$C$33+(YEAR(D949)-Formula!$C$34)/(Formula!$C$35-Formula!$C$34)*(Formula!$C$32-Formula!$C$33),Formula!$C$33),Formula!$C$32)),1)</f>
        <v>1</v>
      </c>
      <c r="W949" s="17">
        <f t="shared" si="5"/>
        <v>5.5</v>
      </c>
    </row>
    <row r="950" ht="15.75" customHeight="1">
      <c r="A950" s="8" t="s">
        <v>1632</v>
      </c>
      <c r="B950" s="7" t="s">
        <v>1622</v>
      </c>
      <c r="C950" s="13" t="s">
        <v>1623</v>
      </c>
      <c r="D950" s="7" t="s">
        <v>153</v>
      </c>
      <c r="E950" s="8" t="s">
        <v>40</v>
      </c>
      <c r="F950" s="8" t="s">
        <v>318</v>
      </c>
      <c r="G950" s="7" t="s">
        <v>1624</v>
      </c>
      <c r="H950" s="7" t="s">
        <v>1580</v>
      </c>
      <c r="I950" s="8">
        <v>2500.0</v>
      </c>
      <c r="J950" s="8">
        <v>2.0</v>
      </c>
      <c r="K950" s="8" t="s">
        <v>321</v>
      </c>
      <c r="L950" s="8" t="s">
        <v>322</v>
      </c>
      <c r="M950" s="8" t="s">
        <v>388</v>
      </c>
      <c r="N950" s="8">
        <v>3.2</v>
      </c>
      <c r="O950" s="14">
        <f t="shared" si="1"/>
        <v>44531</v>
      </c>
      <c r="P950" s="15">
        <f>IFERROR(VLOOKUP(K950,Formula!$A$11:$B$20,2,FALSE),Formula!$C$26)</f>
        <v>0.9</v>
      </c>
      <c r="Q950" s="15">
        <f>IF(AND(ISNUMBER(J950),J950&gt;0),1/J950,IF(AND(ISNUMBER(I950),I950&gt;0),SQRT(MIN(I950,Formula!$C$27))/Formula!$C$24,1/Formula!$C$25))</f>
        <v>0.5</v>
      </c>
      <c r="R950" s="15">
        <f t="shared" si="2"/>
        <v>0.45</v>
      </c>
      <c r="S950" s="15">
        <f>IF(H950&lt;&gt;"",EXP(-Formula!$C$28*(EOMONTH(H950,0)-H950)),EXP(-Formula!$C$28*(EOMONTH(D950,0)-D950)))</f>
        <v>0.3166367694</v>
      </c>
      <c r="T950" s="15">
        <f t="shared" si="3"/>
        <v>0.1961161351</v>
      </c>
      <c r="U950" s="15">
        <f t="shared" si="4"/>
        <v>0.02794391075</v>
      </c>
      <c r="V950" s="16">
        <f>IF(AND(L950="Among all respondents",NOT(OR(K950="Online poll in Telegram channel",K950="Website online poll",K950="CAWI (Computer Assisted Web Interviewing)"))),1/(1-MIN(MAX(Formula!$C$33+(YEAR(D950)-Formula!$C$34)/(Formula!$C$35-Formula!$C$34)*(Formula!$C$32-Formula!$C$33),Formula!$C$33),Formula!$C$32)),1)</f>
        <v>1</v>
      </c>
      <c r="W950" s="17">
        <f t="shared" si="5"/>
        <v>3.2</v>
      </c>
    </row>
    <row r="951" ht="15.75" customHeight="1">
      <c r="A951" s="8" t="s">
        <v>1633</v>
      </c>
      <c r="B951" s="7" t="s">
        <v>1622</v>
      </c>
      <c r="C951" s="13" t="s">
        <v>1623</v>
      </c>
      <c r="D951" s="7" t="s">
        <v>153</v>
      </c>
      <c r="E951" s="8" t="s">
        <v>40</v>
      </c>
      <c r="F951" s="8" t="s">
        <v>318</v>
      </c>
      <c r="G951" s="7" t="s">
        <v>1624</v>
      </c>
      <c r="H951" s="7" t="s">
        <v>1580</v>
      </c>
      <c r="I951" s="8">
        <v>2500.0</v>
      </c>
      <c r="J951" s="8">
        <v>2.0</v>
      </c>
      <c r="K951" s="8" t="s">
        <v>321</v>
      </c>
      <c r="L951" s="8" t="s">
        <v>322</v>
      </c>
      <c r="M951" s="8" t="s">
        <v>743</v>
      </c>
      <c r="N951" s="8">
        <v>3.1</v>
      </c>
      <c r="O951" s="14">
        <f t="shared" si="1"/>
        <v>44531</v>
      </c>
      <c r="P951" s="15">
        <f>IFERROR(VLOOKUP(K951,Formula!$A$11:$B$20,2,FALSE),Formula!$C$26)</f>
        <v>0.9</v>
      </c>
      <c r="Q951" s="15">
        <f>IF(AND(ISNUMBER(J951),J951&gt;0),1/J951,IF(AND(ISNUMBER(I951),I951&gt;0),SQRT(MIN(I951,Formula!$C$27))/Formula!$C$24,1/Formula!$C$25))</f>
        <v>0.5</v>
      </c>
      <c r="R951" s="15">
        <f t="shared" si="2"/>
        <v>0.45</v>
      </c>
      <c r="S951" s="15">
        <f>IF(H951&lt;&gt;"",EXP(-Formula!$C$28*(EOMONTH(H951,0)-H951)),EXP(-Formula!$C$28*(EOMONTH(D951,0)-D951)))</f>
        <v>0.3166367694</v>
      </c>
      <c r="T951" s="15">
        <f t="shared" si="3"/>
        <v>0.1961161351</v>
      </c>
      <c r="U951" s="15">
        <f t="shared" si="4"/>
        <v>0.02794391075</v>
      </c>
      <c r="V951" s="16">
        <f>IF(AND(L951="Among all respondents",NOT(OR(K951="Online poll in Telegram channel",K951="Website online poll",K951="CAWI (Computer Assisted Web Interviewing)"))),1/(1-MIN(MAX(Formula!$C$33+(YEAR(D951)-Formula!$C$34)/(Formula!$C$35-Formula!$C$34)*(Formula!$C$32-Formula!$C$33),Formula!$C$33),Formula!$C$32)),1)</f>
        <v>1</v>
      </c>
      <c r="W951" s="17">
        <f t="shared" si="5"/>
        <v>3.1</v>
      </c>
    </row>
    <row r="952" ht="15.75" customHeight="1">
      <c r="A952" s="8" t="s">
        <v>1634</v>
      </c>
      <c r="B952" s="7" t="s">
        <v>1622</v>
      </c>
      <c r="C952" s="13" t="s">
        <v>1623</v>
      </c>
      <c r="D952" s="7" t="s">
        <v>153</v>
      </c>
      <c r="E952" s="8" t="s">
        <v>40</v>
      </c>
      <c r="F952" s="8" t="s">
        <v>318</v>
      </c>
      <c r="G952" s="7" t="s">
        <v>1624</v>
      </c>
      <c r="H952" s="7" t="s">
        <v>1580</v>
      </c>
      <c r="I952" s="8">
        <v>2500.0</v>
      </c>
      <c r="J952" s="8">
        <v>2.0</v>
      </c>
      <c r="K952" s="8" t="s">
        <v>321</v>
      </c>
      <c r="L952" s="8" t="s">
        <v>322</v>
      </c>
      <c r="M952" s="8" t="s">
        <v>343</v>
      </c>
      <c r="N952" s="8">
        <v>2.7</v>
      </c>
      <c r="O952" s="14">
        <f t="shared" si="1"/>
        <v>44531</v>
      </c>
      <c r="P952" s="15">
        <f>IFERROR(VLOOKUP(K952,Formula!$A$11:$B$20,2,FALSE),Formula!$C$26)</f>
        <v>0.9</v>
      </c>
      <c r="Q952" s="15">
        <f>IF(AND(ISNUMBER(J952),J952&gt;0),1/J952,IF(AND(ISNUMBER(I952),I952&gt;0),SQRT(MIN(I952,Formula!$C$27))/Formula!$C$24,1/Formula!$C$25))</f>
        <v>0.5</v>
      </c>
      <c r="R952" s="15">
        <f t="shared" si="2"/>
        <v>0.45</v>
      </c>
      <c r="S952" s="15">
        <f>IF(H952&lt;&gt;"",EXP(-Formula!$C$28*(EOMONTH(H952,0)-H952)),EXP(-Formula!$C$28*(EOMONTH(D952,0)-D952)))</f>
        <v>0.3166367694</v>
      </c>
      <c r="T952" s="15">
        <f t="shared" si="3"/>
        <v>0.1961161351</v>
      </c>
      <c r="U952" s="15">
        <f t="shared" si="4"/>
        <v>0.02794391075</v>
      </c>
      <c r="V952" s="16">
        <f>IF(AND(L952="Among all respondents",NOT(OR(K952="Online poll in Telegram channel",K952="Website online poll",K952="CAWI (Computer Assisted Web Interviewing)"))),1/(1-MIN(MAX(Formula!$C$33+(YEAR(D952)-Formula!$C$34)/(Formula!$C$35-Formula!$C$34)*(Formula!$C$32-Formula!$C$33),Formula!$C$33),Formula!$C$32)),1)</f>
        <v>1</v>
      </c>
      <c r="W952" s="17">
        <f t="shared" si="5"/>
        <v>2.7</v>
      </c>
    </row>
    <row r="953" ht="15.75" customHeight="1">
      <c r="A953" s="8" t="s">
        <v>1635</v>
      </c>
      <c r="B953" s="7" t="s">
        <v>1622</v>
      </c>
      <c r="C953" s="13" t="s">
        <v>1623</v>
      </c>
      <c r="D953" s="7" t="s">
        <v>153</v>
      </c>
      <c r="E953" s="8" t="s">
        <v>40</v>
      </c>
      <c r="F953" s="8" t="s">
        <v>318</v>
      </c>
      <c r="G953" s="7" t="s">
        <v>1624</v>
      </c>
      <c r="H953" s="7" t="s">
        <v>1580</v>
      </c>
      <c r="I953" s="8">
        <v>2500.0</v>
      </c>
      <c r="J953" s="8">
        <v>2.0</v>
      </c>
      <c r="K953" s="8" t="s">
        <v>321</v>
      </c>
      <c r="L953" s="8" t="s">
        <v>322</v>
      </c>
      <c r="M953" s="8" t="s">
        <v>836</v>
      </c>
      <c r="N953" s="8">
        <v>2.4</v>
      </c>
      <c r="O953" s="14">
        <f t="shared" si="1"/>
        <v>44531</v>
      </c>
      <c r="P953" s="15">
        <f>IFERROR(VLOOKUP(K953,Formula!$A$11:$B$20,2,FALSE),Formula!$C$26)</f>
        <v>0.9</v>
      </c>
      <c r="Q953" s="15">
        <f>IF(AND(ISNUMBER(J953),J953&gt;0),1/J953,IF(AND(ISNUMBER(I953),I953&gt;0),SQRT(MIN(I953,Formula!$C$27))/Formula!$C$24,1/Formula!$C$25))</f>
        <v>0.5</v>
      </c>
      <c r="R953" s="15">
        <f t="shared" si="2"/>
        <v>0.45</v>
      </c>
      <c r="S953" s="15">
        <f>IF(H953&lt;&gt;"",EXP(-Formula!$C$28*(EOMONTH(H953,0)-H953)),EXP(-Formula!$C$28*(EOMONTH(D953,0)-D953)))</f>
        <v>0.3166367694</v>
      </c>
      <c r="T953" s="15">
        <f t="shared" si="3"/>
        <v>0.1961161351</v>
      </c>
      <c r="U953" s="15">
        <f t="shared" si="4"/>
        <v>0.02794391075</v>
      </c>
      <c r="V953" s="16">
        <f>IF(AND(L953="Among all respondents",NOT(OR(K953="Online poll in Telegram channel",K953="Website online poll",K953="CAWI (Computer Assisted Web Interviewing)"))),1/(1-MIN(MAX(Formula!$C$33+(YEAR(D953)-Formula!$C$34)/(Formula!$C$35-Formula!$C$34)*(Formula!$C$32-Formula!$C$33),Formula!$C$33),Formula!$C$32)),1)</f>
        <v>1</v>
      </c>
      <c r="W953" s="17">
        <f t="shared" si="5"/>
        <v>2.4</v>
      </c>
    </row>
    <row r="954" ht="15.75" customHeight="1">
      <c r="A954" s="8" t="s">
        <v>1636</v>
      </c>
      <c r="B954" s="7" t="s">
        <v>1622</v>
      </c>
      <c r="C954" s="13" t="s">
        <v>1623</v>
      </c>
      <c r="D954" s="7" t="s">
        <v>153</v>
      </c>
      <c r="E954" s="8" t="s">
        <v>40</v>
      </c>
      <c r="F954" s="8" t="s">
        <v>318</v>
      </c>
      <c r="G954" s="7" t="s">
        <v>1624</v>
      </c>
      <c r="H954" s="7" t="s">
        <v>1580</v>
      </c>
      <c r="I954" s="8">
        <v>2500.0</v>
      </c>
      <c r="J954" s="8">
        <v>2.0</v>
      </c>
      <c r="K954" s="8" t="s">
        <v>321</v>
      </c>
      <c r="L954" s="8" t="s">
        <v>322</v>
      </c>
      <c r="M954" s="8" t="s">
        <v>740</v>
      </c>
      <c r="N954" s="8">
        <v>1.5</v>
      </c>
      <c r="O954" s="14">
        <f t="shared" si="1"/>
        <v>44531</v>
      </c>
      <c r="P954" s="15">
        <f>IFERROR(VLOOKUP(K954,Formula!$A$11:$B$20,2,FALSE),Formula!$C$26)</f>
        <v>0.9</v>
      </c>
      <c r="Q954" s="15">
        <f>IF(AND(ISNUMBER(J954),J954&gt;0),1/J954,IF(AND(ISNUMBER(I954),I954&gt;0),SQRT(MIN(I954,Formula!$C$27))/Formula!$C$24,1/Formula!$C$25))</f>
        <v>0.5</v>
      </c>
      <c r="R954" s="15">
        <f t="shared" si="2"/>
        <v>0.45</v>
      </c>
      <c r="S954" s="15">
        <f>IF(H954&lt;&gt;"",EXP(-Formula!$C$28*(EOMONTH(H954,0)-H954)),EXP(-Formula!$C$28*(EOMONTH(D954,0)-D954)))</f>
        <v>0.3166367694</v>
      </c>
      <c r="T954" s="15">
        <f t="shared" si="3"/>
        <v>0.1961161351</v>
      </c>
      <c r="U954" s="15">
        <f t="shared" si="4"/>
        <v>0.02794391075</v>
      </c>
      <c r="V954" s="16">
        <f>IF(AND(L954="Among all respondents",NOT(OR(K954="Online poll in Telegram channel",K954="Website online poll",K954="CAWI (Computer Assisted Web Interviewing)"))),1/(1-MIN(MAX(Formula!$C$33+(YEAR(D954)-Formula!$C$34)/(Formula!$C$35-Formula!$C$34)*(Formula!$C$32-Formula!$C$33),Formula!$C$33),Formula!$C$32)),1)</f>
        <v>1</v>
      </c>
      <c r="W954" s="17">
        <f t="shared" si="5"/>
        <v>1.5</v>
      </c>
    </row>
    <row r="955" ht="15.75" customHeight="1">
      <c r="A955" s="8" t="s">
        <v>1637</v>
      </c>
      <c r="B955" s="7" t="s">
        <v>1638</v>
      </c>
      <c r="C955" s="13" t="s">
        <v>1639</v>
      </c>
      <c r="D955" s="7" t="s">
        <v>153</v>
      </c>
      <c r="E955" s="8" t="s">
        <v>150</v>
      </c>
      <c r="F955" s="8" t="s">
        <v>318</v>
      </c>
      <c r="G955" s="7" t="s">
        <v>144</v>
      </c>
      <c r="H955" s="7" t="s">
        <v>1580</v>
      </c>
      <c r="I955" s="8">
        <v>1206.0</v>
      </c>
      <c r="J955" s="8">
        <v>3.0</v>
      </c>
      <c r="K955" s="8" t="s">
        <v>583</v>
      </c>
      <c r="L955" s="8" t="s">
        <v>322</v>
      </c>
      <c r="M955" s="8" t="s">
        <v>323</v>
      </c>
      <c r="N955" s="8">
        <v>21.6</v>
      </c>
      <c r="O955" s="14">
        <f t="shared" si="1"/>
        <v>44531</v>
      </c>
      <c r="P955" s="15">
        <f>IFERROR(VLOOKUP(K955,Formula!$A$11:$B$20,2,FALSE),Formula!$C$26)</f>
        <v>0.95</v>
      </c>
      <c r="Q955" s="15">
        <f>IF(AND(ISNUMBER(J955),J955&gt;0),1/J955,IF(AND(ISNUMBER(I955),I955&gt;0),SQRT(MIN(I955,Formula!$C$27))/Formula!$C$24,1/Formula!$C$25))</f>
        <v>0.3333333333</v>
      </c>
      <c r="R955" s="15">
        <f t="shared" si="2"/>
        <v>0.3166666667</v>
      </c>
      <c r="S955" s="15">
        <f>IF(H955&lt;&gt;"",EXP(-Formula!$C$28*(EOMONTH(H955,0)-H955)),EXP(-Formula!$C$28*(EOMONTH(D955,0)-D955)))</f>
        <v>0.3166367694</v>
      </c>
      <c r="T955" s="15">
        <f t="shared" si="3"/>
        <v>0.2132007164</v>
      </c>
      <c r="U955" s="15">
        <f t="shared" si="4"/>
        <v>0.02137727558</v>
      </c>
      <c r="V955" s="16">
        <f>IF(AND(L955="Among all respondents",NOT(OR(K955="Online poll in Telegram channel",K955="Website online poll",K955="CAWI (Computer Assisted Web Interviewing)"))),1/(1-MIN(MAX(Formula!$C$33+(YEAR(D955)-Formula!$C$34)/(Formula!$C$35-Formula!$C$34)*(Formula!$C$32-Formula!$C$33),Formula!$C$33),Formula!$C$32)),1)</f>
        <v>1</v>
      </c>
      <c r="W955" s="17">
        <f t="shared" si="5"/>
        <v>21.6</v>
      </c>
    </row>
    <row r="956" ht="15.75" customHeight="1">
      <c r="A956" s="8" t="s">
        <v>1640</v>
      </c>
      <c r="B956" s="7" t="s">
        <v>1638</v>
      </c>
      <c r="C956" s="13" t="s">
        <v>1639</v>
      </c>
      <c r="D956" s="7" t="s">
        <v>153</v>
      </c>
      <c r="E956" s="8" t="s">
        <v>150</v>
      </c>
      <c r="F956" s="8" t="s">
        <v>318</v>
      </c>
      <c r="G956" s="7" t="s">
        <v>144</v>
      </c>
      <c r="H956" s="7" t="s">
        <v>1580</v>
      </c>
      <c r="I956" s="8">
        <v>1206.0</v>
      </c>
      <c r="J956" s="8">
        <v>3.0</v>
      </c>
      <c r="K956" s="8" t="s">
        <v>583</v>
      </c>
      <c r="L956" s="8" t="s">
        <v>322</v>
      </c>
      <c r="M956" s="8" t="s">
        <v>365</v>
      </c>
      <c r="N956" s="8">
        <v>15.6</v>
      </c>
      <c r="O956" s="14">
        <f t="shared" si="1"/>
        <v>44531</v>
      </c>
      <c r="P956" s="15">
        <f>IFERROR(VLOOKUP(K956,Formula!$A$11:$B$20,2,FALSE),Formula!$C$26)</f>
        <v>0.95</v>
      </c>
      <c r="Q956" s="15">
        <f>IF(AND(ISNUMBER(J956),J956&gt;0),1/J956,IF(AND(ISNUMBER(I956),I956&gt;0),SQRT(MIN(I956,Formula!$C$27))/Formula!$C$24,1/Formula!$C$25))</f>
        <v>0.3333333333</v>
      </c>
      <c r="R956" s="15">
        <f t="shared" si="2"/>
        <v>0.3166666667</v>
      </c>
      <c r="S956" s="15">
        <f>IF(H956&lt;&gt;"",EXP(-Formula!$C$28*(EOMONTH(H956,0)-H956)),EXP(-Formula!$C$28*(EOMONTH(D956,0)-D956)))</f>
        <v>0.3166367694</v>
      </c>
      <c r="T956" s="15">
        <f t="shared" si="3"/>
        <v>0.2132007164</v>
      </c>
      <c r="U956" s="15">
        <f t="shared" si="4"/>
        <v>0.02137727558</v>
      </c>
      <c r="V956" s="16">
        <f>IF(AND(L956="Among all respondents",NOT(OR(K956="Online poll in Telegram channel",K956="Website online poll",K956="CAWI (Computer Assisted Web Interviewing)"))),1/(1-MIN(MAX(Formula!$C$33+(YEAR(D956)-Formula!$C$34)/(Formula!$C$35-Formula!$C$34)*(Formula!$C$32-Formula!$C$33),Formula!$C$33),Formula!$C$32)),1)</f>
        <v>1</v>
      </c>
      <c r="W956" s="17">
        <f t="shared" si="5"/>
        <v>15.6</v>
      </c>
    </row>
    <row r="957" ht="15.75" customHeight="1">
      <c r="A957" s="8" t="s">
        <v>1641</v>
      </c>
      <c r="B957" s="7" t="s">
        <v>1638</v>
      </c>
      <c r="C957" s="13" t="s">
        <v>1639</v>
      </c>
      <c r="D957" s="7" t="s">
        <v>153</v>
      </c>
      <c r="E957" s="8" t="s">
        <v>150</v>
      </c>
      <c r="F957" s="8" t="s">
        <v>318</v>
      </c>
      <c r="G957" s="7" t="s">
        <v>144</v>
      </c>
      <c r="H957" s="7" t="s">
        <v>1580</v>
      </c>
      <c r="I957" s="8">
        <v>1206.0</v>
      </c>
      <c r="J957" s="8">
        <v>3.0</v>
      </c>
      <c r="K957" s="8" t="s">
        <v>583</v>
      </c>
      <c r="L957" s="8" t="s">
        <v>322</v>
      </c>
      <c r="M957" s="8" t="s">
        <v>329</v>
      </c>
      <c r="N957" s="8">
        <v>14.8</v>
      </c>
      <c r="O957" s="14">
        <f t="shared" si="1"/>
        <v>44531</v>
      </c>
      <c r="P957" s="15">
        <f>IFERROR(VLOOKUP(K957,Formula!$A$11:$B$20,2,FALSE),Formula!$C$26)</f>
        <v>0.95</v>
      </c>
      <c r="Q957" s="15">
        <f>IF(AND(ISNUMBER(J957),J957&gt;0),1/J957,IF(AND(ISNUMBER(I957),I957&gt;0),SQRT(MIN(I957,Formula!$C$27))/Formula!$C$24,1/Formula!$C$25))</f>
        <v>0.3333333333</v>
      </c>
      <c r="R957" s="15">
        <f t="shared" si="2"/>
        <v>0.3166666667</v>
      </c>
      <c r="S957" s="15">
        <f>IF(H957&lt;&gt;"",EXP(-Formula!$C$28*(EOMONTH(H957,0)-H957)),EXP(-Formula!$C$28*(EOMONTH(D957,0)-D957)))</f>
        <v>0.3166367694</v>
      </c>
      <c r="T957" s="15">
        <f t="shared" si="3"/>
        <v>0.2132007164</v>
      </c>
      <c r="U957" s="15">
        <f t="shared" si="4"/>
        <v>0.02137727558</v>
      </c>
      <c r="V957" s="16">
        <f>IF(AND(L957="Among all respondents",NOT(OR(K957="Online poll in Telegram channel",K957="Website online poll",K957="CAWI (Computer Assisted Web Interviewing)"))),1/(1-MIN(MAX(Formula!$C$33+(YEAR(D957)-Formula!$C$34)/(Formula!$C$35-Formula!$C$34)*(Formula!$C$32-Formula!$C$33),Formula!$C$33),Formula!$C$32)),1)</f>
        <v>1</v>
      </c>
      <c r="W957" s="17">
        <f t="shared" si="5"/>
        <v>14.8</v>
      </c>
    </row>
    <row r="958" ht="15.75" customHeight="1">
      <c r="A958" s="8" t="s">
        <v>1642</v>
      </c>
      <c r="B958" s="7" t="s">
        <v>1638</v>
      </c>
      <c r="C958" s="13" t="s">
        <v>1639</v>
      </c>
      <c r="D958" s="7" t="s">
        <v>153</v>
      </c>
      <c r="E958" s="8" t="s">
        <v>150</v>
      </c>
      <c r="F958" s="8" t="s">
        <v>318</v>
      </c>
      <c r="G958" s="7" t="s">
        <v>144</v>
      </c>
      <c r="H958" s="7" t="s">
        <v>1580</v>
      </c>
      <c r="I958" s="8">
        <v>1206.0</v>
      </c>
      <c r="J958" s="8">
        <v>3.0</v>
      </c>
      <c r="K958" s="8" t="s">
        <v>583</v>
      </c>
      <c r="L958" s="8" t="s">
        <v>322</v>
      </c>
      <c r="M958" s="8" t="s">
        <v>337</v>
      </c>
      <c r="N958" s="8">
        <v>11.7</v>
      </c>
      <c r="O958" s="14">
        <f t="shared" si="1"/>
        <v>44531</v>
      </c>
      <c r="P958" s="15">
        <f>IFERROR(VLOOKUP(K958,Formula!$A$11:$B$20,2,FALSE),Formula!$C$26)</f>
        <v>0.95</v>
      </c>
      <c r="Q958" s="15">
        <f>IF(AND(ISNUMBER(J958),J958&gt;0),1/J958,IF(AND(ISNUMBER(I958),I958&gt;0),SQRT(MIN(I958,Formula!$C$27))/Formula!$C$24,1/Formula!$C$25))</f>
        <v>0.3333333333</v>
      </c>
      <c r="R958" s="15">
        <f t="shared" si="2"/>
        <v>0.3166666667</v>
      </c>
      <c r="S958" s="15">
        <f>IF(H958&lt;&gt;"",EXP(-Formula!$C$28*(EOMONTH(H958,0)-H958)),EXP(-Formula!$C$28*(EOMONTH(D958,0)-D958)))</f>
        <v>0.3166367694</v>
      </c>
      <c r="T958" s="15">
        <f t="shared" si="3"/>
        <v>0.2132007164</v>
      </c>
      <c r="U958" s="15">
        <f t="shared" si="4"/>
        <v>0.02137727558</v>
      </c>
      <c r="V958" s="16">
        <f>IF(AND(L958="Among all respondents",NOT(OR(K958="Online poll in Telegram channel",K958="Website online poll",K958="CAWI (Computer Assisted Web Interviewing)"))),1/(1-MIN(MAX(Formula!$C$33+(YEAR(D958)-Formula!$C$34)/(Formula!$C$35-Formula!$C$34)*(Formula!$C$32-Formula!$C$33),Formula!$C$33),Formula!$C$32)),1)</f>
        <v>1</v>
      </c>
      <c r="W958" s="17">
        <f t="shared" si="5"/>
        <v>11.7</v>
      </c>
    </row>
    <row r="959" ht="15.75" customHeight="1">
      <c r="A959" s="8" t="s">
        <v>1643</v>
      </c>
      <c r="B959" s="7" t="s">
        <v>1638</v>
      </c>
      <c r="C959" s="13" t="s">
        <v>1639</v>
      </c>
      <c r="D959" s="7" t="s">
        <v>153</v>
      </c>
      <c r="E959" s="8" t="s">
        <v>150</v>
      </c>
      <c r="F959" s="8" t="s">
        <v>318</v>
      </c>
      <c r="G959" s="7" t="s">
        <v>144</v>
      </c>
      <c r="H959" s="7" t="s">
        <v>1580</v>
      </c>
      <c r="I959" s="8">
        <v>1206.0</v>
      </c>
      <c r="J959" s="8">
        <v>3.0</v>
      </c>
      <c r="K959" s="8" t="s">
        <v>583</v>
      </c>
      <c r="L959" s="8" t="s">
        <v>322</v>
      </c>
      <c r="M959" s="8" t="s">
        <v>333</v>
      </c>
      <c r="N959" s="8">
        <v>6.6</v>
      </c>
      <c r="O959" s="14">
        <f t="shared" si="1"/>
        <v>44531</v>
      </c>
      <c r="P959" s="15">
        <f>IFERROR(VLOOKUP(K959,Formula!$A$11:$B$20,2,FALSE),Formula!$C$26)</f>
        <v>0.95</v>
      </c>
      <c r="Q959" s="15">
        <f>IF(AND(ISNUMBER(J959),J959&gt;0),1/J959,IF(AND(ISNUMBER(I959),I959&gt;0),SQRT(MIN(I959,Formula!$C$27))/Formula!$C$24,1/Formula!$C$25))</f>
        <v>0.3333333333</v>
      </c>
      <c r="R959" s="15">
        <f t="shared" si="2"/>
        <v>0.3166666667</v>
      </c>
      <c r="S959" s="15">
        <f>IF(H959&lt;&gt;"",EXP(-Formula!$C$28*(EOMONTH(H959,0)-H959)),EXP(-Formula!$C$28*(EOMONTH(D959,0)-D959)))</f>
        <v>0.3166367694</v>
      </c>
      <c r="T959" s="15">
        <f t="shared" si="3"/>
        <v>0.2132007164</v>
      </c>
      <c r="U959" s="15">
        <f t="shared" si="4"/>
        <v>0.02137727558</v>
      </c>
      <c r="V959" s="16">
        <f>IF(AND(L959="Among all respondents",NOT(OR(K959="Online poll in Telegram channel",K959="Website online poll",K959="CAWI (Computer Assisted Web Interviewing)"))),1/(1-MIN(MAX(Formula!$C$33+(YEAR(D959)-Formula!$C$34)/(Formula!$C$35-Formula!$C$34)*(Formula!$C$32-Formula!$C$33),Formula!$C$33),Formula!$C$32)),1)</f>
        <v>1</v>
      </c>
      <c r="W959" s="17">
        <f t="shared" si="5"/>
        <v>6.6</v>
      </c>
    </row>
    <row r="960" ht="15.75" customHeight="1">
      <c r="A960" s="8" t="s">
        <v>1644</v>
      </c>
      <c r="B960" s="7" t="s">
        <v>1638</v>
      </c>
      <c r="C960" s="13" t="s">
        <v>1639</v>
      </c>
      <c r="D960" s="7" t="s">
        <v>153</v>
      </c>
      <c r="E960" s="8" t="s">
        <v>150</v>
      </c>
      <c r="F960" s="8" t="s">
        <v>318</v>
      </c>
      <c r="G960" s="7" t="s">
        <v>144</v>
      </c>
      <c r="H960" s="7" t="s">
        <v>1580</v>
      </c>
      <c r="I960" s="8">
        <v>1206.0</v>
      </c>
      <c r="J960" s="8">
        <v>3.0</v>
      </c>
      <c r="K960" s="8" t="s">
        <v>583</v>
      </c>
      <c r="L960" s="8" t="s">
        <v>322</v>
      </c>
      <c r="M960" s="8" t="s">
        <v>828</v>
      </c>
      <c r="N960" s="8">
        <v>5.8</v>
      </c>
      <c r="O960" s="14">
        <f t="shared" si="1"/>
        <v>44531</v>
      </c>
      <c r="P960" s="15">
        <f>IFERROR(VLOOKUP(K960,Formula!$A$11:$B$20,2,FALSE),Formula!$C$26)</f>
        <v>0.95</v>
      </c>
      <c r="Q960" s="15">
        <f>IF(AND(ISNUMBER(J960),J960&gt;0),1/J960,IF(AND(ISNUMBER(I960),I960&gt;0),SQRT(MIN(I960,Formula!$C$27))/Formula!$C$24,1/Formula!$C$25))</f>
        <v>0.3333333333</v>
      </c>
      <c r="R960" s="15">
        <f t="shared" si="2"/>
        <v>0.3166666667</v>
      </c>
      <c r="S960" s="15">
        <f>IF(H960&lt;&gt;"",EXP(-Formula!$C$28*(EOMONTH(H960,0)-H960)),EXP(-Formula!$C$28*(EOMONTH(D960,0)-D960)))</f>
        <v>0.3166367694</v>
      </c>
      <c r="T960" s="15">
        <f t="shared" si="3"/>
        <v>0.2132007164</v>
      </c>
      <c r="U960" s="15">
        <f t="shared" si="4"/>
        <v>0.02137727558</v>
      </c>
      <c r="V960" s="16">
        <f>IF(AND(L960="Among all respondents",NOT(OR(K960="Online poll in Telegram channel",K960="Website online poll",K960="CAWI (Computer Assisted Web Interviewing)"))),1/(1-MIN(MAX(Formula!$C$33+(YEAR(D960)-Formula!$C$34)/(Formula!$C$35-Formula!$C$34)*(Formula!$C$32-Formula!$C$33),Formula!$C$33),Formula!$C$32)),1)</f>
        <v>1</v>
      </c>
      <c r="W960" s="17">
        <f t="shared" si="5"/>
        <v>5.8</v>
      </c>
    </row>
    <row r="961" ht="15.75" customHeight="1">
      <c r="A961" s="8" t="s">
        <v>1645</v>
      </c>
      <c r="B961" s="7" t="s">
        <v>1638</v>
      </c>
      <c r="C961" s="13" t="s">
        <v>1639</v>
      </c>
      <c r="D961" s="7" t="s">
        <v>153</v>
      </c>
      <c r="E961" s="8" t="s">
        <v>150</v>
      </c>
      <c r="F961" s="8" t="s">
        <v>318</v>
      </c>
      <c r="G961" s="7" t="s">
        <v>144</v>
      </c>
      <c r="H961" s="7" t="s">
        <v>1580</v>
      </c>
      <c r="I961" s="8">
        <v>1206.0</v>
      </c>
      <c r="J961" s="8">
        <v>3.0</v>
      </c>
      <c r="K961" s="8" t="s">
        <v>583</v>
      </c>
      <c r="L961" s="8" t="s">
        <v>322</v>
      </c>
      <c r="M961" s="8" t="s">
        <v>386</v>
      </c>
      <c r="N961" s="8">
        <v>4.9</v>
      </c>
      <c r="O961" s="14">
        <f t="shared" si="1"/>
        <v>44531</v>
      </c>
      <c r="P961" s="15">
        <f>IFERROR(VLOOKUP(K961,Formula!$A$11:$B$20,2,FALSE),Formula!$C$26)</f>
        <v>0.95</v>
      </c>
      <c r="Q961" s="15">
        <f>IF(AND(ISNUMBER(J961),J961&gt;0),1/J961,IF(AND(ISNUMBER(I961),I961&gt;0),SQRT(MIN(I961,Formula!$C$27))/Formula!$C$24,1/Formula!$C$25))</f>
        <v>0.3333333333</v>
      </c>
      <c r="R961" s="15">
        <f t="shared" si="2"/>
        <v>0.3166666667</v>
      </c>
      <c r="S961" s="15">
        <f>IF(H961&lt;&gt;"",EXP(-Formula!$C$28*(EOMONTH(H961,0)-H961)),EXP(-Formula!$C$28*(EOMONTH(D961,0)-D961)))</f>
        <v>0.3166367694</v>
      </c>
      <c r="T961" s="15">
        <f t="shared" si="3"/>
        <v>0.2132007164</v>
      </c>
      <c r="U961" s="15">
        <f t="shared" si="4"/>
        <v>0.02137727558</v>
      </c>
      <c r="V961" s="16">
        <f>IF(AND(L961="Among all respondents",NOT(OR(K961="Online poll in Telegram channel",K961="Website online poll",K961="CAWI (Computer Assisted Web Interviewing)"))),1/(1-MIN(MAX(Formula!$C$33+(YEAR(D961)-Formula!$C$34)/(Formula!$C$35-Formula!$C$34)*(Formula!$C$32-Formula!$C$33),Formula!$C$33),Formula!$C$32)),1)</f>
        <v>1</v>
      </c>
      <c r="W961" s="17">
        <f t="shared" si="5"/>
        <v>4.9</v>
      </c>
    </row>
    <row r="962" ht="15.75" customHeight="1">
      <c r="A962" s="8" t="s">
        <v>1646</v>
      </c>
      <c r="B962" s="7" t="s">
        <v>1638</v>
      </c>
      <c r="C962" s="13" t="s">
        <v>1639</v>
      </c>
      <c r="D962" s="7" t="s">
        <v>153</v>
      </c>
      <c r="E962" s="8" t="s">
        <v>150</v>
      </c>
      <c r="F962" s="8" t="s">
        <v>318</v>
      </c>
      <c r="G962" s="7" t="s">
        <v>144</v>
      </c>
      <c r="H962" s="7" t="s">
        <v>1580</v>
      </c>
      <c r="I962" s="8">
        <v>1206.0</v>
      </c>
      <c r="J962" s="8">
        <v>3.0</v>
      </c>
      <c r="K962" s="8" t="s">
        <v>583</v>
      </c>
      <c r="L962" s="8" t="s">
        <v>322</v>
      </c>
      <c r="M962" s="8" t="s">
        <v>1153</v>
      </c>
      <c r="N962" s="8">
        <v>4.3</v>
      </c>
      <c r="O962" s="14">
        <f t="shared" si="1"/>
        <v>44531</v>
      </c>
      <c r="P962" s="15">
        <f>IFERROR(VLOOKUP(K962,Formula!$A$11:$B$20,2,FALSE),Formula!$C$26)</f>
        <v>0.95</v>
      </c>
      <c r="Q962" s="15">
        <f>IF(AND(ISNUMBER(J962),J962&gt;0),1/J962,IF(AND(ISNUMBER(I962),I962&gt;0),SQRT(MIN(I962,Formula!$C$27))/Formula!$C$24,1/Formula!$C$25))</f>
        <v>0.3333333333</v>
      </c>
      <c r="R962" s="15">
        <f t="shared" si="2"/>
        <v>0.3166666667</v>
      </c>
      <c r="S962" s="15">
        <f>IF(H962&lt;&gt;"",EXP(-Formula!$C$28*(EOMONTH(H962,0)-H962)),EXP(-Formula!$C$28*(EOMONTH(D962,0)-D962)))</f>
        <v>0.3166367694</v>
      </c>
      <c r="T962" s="15">
        <f t="shared" si="3"/>
        <v>0.2132007164</v>
      </c>
      <c r="U962" s="15">
        <f t="shared" si="4"/>
        <v>0.02137727558</v>
      </c>
      <c r="V962" s="16">
        <f>IF(AND(L962="Among all respondents",NOT(OR(K962="Online poll in Telegram channel",K962="Website online poll",K962="CAWI (Computer Assisted Web Interviewing)"))),1/(1-MIN(MAX(Formula!$C$33+(YEAR(D962)-Formula!$C$34)/(Formula!$C$35-Formula!$C$34)*(Formula!$C$32-Formula!$C$33),Formula!$C$33),Formula!$C$32)),1)</f>
        <v>1</v>
      </c>
      <c r="W962" s="17">
        <f t="shared" si="5"/>
        <v>4.3</v>
      </c>
    </row>
    <row r="963" ht="15.75" customHeight="1">
      <c r="A963" s="8" t="s">
        <v>1647</v>
      </c>
      <c r="B963" s="7" t="s">
        <v>1648</v>
      </c>
      <c r="C963" s="13" t="s">
        <v>1649</v>
      </c>
      <c r="D963" s="7" t="s">
        <v>157</v>
      </c>
      <c r="E963" s="8" t="s">
        <v>158</v>
      </c>
      <c r="F963" s="8" t="s">
        <v>318</v>
      </c>
      <c r="G963" s="7" t="s">
        <v>1512</v>
      </c>
      <c r="H963" s="7" t="s">
        <v>1624</v>
      </c>
      <c r="I963" s="8">
        <v>2027.0</v>
      </c>
      <c r="J963" s="8">
        <v>3.5</v>
      </c>
      <c r="K963" s="8" t="s">
        <v>583</v>
      </c>
      <c r="L963" s="8" t="s">
        <v>322</v>
      </c>
      <c r="M963" s="8" t="s">
        <v>323</v>
      </c>
      <c r="N963" s="8">
        <v>23.2</v>
      </c>
      <c r="O963" s="14">
        <f t="shared" si="1"/>
        <v>44531</v>
      </c>
      <c r="P963" s="15">
        <f>IFERROR(VLOOKUP(K963,Formula!$A$11:$B$20,2,FALSE),Formula!$C$26)</f>
        <v>0.95</v>
      </c>
      <c r="Q963" s="15">
        <f>IF(AND(ISNUMBER(J963),J963&gt;0),1/J963,IF(AND(ISNUMBER(I963),I963&gt;0),SQRT(MIN(I963,Formula!$C$27))/Formula!$C$24,1/Formula!$C$25))</f>
        <v>0.2857142857</v>
      </c>
      <c r="R963" s="15">
        <f t="shared" si="2"/>
        <v>0.2714285714</v>
      </c>
      <c r="S963" s="15">
        <f>IF(H963&lt;&gt;"",EXP(-Formula!$C$28*(EOMONTH(H963,0)-H963)),EXP(-Formula!$C$28*(EOMONTH(D963,0)-D963)))</f>
        <v>0.2865047969</v>
      </c>
      <c r="T963" s="15">
        <f t="shared" si="3"/>
        <v>0.2773500981</v>
      </c>
      <c r="U963" s="15">
        <f t="shared" si="4"/>
        <v>0.02156829338</v>
      </c>
      <c r="V963" s="16">
        <f>IF(AND(L963="Among all respondents",NOT(OR(K963="Online poll in Telegram channel",K963="Website online poll",K963="CAWI (Computer Assisted Web Interviewing)"))),1/(1-MIN(MAX(Formula!$C$33+(YEAR(D963)-Formula!$C$34)/(Formula!$C$35-Formula!$C$34)*(Formula!$C$32-Formula!$C$33),Formula!$C$33),Formula!$C$32)),1)</f>
        <v>1</v>
      </c>
      <c r="W963" s="17">
        <f t="shared" si="5"/>
        <v>23.2</v>
      </c>
    </row>
    <row r="964" ht="15.75" customHeight="1">
      <c r="A964" s="8" t="s">
        <v>1650</v>
      </c>
      <c r="B964" s="7" t="s">
        <v>1648</v>
      </c>
      <c r="C964" s="13" t="s">
        <v>1649</v>
      </c>
      <c r="D964" s="7" t="s">
        <v>157</v>
      </c>
      <c r="E964" s="8" t="s">
        <v>158</v>
      </c>
      <c r="F964" s="8" t="s">
        <v>318</v>
      </c>
      <c r="G964" s="7" t="s">
        <v>1512</v>
      </c>
      <c r="H964" s="7" t="s">
        <v>1624</v>
      </c>
      <c r="I964" s="8">
        <v>2027.0</v>
      </c>
      <c r="J964" s="8">
        <v>3.5</v>
      </c>
      <c r="K964" s="8" t="s">
        <v>583</v>
      </c>
      <c r="L964" s="8" t="s">
        <v>322</v>
      </c>
      <c r="M964" s="8" t="s">
        <v>329</v>
      </c>
      <c r="N964" s="8">
        <v>15.6</v>
      </c>
      <c r="O964" s="14">
        <f t="shared" si="1"/>
        <v>44531</v>
      </c>
      <c r="P964" s="15">
        <f>IFERROR(VLOOKUP(K964,Formula!$A$11:$B$20,2,FALSE),Formula!$C$26)</f>
        <v>0.95</v>
      </c>
      <c r="Q964" s="15">
        <f>IF(AND(ISNUMBER(J964),J964&gt;0),1/J964,IF(AND(ISNUMBER(I964),I964&gt;0),SQRT(MIN(I964,Formula!$C$27))/Formula!$C$24,1/Formula!$C$25))</f>
        <v>0.2857142857</v>
      </c>
      <c r="R964" s="15">
        <f t="shared" si="2"/>
        <v>0.2714285714</v>
      </c>
      <c r="S964" s="15">
        <f>IF(H964&lt;&gt;"",EXP(-Formula!$C$28*(EOMONTH(H964,0)-H964)),EXP(-Formula!$C$28*(EOMONTH(D964,0)-D964)))</f>
        <v>0.2865047969</v>
      </c>
      <c r="T964" s="15">
        <f t="shared" si="3"/>
        <v>0.2773500981</v>
      </c>
      <c r="U964" s="15">
        <f t="shared" si="4"/>
        <v>0.02156829338</v>
      </c>
      <c r="V964" s="16">
        <f>IF(AND(L964="Among all respondents",NOT(OR(K964="Online poll in Telegram channel",K964="Website online poll",K964="CAWI (Computer Assisted Web Interviewing)"))),1/(1-MIN(MAX(Formula!$C$33+(YEAR(D964)-Formula!$C$34)/(Formula!$C$35-Formula!$C$34)*(Formula!$C$32-Formula!$C$33),Formula!$C$33),Formula!$C$32)),1)</f>
        <v>1</v>
      </c>
      <c r="W964" s="17">
        <f t="shared" si="5"/>
        <v>15.6</v>
      </c>
    </row>
    <row r="965" ht="15.75" customHeight="1">
      <c r="A965" s="8" t="s">
        <v>1651</v>
      </c>
      <c r="B965" s="7" t="s">
        <v>1648</v>
      </c>
      <c r="C965" s="13" t="s">
        <v>1649</v>
      </c>
      <c r="D965" s="7" t="s">
        <v>157</v>
      </c>
      <c r="E965" s="8" t="s">
        <v>158</v>
      </c>
      <c r="F965" s="8" t="s">
        <v>318</v>
      </c>
      <c r="G965" s="7" t="s">
        <v>1512</v>
      </c>
      <c r="H965" s="7" t="s">
        <v>1624</v>
      </c>
      <c r="I965" s="8">
        <v>2027.0</v>
      </c>
      <c r="J965" s="8">
        <v>3.5</v>
      </c>
      <c r="K965" s="8" t="s">
        <v>583</v>
      </c>
      <c r="L965" s="8" t="s">
        <v>322</v>
      </c>
      <c r="M965" s="8" t="s">
        <v>365</v>
      </c>
      <c r="N965" s="8">
        <v>14.2</v>
      </c>
      <c r="O965" s="14">
        <f t="shared" si="1"/>
        <v>44531</v>
      </c>
      <c r="P965" s="15">
        <f>IFERROR(VLOOKUP(K965,Formula!$A$11:$B$20,2,FALSE),Formula!$C$26)</f>
        <v>0.95</v>
      </c>
      <c r="Q965" s="15">
        <f>IF(AND(ISNUMBER(J965),J965&gt;0),1/J965,IF(AND(ISNUMBER(I965),I965&gt;0),SQRT(MIN(I965,Formula!$C$27))/Formula!$C$24,1/Formula!$C$25))</f>
        <v>0.2857142857</v>
      </c>
      <c r="R965" s="15">
        <f t="shared" si="2"/>
        <v>0.2714285714</v>
      </c>
      <c r="S965" s="15">
        <f>IF(H965&lt;&gt;"",EXP(-Formula!$C$28*(EOMONTH(H965,0)-H965)),EXP(-Formula!$C$28*(EOMONTH(D965,0)-D965)))</f>
        <v>0.2865047969</v>
      </c>
      <c r="T965" s="15">
        <f t="shared" si="3"/>
        <v>0.2773500981</v>
      </c>
      <c r="U965" s="15">
        <f t="shared" si="4"/>
        <v>0.02156829338</v>
      </c>
      <c r="V965" s="16">
        <f>IF(AND(L965="Among all respondents",NOT(OR(K965="Online poll in Telegram channel",K965="Website online poll",K965="CAWI (Computer Assisted Web Interviewing)"))),1/(1-MIN(MAX(Formula!$C$33+(YEAR(D965)-Formula!$C$34)/(Formula!$C$35-Formula!$C$34)*(Formula!$C$32-Formula!$C$33),Formula!$C$33),Formula!$C$32)),1)</f>
        <v>1</v>
      </c>
      <c r="W965" s="17">
        <f t="shared" si="5"/>
        <v>14.2</v>
      </c>
    </row>
    <row r="966" ht="15.75" customHeight="1">
      <c r="A966" s="8" t="s">
        <v>1652</v>
      </c>
      <c r="B966" s="7" t="s">
        <v>1648</v>
      </c>
      <c r="C966" s="13" t="s">
        <v>1649</v>
      </c>
      <c r="D966" s="7" t="s">
        <v>157</v>
      </c>
      <c r="E966" s="8" t="s">
        <v>158</v>
      </c>
      <c r="F966" s="8" t="s">
        <v>318</v>
      </c>
      <c r="G966" s="7" t="s">
        <v>1512</v>
      </c>
      <c r="H966" s="7" t="s">
        <v>1624</v>
      </c>
      <c r="I966" s="8">
        <v>2027.0</v>
      </c>
      <c r="J966" s="8">
        <v>3.5</v>
      </c>
      <c r="K966" s="8" t="s">
        <v>583</v>
      </c>
      <c r="L966" s="8" t="s">
        <v>322</v>
      </c>
      <c r="M966" s="8" t="s">
        <v>337</v>
      </c>
      <c r="N966" s="8">
        <v>12.9</v>
      </c>
      <c r="O966" s="14">
        <f t="shared" si="1"/>
        <v>44531</v>
      </c>
      <c r="P966" s="15">
        <f>IFERROR(VLOOKUP(K966,Formula!$A$11:$B$20,2,FALSE),Formula!$C$26)</f>
        <v>0.95</v>
      </c>
      <c r="Q966" s="15">
        <f>IF(AND(ISNUMBER(J966),J966&gt;0),1/J966,IF(AND(ISNUMBER(I966),I966&gt;0),SQRT(MIN(I966,Formula!$C$27))/Formula!$C$24,1/Formula!$C$25))</f>
        <v>0.2857142857</v>
      </c>
      <c r="R966" s="15">
        <f t="shared" si="2"/>
        <v>0.2714285714</v>
      </c>
      <c r="S966" s="15">
        <f>IF(H966&lt;&gt;"",EXP(-Formula!$C$28*(EOMONTH(H966,0)-H966)),EXP(-Formula!$C$28*(EOMONTH(D966,0)-D966)))</f>
        <v>0.2865047969</v>
      </c>
      <c r="T966" s="15">
        <f t="shared" si="3"/>
        <v>0.2773500981</v>
      </c>
      <c r="U966" s="15">
        <f t="shared" si="4"/>
        <v>0.02156829338</v>
      </c>
      <c r="V966" s="16">
        <f>IF(AND(L966="Among all respondents",NOT(OR(K966="Online poll in Telegram channel",K966="Website online poll",K966="CAWI (Computer Assisted Web Interviewing)"))),1/(1-MIN(MAX(Formula!$C$33+(YEAR(D966)-Formula!$C$34)/(Formula!$C$35-Formula!$C$34)*(Formula!$C$32-Formula!$C$33),Formula!$C$33),Formula!$C$32)),1)</f>
        <v>1</v>
      </c>
      <c r="W966" s="17">
        <f t="shared" si="5"/>
        <v>12.9</v>
      </c>
    </row>
    <row r="967" ht="15.75" customHeight="1">
      <c r="A967" s="8" t="s">
        <v>1653</v>
      </c>
      <c r="B967" s="7" t="s">
        <v>1648</v>
      </c>
      <c r="C967" s="13" t="s">
        <v>1649</v>
      </c>
      <c r="D967" s="7" t="s">
        <v>157</v>
      </c>
      <c r="E967" s="8" t="s">
        <v>158</v>
      </c>
      <c r="F967" s="8" t="s">
        <v>318</v>
      </c>
      <c r="G967" s="7" t="s">
        <v>1512</v>
      </c>
      <c r="H967" s="7" t="s">
        <v>1624</v>
      </c>
      <c r="I967" s="8">
        <v>2027.0</v>
      </c>
      <c r="J967" s="8">
        <v>3.5</v>
      </c>
      <c r="K967" s="8" t="s">
        <v>583</v>
      </c>
      <c r="L967" s="8" t="s">
        <v>322</v>
      </c>
      <c r="M967" s="8" t="s">
        <v>333</v>
      </c>
      <c r="N967" s="8">
        <v>9.2</v>
      </c>
      <c r="O967" s="14">
        <f t="shared" si="1"/>
        <v>44531</v>
      </c>
      <c r="P967" s="15">
        <f>IFERROR(VLOOKUP(K967,Formula!$A$11:$B$20,2,FALSE),Formula!$C$26)</f>
        <v>0.95</v>
      </c>
      <c r="Q967" s="15">
        <f>IF(AND(ISNUMBER(J967),J967&gt;0),1/J967,IF(AND(ISNUMBER(I967),I967&gt;0),SQRT(MIN(I967,Formula!$C$27))/Formula!$C$24,1/Formula!$C$25))</f>
        <v>0.2857142857</v>
      </c>
      <c r="R967" s="15">
        <f t="shared" si="2"/>
        <v>0.2714285714</v>
      </c>
      <c r="S967" s="15">
        <f>IF(H967&lt;&gt;"",EXP(-Formula!$C$28*(EOMONTH(H967,0)-H967)),EXP(-Formula!$C$28*(EOMONTH(D967,0)-D967)))</f>
        <v>0.2865047969</v>
      </c>
      <c r="T967" s="15">
        <f t="shared" si="3"/>
        <v>0.2773500981</v>
      </c>
      <c r="U967" s="15">
        <f t="shared" si="4"/>
        <v>0.02156829338</v>
      </c>
      <c r="V967" s="16">
        <f>IF(AND(L967="Among all respondents",NOT(OR(K967="Online poll in Telegram channel",K967="Website online poll",K967="CAWI (Computer Assisted Web Interviewing)"))),1/(1-MIN(MAX(Formula!$C$33+(YEAR(D967)-Formula!$C$34)/(Formula!$C$35-Formula!$C$34)*(Formula!$C$32-Formula!$C$33),Formula!$C$33),Formula!$C$32)),1)</f>
        <v>1</v>
      </c>
      <c r="W967" s="17">
        <f t="shared" si="5"/>
        <v>9.2</v>
      </c>
    </row>
    <row r="968" ht="15.75" customHeight="1">
      <c r="A968" s="8" t="s">
        <v>1654</v>
      </c>
      <c r="B968" s="7" t="s">
        <v>1648</v>
      </c>
      <c r="C968" s="13" t="s">
        <v>1649</v>
      </c>
      <c r="D968" s="7" t="s">
        <v>157</v>
      </c>
      <c r="E968" s="8" t="s">
        <v>158</v>
      </c>
      <c r="F968" s="8" t="s">
        <v>318</v>
      </c>
      <c r="G968" s="7" t="s">
        <v>1512</v>
      </c>
      <c r="H968" s="7" t="s">
        <v>1624</v>
      </c>
      <c r="I968" s="8">
        <v>2027.0</v>
      </c>
      <c r="J968" s="8">
        <v>3.5</v>
      </c>
      <c r="K968" s="8" t="s">
        <v>583</v>
      </c>
      <c r="L968" s="8" t="s">
        <v>322</v>
      </c>
      <c r="M968" s="8" t="s">
        <v>828</v>
      </c>
      <c r="N968" s="8">
        <v>6.3</v>
      </c>
      <c r="O968" s="14">
        <f t="shared" si="1"/>
        <v>44531</v>
      </c>
      <c r="P968" s="15">
        <f>IFERROR(VLOOKUP(K968,Formula!$A$11:$B$20,2,FALSE),Formula!$C$26)</f>
        <v>0.95</v>
      </c>
      <c r="Q968" s="15">
        <f>IF(AND(ISNUMBER(J968),J968&gt;0),1/J968,IF(AND(ISNUMBER(I968),I968&gt;0),SQRT(MIN(I968,Formula!$C$27))/Formula!$C$24,1/Formula!$C$25))</f>
        <v>0.2857142857</v>
      </c>
      <c r="R968" s="15">
        <f t="shared" si="2"/>
        <v>0.2714285714</v>
      </c>
      <c r="S968" s="15">
        <f>IF(H968&lt;&gt;"",EXP(-Formula!$C$28*(EOMONTH(H968,0)-H968)),EXP(-Formula!$C$28*(EOMONTH(D968,0)-D968)))</f>
        <v>0.2865047969</v>
      </c>
      <c r="T968" s="15">
        <f t="shared" si="3"/>
        <v>0.2773500981</v>
      </c>
      <c r="U968" s="15">
        <f t="shared" si="4"/>
        <v>0.02156829338</v>
      </c>
      <c r="V968" s="16">
        <f>IF(AND(L968="Among all respondents",NOT(OR(K968="Online poll in Telegram channel",K968="Website online poll",K968="CAWI (Computer Assisted Web Interviewing)"))),1/(1-MIN(MAX(Formula!$C$33+(YEAR(D968)-Formula!$C$34)/(Formula!$C$35-Formula!$C$34)*(Formula!$C$32-Formula!$C$33),Formula!$C$33),Formula!$C$32)),1)</f>
        <v>1</v>
      </c>
      <c r="W968" s="17">
        <f t="shared" si="5"/>
        <v>6.3</v>
      </c>
    </row>
    <row r="969" ht="15.75" customHeight="1">
      <c r="A969" s="8" t="s">
        <v>1655</v>
      </c>
      <c r="B969" s="7" t="s">
        <v>1648</v>
      </c>
      <c r="C969" s="13" t="s">
        <v>1649</v>
      </c>
      <c r="D969" s="7" t="s">
        <v>157</v>
      </c>
      <c r="E969" s="8" t="s">
        <v>158</v>
      </c>
      <c r="F969" s="8" t="s">
        <v>318</v>
      </c>
      <c r="G969" s="7" t="s">
        <v>1512</v>
      </c>
      <c r="H969" s="7" t="s">
        <v>1624</v>
      </c>
      <c r="I969" s="8">
        <v>2027.0</v>
      </c>
      <c r="J969" s="8">
        <v>3.5</v>
      </c>
      <c r="K969" s="8" t="s">
        <v>583</v>
      </c>
      <c r="L969" s="8" t="s">
        <v>322</v>
      </c>
      <c r="M969" s="8" t="s">
        <v>1153</v>
      </c>
      <c r="N969" s="8">
        <v>5.8</v>
      </c>
      <c r="O969" s="14">
        <f t="shared" si="1"/>
        <v>44531</v>
      </c>
      <c r="P969" s="15">
        <f>IFERROR(VLOOKUP(K969,Formula!$A$11:$B$20,2,FALSE),Formula!$C$26)</f>
        <v>0.95</v>
      </c>
      <c r="Q969" s="15">
        <f>IF(AND(ISNUMBER(J969),J969&gt;0),1/J969,IF(AND(ISNUMBER(I969),I969&gt;0),SQRT(MIN(I969,Formula!$C$27))/Formula!$C$24,1/Formula!$C$25))</f>
        <v>0.2857142857</v>
      </c>
      <c r="R969" s="15">
        <f t="shared" si="2"/>
        <v>0.2714285714</v>
      </c>
      <c r="S969" s="15">
        <f>IF(H969&lt;&gt;"",EXP(-Formula!$C$28*(EOMONTH(H969,0)-H969)),EXP(-Formula!$C$28*(EOMONTH(D969,0)-D969)))</f>
        <v>0.2865047969</v>
      </c>
      <c r="T969" s="15">
        <f t="shared" si="3"/>
        <v>0.2773500981</v>
      </c>
      <c r="U969" s="15">
        <f t="shared" si="4"/>
        <v>0.02156829338</v>
      </c>
      <c r="V969" s="16">
        <f>IF(AND(L969="Among all respondents",NOT(OR(K969="Online poll in Telegram channel",K969="Website online poll",K969="CAWI (Computer Assisted Web Interviewing)"))),1/(1-MIN(MAX(Formula!$C$33+(YEAR(D969)-Formula!$C$34)/(Formula!$C$35-Formula!$C$34)*(Formula!$C$32-Formula!$C$33),Formula!$C$33),Formula!$C$32)),1)</f>
        <v>1</v>
      </c>
      <c r="W969" s="17">
        <f t="shared" si="5"/>
        <v>5.8</v>
      </c>
    </row>
    <row r="970" ht="15.75" customHeight="1">
      <c r="A970" s="8" t="s">
        <v>1656</v>
      </c>
      <c r="B970" s="7" t="s">
        <v>1648</v>
      </c>
      <c r="C970" s="13" t="s">
        <v>1649</v>
      </c>
      <c r="D970" s="7" t="s">
        <v>157</v>
      </c>
      <c r="E970" s="8" t="s">
        <v>158</v>
      </c>
      <c r="F970" s="8" t="s">
        <v>318</v>
      </c>
      <c r="G970" s="7" t="s">
        <v>1512</v>
      </c>
      <c r="H970" s="7" t="s">
        <v>1624</v>
      </c>
      <c r="I970" s="8">
        <v>2027.0</v>
      </c>
      <c r="J970" s="8">
        <v>3.5</v>
      </c>
      <c r="K970" s="8" t="s">
        <v>583</v>
      </c>
      <c r="L970" s="8" t="s">
        <v>322</v>
      </c>
      <c r="M970" s="8" t="s">
        <v>386</v>
      </c>
      <c r="N970" s="8">
        <v>4.2</v>
      </c>
      <c r="O970" s="14">
        <f t="shared" si="1"/>
        <v>44531</v>
      </c>
      <c r="P970" s="15">
        <f>IFERROR(VLOOKUP(K970,Formula!$A$11:$B$20,2,FALSE),Formula!$C$26)</f>
        <v>0.95</v>
      </c>
      <c r="Q970" s="15">
        <f>IF(AND(ISNUMBER(J970),J970&gt;0),1/J970,IF(AND(ISNUMBER(I970),I970&gt;0),SQRT(MIN(I970,Formula!$C$27))/Formula!$C$24,1/Formula!$C$25))</f>
        <v>0.2857142857</v>
      </c>
      <c r="R970" s="15">
        <f t="shared" si="2"/>
        <v>0.2714285714</v>
      </c>
      <c r="S970" s="15">
        <f>IF(H970&lt;&gt;"",EXP(-Formula!$C$28*(EOMONTH(H970,0)-H970)),EXP(-Formula!$C$28*(EOMONTH(D970,0)-D970)))</f>
        <v>0.2865047969</v>
      </c>
      <c r="T970" s="15">
        <f t="shared" si="3"/>
        <v>0.2773500981</v>
      </c>
      <c r="U970" s="15">
        <f t="shared" si="4"/>
        <v>0.02156829338</v>
      </c>
      <c r="V970" s="16">
        <f>IF(AND(L970="Among all respondents",NOT(OR(K970="Online poll in Telegram channel",K970="Website online poll",K970="CAWI (Computer Assisted Web Interviewing)"))),1/(1-MIN(MAX(Formula!$C$33+(YEAR(D970)-Formula!$C$34)/(Formula!$C$35-Formula!$C$34)*(Formula!$C$32-Formula!$C$33),Formula!$C$33),Formula!$C$32)),1)</f>
        <v>1</v>
      </c>
      <c r="W970" s="17">
        <f t="shared" si="5"/>
        <v>4.2</v>
      </c>
    </row>
    <row r="971" ht="15.75" customHeight="1">
      <c r="A971" s="8" t="s">
        <v>1657</v>
      </c>
      <c r="B971" s="7" t="s">
        <v>1648</v>
      </c>
      <c r="C971" s="13" t="s">
        <v>1649</v>
      </c>
      <c r="D971" s="7" t="s">
        <v>157</v>
      </c>
      <c r="E971" s="8" t="s">
        <v>158</v>
      </c>
      <c r="F971" s="8" t="s">
        <v>318</v>
      </c>
      <c r="G971" s="7" t="s">
        <v>1512</v>
      </c>
      <c r="H971" s="7" t="s">
        <v>1624</v>
      </c>
      <c r="I971" s="8">
        <v>2027.0</v>
      </c>
      <c r="J971" s="8">
        <v>3.5</v>
      </c>
      <c r="K971" s="8" t="s">
        <v>583</v>
      </c>
      <c r="L971" s="8" t="s">
        <v>322</v>
      </c>
      <c r="M971" s="8" t="s">
        <v>388</v>
      </c>
      <c r="N971" s="8">
        <v>3.0</v>
      </c>
      <c r="O971" s="14">
        <f t="shared" si="1"/>
        <v>44531</v>
      </c>
      <c r="P971" s="15">
        <f>IFERROR(VLOOKUP(K971,Formula!$A$11:$B$20,2,FALSE),Formula!$C$26)</f>
        <v>0.95</v>
      </c>
      <c r="Q971" s="15">
        <f>IF(AND(ISNUMBER(J971),J971&gt;0),1/J971,IF(AND(ISNUMBER(I971),I971&gt;0),SQRT(MIN(I971,Formula!$C$27))/Formula!$C$24,1/Formula!$C$25))</f>
        <v>0.2857142857</v>
      </c>
      <c r="R971" s="15">
        <f t="shared" si="2"/>
        <v>0.2714285714</v>
      </c>
      <c r="S971" s="15">
        <f>IF(H971&lt;&gt;"",EXP(-Formula!$C$28*(EOMONTH(H971,0)-H971)),EXP(-Formula!$C$28*(EOMONTH(D971,0)-D971)))</f>
        <v>0.2865047969</v>
      </c>
      <c r="T971" s="15">
        <f t="shared" si="3"/>
        <v>0.2773500981</v>
      </c>
      <c r="U971" s="15">
        <f t="shared" si="4"/>
        <v>0.02156829338</v>
      </c>
      <c r="V971" s="16">
        <f>IF(AND(L971="Among all respondents",NOT(OR(K971="Online poll in Telegram channel",K971="Website online poll",K971="CAWI (Computer Assisted Web Interviewing)"))),1/(1-MIN(MAX(Formula!$C$33+(YEAR(D971)-Formula!$C$34)/(Formula!$C$35-Formula!$C$34)*(Formula!$C$32-Formula!$C$33),Formula!$C$33),Formula!$C$32)),1)</f>
        <v>1</v>
      </c>
      <c r="W971" s="17">
        <f t="shared" si="5"/>
        <v>3</v>
      </c>
    </row>
    <row r="972" ht="15.75" customHeight="1">
      <c r="A972" s="8" t="s">
        <v>1658</v>
      </c>
      <c r="B972" s="7" t="s">
        <v>1648</v>
      </c>
      <c r="C972" s="13" t="s">
        <v>1649</v>
      </c>
      <c r="D972" s="7" t="s">
        <v>157</v>
      </c>
      <c r="E972" s="8" t="s">
        <v>158</v>
      </c>
      <c r="F972" s="8" t="s">
        <v>318</v>
      </c>
      <c r="G972" s="7" t="s">
        <v>1512</v>
      </c>
      <c r="H972" s="7" t="s">
        <v>1624</v>
      </c>
      <c r="I972" s="8">
        <v>2027.0</v>
      </c>
      <c r="J972" s="8">
        <v>3.5</v>
      </c>
      <c r="K972" s="8" t="s">
        <v>583</v>
      </c>
      <c r="L972" s="8" t="s">
        <v>322</v>
      </c>
      <c r="M972" s="8" t="s">
        <v>343</v>
      </c>
      <c r="N972" s="8">
        <v>1.6</v>
      </c>
      <c r="O972" s="14">
        <f t="shared" si="1"/>
        <v>44531</v>
      </c>
      <c r="P972" s="15">
        <f>IFERROR(VLOOKUP(K972,Formula!$A$11:$B$20,2,FALSE),Formula!$C$26)</f>
        <v>0.95</v>
      </c>
      <c r="Q972" s="15">
        <f>IF(AND(ISNUMBER(J972),J972&gt;0),1/J972,IF(AND(ISNUMBER(I972),I972&gt;0),SQRT(MIN(I972,Formula!$C$27))/Formula!$C$24,1/Formula!$C$25))</f>
        <v>0.2857142857</v>
      </c>
      <c r="R972" s="15">
        <f t="shared" si="2"/>
        <v>0.2714285714</v>
      </c>
      <c r="S972" s="15">
        <f>IF(H972&lt;&gt;"",EXP(-Formula!$C$28*(EOMONTH(H972,0)-H972)),EXP(-Formula!$C$28*(EOMONTH(D972,0)-D972)))</f>
        <v>0.2865047969</v>
      </c>
      <c r="T972" s="15">
        <f t="shared" si="3"/>
        <v>0.2773500981</v>
      </c>
      <c r="U972" s="15">
        <f t="shared" si="4"/>
        <v>0.02156829338</v>
      </c>
      <c r="V972" s="16">
        <f>IF(AND(L972="Among all respondents",NOT(OR(K972="Online poll in Telegram channel",K972="Website online poll",K972="CAWI (Computer Assisted Web Interviewing)"))),1/(1-MIN(MAX(Formula!$C$33+(YEAR(D972)-Formula!$C$34)/(Formula!$C$35-Formula!$C$34)*(Formula!$C$32-Formula!$C$33),Formula!$C$33),Formula!$C$32)),1)</f>
        <v>1</v>
      </c>
      <c r="W972" s="17">
        <f t="shared" si="5"/>
        <v>1.6</v>
      </c>
    </row>
    <row r="973" ht="15.75" customHeight="1">
      <c r="A973" s="8" t="s">
        <v>1659</v>
      </c>
      <c r="B973" s="7" t="s">
        <v>1648</v>
      </c>
      <c r="C973" s="13" t="s">
        <v>1649</v>
      </c>
      <c r="D973" s="7" t="s">
        <v>157</v>
      </c>
      <c r="E973" s="8" t="s">
        <v>158</v>
      </c>
      <c r="F973" s="8" t="s">
        <v>318</v>
      </c>
      <c r="G973" s="7" t="s">
        <v>1512</v>
      </c>
      <c r="H973" s="7" t="s">
        <v>1624</v>
      </c>
      <c r="I973" s="8">
        <v>2027.0</v>
      </c>
      <c r="J973" s="8">
        <v>3.5</v>
      </c>
      <c r="K973" s="8" t="s">
        <v>583</v>
      </c>
      <c r="L973" s="8" t="s">
        <v>322</v>
      </c>
      <c r="M973" s="8" t="s">
        <v>740</v>
      </c>
      <c r="N973" s="8">
        <v>1.3</v>
      </c>
      <c r="O973" s="14">
        <f t="shared" si="1"/>
        <v>44531</v>
      </c>
      <c r="P973" s="15">
        <f>IFERROR(VLOOKUP(K973,Formula!$A$11:$B$20,2,FALSE),Formula!$C$26)</f>
        <v>0.95</v>
      </c>
      <c r="Q973" s="15">
        <f>IF(AND(ISNUMBER(J973),J973&gt;0),1/J973,IF(AND(ISNUMBER(I973),I973&gt;0),SQRT(MIN(I973,Formula!$C$27))/Formula!$C$24,1/Formula!$C$25))</f>
        <v>0.2857142857</v>
      </c>
      <c r="R973" s="15">
        <f t="shared" si="2"/>
        <v>0.2714285714</v>
      </c>
      <c r="S973" s="15">
        <f>IF(H973&lt;&gt;"",EXP(-Formula!$C$28*(EOMONTH(H973,0)-H973)),EXP(-Formula!$C$28*(EOMONTH(D973,0)-D973)))</f>
        <v>0.2865047969</v>
      </c>
      <c r="T973" s="15">
        <f t="shared" si="3"/>
        <v>0.2773500981</v>
      </c>
      <c r="U973" s="15">
        <f t="shared" si="4"/>
        <v>0.02156829338</v>
      </c>
      <c r="V973" s="16">
        <f>IF(AND(L973="Among all respondents",NOT(OR(K973="Online poll in Telegram channel",K973="Website online poll",K973="CAWI (Computer Assisted Web Interviewing)"))),1/(1-MIN(MAX(Formula!$C$33+(YEAR(D973)-Formula!$C$34)/(Formula!$C$35-Formula!$C$34)*(Formula!$C$32-Formula!$C$33),Formula!$C$33),Formula!$C$32)),1)</f>
        <v>1</v>
      </c>
      <c r="W973" s="17">
        <f t="shared" si="5"/>
        <v>1.3</v>
      </c>
    </row>
    <row r="974" ht="15.75" customHeight="1">
      <c r="A974" s="8" t="s">
        <v>1660</v>
      </c>
      <c r="B974" s="7" t="s">
        <v>1648</v>
      </c>
      <c r="C974" s="13" t="s">
        <v>1649</v>
      </c>
      <c r="D974" s="7" t="s">
        <v>157</v>
      </c>
      <c r="E974" s="8" t="s">
        <v>158</v>
      </c>
      <c r="F974" s="8" t="s">
        <v>318</v>
      </c>
      <c r="G974" s="7" t="s">
        <v>1512</v>
      </c>
      <c r="H974" s="7" t="s">
        <v>1624</v>
      </c>
      <c r="I974" s="8">
        <v>2027.0</v>
      </c>
      <c r="J974" s="8">
        <v>3.5</v>
      </c>
      <c r="K974" s="8" t="s">
        <v>583</v>
      </c>
      <c r="L974" s="8" t="s">
        <v>322</v>
      </c>
      <c r="M974" s="8" t="s">
        <v>1661</v>
      </c>
      <c r="N974" s="8">
        <v>0.3</v>
      </c>
      <c r="O974" s="14">
        <f t="shared" si="1"/>
        <v>44531</v>
      </c>
      <c r="P974" s="15">
        <f>IFERROR(VLOOKUP(K974,Formula!$A$11:$B$20,2,FALSE),Formula!$C$26)</f>
        <v>0.95</v>
      </c>
      <c r="Q974" s="15">
        <f>IF(AND(ISNUMBER(J974),J974&gt;0),1/J974,IF(AND(ISNUMBER(I974),I974&gt;0),SQRT(MIN(I974,Formula!$C$27))/Formula!$C$24,1/Formula!$C$25))</f>
        <v>0.2857142857</v>
      </c>
      <c r="R974" s="15">
        <f t="shared" si="2"/>
        <v>0.2714285714</v>
      </c>
      <c r="S974" s="15">
        <f>IF(H974&lt;&gt;"",EXP(-Formula!$C$28*(EOMONTH(H974,0)-H974)),EXP(-Formula!$C$28*(EOMONTH(D974,0)-D974)))</f>
        <v>0.2865047969</v>
      </c>
      <c r="T974" s="15">
        <f t="shared" si="3"/>
        <v>0.2773500981</v>
      </c>
      <c r="U974" s="15">
        <f t="shared" si="4"/>
        <v>0.02156829338</v>
      </c>
      <c r="V974" s="16">
        <f>IF(AND(L974="Among all respondents",NOT(OR(K974="Online poll in Telegram channel",K974="Website online poll",K974="CAWI (Computer Assisted Web Interviewing)"))),1/(1-MIN(MAX(Formula!$C$33+(YEAR(D974)-Formula!$C$34)/(Formula!$C$35-Formula!$C$34)*(Formula!$C$32-Formula!$C$33),Formula!$C$33),Formula!$C$32)),1)</f>
        <v>1</v>
      </c>
      <c r="W974" s="17">
        <f t="shared" si="5"/>
        <v>0.3</v>
      </c>
    </row>
    <row r="975" ht="15.75" customHeight="1">
      <c r="A975" s="8" t="s">
        <v>1662</v>
      </c>
      <c r="B975" s="7" t="s">
        <v>1648</v>
      </c>
      <c r="C975" s="13" t="s">
        <v>1649</v>
      </c>
      <c r="D975" s="7" t="s">
        <v>157</v>
      </c>
      <c r="E975" s="8" t="s">
        <v>158</v>
      </c>
      <c r="F975" s="8" t="s">
        <v>318</v>
      </c>
      <c r="G975" s="7" t="s">
        <v>1512</v>
      </c>
      <c r="H975" s="7" t="s">
        <v>1624</v>
      </c>
      <c r="I975" s="8">
        <v>2027.0</v>
      </c>
      <c r="J975" s="8">
        <v>3.5</v>
      </c>
      <c r="K975" s="8" t="s">
        <v>583</v>
      </c>
      <c r="L975" s="8" t="s">
        <v>322</v>
      </c>
      <c r="M975" s="8" t="s">
        <v>1663</v>
      </c>
      <c r="N975" s="8">
        <v>0.3</v>
      </c>
      <c r="O975" s="14">
        <f t="shared" si="1"/>
        <v>44531</v>
      </c>
      <c r="P975" s="15">
        <f>IFERROR(VLOOKUP(K975,Formula!$A$11:$B$20,2,FALSE),Formula!$C$26)</f>
        <v>0.95</v>
      </c>
      <c r="Q975" s="15">
        <f>IF(AND(ISNUMBER(J975),J975&gt;0),1/J975,IF(AND(ISNUMBER(I975),I975&gt;0),SQRT(MIN(I975,Formula!$C$27))/Formula!$C$24,1/Formula!$C$25))</f>
        <v>0.2857142857</v>
      </c>
      <c r="R975" s="15">
        <f t="shared" si="2"/>
        <v>0.2714285714</v>
      </c>
      <c r="S975" s="15">
        <f>IF(H975&lt;&gt;"",EXP(-Formula!$C$28*(EOMONTH(H975,0)-H975)),EXP(-Formula!$C$28*(EOMONTH(D975,0)-D975)))</f>
        <v>0.2865047969</v>
      </c>
      <c r="T975" s="15">
        <f t="shared" si="3"/>
        <v>0.2773500981</v>
      </c>
      <c r="U975" s="15">
        <f t="shared" si="4"/>
        <v>0.02156829338</v>
      </c>
      <c r="V975" s="16">
        <f>IF(AND(L975="Among all respondents",NOT(OR(K975="Online poll in Telegram channel",K975="Website online poll",K975="CAWI (Computer Assisted Web Interviewing)"))),1/(1-MIN(MAX(Formula!$C$33+(YEAR(D975)-Formula!$C$34)/(Formula!$C$35-Formula!$C$34)*(Formula!$C$32-Formula!$C$33),Formula!$C$33),Formula!$C$32)),1)</f>
        <v>1</v>
      </c>
      <c r="W975" s="17">
        <f t="shared" si="5"/>
        <v>0.3</v>
      </c>
    </row>
    <row r="976" ht="15.75" customHeight="1">
      <c r="A976" s="8" t="s">
        <v>1664</v>
      </c>
      <c r="B976" s="7" t="s">
        <v>1665</v>
      </c>
      <c r="C976" s="13" t="s">
        <v>1666</v>
      </c>
      <c r="D976" s="7" t="s">
        <v>159</v>
      </c>
      <c r="E976" s="8" t="s">
        <v>106</v>
      </c>
      <c r="F976" s="8" t="s">
        <v>318</v>
      </c>
      <c r="G976" s="7" t="s">
        <v>166</v>
      </c>
      <c r="H976" s="7" t="s">
        <v>1667</v>
      </c>
      <c r="I976" s="8">
        <v>2018.0</v>
      </c>
      <c r="J976" s="8">
        <v>2.3</v>
      </c>
      <c r="K976" s="8" t="s">
        <v>583</v>
      </c>
      <c r="L976" s="8" t="s">
        <v>322</v>
      </c>
      <c r="M976" s="8" t="s">
        <v>323</v>
      </c>
      <c r="N976" s="8">
        <v>25.2</v>
      </c>
      <c r="O976" s="14">
        <f t="shared" si="1"/>
        <v>44501</v>
      </c>
      <c r="P976" s="15">
        <f>IFERROR(VLOOKUP(K976,Formula!$A$11:$B$20,2,FALSE),Formula!$C$26)</f>
        <v>0.95</v>
      </c>
      <c r="Q976" s="15">
        <f>IF(AND(ISNUMBER(J976),J976&gt;0),1/J976,IF(AND(ISNUMBER(I976),I976&gt;0),SQRT(MIN(I976,Formula!$C$27))/Formula!$C$24,1/Formula!$C$25))</f>
        <v>0.4347826087</v>
      </c>
      <c r="R976" s="15">
        <f t="shared" si="2"/>
        <v>0.4130434783</v>
      </c>
      <c r="S976" s="15">
        <f>IF(H976&lt;&gt;"",EXP(-Formula!$C$28*(EOMONTH(H976,0)-H976)),EXP(-Formula!$C$28*(EOMONTH(D976,0)-D976)))</f>
        <v>0.5220457768</v>
      </c>
      <c r="T976" s="15">
        <f t="shared" si="3"/>
        <v>0.2773500981</v>
      </c>
      <c r="U976" s="15">
        <f t="shared" si="4"/>
        <v>0.05980433697</v>
      </c>
      <c r="V976" s="16">
        <f>IF(AND(L976="Among all respondents",NOT(OR(K976="Online poll in Telegram channel",K976="Website online poll",K976="CAWI (Computer Assisted Web Interviewing)"))),1/(1-MIN(MAX(Formula!$C$33+(YEAR(D976)-Formula!$C$34)/(Formula!$C$35-Formula!$C$34)*(Formula!$C$32-Formula!$C$33),Formula!$C$33),Formula!$C$32)),1)</f>
        <v>1</v>
      </c>
      <c r="W976" s="17">
        <f t="shared" si="5"/>
        <v>25.2</v>
      </c>
    </row>
    <row r="977" ht="15.75" customHeight="1">
      <c r="A977" s="8" t="s">
        <v>1668</v>
      </c>
      <c r="B977" s="7" t="s">
        <v>1665</v>
      </c>
      <c r="C977" s="13" t="s">
        <v>1666</v>
      </c>
      <c r="D977" s="7" t="s">
        <v>159</v>
      </c>
      <c r="E977" s="8" t="s">
        <v>106</v>
      </c>
      <c r="F977" s="8" t="s">
        <v>318</v>
      </c>
      <c r="G977" s="7" t="s">
        <v>166</v>
      </c>
      <c r="H977" s="7" t="s">
        <v>1667</v>
      </c>
      <c r="I977" s="8">
        <v>2018.0</v>
      </c>
      <c r="J977" s="8">
        <v>2.3</v>
      </c>
      <c r="K977" s="8" t="s">
        <v>583</v>
      </c>
      <c r="L977" s="8" t="s">
        <v>322</v>
      </c>
      <c r="M977" s="8" t="s">
        <v>329</v>
      </c>
      <c r="N977" s="8">
        <v>17.5</v>
      </c>
      <c r="O977" s="14">
        <f t="shared" si="1"/>
        <v>44501</v>
      </c>
      <c r="P977" s="15">
        <f>IFERROR(VLOOKUP(K977,Formula!$A$11:$B$20,2,FALSE),Formula!$C$26)</f>
        <v>0.95</v>
      </c>
      <c r="Q977" s="15">
        <f>IF(AND(ISNUMBER(J977),J977&gt;0),1/J977,IF(AND(ISNUMBER(I977),I977&gt;0),SQRT(MIN(I977,Formula!$C$27))/Formula!$C$24,1/Formula!$C$25))</f>
        <v>0.4347826087</v>
      </c>
      <c r="R977" s="15">
        <f t="shared" si="2"/>
        <v>0.4130434783</v>
      </c>
      <c r="S977" s="15">
        <f>IF(H977&lt;&gt;"",EXP(-Formula!$C$28*(EOMONTH(H977,0)-H977)),EXP(-Formula!$C$28*(EOMONTH(D977,0)-D977)))</f>
        <v>0.5220457768</v>
      </c>
      <c r="T977" s="15">
        <f t="shared" si="3"/>
        <v>0.2773500981</v>
      </c>
      <c r="U977" s="15">
        <f t="shared" si="4"/>
        <v>0.05980433697</v>
      </c>
      <c r="V977" s="16">
        <f>IF(AND(L977="Among all respondents",NOT(OR(K977="Online poll in Telegram channel",K977="Website online poll",K977="CAWI (Computer Assisted Web Interviewing)"))),1/(1-MIN(MAX(Formula!$C$33+(YEAR(D977)-Formula!$C$34)/(Formula!$C$35-Formula!$C$34)*(Formula!$C$32-Formula!$C$33),Formula!$C$33),Formula!$C$32)),1)</f>
        <v>1</v>
      </c>
      <c r="W977" s="17">
        <f t="shared" si="5"/>
        <v>17.5</v>
      </c>
    </row>
    <row r="978" ht="15.75" customHeight="1">
      <c r="A978" s="8" t="s">
        <v>1669</v>
      </c>
      <c r="B978" s="7" t="s">
        <v>1665</v>
      </c>
      <c r="C978" s="13" t="s">
        <v>1666</v>
      </c>
      <c r="D978" s="7" t="s">
        <v>159</v>
      </c>
      <c r="E978" s="8" t="s">
        <v>106</v>
      </c>
      <c r="F978" s="8" t="s">
        <v>318</v>
      </c>
      <c r="G978" s="7" t="s">
        <v>166</v>
      </c>
      <c r="H978" s="7" t="s">
        <v>1667</v>
      </c>
      <c r="I978" s="8">
        <v>2018.0</v>
      </c>
      <c r="J978" s="8">
        <v>2.3</v>
      </c>
      <c r="K978" s="8" t="s">
        <v>583</v>
      </c>
      <c r="L978" s="8" t="s">
        <v>322</v>
      </c>
      <c r="M978" s="8" t="s">
        <v>365</v>
      </c>
      <c r="N978" s="8">
        <v>10.9</v>
      </c>
      <c r="O978" s="14">
        <f t="shared" si="1"/>
        <v>44501</v>
      </c>
      <c r="P978" s="15">
        <f>IFERROR(VLOOKUP(K978,Formula!$A$11:$B$20,2,FALSE),Formula!$C$26)</f>
        <v>0.95</v>
      </c>
      <c r="Q978" s="15">
        <f>IF(AND(ISNUMBER(J978),J978&gt;0),1/J978,IF(AND(ISNUMBER(I978),I978&gt;0),SQRT(MIN(I978,Formula!$C$27))/Formula!$C$24,1/Formula!$C$25))</f>
        <v>0.4347826087</v>
      </c>
      <c r="R978" s="15">
        <f t="shared" si="2"/>
        <v>0.4130434783</v>
      </c>
      <c r="S978" s="15">
        <f>IF(H978&lt;&gt;"",EXP(-Formula!$C$28*(EOMONTH(H978,0)-H978)),EXP(-Formula!$C$28*(EOMONTH(D978,0)-D978)))</f>
        <v>0.5220457768</v>
      </c>
      <c r="T978" s="15">
        <f t="shared" si="3"/>
        <v>0.2773500981</v>
      </c>
      <c r="U978" s="15">
        <f t="shared" si="4"/>
        <v>0.05980433697</v>
      </c>
      <c r="V978" s="16">
        <f>IF(AND(L978="Among all respondents",NOT(OR(K978="Online poll in Telegram channel",K978="Website online poll",K978="CAWI (Computer Assisted Web Interviewing)"))),1/(1-MIN(MAX(Formula!$C$33+(YEAR(D978)-Formula!$C$34)/(Formula!$C$35-Formula!$C$34)*(Formula!$C$32-Formula!$C$33),Formula!$C$33),Formula!$C$32)),1)</f>
        <v>1</v>
      </c>
      <c r="W978" s="17">
        <f t="shared" si="5"/>
        <v>10.9</v>
      </c>
    </row>
    <row r="979" ht="15.75" customHeight="1">
      <c r="A979" s="8" t="s">
        <v>1670</v>
      </c>
      <c r="B979" s="7" t="s">
        <v>1665</v>
      </c>
      <c r="C979" s="13" t="s">
        <v>1666</v>
      </c>
      <c r="D979" s="7" t="s">
        <v>159</v>
      </c>
      <c r="E979" s="8" t="s">
        <v>106</v>
      </c>
      <c r="F979" s="8" t="s">
        <v>318</v>
      </c>
      <c r="G979" s="7" t="s">
        <v>166</v>
      </c>
      <c r="H979" s="7" t="s">
        <v>1667</v>
      </c>
      <c r="I979" s="8">
        <v>2018.0</v>
      </c>
      <c r="J979" s="8">
        <v>2.3</v>
      </c>
      <c r="K979" s="8" t="s">
        <v>583</v>
      </c>
      <c r="L979" s="8" t="s">
        <v>322</v>
      </c>
      <c r="M979" s="8" t="s">
        <v>337</v>
      </c>
      <c r="N979" s="8">
        <v>9.4</v>
      </c>
      <c r="O979" s="14">
        <f t="shared" si="1"/>
        <v>44501</v>
      </c>
      <c r="P979" s="15">
        <f>IFERROR(VLOOKUP(K979,Formula!$A$11:$B$20,2,FALSE),Formula!$C$26)</f>
        <v>0.95</v>
      </c>
      <c r="Q979" s="15">
        <f>IF(AND(ISNUMBER(J979),J979&gt;0),1/J979,IF(AND(ISNUMBER(I979),I979&gt;0),SQRT(MIN(I979,Formula!$C$27))/Formula!$C$24,1/Formula!$C$25))</f>
        <v>0.4347826087</v>
      </c>
      <c r="R979" s="15">
        <f t="shared" si="2"/>
        <v>0.4130434783</v>
      </c>
      <c r="S979" s="15">
        <f>IF(H979&lt;&gt;"",EXP(-Formula!$C$28*(EOMONTH(H979,0)-H979)),EXP(-Formula!$C$28*(EOMONTH(D979,0)-D979)))</f>
        <v>0.5220457768</v>
      </c>
      <c r="T979" s="15">
        <f t="shared" si="3"/>
        <v>0.2773500981</v>
      </c>
      <c r="U979" s="15">
        <f t="shared" si="4"/>
        <v>0.05980433697</v>
      </c>
      <c r="V979" s="16">
        <f>IF(AND(L979="Among all respondents",NOT(OR(K979="Online poll in Telegram channel",K979="Website online poll",K979="CAWI (Computer Assisted Web Interviewing)"))),1/(1-MIN(MAX(Formula!$C$33+(YEAR(D979)-Formula!$C$34)/(Formula!$C$35-Formula!$C$34)*(Formula!$C$32-Formula!$C$33),Formula!$C$33),Formula!$C$32)),1)</f>
        <v>1</v>
      </c>
      <c r="W979" s="17">
        <f t="shared" si="5"/>
        <v>9.4</v>
      </c>
    </row>
    <row r="980" ht="15.75" customHeight="1">
      <c r="A980" s="8" t="s">
        <v>1671</v>
      </c>
      <c r="B980" s="7" t="s">
        <v>1665</v>
      </c>
      <c r="C980" s="13" t="s">
        <v>1666</v>
      </c>
      <c r="D980" s="7" t="s">
        <v>159</v>
      </c>
      <c r="E980" s="8" t="s">
        <v>106</v>
      </c>
      <c r="F980" s="8" t="s">
        <v>318</v>
      </c>
      <c r="G980" s="7" t="s">
        <v>166</v>
      </c>
      <c r="H980" s="7" t="s">
        <v>1667</v>
      </c>
      <c r="I980" s="8">
        <v>2018.0</v>
      </c>
      <c r="J980" s="8">
        <v>2.3</v>
      </c>
      <c r="K980" s="8" t="s">
        <v>583</v>
      </c>
      <c r="L980" s="8" t="s">
        <v>322</v>
      </c>
      <c r="M980" s="8" t="s">
        <v>333</v>
      </c>
      <c r="N980" s="8">
        <v>7.5</v>
      </c>
      <c r="O980" s="14">
        <f t="shared" si="1"/>
        <v>44501</v>
      </c>
      <c r="P980" s="15">
        <f>IFERROR(VLOOKUP(K980,Formula!$A$11:$B$20,2,FALSE),Formula!$C$26)</f>
        <v>0.95</v>
      </c>
      <c r="Q980" s="15">
        <f>IF(AND(ISNUMBER(J980),J980&gt;0),1/J980,IF(AND(ISNUMBER(I980),I980&gt;0),SQRT(MIN(I980,Formula!$C$27))/Formula!$C$24,1/Formula!$C$25))</f>
        <v>0.4347826087</v>
      </c>
      <c r="R980" s="15">
        <f t="shared" si="2"/>
        <v>0.4130434783</v>
      </c>
      <c r="S980" s="15">
        <f>IF(H980&lt;&gt;"",EXP(-Formula!$C$28*(EOMONTH(H980,0)-H980)),EXP(-Formula!$C$28*(EOMONTH(D980,0)-D980)))</f>
        <v>0.5220457768</v>
      </c>
      <c r="T980" s="15">
        <f t="shared" si="3"/>
        <v>0.2773500981</v>
      </c>
      <c r="U980" s="15">
        <f t="shared" si="4"/>
        <v>0.05980433697</v>
      </c>
      <c r="V980" s="16">
        <f>IF(AND(L980="Among all respondents",NOT(OR(K980="Online poll in Telegram channel",K980="Website online poll",K980="CAWI (Computer Assisted Web Interviewing)"))),1/(1-MIN(MAX(Formula!$C$33+(YEAR(D980)-Formula!$C$34)/(Formula!$C$35-Formula!$C$34)*(Formula!$C$32-Formula!$C$33),Formula!$C$33),Formula!$C$32)),1)</f>
        <v>1</v>
      </c>
      <c r="W980" s="17">
        <f t="shared" si="5"/>
        <v>7.5</v>
      </c>
    </row>
    <row r="981" ht="15.75" customHeight="1">
      <c r="A981" s="8" t="s">
        <v>1672</v>
      </c>
      <c r="B981" s="7" t="s">
        <v>1665</v>
      </c>
      <c r="C981" s="13" t="s">
        <v>1666</v>
      </c>
      <c r="D981" s="7" t="s">
        <v>159</v>
      </c>
      <c r="E981" s="8" t="s">
        <v>106</v>
      </c>
      <c r="F981" s="8" t="s">
        <v>318</v>
      </c>
      <c r="G981" s="7" t="s">
        <v>166</v>
      </c>
      <c r="H981" s="7" t="s">
        <v>1667</v>
      </c>
      <c r="I981" s="8">
        <v>2018.0</v>
      </c>
      <c r="J981" s="8">
        <v>2.3</v>
      </c>
      <c r="K981" s="8" t="s">
        <v>583</v>
      </c>
      <c r="L981" s="8" t="s">
        <v>322</v>
      </c>
      <c r="M981" s="8" t="s">
        <v>828</v>
      </c>
      <c r="N981" s="8">
        <v>5.2</v>
      </c>
      <c r="O981" s="14">
        <f t="shared" si="1"/>
        <v>44501</v>
      </c>
      <c r="P981" s="15">
        <f>IFERROR(VLOOKUP(K981,Formula!$A$11:$B$20,2,FALSE),Formula!$C$26)</f>
        <v>0.95</v>
      </c>
      <c r="Q981" s="15">
        <f>IF(AND(ISNUMBER(J981),J981&gt;0),1/J981,IF(AND(ISNUMBER(I981),I981&gt;0),SQRT(MIN(I981,Formula!$C$27))/Formula!$C$24,1/Formula!$C$25))</f>
        <v>0.4347826087</v>
      </c>
      <c r="R981" s="15">
        <f t="shared" si="2"/>
        <v>0.4130434783</v>
      </c>
      <c r="S981" s="15">
        <f>IF(H981&lt;&gt;"",EXP(-Formula!$C$28*(EOMONTH(H981,0)-H981)),EXP(-Formula!$C$28*(EOMONTH(D981,0)-D981)))</f>
        <v>0.5220457768</v>
      </c>
      <c r="T981" s="15">
        <f t="shared" si="3"/>
        <v>0.2773500981</v>
      </c>
      <c r="U981" s="15">
        <f t="shared" si="4"/>
        <v>0.05980433697</v>
      </c>
      <c r="V981" s="16">
        <f>IF(AND(L981="Among all respondents",NOT(OR(K981="Online poll in Telegram channel",K981="Website online poll",K981="CAWI (Computer Assisted Web Interviewing)"))),1/(1-MIN(MAX(Formula!$C$33+(YEAR(D981)-Formula!$C$34)/(Formula!$C$35-Formula!$C$34)*(Formula!$C$32-Formula!$C$33),Formula!$C$33),Formula!$C$32)),1)</f>
        <v>1</v>
      </c>
      <c r="W981" s="17">
        <f t="shared" si="5"/>
        <v>5.2</v>
      </c>
    </row>
    <row r="982" ht="15.75" customHeight="1">
      <c r="A982" s="8" t="s">
        <v>1673</v>
      </c>
      <c r="B982" s="7" t="s">
        <v>1665</v>
      </c>
      <c r="C982" s="13" t="s">
        <v>1666</v>
      </c>
      <c r="D982" s="7" t="s">
        <v>159</v>
      </c>
      <c r="E982" s="8" t="s">
        <v>106</v>
      </c>
      <c r="F982" s="8" t="s">
        <v>318</v>
      </c>
      <c r="G982" s="7" t="s">
        <v>166</v>
      </c>
      <c r="H982" s="7" t="s">
        <v>1667</v>
      </c>
      <c r="I982" s="8">
        <v>2018.0</v>
      </c>
      <c r="J982" s="8">
        <v>2.3</v>
      </c>
      <c r="K982" s="8" t="s">
        <v>583</v>
      </c>
      <c r="L982" s="8" t="s">
        <v>322</v>
      </c>
      <c r="M982" s="8" t="s">
        <v>386</v>
      </c>
      <c r="N982" s="8">
        <v>4.9</v>
      </c>
      <c r="O982" s="14">
        <f t="shared" si="1"/>
        <v>44501</v>
      </c>
      <c r="P982" s="15">
        <f>IFERROR(VLOOKUP(K982,Formula!$A$11:$B$20,2,FALSE),Formula!$C$26)</f>
        <v>0.95</v>
      </c>
      <c r="Q982" s="15">
        <f>IF(AND(ISNUMBER(J982),J982&gt;0),1/J982,IF(AND(ISNUMBER(I982),I982&gt;0),SQRT(MIN(I982,Formula!$C$27))/Formula!$C$24,1/Formula!$C$25))</f>
        <v>0.4347826087</v>
      </c>
      <c r="R982" s="15">
        <f t="shared" si="2"/>
        <v>0.4130434783</v>
      </c>
      <c r="S982" s="15">
        <f>IF(H982&lt;&gt;"",EXP(-Formula!$C$28*(EOMONTH(H982,0)-H982)),EXP(-Formula!$C$28*(EOMONTH(D982,0)-D982)))</f>
        <v>0.5220457768</v>
      </c>
      <c r="T982" s="15">
        <f t="shared" si="3"/>
        <v>0.2773500981</v>
      </c>
      <c r="U982" s="15">
        <f t="shared" si="4"/>
        <v>0.05980433697</v>
      </c>
      <c r="V982" s="16">
        <f>IF(AND(L982="Among all respondents",NOT(OR(K982="Online poll in Telegram channel",K982="Website online poll",K982="CAWI (Computer Assisted Web Interviewing)"))),1/(1-MIN(MAX(Formula!$C$33+(YEAR(D982)-Formula!$C$34)/(Formula!$C$35-Formula!$C$34)*(Formula!$C$32-Formula!$C$33),Formula!$C$33),Formula!$C$32)),1)</f>
        <v>1</v>
      </c>
      <c r="W982" s="17">
        <f t="shared" si="5"/>
        <v>4.9</v>
      </c>
    </row>
    <row r="983" ht="15.75" customHeight="1">
      <c r="A983" s="8" t="s">
        <v>1674</v>
      </c>
      <c r="B983" s="7" t="s">
        <v>1665</v>
      </c>
      <c r="C983" s="13" t="s">
        <v>1666</v>
      </c>
      <c r="D983" s="7" t="s">
        <v>159</v>
      </c>
      <c r="E983" s="8" t="s">
        <v>106</v>
      </c>
      <c r="F983" s="8" t="s">
        <v>318</v>
      </c>
      <c r="G983" s="7" t="s">
        <v>166</v>
      </c>
      <c r="H983" s="7" t="s">
        <v>1667</v>
      </c>
      <c r="I983" s="8">
        <v>2018.0</v>
      </c>
      <c r="J983" s="8">
        <v>2.3</v>
      </c>
      <c r="K983" s="8" t="s">
        <v>583</v>
      </c>
      <c r="L983" s="8" t="s">
        <v>322</v>
      </c>
      <c r="M983" s="8" t="s">
        <v>1153</v>
      </c>
      <c r="N983" s="8">
        <v>4.8</v>
      </c>
      <c r="O983" s="14">
        <f t="shared" si="1"/>
        <v>44501</v>
      </c>
      <c r="P983" s="15">
        <f>IFERROR(VLOOKUP(K983,Formula!$A$11:$B$20,2,FALSE),Formula!$C$26)</f>
        <v>0.95</v>
      </c>
      <c r="Q983" s="15">
        <f>IF(AND(ISNUMBER(J983),J983&gt;0),1/J983,IF(AND(ISNUMBER(I983),I983&gt;0),SQRT(MIN(I983,Formula!$C$27))/Formula!$C$24,1/Formula!$C$25))</f>
        <v>0.4347826087</v>
      </c>
      <c r="R983" s="15">
        <f t="shared" si="2"/>
        <v>0.4130434783</v>
      </c>
      <c r="S983" s="15">
        <f>IF(H983&lt;&gt;"",EXP(-Formula!$C$28*(EOMONTH(H983,0)-H983)),EXP(-Formula!$C$28*(EOMONTH(D983,0)-D983)))</f>
        <v>0.5220457768</v>
      </c>
      <c r="T983" s="15">
        <f t="shared" si="3"/>
        <v>0.2773500981</v>
      </c>
      <c r="U983" s="15">
        <f t="shared" si="4"/>
        <v>0.05980433697</v>
      </c>
      <c r="V983" s="16">
        <f>IF(AND(L983="Among all respondents",NOT(OR(K983="Online poll in Telegram channel",K983="Website online poll",K983="CAWI (Computer Assisted Web Interviewing)"))),1/(1-MIN(MAX(Formula!$C$33+(YEAR(D983)-Formula!$C$34)/(Formula!$C$35-Formula!$C$34)*(Formula!$C$32-Formula!$C$33),Formula!$C$33),Formula!$C$32)),1)</f>
        <v>1</v>
      </c>
      <c r="W983" s="17">
        <f t="shared" si="5"/>
        <v>4.8</v>
      </c>
    </row>
    <row r="984" ht="15.75" customHeight="1">
      <c r="A984" s="8" t="s">
        <v>1675</v>
      </c>
      <c r="B984" s="7" t="s">
        <v>1665</v>
      </c>
      <c r="C984" s="13" t="s">
        <v>1666</v>
      </c>
      <c r="D984" s="7" t="s">
        <v>159</v>
      </c>
      <c r="E984" s="8" t="s">
        <v>106</v>
      </c>
      <c r="F984" s="8" t="s">
        <v>318</v>
      </c>
      <c r="G984" s="7" t="s">
        <v>166</v>
      </c>
      <c r="H984" s="7" t="s">
        <v>1667</v>
      </c>
      <c r="I984" s="8">
        <v>2018.0</v>
      </c>
      <c r="J984" s="8">
        <v>2.3</v>
      </c>
      <c r="K984" s="8" t="s">
        <v>583</v>
      </c>
      <c r="L984" s="8" t="s">
        <v>322</v>
      </c>
      <c r="M984" s="8" t="s">
        <v>388</v>
      </c>
      <c r="N984" s="8">
        <v>3.1</v>
      </c>
      <c r="O984" s="14">
        <f t="shared" si="1"/>
        <v>44501</v>
      </c>
      <c r="P984" s="15">
        <f>IFERROR(VLOOKUP(K984,Formula!$A$11:$B$20,2,FALSE),Formula!$C$26)</f>
        <v>0.95</v>
      </c>
      <c r="Q984" s="15">
        <f>IF(AND(ISNUMBER(J984),J984&gt;0),1/J984,IF(AND(ISNUMBER(I984),I984&gt;0),SQRT(MIN(I984,Formula!$C$27))/Formula!$C$24,1/Formula!$C$25))</f>
        <v>0.4347826087</v>
      </c>
      <c r="R984" s="15">
        <f t="shared" si="2"/>
        <v>0.4130434783</v>
      </c>
      <c r="S984" s="15">
        <f>IF(H984&lt;&gt;"",EXP(-Formula!$C$28*(EOMONTH(H984,0)-H984)),EXP(-Formula!$C$28*(EOMONTH(D984,0)-D984)))</f>
        <v>0.5220457768</v>
      </c>
      <c r="T984" s="15">
        <f t="shared" si="3"/>
        <v>0.2773500981</v>
      </c>
      <c r="U984" s="15">
        <f t="shared" si="4"/>
        <v>0.05980433697</v>
      </c>
      <c r="V984" s="16">
        <f>IF(AND(L984="Among all respondents",NOT(OR(K984="Online poll in Telegram channel",K984="Website online poll",K984="CAWI (Computer Assisted Web Interviewing)"))),1/(1-MIN(MAX(Formula!$C$33+(YEAR(D984)-Formula!$C$34)/(Formula!$C$35-Formula!$C$34)*(Formula!$C$32-Formula!$C$33),Formula!$C$33),Formula!$C$32)),1)</f>
        <v>1</v>
      </c>
      <c r="W984" s="17">
        <f t="shared" si="5"/>
        <v>3.1</v>
      </c>
    </row>
    <row r="985" ht="15.75" customHeight="1">
      <c r="A985" s="8" t="s">
        <v>1676</v>
      </c>
      <c r="B985" s="7" t="s">
        <v>1665</v>
      </c>
      <c r="C985" s="13" t="s">
        <v>1666</v>
      </c>
      <c r="D985" s="7" t="s">
        <v>159</v>
      </c>
      <c r="E985" s="8" t="s">
        <v>106</v>
      </c>
      <c r="F985" s="8" t="s">
        <v>318</v>
      </c>
      <c r="G985" s="7" t="s">
        <v>166</v>
      </c>
      <c r="H985" s="7" t="s">
        <v>1667</v>
      </c>
      <c r="I985" s="8">
        <v>2018.0</v>
      </c>
      <c r="J985" s="8">
        <v>2.3</v>
      </c>
      <c r="K985" s="8" t="s">
        <v>583</v>
      </c>
      <c r="L985" s="8" t="s">
        <v>322</v>
      </c>
      <c r="M985" s="8" t="s">
        <v>838</v>
      </c>
      <c r="N985" s="8">
        <v>2.6</v>
      </c>
      <c r="O985" s="14">
        <f t="shared" si="1"/>
        <v>44501</v>
      </c>
      <c r="P985" s="15">
        <f>IFERROR(VLOOKUP(K985,Formula!$A$11:$B$20,2,FALSE),Formula!$C$26)</f>
        <v>0.95</v>
      </c>
      <c r="Q985" s="15">
        <f>IF(AND(ISNUMBER(J985),J985&gt;0),1/J985,IF(AND(ISNUMBER(I985),I985&gt;0),SQRT(MIN(I985,Formula!$C$27))/Formula!$C$24,1/Formula!$C$25))</f>
        <v>0.4347826087</v>
      </c>
      <c r="R985" s="15">
        <f t="shared" si="2"/>
        <v>0.4130434783</v>
      </c>
      <c r="S985" s="15">
        <f>IF(H985&lt;&gt;"",EXP(-Formula!$C$28*(EOMONTH(H985,0)-H985)),EXP(-Formula!$C$28*(EOMONTH(D985,0)-D985)))</f>
        <v>0.5220457768</v>
      </c>
      <c r="T985" s="15">
        <f t="shared" si="3"/>
        <v>0.2773500981</v>
      </c>
      <c r="U985" s="15">
        <f t="shared" si="4"/>
        <v>0.05980433697</v>
      </c>
      <c r="V985" s="16">
        <f>IF(AND(L985="Among all respondents",NOT(OR(K985="Online poll in Telegram channel",K985="Website online poll",K985="CAWI (Computer Assisted Web Interviewing)"))),1/(1-MIN(MAX(Formula!$C$33+(YEAR(D985)-Formula!$C$34)/(Formula!$C$35-Formula!$C$34)*(Formula!$C$32-Formula!$C$33),Formula!$C$33),Formula!$C$32)),1)</f>
        <v>1</v>
      </c>
      <c r="W985" s="17">
        <f t="shared" si="5"/>
        <v>2.6</v>
      </c>
    </row>
    <row r="986" ht="15.75" customHeight="1">
      <c r="A986" s="8" t="s">
        <v>1677</v>
      </c>
      <c r="B986" s="7" t="s">
        <v>1665</v>
      </c>
      <c r="C986" s="13" t="s">
        <v>1666</v>
      </c>
      <c r="D986" s="7" t="s">
        <v>159</v>
      </c>
      <c r="E986" s="8" t="s">
        <v>106</v>
      </c>
      <c r="F986" s="8" t="s">
        <v>318</v>
      </c>
      <c r="G986" s="7" t="s">
        <v>166</v>
      </c>
      <c r="H986" s="7" t="s">
        <v>1667</v>
      </c>
      <c r="I986" s="8">
        <v>2018.0</v>
      </c>
      <c r="J986" s="8">
        <v>2.3</v>
      </c>
      <c r="K986" s="8" t="s">
        <v>583</v>
      </c>
      <c r="L986" s="8" t="s">
        <v>322</v>
      </c>
      <c r="M986" s="8" t="s">
        <v>1398</v>
      </c>
      <c r="N986" s="8">
        <v>2.2</v>
      </c>
      <c r="O986" s="14">
        <f t="shared" si="1"/>
        <v>44501</v>
      </c>
      <c r="P986" s="15">
        <f>IFERROR(VLOOKUP(K986,Formula!$A$11:$B$20,2,FALSE),Formula!$C$26)</f>
        <v>0.95</v>
      </c>
      <c r="Q986" s="15">
        <f>IF(AND(ISNUMBER(J986),J986&gt;0),1/J986,IF(AND(ISNUMBER(I986),I986&gt;0),SQRT(MIN(I986,Formula!$C$27))/Formula!$C$24,1/Formula!$C$25))</f>
        <v>0.4347826087</v>
      </c>
      <c r="R986" s="15">
        <f t="shared" si="2"/>
        <v>0.4130434783</v>
      </c>
      <c r="S986" s="15">
        <f>IF(H986&lt;&gt;"",EXP(-Formula!$C$28*(EOMONTH(H986,0)-H986)),EXP(-Formula!$C$28*(EOMONTH(D986,0)-D986)))</f>
        <v>0.5220457768</v>
      </c>
      <c r="T986" s="15">
        <f t="shared" si="3"/>
        <v>0.2773500981</v>
      </c>
      <c r="U986" s="15">
        <f t="shared" si="4"/>
        <v>0.05980433697</v>
      </c>
      <c r="V986" s="16">
        <f>IF(AND(L986="Among all respondents",NOT(OR(K986="Online poll in Telegram channel",K986="Website online poll",K986="CAWI (Computer Assisted Web Interviewing)"))),1/(1-MIN(MAX(Formula!$C$33+(YEAR(D986)-Formula!$C$34)/(Formula!$C$35-Formula!$C$34)*(Formula!$C$32-Formula!$C$33),Formula!$C$33),Formula!$C$32)),1)</f>
        <v>1</v>
      </c>
      <c r="W986" s="17">
        <f t="shared" si="5"/>
        <v>2.2</v>
      </c>
    </row>
    <row r="987" ht="15.75" customHeight="1">
      <c r="A987" s="8" t="s">
        <v>1678</v>
      </c>
      <c r="B987" s="7" t="s">
        <v>1665</v>
      </c>
      <c r="C987" s="13" t="s">
        <v>1666</v>
      </c>
      <c r="D987" s="7" t="s">
        <v>159</v>
      </c>
      <c r="E987" s="8" t="s">
        <v>106</v>
      </c>
      <c r="F987" s="8" t="s">
        <v>318</v>
      </c>
      <c r="G987" s="7" t="s">
        <v>166</v>
      </c>
      <c r="H987" s="7" t="s">
        <v>1667</v>
      </c>
      <c r="I987" s="8">
        <v>2018.0</v>
      </c>
      <c r="J987" s="8">
        <v>2.3</v>
      </c>
      <c r="K987" s="8" t="s">
        <v>583</v>
      </c>
      <c r="L987" s="8" t="s">
        <v>322</v>
      </c>
      <c r="M987" s="8" t="s">
        <v>339</v>
      </c>
      <c r="N987" s="8">
        <v>1.9</v>
      </c>
      <c r="O987" s="14">
        <f t="shared" si="1"/>
        <v>44501</v>
      </c>
      <c r="P987" s="15">
        <f>IFERROR(VLOOKUP(K987,Formula!$A$11:$B$20,2,FALSE),Formula!$C$26)</f>
        <v>0.95</v>
      </c>
      <c r="Q987" s="15">
        <f>IF(AND(ISNUMBER(J987),J987&gt;0),1/J987,IF(AND(ISNUMBER(I987),I987&gt;0),SQRT(MIN(I987,Formula!$C$27))/Formula!$C$24,1/Formula!$C$25))</f>
        <v>0.4347826087</v>
      </c>
      <c r="R987" s="15">
        <f t="shared" si="2"/>
        <v>0.4130434783</v>
      </c>
      <c r="S987" s="15">
        <f>IF(H987&lt;&gt;"",EXP(-Formula!$C$28*(EOMONTH(H987,0)-H987)),EXP(-Formula!$C$28*(EOMONTH(D987,0)-D987)))</f>
        <v>0.5220457768</v>
      </c>
      <c r="T987" s="15">
        <f t="shared" si="3"/>
        <v>0.2773500981</v>
      </c>
      <c r="U987" s="15">
        <f t="shared" si="4"/>
        <v>0.05980433697</v>
      </c>
      <c r="V987" s="16">
        <f>IF(AND(L987="Among all respondents",NOT(OR(K987="Online poll in Telegram channel",K987="Website online poll",K987="CAWI (Computer Assisted Web Interviewing)"))),1/(1-MIN(MAX(Formula!$C$33+(YEAR(D987)-Formula!$C$34)/(Formula!$C$35-Formula!$C$34)*(Formula!$C$32-Formula!$C$33),Formula!$C$33),Formula!$C$32)),1)</f>
        <v>1</v>
      </c>
      <c r="W987" s="17">
        <f t="shared" si="5"/>
        <v>1.9</v>
      </c>
    </row>
    <row r="988" ht="15.75" customHeight="1">
      <c r="A988" s="8" t="s">
        <v>1679</v>
      </c>
      <c r="B988" s="7" t="s">
        <v>1665</v>
      </c>
      <c r="C988" s="13" t="s">
        <v>1666</v>
      </c>
      <c r="D988" s="7" t="s">
        <v>159</v>
      </c>
      <c r="E988" s="8" t="s">
        <v>106</v>
      </c>
      <c r="F988" s="8" t="s">
        <v>318</v>
      </c>
      <c r="G988" s="7" t="s">
        <v>166</v>
      </c>
      <c r="H988" s="7" t="s">
        <v>1667</v>
      </c>
      <c r="I988" s="8">
        <v>2018.0</v>
      </c>
      <c r="J988" s="8">
        <v>2.3</v>
      </c>
      <c r="K988" s="8" t="s">
        <v>583</v>
      </c>
      <c r="L988" s="8" t="s">
        <v>322</v>
      </c>
      <c r="M988" s="8" t="s">
        <v>343</v>
      </c>
      <c r="N988" s="8">
        <v>0.8</v>
      </c>
      <c r="O988" s="14">
        <f t="shared" si="1"/>
        <v>44501</v>
      </c>
      <c r="P988" s="15">
        <f>IFERROR(VLOOKUP(K988,Formula!$A$11:$B$20,2,FALSE),Formula!$C$26)</f>
        <v>0.95</v>
      </c>
      <c r="Q988" s="15">
        <f>IF(AND(ISNUMBER(J988),J988&gt;0),1/J988,IF(AND(ISNUMBER(I988),I988&gt;0),SQRT(MIN(I988,Formula!$C$27))/Formula!$C$24,1/Formula!$C$25))</f>
        <v>0.4347826087</v>
      </c>
      <c r="R988" s="15">
        <f t="shared" si="2"/>
        <v>0.4130434783</v>
      </c>
      <c r="S988" s="15">
        <f>IF(H988&lt;&gt;"",EXP(-Formula!$C$28*(EOMONTH(H988,0)-H988)),EXP(-Formula!$C$28*(EOMONTH(D988,0)-D988)))</f>
        <v>0.5220457768</v>
      </c>
      <c r="T988" s="15">
        <f t="shared" si="3"/>
        <v>0.2773500981</v>
      </c>
      <c r="U988" s="15">
        <f t="shared" si="4"/>
        <v>0.05980433697</v>
      </c>
      <c r="V988" s="16">
        <f>IF(AND(L988="Among all respondents",NOT(OR(K988="Online poll in Telegram channel",K988="Website online poll",K988="CAWI (Computer Assisted Web Interviewing)"))),1/(1-MIN(MAX(Formula!$C$33+(YEAR(D988)-Formula!$C$34)/(Formula!$C$35-Formula!$C$34)*(Formula!$C$32-Formula!$C$33),Formula!$C$33),Formula!$C$32)),1)</f>
        <v>1</v>
      </c>
      <c r="W988" s="17">
        <f t="shared" si="5"/>
        <v>0.8</v>
      </c>
    </row>
    <row r="989" ht="15.75" customHeight="1">
      <c r="A989" s="8" t="s">
        <v>1680</v>
      </c>
      <c r="B989" s="7" t="s">
        <v>1681</v>
      </c>
      <c r="C989" s="13" t="s">
        <v>1682</v>
      </c>
      <c r="D989" s="7" t="s">
        <v>165</v>
      </c>
      <c r="E989" s="8" t="s">
        <v>150</v>
      </c>
      <c r="F989" s="8" t="s">
        <v>318</v>
      </c>
      <c r="G989" s="7" t="s">
        <v>1683</v>
      </c>
      <c r="H989" s="7" t="s">
        <v>168</v>
      </c>
      <c r="I989" s="8">
        <v>2004.0</v>
      </c>
      <c r="J989" s="8">
        <v>2.4</v>
      </c>
      <c r="K989" s="8" t="s">
        <v>583</v>
      </c>
      <c r="L989" s="8" t="s">
        <v>322</v>
      </c>
      <c r="M989" s="8" t="s">
        <v>323</v>
      </c>
      <c r="N989" s="8">
        <v>23.4</v>
      </c>
      <c r="O989" s="14">
        <f t="shared" si="1"/>
        <v>44501</v>
      </c>
      <c r="P989" s="15">
        <f>IFERROR(VLOOKUP(K989,Formula!$A$11:$B$20,2,FALSE),Formula!$C$26)</f>
        <v>0.95</v>
      </c>
      <c r="Q989" s="15">
        <f>IF(AND(ISNUMBER(J989),J989&gt;0),1/J989,IF(AND(ISNUMBER(I989),I989&gt;0),SQRT(MIN(I989,Formula!$C$27))/Formula!$C$24,1/Formula!$C$25))</f>
        <v>0.4166666667</v>
      </c>
      <c r="R989" s="15">
        <f t="shared" si="2"/>
        <v>0.3958333333</v>
      </c>
      <c r="S989" s="15">
        <f>IF(H989&lt;&gt;"",EXP(-Formula!$C$28*(EOMONTH(H989,0)-H989)),EXP(-Formula!$C$28*(EOMONTH(D989,0)-D989)))</f>
        <v>0.3678794412</v>
      </c>
      <c r="T989" s="15">
        <f t="shared" si="3"/>
        <v>0.2672612419</v>
      </c>
      <c r="U989" s="15">
        <f t="shared" si="4"/>
        <v>0.03891830021</v>
      </c>
      <c r="V989" s="16">
        <f>IF(AND(L989="Among all respondents",NOT(OR(K989="Online poll in Telegram channel",K989="Website online poll",K989="CAWI (Computer Assisted Web Interviewing)"))),1/(1-MIN(MAX(Formula!$C$33+(YEAR(D989)-Formula!$C$34)/(Formula!$C$35-Formula!$C$34)*(Formula!$C$32-Formula!$C$33),Formula!$C$33),Formula!$C$32)),1)</f>
        <v>1</v>
      </c>
      <c r="W989" s="17">
        <f t="shared" si="5"/>
        <v>23.4</v>
      </c>
    </row>
    <row r="990" ht="15.75" customHeight="1">
      <c r="A990" s="8" t="s">
        <v>1684</v>
      </c>
      <c r="B990" s="7" t="s">
        <v>1681</v>
      </c>
      <c r="C990" s="13" t="s">
        <v>1682</v>
      </c>
      <c r="D990" s="7" t="s">
        <v>165</v>
      </c>
      <c r="E990" s="8" t="s">
        <v>150</v>
      </c>
      <c r="F990" s="8" t="s">
        <v>318</v>
      </c>
      <c r="G990" s="7" t="s">
        <v>1683</v>
      </c>
      <c r="H990" s="7" t="s">
        <v>168</v>
      </c>
      <c r="I990" s="8">
        <v>2004.0</v>
      </c>
      <c r="J990" s="8">
        <v>2.4</v>
      </c>
      <c r="K990" s="8" t="s">
        <v>583</v>
      </c>
      <c r="L990" s="8" t="s">
        <v>322</v>
      </c>
      <c r="M990" s="8" t="s">
        <v>365</v>
      </c>
      <c r="N990" s="8">
        <v>15.8</v>
      </c>
      <c r="O990" s="14">
        <f t="shared" si="1"/>
        <v>44501</v>
      </c>
      <c r="P990" s="15">
        <f>IFERROR(VLOOKUP(K990,Formula!$A$11:$B$20,2,FALSE),Formula!$C$26)</f>
        <v>0.95</v>
      </c>
      <c r="Q990" s="15">
        <f>IF(AND(ISNUMBER(J990),J990&gt;0),1/J990,IF(AND(ISNUMBER(I990),I990&gt;0),SQRT(MIN(I990,Formula!$C$27))/Formula!$C$24,1/Formula!$C$25))</f>
        <v>0.4166666667</v>
      </c>
      <c r="R990" s="15">
        <f t="shared" si="2"/>
        <v>0.3958333333</v>
      </c>
      <c r="S990" s="15">
        <f>IF(H990&lt;&gt;"",EXP(-Formula!$C$28*(EOMONTH(H990,0)-H990)),EXP(-Formula!$C$28*(EOMONTH(D990,0)-D990)))</f>
        <v>0.3678794412</v>
      </c>
      <c r="T990" s="15">
        <f t="shared" si="3"/>
        <v>0.2672612419</v>
      </c>
      <c r="U990" s="15">
        <f t="shared" si="4"/>
        <v>0.03891830021</v>
      </c>
      <c r="V990" s="16">
        <f>IF(AND(L990="Among all respondents",NOT(OR(K990="Online poll in Telegram channel",K990="Website online poll",K990="CAWI (Computer Assisted Web Interviewing)"))),1/(1-MIN(MAX(Formula!$C$33+(YEAR(D990)-Formula!$C$34)/(Formula!$C$35-Formula!$C$34)*(Formula!$C$32-Formula!$C$33),Formula!$C$33),Formula!$C$32)),1)</f>
        <v>1</v>
      </c>
      <c r="W990" s="17">
        <f t="shared" si="5"/>
        <v>15.8</v>
      </c>
    </row>
    <row r="991" ht="15.75" customHeight="1">
      <c r="A991" s="8" t="s">
        <v>1685</v>
      </c>
      <c r="B991" s="7" t="s">
        <v>1681</v>
      </c>
      <c r="C991" s="13" t="s">
        <v>1682</v>
      </c>
      <c r="D991" s="7" t="s">
        <v>165</v>
      </c>
      <c r="E991" s="8" t="s">
        <v>150</v>
      </c>
      <c r="F991" s="8" t="s">
        <v>318</v>
      </c>
      <c r="G991" s="7" t="s">
        <v>1683</v>
      </c>
      <c r="H991" s="7" t="s">
        <v>168</v>
      </c>
      <c r="I991" s="8">
        <v>2004.0</v>
      </c>
      <c r="J991" s="8">
        <v>2.4</v>
      </c>
      <c r="K991" s="8" t="s">
        <v>583</v>
      </c>
      <c r="L991" s="8" t="s">
        <v>322</v>
      </c>
      <c r="M991" s="8" t="s">
        <v>329</v>
      </c>
      <c r="N991" s="8">
        <v>14.6</v>
      </c>
      <c r="O991" s="14">
        <f t="shared" si="1"/>
        <v>44501</v>
      </c>
      <c r="P991" s="15">
        <f>IFERROR(VLOOKUP(K991,Formula!$A$11:$B$20,2,FALSE),Formula!$C$26)</f>
        <v>0.95</v>
      </c>
      <c r="Q991" s="15">
        <f>IF(AND(ISNUMBER(J991),J991&gt;0),1/J991,IF(AND(ISNUMBER(I991),I991&gt;0),SQRT(MIN(I991,Formula!$C$27))/Formula!$C$24,1/Formula!$C$25))</f>
        <v>0.4166666667</v>
      </c>
      <c r="R991" s="15">
        <f t="shared" si="2"/>
        <v>0.3958333333</v>
      </c>
      <c r="S991" s="15">
        <f>IF(H991&lt;&gt;"",EXP(-Formula!$C$28*(EOMONTH(H991,0)-H991)),EXP(-Formula!$C$28*(EOMONTH(D991,0)-D991)))</f>
        <v>0.3678794412</v>
      </c>
      <c r="T991" s="15">
        <f t="shared" si="3"/>
        <v>0.2672612419</v>
      </c>
      <c r="U991" s="15">
        <f t="shared" si="4"/>
        <v>0.03891830021</v>
      </c>
      <c r="V991" s="16">
        <f>IF(AND(L991="Among all respondents",NOT(OR(K991="Online poll in Telegram channel",K991="Website online poll",K991="CAWI (Computer Assisted Web Interviewing)"))),1/(1-MIN(MAX(Formula!$C$33+(YEAR(D991)-Formula!$C$34)/(Formula!$C$35-Formula!$C$34)*(Formula!$C$32-Formula!$C$33),Formula!$C$33),Formula!$C$32)),1)</f>
        <v>1</v>
      </c>
      <c r="W991" s="17">
        <f t="shared" si="5"/>
        <v>14.6</v>
      </c>
    </row>
    <row r="992" ht="15.75" customHeight="1">
      <c r="A992" s="8" t="s">
        <v>1686</v>
      </c>
      <c r="B992" s="7" t="s">
        <v>1681</v>
      </c>
      <c r="C992" s="13" t="s">
        <v>1682</v>
      </c>
      <c r="D992" s="7" t="s">
        <v>165</v>
      </c>
      <c r="E992" s="8" t="s">
        <v>150</v>
      </c>
      <c r="F992" s="8" t="s">
        <v>318</v>
      </c>
      <c r="G992" s="7" t="s">
        <v>1683</v>
      </c>
      <c r="H992" s="7" t="s">
        <v>168</v>
      </c>
      <c r="I992" s="8">
        <v>2004.0</v>
      </c>
      <c r="J992" s="8">
        <v>2.4</v>
      </c>
      <c r="K992" s="8" t="s">
        <v>583</v>
      </c>
      <c r="L992" s="8" t="s">
        <v>322</v>
      </c>
      <c r="M992" s="8" t="s">
        <v>337</v>
      </c>
      <c r="N992" s="8">
        <v>11.4</v>
      </c>
      <c r="O992" s="14">
        <f t="shared" si="1"/>
        <v>44501</v>
      </c>
      <c r="P992" s="15">
        <f>IFERROR(VLOOKUP(K992,Formula!$A$11:$B$20,2,FALSE),Formula!$C$26)</f>
        <v>0.95</v>
      </c>
      <c r="Q992" s="15">
        <f>IF(AND(ISNUMBER(J992),J992&gt;0),1/J992,IF(AND(ISNUMBER(I992),I992&gt;0),SQRT(MIN(I992,Formula!$C$27))/Formula!$C$24,1/Formula!$C$25))</f>
        <v>0.4166666667</v>
      </c>
      <c r="R992" s="15">
        <f t="shared" si="2"/>
        <v>0.3958333333</v>
      </c>
      <c r="S992" s="15">
        <f>IF(H992&lt;&gt;"",EXP(-Formula!$C$28*(EOMONTH(H992,0)-H992)),EXP(-Formula!$C$28*(EOMONTH(D992,0)-D992)))</f>
        <v>0.3678794412</v>
      </c>
      <c r="T992" s="15">
        <f t="shared" si="3"/>
        <v>0.2672612419</v>
      </c>
      <c r="U992" s="15">
        <f t="shared" si="4"/>
        <v>0.03891830021</v>
      </c>
      <c r="V992" s="16">
        <f>IF(AND(L992="Among all respondents",NOT(OR(K992="Online poll in Telegram channel",K992="Website online poll",K992="CAWI (Computer Assisted Web Interviewing)"))),1/(1-MIN(MAX(Formula!$C$33+(YEAR(D992)-Formula!$C$34)/(Formula!$C$35-Formula!$C$34)*(Formula!$C$32-Formula!$C$33),Formula!$C$33),Formula!$C$32)),1)</f>
        <v>1</v>
      </c>
      <c r="W992" s="17">
        <f t="shared" si="5"/>
        <v>11.4</v>
      </c>
    </row>
    <row r="993" ht="15.75" customHeight="1">
      <c r="A993" s="8" t="s">
        <v>1687</v>
      </c>
      <c r="B993" s="7" t="s">
        <v>1681</v>
      </c>
      <c r="C993" s="13" t="s">
        <v>1682</v>
      </c>
      <c r="D993" s="7" t="s">
        <v>165</v>
      </c>
      <c r="E993" s="8" t="s">
        <v>150</v>
      </c>
      <c r="F993" s="8" t="s">
        <v>318</v>
      </c>
      <c r="G993" s="7" t="s">
        <v>1683</v>
      </c>
      <c r="H993" s="7" t="s">
        <v>168</v>
      </c>
      <c r="I993" s="8">
        <v>2004.0</v>
      </c>
      <c r="J993" s="8">
        <v>2.4</v>
      </c>
      <c r="K993" s="8" t="s">
        <v>583</v>
      </c>
      <c r="L993" s="8" t="s">
        <v>322</v>
      </c>
      <c r="M993" s="8" t="s">
        <v>828</v>
      </c>
      <c r="N993" s="8">
        <v>6.7</v>
      </c>
      <c r="O993" s="14">
        <f t="shared" si="1"/>
        <v>44501</v>
      </c>
      <c r="P993" s="15">
        <f>IFERROR(VLOOKUP(K993,Formula!$A$11:$B$20,2,FALSE),Formula!$C$26)</f>
        <v>0.95</v>
      </c>
      <c r="Q993" s="15">
        <f>IF(AND(ISNUMBER(J993),J993&gt;0),1/J993,IF(AND(ISNUMBER(I993),I993&gt;0),SQRT(MIN(I993,Formula!$C$27))/Formula!$C$24,1/Formula!$C$25))</f>
        <v>0.4166666667</v>
      </c>
      <c r="R993" s="15">
        <f t="shared" si="2"/>
        <v>0.3958333333</v>
      </c>
      <c r="S993" s="15">
        <f>IF(H993&lt;&gt;"",EXP(-Formula!$C$28*(EOMONTH(H993,0)-H993)),EXP(-Formula!$C$28*(EOMONTH(D993,0)-D993)))</f>
        <v>0.3678794412</v>
      </c>
      <c r="T993" s="15">
        <f t="shared" si="3"/>
        <v>0.2672612419</v>
      </c>
      <c r="U993" s="15">
        <f t="shared" si="4"/>
        <v>0.03891830021</v>
      </c>
      <c r="V993" s="16">
        <f>IF(AND(L993="Among all respondents",NOT(OR(K993="Online poll in Telegram channel",K993="Website online poll",K993="CAWI (Computer Assisted Web Interviewing)"))),1/(1-MIN(MAX(Formula!$C$33+(YEAR(D993)-Formula!$C$34)/(Formula!$C$35-Formula!$C$34)*(Formula!$C$32-Formula!$C$33),Formula!$C$33),Formula!$C$32)),1)</f>
        <v>1</v>
      </c>
      <c r="W993" s="17">
        <f t="shared" si="5"/>
        <v>6.7</v>
      </c>
    </row>
    <row r="994" ht="15.75" customHeight="1">
      <c r="A994" s="8" t="s">
        <v>1688</v>
      </c>
      <c r="B994" s="7" t="s">
        <v>1681</v>
      </c>
      <c r="C994" s="13" t="s">
        <v>1682</v>
      </c>
      <c r="D994" s="7" t="s">
        <v>165</v>
      </c>
      <c r="E994" s="8" t="s">
        <v>150</v>
      </c>
      <c r="F994" s="8" t="s">
        <v>318</v>
      </c>
      <c r="G994" s="7" t="s">
        <v>1683</v>
      </c>
      <c r="H994" s="7" t="s">
        <v>168</v>
      </c>
      <c r="I994" s="8">
        <v>2004.0</v>
      </c>
      <c r="J994" s="8">
        <v>2.4</v>
      </c>
      <c r="K994" s="8" t="s">
        <v>583</v>
      </c>
      <c r="L994" s="8" t="s">
        <v>322</v>
      </c>
      <c r="M994" s="8" t="s">
        <v>333</v>
      </c>
      <c r="N994" s="8">
        <v>5.7</v>
      </c>
      <c r="O994" s="14">
        <f t="shared" si="1"/>
        <v>44501</v>
      </c>
      <c r="P994" s="15">
        <f>IFERROR(VLOOKUP(K994,Formula!$A$11:$B$20,2,FALSE),Formula!$C$26)</f>
        <v>0.95</v>
      </c>
      <c r="Q994" s="15">
        <f>IF(AND(ISNUMBER(J994),J994&gt;0),1/J994,IF(AND(ISNUMBER(I994),I994&gt;0),SQRT(MIN(I994,Formula!$C$27))/Formula!$C$24,1/Formula!$C$25))</f>
        <v>0.4166666667</v>
      </c>
      <c r="R994" s="15">
        <f t="shared" si="2"/>
        <v>0.3958333333</v>
      </c>
      <c r="S994" s="15">
        <f>IF(H994&lt;&gt;"",EXP(-Formula!$C$28*(EOMONTH(H994,0)-H994)),EXP(-Formula!$C$28*(EOMONTH(D994,0)-D994)))</f>
        <v>0.3678794412</v>
      </c>
      <c r="T994" s="15">
        <f t="shared" si="3"/>
        <v>0.2672612419</v>
      </c>
      <c r="U994" s="15">
        <f t="shared" si="4"/>
        <v>0.03891830021</v>
      </c>
      <c r="V994" s="16">
        <f>IF(AND(L994="Among all respondents",NOT(OR(K994="Online poll in Telegram channel",K994="Website online poll",K994="CAWI (Computer Assisted Web Interviewing)"))),1/(1-MIN(MAX(Formula!$C$33+(YEAR(D994)-Formula!$C$34)/(Formula!$C$35-Formula!$C$34)*(Formula!$C$32-Formula!$C$33),Formula!$C$33),Formula!$C$32)),1)</f>
        <v>1</v>
      </c>
      <c r="W994" s="17">
        <f t="shared" si="5"/>
        <v>5.7</v>
      </c>
    </row>
    <row r="995" ht="15.75" customHeight="1">
      <c r="A995" s="8" t="s">
        <v>1689</v>
      </c>
      <c r="B995" s="7" t="s">
        <v>1681</v>
      </c>
      <c r="C995" s="13" t="s">
        <v>1682</v>
      </c>
      <c r="D995" s="7" t="s">
        <v>165</v>
      </c>
      <c r="E995" s="8" t="s">
        <v>150</v>
      </c>
      <c r="F995" s="8" t="s">
        <v>318</v>
      </c>
      <c r="G995" s="7" t="s">
        <v>1683</v>
      </c>
      <c r="H995" s="7" t="s">
        <v>168</v>
      </c>
      <c r="I995" s="8">
        <v>2004.0</v>
      </c>
      <c r="J995" s="8">
        <v>2.4</v>
      </c>
      <c r="K995" s="8" t="s">
        <v>583</v>
      </c>
      <c r="L995" s="8" t="s">
        <v>322</v>
      </c>
      <c r="M995" s="8" t="s">
        <v>1153</v>
      </c>
      <c r="N995" s="8">
        <v>4.8</v>
      </c>
      <c r="O995" s="14">
        <f t="shared" si="1"/>
        <v>44501</v>
      </c>
      <c r="P995" s="15">
        <f>IFERROR(VLOOKUP(K995,Formula!$A$11:$B$20,2,FALSE),Formula!$C$26)</f>
        <v>0.95</v>
      </c>
      <c r="Q995" s="15">
        <f>IF(AND(ISNUMBER(J995),J995&gt;0),1/J995,IF(AND(ISNUMBER(I995),I995&gt;0),SQRT(MIN(I995,Formula!$C$27))/Formula!$C$24,1/Formula!$C$25))</f>
        <v>0.4166666667</v>
      </c>
      <c r="R995" s="15">
        <f t="shared" si="2"/>
        <v>0.3958333333</v>
      </c>
      <c r="S995" s="15">
        <f>IF(H995&lt;&gt;"",EXP(-Formula!$C$28*(EOMONTH(H995,0)-H995)),EXP(-Formula!$C$28*(EOMONTH(D995,0)-D995)))</f>
        <v>0.3678794412</v>
      </c>
      <c r="T995" s="15">
        <f t="shared" si="3"/>
        <v>0.2672612419</v>
      </c>
      <c r="U995" s="15">
        <f t="shared" si="4"/>
        <v>0.03891830021</v>
      </c>
      <c r="V995" s="16">
        <f>IF(AND(L995="Among all respondents",NOT(OR(K995="Online poll in Telegram channel",K995="Website online poll",K995="CAWI (Computer Assisted Web Interviewing)"))),1/(1-MIN(MAX(Formula!$C$33+(YEAR(D995)-Formula!$C$34)/(Formula!$C$35-Formula!$C$34)*(Formula!$C$32-Formula!$C$33),Formula!$C$33),Formula!$C$32)),1)</f>
        <v>1</v>
      </c>
      <c r="W995" s="17">
        <f t="shared" si="5"/>
        <v>4.8</v>
      </c>
    </row>
    <row r="996" ht="15.75" customHeight="1">
      <c r="A996" s="8" t="s">
        <v>1690</v>
      </c>
      <c r="B996" s="7" t="s">
        <v>1681</v>
      </c>
      <c r="C996" s="13" t="s">
        <v>1682</v>
      </c>
      <c r="D996" s="7" t="s">
        <v>165</v>
      </c>
      <c r="E996" s="8" t="s">
        <v>150</v>
      </c>
      <c r="F996" s="8" t="s">
        <v>318</v>
      </c>
      <c r="G996" s="7" t="s">
        <v>1683</v>
      </c>
      <c r="H996" s="7" t="s">
        <v>168</v>
      </c>
      <c r="I996" s="8">
        <v>2004.0</v>
      </c>
      <c r="J996" s="8">
        <v>2.4</v>
      </c>
      <c r="K996" s="8" t="s">
        <v>583</v>
      </c>
      <c r="L996" s="8" t="s">
        <v>322</v>
      </c>
      <c r="M996" s="8" t="s">
        <v>386</v>
      </c>
      <c r="N996" s="8">
        <v>4.5</v>
      </c>
      <c r="O996" s="14">
        <f t="shared" si="1"/>
        <v>44501</v>
      </c>
      <c r="P996" s="15">
        <f>IFERROR(VLOOKUP(K996,Formula!$A$11:$B$20,2,FALSE),Formula!$C$26)</f>
        <v>0.95</v>
      </c>
      <c r="Q996" s="15">
        <f>IF(AND(ISNUMBER(J996),J996&gt;0),1/J996,IF(AND(ISNUMBER(I996),I996&gt;0),SQRT(MIN(I996,Formula!$C$27))/Formula!$C$24,1/Formula!$C$25))</f>
        <v>0.4166666667</v>
      </c>
      <c r="R996" s="15">
        <f t="shared" si="2"/>
        <v>0.3958333333</v>
      </c>
      <c r="S996" s="15">
        <f>IF(H996&lt;&gt;"",EXP(-Formula!$C$28*(EOMONTH(H996,0)-H996)),EXP(-Formula!$C$28*(EOMONTH(D996,0)-D996)))</f>
        <v>0.3678794412</v>
      </c>
      <c r="T996" s="15">
        <f t="shared" si="3"/>
        <v>0.2672612419</v>
      </c>
      <c r="U996" s="15">
        <f t="shared" si="4"/>
        <v>0.03891830021</v>
      </c>
      <c r="V996" s="16">
        <f>IF(AND(L996="Among all respondents",NOT(OR(K996="Online poll in Telegram channel",K996="Website online poll",K996="CAWI (Computer Assisted Web Interviewing)"))),1/(1-MIN(MAX(Formula!$C$33+(YEAR(D996)-Formula!$C$34)/(Formula!$C$35-Formula!$C$34)*(Formula!$C$32-Formula!$C$33),Formula!$C$33),Formula!$C$32)),1)</f>
        <v>1</v>
      </c>
      <c r="W996" s="17">
        <f t="shared" si="5"/>
        <v>4.5</v>
      </c>
    </row>
    <row r="997" ht="15.75" customHeight="1">
      <c r="A997" s="8" t="s">
        <v>1691</v>
      </c>
      <c r="B997" s="7" t="s">
        <v>1681</v>
      </c>
      <c r="C997" s="13" t="s">
        <v>1682</v>
      </c>
      <c r="D997" s="7" t="s">
        <v>165</v>
      </c>
      <c r="E997" s="8" t="s">
        <v>150</v>
      </c>
      <c r="F997" s="8" t="s">
        <v>318</v>
      </c>
      <c r="G997" s="7" t="s">
        <v>1683</v>
      </c>
      <c r="H997" s="7" t="s">
        <v>168</v>
      </c>
      <c r="I997" s="8">
        <v>2004.0</v>
      </c>
      <c r="J997" s="8">
        <v>2.4</v>
      </c>
      <c r="K997" s="8" t="s">
        <v>583</v>
      </c>
      <c r="L997" s="8" t="s">
        <v>322</v>
      </c>
      <c r="M997" s="8" t="s">
        <v>343</v>
      </c>
      <c r="N997" s="8">
        <v>2.8</v>
      </c>
      <c r="O997" s="14">
        <f t="shared" si="1"/>
        <v>44501</v>
      </c>
      <c r="P997" s="15">
        <f>IFERROR(VLOOKUP(K997,Formula!$A$11:$B$20,2,FALSE),Formula!$C$26)</f>
        <v>0.95</v>
      </c>
      <c r="Q997" s="15">
        <f>IF(AND(ISNUMBER(J997),J997&gt;0),1/J997,IF(AND(ISNUMBER(I997),I997&gt;0),SQRT(MIN(I997,Formula!$C$27))/Formula!$C$24,1/Formula!$C$25))</f>
        <v>0.4166666667</v>
      </c>
      <c r="R997" s="15">
        <f t="shared" si="2"/>
        <v>0.3958333333</v>
      </c>
      <c r="S997" s="15">
        <f>IF(H997&lt;&gt;"",EXP(-Formula!$C$28*(EOMONTH(H997,0)-H997)),EXP(-Formula!$C$28*(EOMONTH(D997,0)-D997)))</f>
        <v>0.3678794412</v>
      </c>
      <c r="T997" s="15">
        <f t="shared" si="3"/>
        <v>0.2672612419</v>
      </c>
      <c r="U997" s="15">
        <f t="shared" si="4"/>
        <v>0.03891830021</v>
      </c>
      <c r="V997" s="16">
        <f>IF(AND(L997="Among all respondents",NOT(OR(K997="Online poll in Telegram channel",K997="Website online poll",K997="CAWI (Computer Assisted Web Interviewing)"))),1/(1-MIN(MAX(Formula!$C$33+(YEAR(D997)-Formula!$C$34)/(Formula!$C$35-Formula!$C$34)*(Formula!$C$32-Formula!$C$33),Formula!$C$33),Formula!$C$32)),1)</f>
        <v>1</v>
      </c>
      <c r="W997" s="17">
        <f t="shared" si="5"/>
        <v>2.8</v>
      </c>
    </row>
    <row r="998" ht="15.75" customHeight="1">
      <c r="A998" s="8" t="s">
        <v>1692</v>
      </c>
      <c r="B998" s="7" t="s">
        <v>1681</v>
      </c>
      <c r="C998" s="13" t="s">
        <v>1682</v>
      </c>
      <c r="D998" s="7" t="s">
        <v>165</v>
      </c>
      <c r="E998" s="8" t="s">
        <v>150</v>
      </c>
      <c r="F998" s="8" t="s">
        <v>318</v>
      </c>
      <c r="G998" s="7" t="s">
        <v>1683</v>
      </c>
      <c r="H998" s="7" t="s">
        <v>168</v>
      </c>
      <c r="I998" s="8">
        <v>2004.0</v>
      </c>
      <c r="J998" s="8">
        <v>2.4</v>
      </c>
      <c r="K998" s="8" t="s">
        <v>583</v>
      </c>
      <c r="L998" s="8" t="s">
        <v>322</v>
      </c>
      <c r="M998" s="8" t="s">
        <v>388</v>
      </c>
      <c r="N998" s="8">
        <v>2.4</v>
      </c>
      <c r="O998" s="14">
        <f t="shared" si="1"/>
        <v>44501</v>
      </c>
      <c r="P998" s="15">
        <f>IFERROR(VLOOKUP(K998,Formula!$A$11:$B$20,2,FALSE),Formula!$C$26)</f>
        <v>0.95</v>
      </c>
      <c r="Q998" s="15">
        <f>IF(AND(ISNUMBER(J998),J998&gt;0),1/J998,IF(AND(ISNUMBER(I998),I998&gt;0),SQRT(MIN(I998,Formula!$C$27))/Formula!$C$24,1/Formula!$C$25))</f>
        <v>0.4166666667</v>
      </c>
      <c r="R998" s="15">
        <f t="shared" si="2"/>
        <v>0.3958333333</v>
      </c>
      <c r="S998" s="15">
        <f>IF(H998&lt;&gt;"",EXP(-Formula!$C$28*(EOMONTH(H998,0)-H998)),EXP(-Formula!$C$28*(EOMONTH(D998,0)-D998)))</f>
        <v>0.3678794412</v>
      </c>
      <c r="T998" s="15">
        <f t="shared" si="3"/>
        <v>0.2672612419</v>
      </c>
      <c r="U998" s="15">
        <f t="shared" si="4"/>
        <v>0.03891830021</v>
      </c>
      <c r="V998" s="16">
        <f>IF(AND(L998="Among all respondents",NOT(OR(K998="Online poll in Telegram channel",K998="Website online poll",K998="CAWI (Computer Assisted Web Interviewing)"))),1/(1-MIN(MAX(Formula!$C$33+(YEAR(D998)-Formula!$C$34)/(Formula!$C$35-Formula!$C$34)*(Formula!$C$32-Formula!$C$33),Formula!$C$33),Formula!$C$32)),1)</f>
        <v>1</v>
      </c>
      <c r="W998" s="17">
        <f t="shared" si="5"/>
        <v>2.4</v>
      </c>
    </row>
    <row r="999" ht="15.75" customHeight="1">
      <c r="A999" s="8" t="s">
        <v>1693</v>
      </c>
      <c r="B999" s="7" t="s">
        <v>1681</v>
      </c>
      <c r="C999" s="13" t="s">
        <v>1682</v>
      </c>
      <c r="D999" s="7" t="s">
        <v>165</v>
      </c>
      <c r="E999" s="8" t="s">
        <v>150</v>
      </c>
      <c r="F999" s="8" t="s">
        <v>318</v>
      </c>
      <c r="G999" s="7" t="s">
        <v>1683</v>
      </c>
      <c r="H999" s="7" t="s">
        <v>168</v>
      </c>
      <c r="I999" s="8">
        <v>2004.0</v>
      </c>
      <c r="J999" s="8">
        <v>2.4</v>
      </c>
      <c r="K999" s="8" t="s">
        <v>583</v>
      </c>
      <c r="L999" s="8" t="s">
        <v>322</v>
      </c>
      <c r="M999" s="8" t="s">
        <v>339</v>
      </c>
      <c r="N999" s="8">
        <v>1.9</v>
      </c>
      <c r="O999" s="14">
        <f t="shared" si="1"/>
        <v>44501</v>
      </c>
      <c r="P999" s="15">
        <f>IFERROR(VLOOKUP(K999,Formula!$A$11:$B$20,2,FALSE),Formula!$C$26)</f>
        <v>0.95</v>
      </c>
      <c r="Q999" s="15">
        <f>IF(AND(ISNUMBER(J999),J999&gt;0),1/J999,IF(AND(ISNUMBER(I999),I999&gt;0),SQRT(MIN(I999,Formula!$C$27))/Formula!$C$24,1/Formula!$C$25))</f>
        <v>0.4166666667</v>
      </c>
      <c r="R999" s="15">
        <f t="shared" si="2"/>
        <v>0.3958333333</v>
      </c>
      <c r="S999" s="15">
        <f>IF(H999&lt;&gt;"",EXP(-Formula!$C$28*(EOMONTH(H999,0)-H999)),EXP(-Formula!$C$28*(EOMONTH(D999,0)-D999)))</f>
        <v>0.3678794412</v>
      </c>
      <c r="T999" s="15">
        <f t="shared" si="3"/>
        <v>0.2672612419</v>
      </c>
      <c r="U999" s="15">
        <f t="shared" si="4"/>
        <v>0.03891830021</v>
      </c>
      <c r="V999" s="16">
        <f>IF(AND(L999="Among all respondents",NOT(OR(K999="Online poll in Telegram channel",K999="Website online poll",K999="CAWI (Computer Assisted Web Interviewing)"))),1/(1-MIN(MAX(Formula!$C$33+(YEAR(D999)-Formula!$C$34)/(Formula!$C$35-Formula!$C$34)*(Formula!$C$32-Formula!$C$33),Formula!$C$33),Formula!$C$32)),1)</f>
        <v>1</v>
      </c>
      <c r="W999" s="17">
        <f t="shared" si="5"/>
        <v>1.9</v>
      </c>
    </row>
    <row r="1000" ht="15.75" customHeight="1">
      <c r="A1000" s="8" t="s">
        <v>1694</v>
      </c>
      <c r="B1000" s="7" t="s">
        <v>1681</v>
      </c>
      <c r="C1000" s="13" t="s">
        <v>1682</v>
      </c>
      <c r="D1000" s="7" t="s">
        <v>165</v>
      </c>
      <c r="E1000" s="8" t="s">
        <v>150</v>
      </c>
      <c r="F1000" s="8" t="s">
        <v>318</v>
      </c>
      <c r="G1000" s="7" t="s">
        <v>1683</v>
      </c>
      <c r="H1000" s="7" t="s">
        <v>168</v>
      </c>
      <c r="I1000" s="8">
        <v>2004.0</v>
      </c>
      <c r="J1000" s="8">
        <v>2.4</v>
      </c>
      <c r="K1000" s="8" t="s">
        <v>583</v>
      </c>
      <c r="L1000" s="8" t="s">
        <v>322</v>
      </c>
      <c r="M1000" s="8" t="s">
        <v>740</v>
      </c>
      <c r="N1000" s="8">
        <v>1.7</v>
      </c>
      <c r="O1000" s="14">
        <f t="shared" si="1"/>
        <v>44501</v>
      </c>
      <c r="P1000" s="15">
        <f>IFERROR(VLOOKUP(K1000,Formula!$A$11:$B$20,2,FALSE),Formula!$C$26)</f>
        <v>0.95</v>
      </c>
      <c r="Q1000" s="15">
        <f>IF(AND(ISNUMBER(J1000),J1000&gt;0),1/J1000,IF(AND(ISNUMBER(I1000),I1000&gt;0),SQRT(MIN(I1000,Formula!$C$27))/Formula!$C$24,1/Formula!$C$25))</f>
        <v>0.4166666667</v>
      </c>
      <c r="R1000" s="15">
        <f t="shared" si="2"/>
        <v>0.3958333333</v>
      </c>
      <c r="S1000" s="15">
        <f>IF(H1000&lt;&gt;"",EXP(-Formula!$C$28*(EOMONTH(H1000,0)-H1000)),EXP(-Formula!$C$28*(EOMONTH(D1000,0)-D1000)))</f>
        <v>0.3678794412</v>
      </c>
      <c r="T1000" s="15">
        <f t="shared" si="3"/>
        <v>0.2672612419</v>
      </c>
      <c r="U1000" s="15">
        <f t="shared" si="4"/>
        <v>0.03891830021</v>
      </c>
      <c r="V1000" s="16">
        <f>IF(AND(L1000="Among all respondents",NOT(OR(K1000="Online poll in Telegram channel",K1000="Website online poll",K1000="CAWI (Computer Assisted Web Interviewing)"))),1/(1-MIN(MAX(Formula!$C$33+(YEAR(D1000)-Formula!$C$34)/(Formula!$C$35-Formula!$C$34)*(Formula!$C$32-Formula!$C$33),Formula!$C$33),Formula!$C$32)),1)</f>
        <v>1</v>
      </c>
      <c r="W1000" s="17">
        <f t="shared" si="5"/>
        <v>1.7</v>
      </c>
    </row>
    <row r="1001" ht="15.75" customHeight="1">
      <c r="A1001" s="8" t="s">
        <v>1695</v>
      </c>
      <c r="B1001" s="7" t="s">
        <v>1681</v>
      </c>
      <c r="C1001" s="13" t="s">
        <v>1682</v>
      </c>
      <c r="D1001" s="7" t="s">
        <v>165</v>
      </c>
      <c r="E1001" s="8" t="s">
        <v>150</v>
      </c>
      <c r="F1001" s="8" t="s">
        <v>318</v>
      </c>
      <c r="G1001" s="7" t="s">
        <v>1683</v>
      </c>
      <c r="H1001" s="7" t="s">
        <v>168</v>
      </c>
      <c r="I1001" s="8">
        <v>2004.0</v>
      </c>
      <c r="J1001" s="8">
        <v>2.4</v>
      </c>
      <c r="K1001" s="8" t="s">
        <v>583</v>
      </c>
      <c r="L1001" s="8" t="s">
        <v>322</v>
      </c>
      <c r="M1001" s="8" t="s">
        <v>335</v>
      </c>
      <c r="N1001" s="8">
        <v>0.5</v>
      </c>
      <c r="O1001" s="14">
        <f t="shared" si="1"/>
        <v>44501</v>
      </c>
      <c r="P1001" s="15">
        <f>IFERROR(VLOOKUP(K1001,Formula!$A$11:$B$20,2,FALSE),Formula!$C$26)</f>
        <v>0.95</v>
      </c>
      <c r="Q1001" s="15">
        <f>IF(AND(ISNUMBER(J1001),J1001&gt;0),1/J1001,IF(AND(ISNUMBER(I1001),I1001&gt;0),SQRT(MIN(I1001,Formula!$C$27))/Formula!$C$24,1/Formula!$C$25))</f>
        <v>0.4166666667</v>
      </c>
      <c r="R1001" s="15">
        <f t="shared" si="2"/>
        <v>0.3958333333</v>
      </c>
      <c r="S1001" s="15">
        <f>IF(H1001&lt;&gt;"",EXP(-Formula!$C$28*(EOMONTH(H1001,0)-H1001)),EXP(-Formula!$C$28*(EOMONTH(D1001,0)-D1001)))</f>
        <v>0.3678794412</v>
      </c>
      <c r="T1001" s="15">
        <f t="shared" si="3"/>
        <v>0.2672612419</v>
      </c>
      <c r="U1001" s="15">
        <f t="shared" si="4"/>
        <v>0.03891830021</v>
      </c>
      <c r="V1001" s="16">
        <f>IF(AND(L1001="Among all respondents",NOT(OR(K1001="Online poll in Telegram channel",K1001="Website online poll",K1001="CAWI (Computer Assisted Web Interviewing)"))),1/(1-MIN(MAX(Formula!$C$33+(YEAR(D1001)-Formula!$C$34)/(Formula!$C$35-Formula!$C$34)*(Formula!$C$32-Formula!$C$33),Formula!$C$33),Formula!$C$32)),1)</f>
        <v>1</v>
      </c>
      <c r="W1001" s="17">
        <f t="shared" si="5"/>
        <v>0.5</v>
      </c>
    </row>
    <row r="1002" ht="15.75" customHeight="1">
      <c r="A1002" s="8" t="s">
        <v>1696</v>
      </c>
      <c r="B1002" s="7" t="s">
        <v>1681</v>
      </c>
      <c r="C1002" s="13" t="s">
        <v>1682</v>
      </c>
      <c r="D1002" s="7" t="s">
        <v>165</v>
      </c>
      <c r="E1002" s="8" t="s">
        <v>150</v>
      </c>
      <c r="F1002" s="8" t="s">
        <v>318</v>
      </c>
      <c r="G1002" s="7" t="s">
        <v>1683</v>
      </c>
      <c r="H1002" s="7" t="s">
        <v>168</v>
      </c>
      <c r="I1002" s="8">
        <v>2004.0</v>
      </c>
      <c r="J1002" s="8">
        <v>2.4</v>
      </c>
      <c r="K1002" s="8" t="s">
        <v>583</v>
      </c>
      <c r="L1002" s="8" t="s">
        <v>322</v>
      </c>
      <c r="M1002" s="8" t="s">
        <v>1171</v>
      </c>
      <c r="N1002" s="8">
        <v>0.2</v>
      </c>
      <c r="O1002" s="14">
        <f t="shared" si="1"/>
        <v>44501</v>
      </c>
      <c r="P1002" s="15">
        <f>IFERROR(VLOOKUP(K1002,Formula!$A$11:$B$20,2,FALSE),Formula!$C$26)</f>
        <v>0.95</v>
      </c>
      <c r="Q1002" s="15">
        <f>IF(AND(ISNUMBER(J1002),J1002&gt;0),1/J1002,IF(AND(ISNUMBER(I1002),I1002&gt;0),SQRT(MIN(I1002,Formula!$C$27))/Formula!$C$24,1/Formula!$C$25))</f>
        <v>0.4166666667</v>
      </c>
      <c r="R1002" s="15">
        <f t="shared" si="2"/>
        <v>0.3958333333</v>
      </c>
      <c r="S1002" s="15">
        <f>IF(H1002&lt;&gt;"",EXP(-Formula!$C$28*(EOMONTH(H1002,0)-H1002)),EXP(-Formula!$C$28*(EOMONTH(D1002,0)-D1002)))</f>
        <v>0.3678794412</v>
      </c>
      <c r="T1002" s="15">
        <f t="shared" si="3"/>
        <v>0.2672612419</v>
      </c>
      <c r="U1002" s="15">
        <f t="shared" si="4"/>
        <v>0.03891830021</v>
      </c>
      <c r="V1002" s="16">
        <f>IF(AND(L1002="Among all respondents",NOT(OR(K1002="Online poll in Telegram channel",K1002="Website online poll",K1002="CAWI (Computer Assisted Web Interviewing)"))),1/(1-MIN(MAX(Formula!$C$33+(YEAR(D1002)-Formula!$C$34)/(Formula!$C$35-Formula!$C$34)*(Formula!$C$32-Formula!$C$33),Formula!$C$33),Formula!$C$32)),1)</f>
        <v>1</v>
      </c>
      <c r="W1002" s="17">
        <f t="shared" si="5"/>
        <v>0.2</v>
      </c>
    </row>
    <row r="1003" ht="15.75" customHeight="1">
      <c r="A1003" s="8" t="s">
        <v>1697</v>
      </c>
      <c r="B1003" s="7" t="s">
        <v>1698</v>
      </c>
      <c r="C1003" s="13" t="s">
        <v>1699</v>
      </c>
      <c r="D1003" s="7" t="s">
        <v>161</v>
      </c>
      <c r="E1003" s="8" t="s">
        <v>40</v>
      </c>
      <c r="F1003" s="8" t="s">
        <v>318</v>
      </c>
      <c r="G1003" s="7" t="s">
        <v>168</v>
      </c>
      <c r="H1003" s="7" t="s">
        <v>1700</v>
      </c>
      <c r="I1003" s="8">
        <v>2500.0</v>
      </c>
      <c r="J1003" s="8">
        <v>2.0</v>
      </c>
      <c r="K1003" s="8" t="s">
        <v>321</v>
      </c>
      <c r="L1003" s="8" t="s">
        <v>322</v>
      </c>
      <c r="M1003" s="8" t="s">
        <v>323</v>
      </c>
      <c r="N1003" s="8">
        <v>23.1</v>
      </c>
      <c r="O1003" s="14">
        <f t="shared" si="1"/>
        <v>44501</v>
      </c>
      <c r="P1003" s="15">
        <f>IFERROR(VLOOKUP(K1003,Formula!$A$11:$B$20,2,FALSE),Formula!$C$26)</f>
        <v>0.9</v>
      </c>
      <c r="Q1003" s="15">
        <f>IF(AND(ISNUMBER(J1003),J1003&gt;0),1/J1003,IF(AND(ISNUMBER(I1003),I1003&gt;0),SQRT(MIN(I1003,Formula!$C$27))/Formula!$C$24,1/Formula!$C$25))</f>
        <v>0.5</v>
      </c>
      <c r="R1003" s="15">
        <f t="shared" si="2"/>
        <v>0.45</v>
      </c>
      <c r="S1003" s="15">
        <f>IF(H1003&lt;&gt;"",EXP(-Formula!$C$28*(EOMONTH(H1003,0)-H1003)),EXP(-Formula!$C$28*(EOMONTH(D1003,0)-D1003)))</f>
        <v>0.4274149319</v>
      </c>
      <c r="T1003" s="15">
        <f t="shared" si="3"/>
        <v>0.1643989873</v>
      </c>
      <c r="U1003" s="15">
        <f t="shared" si="4"/>
        <v>0.03161996189</v>
      </c>
      <c r="V1003" s="16">
        <f>IF(AND(L1003="Among all respondents",NOT(OR(K1003="Online poll in Telegram channel",K1003="Website online poll",K1003="CAWI (Computer Assisted Web Interviewing)"))),1/(1-MIN(MAX(Formula!$C$33+(YEAR(D1003)-Formula!$C$34)/(Formula!$C$35-Formula!$C$34)*(Formula!$C$32-Formula!$C$33),Formula!$C$33),Formula!$C$32)),1)</f>
        <v>1</v>
      </c>
      <c r="W1003" s="17">
        <f t="shared" si="5"/>
        <v>23.1</v>
      </c>
    </row>
    <row r="1004" ht="15.75" customHeight="1">
      <c r="A1004" s="8" t="s">
        <v>1701</v>
      </c>
      <c r="B1004" s="7" t="s">
        <v>1698</v>
      </c>
      <c r="C1004" s="13" t="s">
        <v>1699</v>
      </c>
      <c r="D1004" s="7" t="s">
        <v>161</v>
      </c>
      <c r="E1004" s="8" t="s">
        <v>40</v>
      </c>
      <c r="F1004" s="8" t="s">
        <v>318</v>
      </c>
      <c r="G1004" s="7" t="s">
        <v>168</v>
      </c>
      <c r="H1004" s="7" t="s">
        <v>1700</v>
      </c>
      <c r="I1004" s="8">
        <v>2500.0</v>
      </c>
      <c r="J1004" s="8">
        <v>2.0</v>
      </c>
      <c r="K1004" s="8" t="s">
        <v>321</v>
      </c>
      <c r="L1004" s="8" t="s">
        <v>322</v>
      </c>
      <c r="M1004" s="8" t="s">
        <v>329</v>
      </c>
      <c r="N1004" s="8">
        <v>13.3</v>
      </c>
      <c r="O1004" s="14">
        <f t="shared" si="1"/>
        <v>44501</v>
      </c>
      <c r="P1004" s="15">
        <f>IFERROR(VLOOKUP(K1004,Formula!$A$11:$B$20,2,FALSE),Formula!$C$26)</f>
        <v>0.9</v>
      </c>
      <c r="Q1004" s="15">
        <f>IF(AND(ISNUMBER(J1004),J1004&gt;0),1/J1004,IF(AND(ISNUMBER(I1004),I1004&gt;0),SQRT(MIN(I1004,Formula!$C$27))/Formula!$C$24,1/Formula!$C$25))</f>
        <v>0.5</v>
      </c>
      <c r="R1004" s="15">
        <f t="shared" si="2"/>
        <v>0.45</v>
      </c>
      <c r="S1004" s="15">
        <f>IF(H1004&lt;&gt;"",EXP(-Formula!$C$28*(EOMONTH(H1004,0)-H1004)),EXP(-Formula!$C$28*(EOMONTH(D1004,0)-D1004)))</f>
        <v>0.4274149319</v>
      </c>
      <c r="T1004" s="15">
        <f t="shared" si="3"/>
        <v>0.1643989873</v>
      </c>
      <c r="U1004" s="15">
        <f t="shared" si="4"/>
        <v>0.03161996189</v>
      </c>
      <c r="V1004" s="16">
        <f>IF(AND(L1004="Among all respondents",NOT(OR(K1004="Online poll in Telegram channel",K1004="Website online poll",K1004="CAWI (Computer Assisted Web Interviewing)"))),1/(1-MIN(MAX(Formula!$C$33+(YEAR(D1004)-Formula!$C$34)/(Formula!$C$35-Formula!$C$34)*(Formula!$C$32-Formula!$C$33),Formula!$C$33),Formula!$C$32)),1)</f>
        <v>1</v>
      </c>
      <c r="W1004" s="17">
        <f t="shared" si="5"/>
        <v>13.3</v>
      </c>
    </row>
    <row r="1005" ht="15.75" customHeight="1">
      <c r="A1005" s="8" t="s">
        <v>1702</v>
      </c>
      <c r="B1005" s="7" t="s">
        <v>1698</v>
      </c>
      <c r="C1005" s="13" t="s">
        <v>1699</v>
      </c>
      <c r="D1005" s="7" t="s">
        <v>161</v>
      </c>
      <c r="E1005" s="8" t="s">
        <v>40</v>
      </c>
      <c r="F1005" s="8" t="s">
        <v>318</v>
      </c>
      <c r="G1005" s="7" t="s">
        <v>168</v>
      </c>
      <c r="H1005" s="7" t="s">
        <v>1700</v>
      </c>
      <c r="I1005" s="8">
        <v>2500.0</v>
      </c>
      <c r="J1005" s="8">
        <v>2.0</v>
      </c>
      <c r="K1005" s="8" t="s">
        <v>321</v>
      </c>
      <c r="L1005" s="8" t="s">
        <v>322</v>
      </c>
      <c r="M1005" s="8" t="s">
        <v>337</v>
      </c>
      <c r="N1005" s="8">
        <v>10.7</v>
      </c>
      <c r="O1005" s="14">
        <f t="shared" si="1"/>
        <v>44501</v>
      </c>
      <c r="P1005" s="15">
        <f>IFERROR(VLOOKUP(K1005,Formula!$A$11:$B$20,2,FALSE),Formula!$C$26)</f>
        <v>0.9</v>
      </c>
      <c r="Q1005" s="15">
        <f>IF(AND(ISNUMBER(J1005),J1005&gt;0),1/J1005,IF(AND(ISNUMBER(I1005),I1005&gt;0),SQRT(MIN(I1005,Formula!$C$27))/Formula!$C$24,1/Formula!$C$25))</f>
        <v>0.5</v>
      </c>
      <c r="R1005" s="15">
        <f t="shared" si="2"/>
        <v>0.45</v>
      </c>
      <c r="S1005" s="15">
        <f>IF(H1005&lt;&gt;"",EXP(-Formula!$C$28*(EOMONTH(H1005,0)-H1005)),EXP(-Formula!$C$28*(EOMONTH(D1005,0)-D1005)))</f>
        <v>0.4274149319</v>
      </c>
      <c r="T1005" s="15">
        <f t="shared" si="3"/>
        <v>0.1643989873</v>
      </c>
      <c r="U1005" s="15">
        <f t="shared" si="4"/>
        <v>0.03161996189</v>
      </c>
      <c r="V1005" s="16">
        <f>IF(AND(L1005="Among all respondents",NOT(OR(K1005="Online poll in Telegram channel",K1005="Website online poll",K1005="CAWI (Computer Assisted Web Interviewing)"))),1/(1-MIN(MAX(Formula!$C$33+(YEAR(D1005)-Formula!$C$34)/(Formula!$C$35-Formula!$C$34)*(Formula!$C$32-Formula!$C$33),Formula!$C$33),Formula!$C$32)),1)</f>
        <v>1</v>
      </c>
      <c r="W1005" s="17">
        <f t="shared" si="5"/>
        <v>10.7</v>
      </c>
    </row>
    <row r="1006" ht="15.75" customHeight="1">
      <c r="A1006" s="8" t="s">
        <v>1703</v>
      </c>
      <c r="B1006" s="7" t="s">
        <v>1698</v>
      </c>
      <c r="C1006" s="13" t="s">
        <v>1699</v>
      </c>
      <c r="D1006" s="7" t="s">
        <v>161</v>
      </c>
      <c r="E1006" s="8" t="s">
        <v>40</v>
      </c>
      <c r="F1006" s="8" t="s">
        <v>318</v>
      </c>
      <c r="G1006" s="7" t="s">
        <v>168</v>
      </c>
      <c r="H1006" s="7" t="s">
        <v>1700</v>
      </c>
      <c r="I1006" s="8">
        <v>2500.0</v>
      </c>
      <c r="J1006" s="8">
        <v>2.0</v>
      </c>
      <c r="K1006" s="8" t="s">
        <v>321</v>
      </c>
      <c r="L1006" s="8" t="s">
        <v>322</v>
      </c>
      <c r="M1006" s="8" t="s">
        <v>365</v>
      </c>
      <c r="N1006" s="8">
        <v>9.2</v>
      </c>
      <c r="O1006" s="14">
        <f t="shared" si="1"/>
        <v>44501</v>
      </c>
      <c r="P1006" s="15">
        <f>IFERROR(VLOOKUP(K1006,Formula!$A$11:$B$20,2,FALSE),Formula!$C$26)</f>
        <v>0.9</v>
      </c>
      <c r="Q1006" s="15">
        <f>IF(AND(ISNUMBER(J1006),J1006&gt;0),1/J1006,IF(AND(ISNUMBER(I1006),I1006&gt;0),SQRT(MIN(I1006,Formula!$C$27))/Formula!$C$24,1/Formula!$C$25))</f>
        <v>0.5</v>
      </c>
      <c r="R1006" s="15">
        <f t="shared" si="2"/>
        <v>0.45</v>
      </c>
      <c r="S1006" s="15">
        <f>IF(H1006&lt;&gt;"",EXP(-Formula!$C$28*(EOMONTH(H1006,0)-H1006)),EXP(-Formula!$C$28*(EOMONTH(D1006,0)-D1006)))</f>
        <v>0.4274149319</v>
      </c>
      <c r="T1006" s="15">
        <f t="shared" si="3"/>
        <v>0.1643989873</v>
      </c>
      <c r="U1006" s="15">
        <f t="shared" si="4"/>
        <v>0.03161996189</v>
      </c>
      <c r="V1006" s="16">
        <f>IF(AND(L1006="Among all respondents",NOT(OR(K1006="Online poll in Telegram channel",K1006="Website online poll",K1006="CAWI (Computer Assisted Web Interviewing)"))),1/(1-MIN(MAX(Formula!$C$33+(YEAR(D1006)-Formula!$C$34)/(Formula!$C$35-Formula!$C$34)*(Formula!$C$32-Formula!$C$33),Formula!$C$33),Formula!$C$32)),1)</f>
        <v>1</v>
      </c>
      <c r="W1006" s="17">
        <f t="shared" si="5"/>
        <v>9.2</v>
      </c>
    </row>
    <row r="1007" ht="15.75" customHeight="1">
      <c r="A1007" s="8" t="s">
        <v>1704</v>
      </c>
      <c r="B1007" s="7" t="s">
        <v>1698</v>
      </c>
      <c r="C1007" s="13" t="s">
        <v>1699</v>
      </c>
      <c r="D1007" s="7" t="s">
        <v>161</v>
      </c>
      <c r="E1007" s="8" t="s">
        <v>40</v>
      </c>
      <c r="F1007" s="8" t="s">
        <v>318</v>
      </c>
      <c r="G1007" s="7" t="s">
        <v>168</v>
      </c>
      <c r="H1007" s="7" t="s">
        <v>1700</v>
      </c>
      <c r="I1007" s="8">
        <v>2500.0</v>
      </c>
      <c r="J1007" s="8">
        <v>2.0</v>
      </c>
      <c r="K1007" s="8" t="s">
        <v>321</v>
      </c>
      <c r="L1007" s="8" t="s">
        <v>322</v>
      </c>
      <c r="M1007" s="8" t="s">
        <v>333</v>
      </c>
      <c r="N1007" s="8">
        <v>8.3</v>
      </c>
      <c r="O1007" s="14">
        <f t="shared" si="1"/>
        <v>44501</v>
      </c>
      <c r="P1007" s="15">
        <f>IFERROR(VLOOKUP(K1007,Formula!$A$11:$B$20,2,FALSE),Formula!$C$26)</f>
        <v>0.9</v>
      </c>
      <c r="Q1007" s="15">
        <f>IF(AND(ISNUMBER(J1007),J1007&gt;0),1/J1007,IF(AND(ISNUMBER(I1007),I1007&gt;0),SQRT(MIN(I1007,Formula!$C$27))/Formula!$C$24,1/Formula!$C$25))</f>
        <v>0.5</v>
      </c>
      <c r="R1007" s="15">
        <f t="shared" si="2"/>
        <v>0.45</v>
      </c>
      <c r="S1007" s="15">
        <f>IF(H1007&lt;&gt;"",EXP(-Formula!$C$28*(EOMONTH(H1007,0)-H1007)),EXP(-Formula!$C$28*(EOMONTH(D1007,0)-D1007)))</f>
        <v>0.4274149319</v>
      </c>
      <c r="T1007" s="15">
        <f t="shared" si="3"/>
        <v>0.1643989873</v>
      </c>
      <c r="U1007" s="15">
        <f t="shared" si="4"/>
        <v>0.03161996189</v>
      </c>
      <c r="V1007" s="16">
        <f>IF(AND(L1007="Among all respondents",NOT(OR(K1007="Online poll in Telegram channel",K1007="Website online poll",K1007="CAWI (Computer Assisted Web Interviewing)"))),1/(1-MIN(MAX(Formula!$C$33+(YEAR(D1007)-Formula!$C$34)/(Formula!$C$35-Formula!$C$34)*(Formula!$C$32-Formula!$C$33),Formula!$C$33),Formula!$C$32)),1)</f>
        <v>1</v>
      </c>
      <c r="W1007" s="17">
        <f t="shared" si="5"/>
        <v>8.3</v>
      </c>
    </row>
    <row r="1008" ht="15.75" customHeight="1">
      <c r="A1008" s="8" t="s">
        <v>1705</v>
      </c>
      <c r="B1008" s="7" t="s">
        <v>1698</v>
      </c>
      <c r="C1008" s="13" t="s">
        <v>1699</v>
      </c>
      <c r="D1008" s="7" t="s">
        <v>161</v>
      </c>
      <c r="E1008" s="8" t="s">
        <v>40</v>
      </c>
      <c r="F1008" s="8" t="s">
        <v>318</v>
      </c>
      <c r="G1008" s="7" t="s">
        <v>168</v>
      </c>
      <c r="H1008" s="7" t="s">
        <v>1700</v>
      </c>
      <c r="I1008" s="8">
        <v>2500.0</v>
      </c>
      <c r="J1008" s="8">
        <v>2.0</v>
      </c>
      <c r="K1008" s="8" t="s">
        <v>321</v>
      </c>
      <c r="L1008" s="8" t="s">
        <v>322</v>
      </c>
      <c r="M1008" s="8" t="s">
        <v>1153</v>
      </c>
      <c r="N1008" s="8">
        <v>7.0</v>
      </c>
      <c r="O1008" s="14">
        <f t="shared" si="1"/>
        <v>44501</v>
      </c>
      <c r="P1008" s="15">
        <f>IFERROR(VLOOKUP(K1008,Formula!$A$11:$B$20,2,FALSE),Formula!$C$26)</f>
        <v>0.9</v>
      </c>
      <c r="Q1008" s="15">
        <f>IF(AND(ISNUMBER(J1008),J1008&gt;0),1/J1008,IF(AND(ISNUMBER(I1008),I1008&gt;0),SQRT(MIN(I1008,Formula!$C$27))/Formula!$C$24,1/Formula!$C$25))</f>
        <v>0.5</v>
      </c>
      <c r="R1008" s="15">
        <f t="shared" si="2"/>
        <v>0.45</v>
      </c>
      <c r="S1008" s="15">
        <f>IF(H1008&lt;&gt;"",EXP(-Formula!$C$28*(EOMONTH(H1008,0)-H1008)),EXP(-Formula!$C$28*(EOMONTH(D1008,0)-D1008)))</f>
        <v>0.4274149319</v>
      </c>
      <c r="T1008" s="15">
        <f t="shared" si="3"/>
        <v>0.1643989873</v>
      </c>
      <c r="U1008" s="15">
        <f t="shared" si="4"/>
        <v>0.03161996189</v>
      </c>
      <c r="V1008" s="16">
        <f>IF(AND(L1008="Among all respondents",NOT(OR(K1008="Online poll in Telegram channel",K1008="Website online poll",K1008="CAWI (Computer Assisted Web Interviewing)"))),1/(1-MIN(MAX(Formula!$C$33+(YEAR(D1008)-Formula!$C$34)/(Formula!$C$35-Formula!$C$34)*(Formula!$C$32-Formula!$C$33),Formula!$C$33),Formula!$C$32)),1)</f>
        <v>1</v>
      </c>
      <c r="W1008" s="17">
        <f t="shared" si="5"/>
        <v>7</v>
      </c>
    </row>
    <row r="1009" ht="15.75" customHeight="1">
      <c r="A1009" s="8" t="s">
        <v>1706</v>
      </c>
      <c r="B1009" s="7" t="s">
        <v>1698</v>
      </c>
      <c r="C1009" s="13" t="s">
        <v>1699</v>
      </c>
      <c r="D1009" s="7" t="s">
        <v>161</v>
      </c>
      <c r="E1009" s="8" t="s">
        <v>40</v>
      </c>
      <c r="F1009" s="8" t="s">
        <v>318</v>
      </c>
      <c r="G1009" s="7" t="s">
        <v>168</v>
      </c>
      <c r="H1009" s="7" t="s">
        <v>1700</v>
      </c>
      <c r="I1009" s="8">
        <v>2500.0</v>
      </c>
      <c r="J1009" s="8">
        <v>2.0</v>
      </c>
      <c r="K1009" s="8" t="s">
        <v>321</v>
      </c>
      <c r="L1009" s="8" t="s">
        <v>322</v>
      </c>
      <c r="M1009" s="8" t="s">
        <v>828</v>
      </c>
      <c r="N1009" s="8">
        <v>6.9</v>
      </c>
      <c r="O1009" s="14">
        <f t="shared" si="1"/>
        <v>44501</v>
      </c>
      <c r="P1009" s="15">
        <f>IFERROR(VLOOKUP(K1009,Formula!$A$11:$B$20,2,FALSE),Formula!$C$26)</f>
        <v>0.9</v>
      </c>
      <c r="Q1009" s="15">
        <f>IF(AND(ISNUMBER(J1009),J1009&gt;0),1/J1009,IF(AND(ISNUMBER(I1009),I1009&gt;0),SQRT(MIN(I1009,Formula!$C$27))/Formula!$C$24,1/Formula!$C$25))</f>
        <v>0.5</v>
      </c>
      <c r="R1009" s="15">
        <f t="shared" si="2"/>
        <v>0.45</v>
      </c>
      <c r="S1009" s="15">
        <f>IF(H1009&lt;&gt;"",EXP(-Formula!$C$28*(EOMONTH(H1009,0)-H1009)),EXP(-Formula!$C$28*(EOMONTH(D1009,0)-D1009)))</f>
        <v>0.4274149319</v>
      </c>
      <c r="T1009" s="15">
        <f t="shared" si="3"/>
        <v>0.1643989873</v>
      </c>
      <c r="U1009" s="15">
        <f t="shared" si="4"/>
        <v>0.03161996189</v>
      </c>
      <c r="V1009" s="16">
        <f>IF(AND(L1009="Among all respondents",NOT(OR(K1009="Online poll in Telegram channel",K1009="Website online poll",K1009="CAWI (Computer Assisted Web Interviewing)"))),1/(1-MIN(MAX(Formula!$C$33+(YEAR(D1009)-Formula!$C$34)/(Formula!$C$35-Formula!$C$34)*(Formula!$C$32-Formula!$C$33),Formula!$C$33),Formula!$C$32)),1)</f>
        <v>1</v>
      </c>
      <c r="W1009" s="17">
        <f t="shared" si="5"/>
        <v>6.9</v>
      </c>
    </row>
    <row r="1010" ht="15.75" customHeight="1">
      <c r="A1010" s="8" t="s">
        <v>1707</v>
      </c>
      <c r="B1010" s="7" t="s">
        <v>1698</v>
      </c>
      <c r="C1010" s="13" t="s">
        <v>1699</v>
      </c>
      <c r="D1010" s="7" t="s">
        <v>161</v>
      </c>
      <c r="E1010" s="8" t="s">
        <v>40</v>
      </c>
      <c r="F1010" s="8" t="s">
        <v>318</v>
      </c>
      <c r="G1010" s="7" t="s">
        <v>168</v>
      </c>
      <c r="H1010" s="7" t="s">
        <v>1700</v>
      </c>
      <c r="I1010" s="8">
        <v>2500.0</v>
      </c>
      <c r="J1010" s="8">
        <v>2.0</v>
      </c>
      <c r="K1010" s="8" t="s">
        <v>321</v>
      </c>
      <c r="L1010" s="8" t="s">
        <v>322</v>
      </c>
      <c r="M1010" s="8" t="s">
        <v>386</v>
      </c>
      <c r="N1010" s="8">
        <v>6.1</v>
      </c>
      <c r="O1010" s="14">
        <f t="shared" si="1"/>
        <v>44501</v>
      </c>
      <c r="P1010" s="15">
        <f>IFERROR(VLOOKUP(K1010,Formula!$A$11:$B$20,2,FALSE),Formula!$C$26)</f>
        <v>0.9</v>
      </c>
      <c r="Q1010" s="15">
        <f>IF(AND(ISNUMBER(J1010),J1010&gt;0),1/J1010,IF(AND(ISNUMBER(I1010),I1010&gt;0),SQRT(MIN(I1010,Formula!$C$27))/Formula!$C$24,1/Formula!$C$25))</f>
        <v>0.5</v>
      </c>
      <c r="R1010" s="15">
        <f t="shared" si="2"/>
        <v>0.45</v>
      </c>
      <c r="S1010" s="15">
        <f>IF(H1010&lt;&gt;"",EXP(-Formula!$C$28*(EOMONTH(H1010,0)-H1010)),EXP(-Formula!$C$28*(EOMONTH(D1010,0)-D1010)))</f>
        <v>0.4274149319</v>
      </c>
      <c r="T1010" s="15">
        <f t="shared" si="3"/>
        <v>0.1643989873</v>
      </c>
      <c r="U1010" s="15">
        <f t="shared" si="4"/>
        <v>0.03161996189</v>
      </c>
      <c r="V1010" s="16">
        <f>IF(AND(L1010="Among all respondents",NOT(OR(K1010="Online poll in Telegram channel",K1010="Website online poll",K1010="CAWI (Computer Assisted Web Interviewing)"))),1/(1-MIN(MAX(Formula!$C$33+(YEAR(D1010)-Formula!$C$34)/(Formula!$C$35-Formula!$C$34)*(Formula!$C$32-Formula!$C$33),Formula!$C$33),Formula!$C$32)),1)</f>
        <v>1</v>
      </c>
      <c r="W1010" s="17">
        <f t="shared" si="5"/>
        <v>6.1</v>
      </c>
    </row>
    <row r="1011" ht="15.75" customHeight="1">
      <c r="A1011" s="8" t="s">
        <v>1708</v>
      </c>
      <c r="B1011" s="7" t="s">
        <v>1698</v>
      </c>
      <c r="C1011" s="13" t="s">
        <v>1699</v>
      </c>
      <c r="D1011" s="7" t="s">
        <v>161</v>
      </c>
      <c r="E1011" s="8" t="s">
        <v>40</v>
      </c>
      <c r="F1011" s="8" t="s">
        <v>318</v>
      </c>
      <c r="G1011" s="7" t="s">
        <v>168</v>
      </c>
      <c r="H1011" s="7" t="s">
        <v>1700</v>
      </c>
      <c r="I1011" s="8">
        <v>2500.0</v>
      </c>
      <c r="J1011" s="8">
        <v>2.0</v>
      </c>
      <c r="K1011" s="8" t="s">
        <v>321</v>
      </c>
      <c r="L1011" s="8" t="s">
        <v>322</v>
      </c>
      <c r="M1011" s="8" t="s">
        <v>388</v>
      </c>
      <c r="N1011" s="8">
        <v>3.3</v>
      </c>
      <c r="O1011" s="14">
        <f t="shared" si="1"/>
        <v>44501</v>
      </c>
      <c r="P1011" s="15">
        <f>IFERROR(VLOOKUP(K1011,Formula!$A$11:$B$20,2,FALSE),Formula!$C$26)</f>
        <v>0.9</v>
      </c>
      <c r="Q1011" s="15">
        <f>IF(AND(ISNUMBER(J1011),J1011&gt;0),1/J1011,IF(AND(ISNUMBER(I1011),I1011&gt;0),SQRT(MIN(I1011,Formula!$C$27))/Formula!$C$24,1/Formula!$C$25))</f>
        <v>0.5</v>
      </c>
      <c r="R1011" s="15">
        <f t="shared" si="2"/>
        <v>0.45</v>
      </c>
      <c r="S1011" s="15">
        <f>IF(H1011&lt;&gt;"",EXP(-Formula!$C$28*(EOMONTH(H1011,0)-H1011)),EXP(-Formula!$C$28*(EOMONTH(D1011,0)-D1011)))</f>
        <v>0.4274149319</v>
      </c>
      <c r="T1011" s="15">
        <f t="shared" si="3"/>
        <v>0.1643989873</v>
      </c>
      <c r="U1011" s="15">
        <f t="shared" si="4"/>
        <v>0.03161996189</v>
      </c>
      <c r="V1011" s="16">
        <f>IF(AND(L1011="Among all respondents",NOT(OR(K1011="Online poll in Telegram channel",K1011="Website online poll",K1011="CAWI (Computer Assisted Web Interviewing)"))),1/(1-MIN(MAX(Formula!$C$33+(YEAR(D1011)-Formula!$C$34)/(Formula!$C$35-Formula!$C$34)*(Formula!$C$32-Formula!$C$33),Formula!$C$33),Formula!$C$32)),1)</f>
        <v>1</v>
      </c>
      <c r="W1011" s="17">
        <f t="shared" si="5"/>
        <v>3.3</v>
      </c>
    </row>
    <row r="1012" ht="15.75" customHeight="1">
      <c r="A1012" s="8" t="s">
        <v>1709</v>
      </c>
      <c r="B1012" s="7" t="s">
        <v>1698</v>
      </c>
      <c r="C1012" s="13" t="s">
        <v>1699</v>
      </c>
      <c r="D1012" s="7" t="s">
        <v>161</v>
      </c>
      <c r="E1012" s="8" t="s">
        <v>40</v>
      </c>
      <c r="F1012" s="8" t="s">
        <v>318</v>
      </c>
      <c r="G1012" s="7" t="s">
        <v>168</v>
      </c>
      <c r="H1012" s="7" t="s">
        <v>1700</v>
      </c>
      <c r="I1012" s="8">
        <v>2500.0</v>
      </c>
      <c r="J1012" s="8">
        <v>2.0</v>
      </c>
      <c r="K1012" s="8" t="s">
        <v>321</v>
      </c>
      <c r="L1012" s="8" t="s">
        <v>322</v>
      </c>
      <c r="M1012" s="8" t="s">
        <v>836</v>
      </c>
      <c r="N1012" s="8">
        <v>2.8</v>
      </c>
      <c r="O1012" s="14">
        <f t="shared" si="1"/>
        <v>44501</v>
      </c>
      <c r="P1012" s="15">
        <f>IFERROR(VLOOKUP(K1012,Formula!$A$11:$B$20,2,FALSE),Formula!$C$26)</f>
        <v>0.9</v>
      </c>
      <c r="Q1012" s="15">
        <f>IF(AND(ISNUMBER(J1012),J1012&gt;0),1/J1012,IF(AND(ISNUMBER(I1012),I1012&gt;0),SQRT(MIN(I1012,Formula!$C$27))/Formula!$C$24,1/Formula!$C$25))</f>
        <v>0.5</v>
      </c>
      <c r="R1012" s="15">
        <f t="shared" si="2"/>
        <v>0.45</v>
      </c>
      <c r="S1012" s="15">
        <f>IF(H1012&lt;&gt;"",EXP(-Formula!$C$28*(EOMONTH(H1012,0)-H1012)),EXP(-Formula!$C$28*(EOMONTH(D1012,0)-D1012)))</f>
        <v>0.4274149319</v>
      </c>
      <c r="T1012" s="15">
        <f t="shared" si="3"/>
        <v>0.1643989873</v>
      </c>
      <c r="U1012" s="15">
        <f t="shared" si="4"/>
        <v>0.03161996189</v>
      </c>
      <c r="V1012" s="16">
        <f>IF(AND(L1012="Among all respondents",NOT(OR(K1012="Online poll in Telegram channel",K1012="Website online poll",K1012="CAWI (Computer Assisted Web Interviewing)"))),1/(1-MIN(MAX(Formula!$C$33+(YEAR(D1012)-Formula!$C$34)/(Formula!$C$35-Formula!$C$34)*(Formula!$C$32-Formula!$C$33),Formula!$C$33),Formula!$C$32)),1)</f>
        <v>1</v>
      </c>
      <c r="W1012" s="17">
        <f t="shared" si="5"/>
        <v>2.8</v>
      </c>
    </row>
    <row r="1013" ht="15.75" customHeight="1">
      <c r="A1013" s="8" t="s">
        <v>1710</v>
      </c>
      <c r="B1013" s="7" t="s">
        <v>1698</v>
      </c>
      <c r="C1013" s="13" t="s">
        <v>1699</v>
      </c>
      <c r="D1013" s="7" t="s">
        <v>161</v>
      </c>
      <c r="E1013" s="8" t="s">
        <v>40</v>
      </c>
      <c r="F1013" s="8" t="s">
        <v>318</v>
      </c>
      <c r="G1013" s="7" t="s">
        <v>168</v>
      </c>
      <c r="H1013" s="7" t="s">
        <v>1700</v>
      </c>
      <c r="I1013" s="8">
        <v>2500.0</v>
      </c>
      <c r="J1013" s="8">
        <v>2.0</v>
      </c>
      <c r="K1013" s="8" t="s">
        <v>321</v>
      </c>
      <c r="L1013" s="8" t="s">
        <v>322</v>
      </c>
      <c r="M1013" s="8" t="s">
        <v>743</v>
      </c>
      <c r="N1013" s="8">
        <v>2.3</v>
      </c>
      <c r="O1013" s="14">
        <f t="shared" si="1"/>
        <v>44501</v>
      </c>
      <c r="P1013" s="15">
        <f>IFERROR(VLOOKUP(K1013,Formula!$A$11:$B$20,2,FALSE),Formula!$C$26)</f>
        <v>0.9</v>
      </c>
      <c r="Q1013" s="15">
        <f>IF(AND(ISNUMBER(J1013),J1013&gt;0),1/J1013,IF(AND(ISNUMBER(I1013),I1013&gt;0),SQRT(MIN(I1013,Formula!$C$27))/Formula!$C$24,1/Formula!$C$25))</f>
        <v>0.5</v>
      </c>
      <c r="R1013" s="15">
        <f t="shared" si="2"/>
        <v>0.45</v>
      </c>
      <c r="S1013" s="15">
        <f>IF(H1013&lt;&gt;"",EXP(-Formula!$C$28*(EOMONTH(H1013,0)-H1013)),EXP(-Formula!$C$28*(EOMONTH(D1013,0)-D1013)))</f>
        <v>0.4274149319</v>
      </c>
      <c r="T1013" s="15">
        <f t="shared" si="3"/>
        <v>0.1643989873</v>
      </c>
      <c r="U1013" s="15">
        <f t="shared" si="4"/>
        <v>0.03161996189</v>
      </c>
      <c r="V1013" s="16">
        <f>IF(AND(L1013="Among all respondents",NOT(OR(K1013="Online poll in Telegram channel",K1013="Website online poll",K1013="CAWI (Computer Assisted Web Interviewing)"))),1/(1-MIN(MAX(Formula!$C$33+(YEAR(D1013)-Formula!$C$34)/(Formula!$C$35-Formula!$C$34)*(Formula!$C$32-Formula!$C$33),Formula!$C$33),Formula!$C$32)),1)</f>
        <v>1</v>
      </c>
      <c r="W1013" s="17">
        <f t="shared" si="5"/>
        <v>2.3</v>
      </c>
    </row>
    <row r="1014" ht="15.75" customHeight="1">
      <c r="A1014" s="8" t="s">
        <v>1711</v>
      </c>
      <c r="B1014" s="7" t="s">
        <v>1698</v>
      </c>
      <c r="C1014" s="13" t="s">
        <v>1699</v>
      </c>
      <c r="D1014" s="7" t="s">
        <v>161</v>
      </c>
      <c r="E1014" s="8" t="s">
        <v>40</v>
      </c>
      <c r="F1014" s="8" t="s">
        <v>318</v>
      </c>
      <c r="G1014" s="7" t="s">
        <v>168</v>
      </c>
      <c r="H1014" s="7" t="s">
        <v>1700</v>
      </c>
      <c r="I1014" s="8">
        <v>2500.0</v>
      </c>
      <c r="J1014" s="8">
        <v>2.0</v>
      </c>
      <c r="K1014" s="8" t="s">
        <v>321</v>
      </c>
      <c r="L1014" s="8" t="s">
        <v>322</v>
      </c>
      <c r="M1014" s="8" t="s">
        <v>343</v>
      </c>
      <c r="N1014" s="8">
        <v>2.2</v>
      </c>
      <c r="O1014" s="14">
        <f t="shared" si="1"/>
        <v>44501</v>
      </c>
      <c r="P1014" s="15">
        <f>IFERROR(VLOOKUP(K1014,Formula!$A$11:$B$20,2,FALSE),Formula!$C$26)</f>
        <v>0.9</v>
      </c>
      <c r="Q1014" s="15">
        <f>IF(AND(ISNUMBER(J1014),J1014&gt;0),1/J1014,IF(AND(ISNUMBER(I1014),I1014&gt;0),SQRT(MIN(I1014,Formula!$C$27))/Formula!$C$24,1/Formula!$C$25))</f>
        <v>0.5</v>
      </c>
      <c r="R1014" s="15">
        <f t="shared" si="2"/>
        <v>0.45</v>
      </c>
      <c r="S1014" s="15">
        <f>IF(H1014&lt;&gt;"",EXP(-Formula!$C$28*(EOMONTH(H1014,0)-H1014)),EXP(-Formula!$C$28*(EOMONTH(D1014,0)-D1014)))</f>
        <v>0.4274149319</v>
      </c>
      <c r="T1014" s="15">
        <f t="shared" si="3"/>
        <v>0.1643989873</v>
      </c>
      <c r="U1014" s="15">
        <f t="shared" si="4"/>
        <v>0.03161996189</v>
      </c>
      <c r="V1014" s="16">
        <f>IF(AND(L1014="Among all respondents",NOT(OR(K1014="Online poll in Telegram channel",K1014="Website online poll",K1014="CAWI (Computer Assisted Web Interviewing)"))),1/(1-MIN(MAX(Formula!$C$33+(YEAR(D1014)-Formula!$C$34)/(Formula!$C$35-Formula!$C$34)*(Formula!$C$32-Formula!$C$33),Formula!$C$33),Formula!$C$32)),1)</f>
        <v>1</v>
      </c>
      <c r="W1014" s="17">
        <f t="shared" si="5"/>
        <v>2.2</v>
      </c>
    </row>
    <row r="1015" ht="15.75" customHeight="1">
      <c r="A1015" s="8" t="s">
        <v>1712</v>
      </c>
      <c r="B1015" s="7" t="s">
        <v>1698</v>
      </c>
      <c r="C1015" s="13" t="s">
        <v>1699</v>
      </c>
      <c r="D1015" s="7" t="s">
        <v>161</v>
      </c>
      <c r="E1015" s="8" t="s">
        <v>40</v>
      </c>
      <c r="F1015" s="8" t="s">
        <v>318</v>
      </c>
      <c r="G1015" s="7" t="s">
        <v>168</v>
      </c>
      <c r="H1015" s="7" t="s">
        <v>1700</v>
      </c>
      <c r="I1015" s="8">
        <v>2500.0</v>
      </c>
      <c r="J1015" s="8">
        <v>2.0</v>
      </c>
      <c r="K1015" s="8" t="s">
        <v>321</v>
      </c>
      <c r="L1015" s="8" t="s">
        <v>322</v>
      </c>
      <c r="M1015" s="8" t="s">
        <v>740</v>
      </c>
      <c r="N1015" s="8">
        <v>1.4</v>
      </c>
      <c r="O1015" s="14">
        <f t="shared" si="1"/>
        <v>44501</v>
      </c>
      <c r="P1015" s="15">
        <f>IFERROR(VLOOKUP(K1015,Formula!$A$11:$B$20,2,FALSE),Formula!$C$26)</f>
        <v>0.9</v>
      </c>
      <c r="Q1015" s="15">
        <f>IF(AND(ISNUMBER(J1015),J1015&gt;0),1/J1015,IF(AND(ISNUMBER(I1015),I1015&gt;0),SQRT(MIN(I1015,Formula!$C$27))/Formula!$C$24,1/Formula!$C$25))</f>
        <v>0.5</v>
      </c>
      <c r="R1015" s="15">
        <f t="shared" si="2"/>
        <v>0.45</v>
      </c>
      <c r="S1015" s="15">
        <f>IF(H1015&lt;&gt;"",EXP(-Formula!$C$28*(EOMONTH(H1015,0)-H1015)),EXP(-Formula!$C$28*(EOMONTH(D1015,0)-D1015)))</f>
        <v>0.4274149319</v>
      </c>
      <c r="T1015" s="15">
        <f t="shared" si="3"/>
        <v>0.1643989873</v>
      </c>
      <c r="U1015" s="15">
        <f t="shared" si="4"/>
        <v>0.03161996189</v>
      </c>
      <c r="V1015" s="16">
        <f>IF(AND(L1015="Among all respondents",NOT(OR(K1015="Online poll in Telegram channel",K1015="Website online poll",K1015="CAWI (Computer Assisted Web Interviewing)"))),1/(1-MIN(MAX(Formula!$C$33+(YEAR(D1015)-Formula!$C$34)/(Formula!$C$35-Formula!$C$34)*(Formula!$C$32-Formula!$C$33),Formula!$C$33),Formula!$C$32)),1)</f>
        <v>1</v>
      </c>
      <c r="W1015" s="17">
        <f t="shared" si="5"/>
        <v>1.4</v>
      </c>
    </row>
    <row r="1016" ht="15.75" customHeight="1">
      <c r="A1016" s="8" t="s">
        <v>1713</v>
      </c>
      <c r="B1016" s="7" t="s">
        <v>1714</v>
      </c>
      <c r="C1016" s="13" t="s">
        <v>1715</v>
      </c>
      <c r="D1016" s="7" t="s">
        <v>162</v>
      </c>
      <c r="E1016" s="8" t="s">
        <v>163</v>
      </c>
      <c r="F1016" s="8" t="s">
        <v>318</v>
      </c>
      <c r="G1016" s="7" t="s">
        <v>1716</v>
      </c>
      <c r="H1016" s="7" t="s">
        <v>168</v>
      </c>
      <c r="I1016" s="8">
        <v>3002.0</v>
      </c>
      <c r="J1016" s="8">
        <v>2.4</v>
      </c>
      <c r="K1016" s="8" t="s">
        <v>321</v>
      </c>
      <c r="L1016" s="8" t="s">
        <v>322</v>
      </c>
      <c r="M1016" s="8" t="s">
        <v>323</v>
      </c>
      <c r="N1016" s="8">
        <v>17.8</v>
      </c>
      <c r="O1016" s="14">
        <f t="shared" si="1"/>
        <v>44501</v>
      </c>
      <c r="P1016" s="15">
        <f>IFERROR(VLOOKUP(K1016,Formula!$A$11:$B$20,2,FALSE),Formula!$C$26)</f>
        <v>0.9</v>
      </c>
      <c r="Q1016" s="15">
        <f>IF(AND(ISNUMBER(J1016),J1016&gt;0),1/J1016,IF(AND(ISNUMBER(I1016),I1016&gt;0),SQRT(MIN(I1016,Formula!$C$27))/Formula!$C$24,1/Formula!$C$25))</f>
        <v>0.4166666667</v>
      </c>
      <c r="R1016" s="15">
        <f t="shared" si="2"/>
        <v>0.375</v>
      </c>
      <c r="S1016" s="15">
        <f>IF(H1016&lt;&gt;"",EXP(-Formula!$C$28*(EOMONTH(H1016,0)-H1016)),EXP(-Formula!$C$28*(EOMONTH(D1016,0)-D1016)))</f>
        <v>0.3678794412</v>
      </c>
      <c r="T1016" s="15">
        <f t="shared" si="3"/>
        <v>0.2672612419</v>
      </c>
      <c r="U1016" s="15">
        <f t="shared" si="4"/>
        <v>0.03686996862</v>
      </c>
      <c r="V1016" s="16">
        <f>IF(AND(L1016="Among all respondents",NOT(OR(K1016="Online poll in Telegram channel",K1016="Website online poll",K1016="CAWI (Computer Assisted Web Interviewing)"))),1/(1-MIN(MAX(Formula!$C$33+(YEAR(D1016)-Formula!$C$34)/(Formula!$C$35-Formula!$C$34)*(Formula!$C$32-Formula!$C$33),Formula!$C$33),Formula!$C$32)),1)</f>
        <v>1</v>
      </c>
      <c r="W1016" s="17">
        <f t="shared" si="5"/>
        <v>17.8</v>
      </c>
    </row>
    <row r="1017" ht="15.75" customHeight="1">
      <c r="A1017" s="8" t="s">
        <v>1717</v>
      </c>
      <c r="B1017" s="7" t="s">
        <v>1714</v>
      </c>
      <c r="C1017" s="13" t="s">
        <v>1715</v>
      </c>
      <c r="D1017" s="7" t="s">
        <v>162</v>
      </c>
      <c r="E1017" s="8" t="s">
        <v>163</v>
      </c>
      <c r="F1017" s="8" t="s">
        <v>318</v>
      </c>
      <c r="G1017" s="7" t="s">
        <v>1716</v>
      </c>
      <c r="H1017" s="7" t="s">
        <v>168</v>
      </c>
      <c r="I1017" s="8">
        <v>3002.0</v>
      </c>
      <c r="J1017" s="8">
        <v>2.4</v>
      </c>
      <c r="K1017" s="8" t="s">
        <v>321</v>
      </c>
      <c r="L1017" s="8" t="s">
        <v>322</v>
      </c>
      <c r="M1017" s="8" t="s">
        <v>329</v>
      </c>
      <c r="N1017" s="8">
        <v>16.7</v>
      </c>
      <c r="O1017" s="14">
        <f t="shared" si="1"/>
        <v>44501</v>
      </c>
      <c r="P1017" s="15">
        <f>IFERROR(VLOOKUP(K1017,Formula!$A$11:$B$20,2,FALSE),Formula!$C$26)</f>
        <v>0.9</v>
      </c>
      <c r="Q1017" s="15">
        <f>IF(AND(ISNUMBER(J1017),J1017&gt;0),1/J1017,IF(AND(ISNUMBER(I1017),I1017&gt;0),SQRT(MIN(I1017,Formula!$C$27))/Formula!$C$24,1/Formula!$C$25))</f>
        <v>0.4166666667</v>
      </c>
      <c r="R1017" s="15">
        <f t="shared" si="2"/>
        <v>0.375</v>
      </c>
      <c r="S1017" s="15">
        <f>IF(H1017&lt;&gt;"",EXP(-Formula!$C$28*(EOMONTH(H1017,0)-H1017)),EXP(-Formula!$C$28*(EOMONTH(D1017,0)-D1017)))</f>
        <v>0.3678794412</v>
      </c>
      <c r="T1017" s="15">
        <f t="shared" si="3"/>
        <v>0.2672612419</v>
      </c>
      <c r="U1017" s="15">
        <f t="shared" si="4"/>
        <v>0.03686996862</v>
      </c>
      <c r="V1017" s="16">
        <f>IF(AND(L1017="Among all respondents",NOT(OR(K1017="Online poll in Telegram channel",K1017="Website online poll",K1017="CAWI (Computer Assisted Web Interviewing)"))),1/(1-MIN(MAX(Formula!$C$33+(YEAR(D1017)-Formula!$C$34)/(Formula!$C$35-Formula!$C$34)*(Formula!$C$32-Formula!$C$33),Formula!$C$33),Formula!$C$32)),1)</f>
        <v>1</v>
      </c>
      <c r="W1017" s="17">
        <f t="shared" si="5"/>
        <v>16.7</v>
      </c>
    </row>
    <row r="1018" ht="15.75" customHeight="1">
      <c r="A1018" s="8" t="s">
        <v>1718</v>
      </c>
      <c r="B1018" s="7" t="s">
        <v>1714</v>
      </c>
      <c r="C1018" s="13" t="s">
        <v>1715</v>
      </c>
      <c r="D1018" s="7" t="s">
        <v>162</v>
      </c>
      <c r="E1018" s="8" t="s">
        <v>163</v>
      </c>
      <c r="F1018" s="8" t="s">
        <v>318</v>
      </c>
      <c r="G1018" s="7" t="s">
        <v>1716</v>
      </c>
      <c r="H1018" s="7" t="s">
        <v>168</v>
      </c>
      <c r="I1018" s="8">
        <v>3002.0</v>
      </c>
      <c r="J1018" s="8">
        <v>2.4</v>
      </c>
      <c r="K1018" s="8" t="s">
        <v>321</v>
      </c>
      <c r="L1018" s="8" t="s">
        <v>322</v>
      </c>
      <c r="M1018" s="8" t="s">
        <v>337</v>
      </c>
      <c r="N1018" s="8">
        <v>11.4</v>
      </c>
      <c r="O1018" s="14">
        <f t="shared" si="1"/>
        <v>44501</v>
      </c>
      <c r="P1018" s="15">
        <f>IFERROR(VLOOKUP(K1018,Formula!$A$11:$B$20,2,FALSE),Formula!$C$26)</f>
        <v>0.9</v>
      </c>
      <c r="Q1018" s="15">
        <f>IF(AND(ISNUMBER(J1018),J1018&gt;0),1/J1018,IF(AND(ISNUMBER(I1018),I1018&gt;0),SQRT(MIN(I1018,Formula!$C$27))/Formula!$C$24,1/Formula!$C$25))</f>
        <v>0.4166666667</v>
      </c>
      <c r="R1018" s="15">
        <f t="shared" si="2"/>
        <v>0.375</v>
      </c>
      <c r="S1018" s="15">
        <f>IF(H1018&lt;&gt;"",EXP(-Formula!$C$28*(EOMONTH(H1018,0)-H1018)),EXP(-Formula!$C$28*(EOMONTH(D1018,0)-D1018)))</f>
        <v>0.3678794412</v>
      </c>
      <c r="T1018" s="15">
        <f t="shared" si="3"/>
        <v>0.2672612419</v>
      </c>
      <c r="U1018" s="15">
        <f t="shared" si="4"/>
        <v>0.03686996862</v>
      </c>
      <c r="V1018" s="16">
        <f>IF(AND(L1018="Among all respondents",NOT(OR(K1018="Online poll in Telegram channel",K1018="Website online poll",K1018="CAWI (Computer Assisted Web Interviewing)"))),1/(1-MIN(MAX(Formula!$C$33+(YEAR(D1018)-Formula!$C$34)/(Formula!$C$35-Formula!$C$34)*(Formula!$C$32-Formula!$C$33),Formula!$C$33),Formula!$C$32)),1)</f>
        <v>1</v>
      </c>
      <c r="W1018" s="17">
        <f t="shared" si="5"/>
        <v>11.4</v>
      </c>
    </row>
    <row r="1019" ht="15.75" customHeight="1">
      <c r="A1019" s="8" t="s">
        <v>1719</v>
      </c>
      <c r="B1019" s="7" t="s">
        <v>1714</v>
      </c>
      <c r="C1019" s="13" t="s">
        <v>1715</v>
      </c>
      <c r="D1019" s="7" t="s">
        <v>162</v>
      </c>
      <c r="E1019" s="8" t="s">
        <v>163</v>
      </c>
      <c r="F1019" s="8" t="s">
        <v>318</v>
      </c>
      <c r="G1019" s="7" t="s">
        <v>1716</v>
      </c>
      <c r="H1019" s="7" t="s">
        <v>168</v>
      </c>
      <c r="I1019" s="8">
        <v>3002.0</v>
      </c>
      <c r="J1019" s="8">
        <v>2.4</v>
      </c>
      <c r="K1019" s="8" t="s">
        <v>321</v>
      </c>
      <c r="L1019" s="8" t="s">
        <v>322</v>
      </c>
      <c r="M1019" s="8" t="s">
        <v>365</v>
      </c>
      <c r="N1019" s="8">
        <v>9.8</v>
      </c>
      <c r="O1019" s="14">
        <f t="shared" si="1"/>
        <v>44501</v>
      </c>
      <c r="P1019" s="15">
        <f>IFERROR(VLOOKUP(K1019,Formula!$A$11:$B$20,2,FALSE),Formula!$C$26)</f>
        <v>0.9</v>
      </c>
      <c r="Q1019" s="15">
        <f>IF(AND(ISNUMBER(J1019),J1019&gt;0),1/J1019,IF(AND(ISNUMBER(I1019),I1019&gt;0),SQRT(MIN(I1019,Formula!$C$27))/Formula!$C$24,1/Formula!$C$25))</f>
        <v>0.4166666667</v>
      </c>
      <c r="R1019" s="15">
        <f t="shared" si="2"/>
        <v>0.375</v>
      </c>
      <c r="S1019" s="15">
        <f>IF(H1019&lt;&gt;"",EXP(-Formula!$C$28*(EOMONTH(H1019,0)-H1019)),EXP(-Formula!$C$28*(EOMONTH(D1019,0)-D1019)))</f>
        <v>0.3678794412</v>
      </c>
      <c r="T1019" s="15">
        <f t="shared" si="3"/>
        <v>0.2672612419</v>
      </c>
      <c r="U1019" s="15">
        <f t="shared" si="4"/>
        <v>0.03686996862</v>
      </c>
      <c r="V1019" s="16">
        <f>IF(AND(L1019="Among all respondents",NOT(OR(K1019="Online poll in Telegram channel",K1019="Website online poll",K1019="CAWI (Computer Assisted Web Interviewing)"))),1/(1-MIN(MAX(Formula!$C$33+(YEAR(D1019)-Formula!$C$34)/(Formula!$C$35-Formula!$C$34)*(Formula!$C$32-Formula!$C$33),Formula!$C$33),Formula!$C$32)),1)</f>
        <v>1</v>
      </c>
      <c r="W1019" s="17">
        <f t="shared" si="5"/>
        <v>9.8</v>
      </c>
    </row>
    <row r="1020" ht="15.75" customHeight="1">
      <c r="A1020" s="8" t="s">
        <v>1720</v>
      </c>
      <c r="B1020" s="7" t="s">
        <v>1714</v>
      </c>
      <c r="C1020" s="13" t="s">
        <v>1715</v>
      </c>
      <c r="D1020" s="7" t="s">
        <v>162</v>
      </c>
      <c r="E1020" s="8" t="s">
        <v>163</v>
      </c>
      <c r="F1020" s="8" t="s">
        <v>318</v>
      </c>
      <c r="G1020" s="7" t="s">
        <v>1716</v>
      </c>
      <c r="H1020" s="7" t="s">
        <v>168</v>
      </c>
      <c r="I1020" s="8">
        <v>3002.0</v>
      </c>
      <c r="J1020" s="8">
        <v>2.4</v>
      </c>
      <c r="K1020" s="8" t="s">
        <v>321</v>
      </c>
      <c r="L1020" s="8" t="s">
        <v>322</v>
      </c>
      <c r="M1020" s="8" t="s">
        <v>1452</v>
      </c>
      <c r="N1020" s="8">
        <v>6.3</v>
      </c>
      <c r="O1020" s="14">
        <f t="shared" si="1"/>
        <v>44501</v>
      </c>
      <c r="P1020" s="15">
        <f>IFERROR(VLOOKUP(K1020,Formula!$A$11:$B$20,2,FALSE),Formula!$C$26)</f>
        <v>0.9</v>
      </c>
      <c r="Q1020" s="15">
        <f>IF(AND(ISNUMBER(J1020),J1020&gt;0),1/J1020,IF(AND(ISNUMBER(I1020),I1020&gt;0),SQRT(MIN(I1020,Formula!$C$27))/Formula!$C$24,1/Formula!$C$25))</f>
        <v>0.4166666667</v>
      </c>
      <c r="R1020" s="15">
        <f t="shared" si="2"/>
        <v>0.375</v>
      </c>
      <c r="S1020" s="15">
        <f>IF(H1020&lt;&gt;"",EXP(-Formula!$C$28*(EOMONTH(H1020,0)-H1020)),EXP(-Formula!$C$28*(EOMONTH(D1020,0)-D1020)))</f>
        <v>0.3678794412</v>
      </c>
      <c r="T1020" s="15">
        <f t="shared" si="3"/>
        <v>0.2672612419</v>
      </c>
      <c r="U1020" s="15">
        <f t="shared" si="4"/>
        <v>0.03686996862</v>
      </c>
      <c r="V1020" s="16">
        <f>IF(AND(L1020="Among all respondents",NOT(OR(K1020="Online poll in Telegram channel",K1020="Website online poll",K1020="CAWI (Computer Assisted Web Interviewing)"))),1/(1-MIN(MAX(Formula!$C$33+(YEAR(D1020)-Formula!$C$34)/(Formula!$C$35-Formula!$C$34)*(Formula!$C$32-Formula!$C$33),Formula!$C$33),Formula!$C$32)),1)</f>
        <v>1</v>
      </c>
      <c r="W1020" s="17">
        <f t="shared" si="5"/>
        <v>6.3</v>
      </c>
    </row>
    <row r="1021" ht="15.75" customHeight="1">
      <c r="A1021" s="8" t="s">
        <v>1721</v>
      </c>
      <c r="B1021" s="7" t="s">
        <v>1714</v>
      </c>
      <c r="C1021" s="13" t="s">
        <v>1715</v>
      </c>
      <c r="D1021" s="7" t="s">
        <v>162</v>
      </c>
      <c r="E1021" s="8" t="s">
        <v>163</v>
      </c>
      <c r="F1021" s="8" t="s">
        <v>318</v>
      </c>
      <c r="G1021" s="7" t="s">
        <v>1716</v>
      </c>
      <c r="H1021" s="7" t="s">
        <v>168</v>
      </c>
      <c r="I1021" s="8">
        <v>3002.0</v>
      </c>
      <c r="J1021" s="8">
        <v>2.4</v>
      </c>
      <c r="K1021" s="8" t="s">
        <v>321</v>
      </c>
      <c r="L1021" s="8" t="s">
        <v>322</v>
      </c>
      <c r="M1021" s="8" t="s">
        <v>828</v>
      </c>
      <c r="N1021" s="8">
        <v>4.8</v>
      </c>
      <c r="O1021" s="14">
        <f t="shared" si="1"/>
        <v>44501</v>
      </c>
      <c r="P1021" s="15">
        <f>IFERROR(VLOOKUP(K1021,Formula!$A$11:$B$20,2,FALSE),Formula!$C$26)</f>
        <v>0.9</v>
      </c>
      <c r="Q1021" s="15">
        <f>IF(AND(ISNUMBER(J1021),J1021&gt;0),1/J1021,IF(AND(ISNUMBER(I1021),I1021&gt;0),SQRT(MIN(I1021,Formula!$C$27))/Formula!$C$24,1/Formula!$C$25))</f>
        <v>0.4166666667</v>
      </c>
      <c r="R1021" s="15">
        <f t="shared" si="2"/>
        <v>0.375</v>
      </c>
      <c r="S1021" s="15">
        <f>IF(H1021&lt;&gt;"",EXP(-Formula!$C$28*(EOMONTH(H1021,0)-H1021)),EXP(-Formula!$C$28*(EOMONTH(D1021,0)-D1021)))</f>
        <v>0.3678794412</v>
      </c>
      <c r="T1021" s="15">
        <f t="shared" si="3"/>
        <v>0.2672612419</v>
      </c>
      <c r="U1021" s="15">
        <f t="shared" si="4"/>
        <v>0.03686996862</v>
      </c>
      <c r="V1021" s="16">
        <f>IF(AND(L1021="Among all respondents",NOT(OR(K1021="Online poll in Telegram channel",K1021="Website online poll",K1021="CAWI (Computer Assisted Web Interviewing)"))),1/(1-MIN(MAX(Formula!$C$33+(YEAR(D1021)-Formula!$C$34)/(Formula!$C$35-Formula!$C$34)*(Formula!$C$32-Formula!$C$33),Formula!$C$33),Formula!$C$32)),1)</f>
        <v>1</v>
      </c>
      <c r="W1021" s="17">
        <f t="shared" si="5"/>
        <v>4.8</v>
      </c>
    </row>
    <row r="1022" ht="15.75" customHeight="1">
      <c r="A1022" s="8" t="s">
        <v>1722</v>
      </c>
      <c r="B1022" s="7" t="s">
        <v>1714</v>
      </c>
      <c r="C1022" s="13" t="s">
        <v>1715</v>
      </c>
      <c r="D1022" s="7" t="s">
        <v>162</v>
      </c>
      <c r="E1022" s="8" t="s">
        <v>163</v>
      </c>
      <c r="F1022" s="8" t="s">
        <v>318</v>
      </c>
      <c r="G1022" s="7" t="s">
        <v>1716</v>
      </c>
      <c r="H1022" s="7" t="s">
        <v>168</v>
      </c>
      <c r="I1022" s="8">
        <v>3002.0</v>
      </c>
      <c r="J1022" s="8">
        <v>2.4</v>
      </c>
      <c r="K1022" s="8" t="s">
        <v>321</v>
      </c>
      <c r="L1022" s="8" t="s">
        <v>322</v>
      </c>
      <c r="M1022" s="8" t="s">
        <v>333</v>
      </c>
      <c r="N1022" s="8">
        <v>4.7</v>
      </c>
      <c r="O1022" s="14">
        <f t="shared" si="1"/>
        <v>44501</v>
      </c>
      <c r="P1022" s="15">
        <f>IFERROR(VLOOKUP(K1022,Formula!$A$11:$B$20,2,FALSE),Formula!$C$26)</f>
        <v>0.9</v>
      </c>
      <c r="Q1022" s="15">
        <f>IF(AND(ISNUMBER(J1022),J1022&gt;0),1/J1022,IF(AND(ISNUMBER(I1022),I1022&gt;0),SQRT(MIN(I1022,Formula!$C$27))/Formula!$C$24,1/Formula!$C$25))</f>
        <v>0.4166666667</v>
      </c>
      <c r="R1022" s="15">
        <f t="shared" si="2"/>
        <v>0.375</v>
      </c>
      <c r="S1022" s="15">
        <f>IF(H1022&lt;&gt;"",EXP(-Formula!$C$28*(EOMONTH(H1022,0)-H1022)),EXP(-Formula!$C$28*(EOMONTH(D1022,0)-D1022)))</f>
        <v>0.3678794412</v>
      </c>
      <c r="T1022" s="15">
        <f t="shared" si="3"/>
        <v>0.2672612419</v>
      </c>
      <c r="U1022" s="15">
        <f t="shared" si="4"/>
        <v>0.03686996862</v>
      </c>
      <c r="V1022" s="16">
        <f>IF(AND(L1022="Among all respondents",NOT(OR(K1022="Online poll in Telegram channel",K1022="Website online poll",K1022="CAWI (Computer Assisted Web Interviewing)"))),1/(1-MIN(MAX(Formula!$C$33+(YEAR(D1022)-Formula!$C$34)/(Formula!$C$35-Formula!$C$34)*(Formula!$C$32-Formula!$C$33),Formula!$C$33),Formula!$C$32)),1)</f>
        <v>1</v>
      </c>
      <c r="W1022" s="17">
        <f t="shared" si="5"/>
        <v>4.7</v>
      </c>
    </row>
    <row r="1023" ht="15.75" customHeight="1">
      <c r="A1023" s="8" t="s">
        <v>1723</v>
      </c>
      <c r="B1023" s="7" t="s">
        <v>1714</v>
      </c>
      <c r="C1023" s="13" t="s">
        <v>1715</v>
      </c>
      <c r="D1023" s="7" t="s">
        <v>162</v>
      </c>
      <c r="E1023" s="8" t="s">
        <v>163</v>
      </c>
      <c r="F1023" s="8" t="s">
        <v>318</v>
      </c>
      <c r="G1023" s="7" t="s">
        <v>1716</v>
      </c>
      <c r="H1023" s="7" t="s">
        <v>168</v>
      </c>
      <c r="I1023" s="8">
        <v>3002.0</v>
      </c>
      <c r="J1023" s="8">
        <v>2.4</v>
      </c>
      <c r="K1023" s="8" t="s">
        <v>321</v>
      </c>
      <c r="L1023" s="8" t="s">
        <v>322</v>
      </c>
      <c r="M1023" s="8" t="s">
        <v>1153</v>
      </c>
      <c r="N1023" s="8">
        <v>2.9</v>
      </c>
      <c r="O1023" s="14">
        <f t="shared" si="1"/>
        <v>44501</v>
      </c>
      <c r="P1023" s="15">
        <f>IFERROR(VLOOKUP(K1023,Formula!$A$11:$B$20,2,FALSE),Formula!$C$26)</f>
        <v>0.9</v>
      </c>
      <c r="Q1023" s="15">
        <f>IF(AND(ISNUMBER(J1023),J1023&gt;0),1/J1023,IF(AND(ISNUMBER(I1023),I1023&gt;0),SQRT(MIN(I1023,Formula!$C$27))/Formula!$C$24,1/Formula!$C$25))</f>
        <v>0.4166666667</v>
      </c>
      <c r="R1023" s="15">
        <f t="shared" si="2"/>
        <v>0.375</v>
      </c>
      <c r="S1023" s="15">
        <f>IF(H1023&lt;&gt;"",EXP(-Formula!$C$28*(EOMONTH(H1023,0)-H1023)),EXP(-Formula!$C$28*(EOMONTH(D1023,0)-D1023)))</f>
        <v>0.3678794412</v>
      </c>
      <c r="T1023" s="15">
        <f t="shared" si="3"/>
        <v>0.2672612419</v>
      </c>
      <c r="U1023" s="15">
        <f t="shared" si="4"/>
        <v>0.03686996862</v>
      </c>
      <c r="V1023" s="16">
        <f>IF(AND(L1023="Among all respondents",NOT(OR(K1023="Online poll in Telegram channel",K1023="Website online poll",K1023="CAWI (Computer Assisted Web Interviewing)"))),1/(1-MIN(MAX(Formula!$C$33+(YEAR(D1023)-Formula!$C$34)/(Formula!$C$35-Formula!$C$34)*(Formula!$C$32-Formula!$C$33),Formula!$C$33),Formula!$C$32)),1)</f>
        <v>1</v>
      </c>
      <c r="W1023" s="17">
        <f t="shared" si="5"/>
        <v>2.9</v>
      </c>
    </row>
    <row r="1024" ht="15.75" customHeight="1">
      <c r="A1024" s="8" t="s">
        <v>1724</v>
      </c>
      <c r="B1024" s="7" t="s">
        <v>1714</v>
      </c>
      <c r="C1024" s="13" t="s">
        <v>1715</v>
      </c>
      <c r="D1024" s="7" t="s">
        <v>162</v>
      </c>
      <c r="E1024" s="8" t="s">
        <v>163</v>
      </c>
      <c r="F1024" s="8" t="s">
        <v>318</v>
      </c>
      <c r="G1024" s="7" t="s">
        <v>1716</v>
      </c>
      <c r="H1024" s="7" t="s">
        <v>168</v>
      </c>
      <c r="I1024" s="8">
        <v>3002.0</v>
      </c>
      <c r="J1024" s="8">
        <v>2.4</v>
      </c>
      <c r="K1024" s="8" t="s">
        <v>321</v>
      </c>
      <c r="L1024" s="8" t="s">
        <v>322</v>
      </c>
      <c r="M1024" s="8" t="s">
        <v>388</v>
      </c>
      <c r="N1024" s="8">
        <v>2.8</v>
      </c>
      <c r="O1024" s="14">
        <f t="shared" si="1"/>
        <v>44501</v>
      </c>
      <c r="P1024" s="15">
        <f>IFERROR(VLOOKUP(K1024,Formula!$A$11:$B$20,2,FALSE),Formula!$C$26)</f>
        <v>0.9</v>
      </c>
      <c r="Q1024" s="15">
        <f>IF(AND(ISNUMBER(J1024),J1024&gt;0),1/J1024,IF(AND(ISNUMBER(I1024),I1024&gt;0),SQRT(MIN(I1024,Formula!$C$27))/Formula!$C$24,1/Formula!$C$25))</f>
        <v>0.4166666667</v>
      </c>
      <c r="R1024" s="15">
        <f t="shared" si="2"/>
        <v>0.375</v>
      </c>
      <c r="S1024" s="15">
        <f>IF(H1024&lt;&gt;"",EXP(-Formula!$C$28*(EOMONTH(H1024,0)-H1024)),EXP(-Formula!$C$28*(EOMONTH(D1024,0)-D1024)))</f>
        <v>0.3678794412</v>
      </c>
      <c r="T1024" s="15">
        <f t="shared" si="3"/>
        <v>0.2672612419</v>
      </c>
      <c r="U1024" s="15">
        <f t="shared" si="4"/>
        <v>0.03686996862</v>
      </c>
      <c r="V1024" s="16">
        <f>IF(AND(L1024="Among all respondents",NOT(OR(K1024="Online poll in Telegram channel",K1024="Website online poll",K1024="CAWI (Computer Assisted Web Interviewing)"))),1/(1-MIN(MAX(Formula!$C$33+(YEAR(D1024)-Formula!$C$34)/(Formula!$C$35-Formula!$C$34)*(Formula!$C$32-Formula!$C$33),Formula!$C$33),Formula!$C$32)),1)</f>
        <v>1</v>
      </c>
      <c r="W1024" s="17">
        <f t="shared" si="5"/>
        <v>2.8</v>
      </c>
    </row>
    <row r="1025" ht="15.75" customHeight="1">
      <c r="A1025" s="8" t="s">
        <v>1725</v>
      </c>
      <c r="B1025" s="7" t="s">
        <v>1714</v>
      </c>
      <c r="C1025" s="13" t="s">
        <v>1715</v>
      </c>
      <c r="D1025" s="7" t="s">
        <v>162</v>
      </c>
      <c r="E1025" s="8" t="s">
        <v>163</v>
      </c>
      <c r="F1025" s="8" t="s">
        <v>318</v>
      </c>
      <c r="G1025" s="7" t="s">
        <v>1716</v>
      </c>
      <c r="H1025" s="7" t="s">
        <v>168</v>
      </c>
      <c r="I1025" s="8">
        <v>3002.0</v>
      </c>
      <c r="J1025" s="8">
        <v>2.4</v>
      </c>
      <c r="K1025" s="8" t="s">
        <v>321</v>
      </c>
      <c r="L1025" s="8" t="s">
        <v>322</v>
      </c>
      <c r="M1025" s="8" t="s">
        <v>343</v>
      </c>
      <c r="N1025" s="8">
        <v>2.4</v>
      </c>
      <c r="O1025" s="14">
        <f t="shared" si="1"/>
        <v>44501</v>
      </c>
      <c r="P1025" s="15">
        <f>IFERROR(VLOOKUP(K1025,Formula!$A$11:$B$20,2,FALSE),Formula!$C$26)</f>
        <v>0.9</v>
      </c>
      <c r="Q1025" s="15">
        <f>IF(AND(ISNUMBER(J1025),J1025&gt;0),1/J1025,IF(AND(ISNUMBER(I1025),I1025&gt;0),SQRT(MIN(I1025,Formula!$C$27))/Formula!$C$24,1/Formula!$C$25))</f>
        <v>0.4166666667</v>
      </c>
      <c r="R1025" s="15">
        <f t="shared" si="2"/>
        <v>0.375</v>
      </c>
      <c r="S1025" s="15">
        <f>IF(H1025&lt;&gt;"",EXP(-Formula!$C$28*(EOMONTH(H1025,0)-H1025)),EXP(-Formula!$C$28*(EOMONTH(D1025,0)-D1025)))</f>
        <v>0.3678794412</v>
      </c>
      <c r="T1025" s="15">
        <f t="shared" si="3"/>
        <v>0.2672612419</v>
      </c>
      <c r="U1025" s="15">
        <f t="shared" si="4"/>
        <v>0.03686996862</v>
      </c>
      <c r="V1025" s="16">
        <f>IF(AND(L1025="Among all respondents",NOT(OR(K1025="Online poll in Telegram channel",K1025="Website online poll",K1025="CAWI (Computer Assisted Web Interviewing)"))),1/(1-MIN(MAX(Formula!$C$33+(YEAR(D1025)-Formula!$C$34)/(Formula!$C$35-Formula!$C$34)*(Formula!$C$32-Formula!$C$33),Formula!$C$33),Formula!$C$32)),1)</f>
        <v>1</v>
      </c>
      <c r="W1025" s="17">
        <f t="shared" si="5"/>
        <v>2.4</v>
      </c>
    </row>
    <row r="1026" ht="15.75" customHeight="1">
      <c r="A1026" s="8" t="s">
        <v>1726</v>
      </c>
      <c r="B1026" s="7" t="s">
        <v>1714</v>
      </c>
      <c r="C1026" s="13" t="s">
        <v>1715</v>
      </c>
      <c r="D1026" s="7" t="s">
        <v>162</v>
      </c>
      <c r="E1026" s="8" t="s">
        <v>163</v>
      </c>
      <c r="F1026" s="8" t="s">
        <v>318</v>
      </c>
      <c r="G1026" s="7" t="s">
        <v>1716</v>
      </c>
      <c r="H1026" s="7" t="s">
        <v>168</v>
      </c>
      <c r="I1026" s="8">
        <v>3002.0</v>
      </c>
      <c r="J1026" s="8">
        <v>2.4</v>
      </c>
      <c r="K1026" s="8" t="s">
        <v>321</v>
      </c>
      <c r="L1026" s="8" t="s">
        <v>322</v>
      </c>
      <c r="M1026" s="8" t="s">
        <v>386</v>
      </c>
      <c r="N1026" s="8">
        <v>2.2</v>
      </c>
      <c r="O1026" s="14">
        <f t="shared" si="1"/>
        <v>44501</v>
      </c>
      <c r="P1026" s="15">
        <f>IFERROR(VLOOKUP(K1026,Formula!$A$11:$B$20,2,FALSE),Formula!$C$26)</f>
        <v>0.9</v>
      </c>
      <c r="Q1026" s="15">
        <f>IF(AND(ISNUMBER(J1026),J1026&gt;0),1/J1026,IF(AND(ISNUMBER(I1026),I1026&gt;0),SQRT(MIN(I1026,Formula!$C$27))/Formula!$C$24,1/Formula!$C$25))</f>
        <v>0.4166666667</v>
      </c>
      <c r="R1026" s="15">
        <f t="shared" si="2"/>
        <v>0.375</v>
      </c>
      <c r="S1026" s="15">
        <f>IF(H1026&lt;&gt;"",EXP(-Formula!$C$28*(EOMONTH(H1026,0)-H1026)),EXP(-Formula!$C$28*(EOMONTH(D1026,0)-D1026)))</f>
        <v>0.3678794412</v>
      </c>
      <c r="T1026" s="15">
        <f t="shared" si="3"/>
        <v>0.2672612419</v>
      </c>
      <c r="U1026" s="15">
        <f t="shared" si="4"/>
        <v>0.03686996862</v>
      </c>
      <c r="V1026" s="16">
        <f>IF(AND(L1026="Among all respondents",NOT(OR(K1026="Online poll in Telegram channel",K1026="Website online poll",K1026="CAWI (Computer Assisted Web Interviewing)"))),1/(1-MIN(MAX(Formula!$C$33+(YEAR(D1026)-Formula!$C$34)/(Formula!$C$35-Formula!$C$34)*(Formula!$C$32-Formula!$C$33),Formula!$C$33),Formula!$C$32)),1)</f>
        <v>1</v>
      </c>
      <c r="W1026" s="17">
        <f t="shared" si="5"/>
        <v>2.2</v>
      </c>
    </row>
    <row r="1027" ht="15.75" customHeight="1">
      <c r="A1027" s="8" t="s">
        <v>1727</v>
      </c>
      <c r="B1027" s="7" t="s">
        <v>1714</v>
      </c>
      <c r="C1027" s="13" t="s">
        <v>1715</v>
      </c>
      <c r="D1027" s="7" t="s">
        <v>162</v>
      </c>
      <c r="E1027" s="8" t="s">
        <v>163</v>
      </c>
      <c r="F1027" s="8" t="s">
        <v>318</v>
      </c>
      <c r="G1027" s="7" t="s">
        <v>1716</v>
      </c>
      <c r="H1027" s="7" t="s">
        <v>168</v>
      </c>
      <c r="I1027" s="8">
        <v>3002.0</v>
      </c>
      <c r="J1027" s="8">
        <v>2.4</v>
      </c>
      <c r="K1027" s="8" t="s">
        <v>321</v>
      </c>
      <c r="L1027" s="8" t="s">
        <v>322</v>
      </c>
      <c r="M1027" s="8" t="s">
        <v>838</v>
      </c>
      <c r="N1027" s="8">
        <v>1.7</v>
      </c>
      <c r="O1027" s="14">
        <f t="shared" si="1"/>
        <v>44501</v>
      </c>
      <c r="P1027" s="15">
        <f>IFERROR(VLOOKUP(K1027,Formula!$A$11:$B$20,2,FALSE),Formula!$C$26)</f>
        <v>0.9</v>
      </c>
      <c r="Q1027" s="15">
        <f>IF(AND(ISNUMBER(J1027),J1027&gt;0),1/J1027,IF(AND(ISNUMBER(I1027),I1027&gt;0),SQRT(MIN(I1027,Formula!$C$27))/Formula!$C$24,1/Formula!$C$25))</f>
        <v>0.4166666667</v>
      </c>
      <c r="R1027" s="15">
        <f t="shared" si="2"/>
        <v>0.375</v>
      </c>
      <c r="S1027" s="15">
        <f>IF(H1027&lt;&gt;"",EXP(-Formula!$C$28*(EOMONTH(H1027,0)-H1027)),EXP(-Formula!$C$28*(EOMONTH(D1027,0)-D1027)))</f>
        <v>0.3678794412</v>
      </c>
      <c r="T1027" s="15">
        <f t="shared" si="3"/>
        <v>0.2672612419</v>
      </c>
      <c r="U1027" s="15">
        <f t="shared" si="4"/>
        <v>0.03686996862</v>
      </c>
      <c r="V1027" s="16">
        <f>IF(AND(L1027="Among all respondents",NOT(OR(K1027="Online poll in Telegram channel",K1027="Website online poll",K1027="CAWI (Computer Assisted Web Interviewing)"))),1/(1-MIN(MAX(Formula!$C$33+(YEAR(D1027)-Formula!$C$34)/(Formula!$C$35-Formula!$C$34)*(Formula!$C$32-Formula!$C$33),Formula!$C$33),Formula!$C$32)),1)</f>
        <v>1</v>
      </c>
      <c r="W1027" s="17">
        <f t="shared" si="5"/>
        <v>1.7</v>
      </c>
    </row>
    <row r="1028" ht="15.75" customHeight="1">
      <c r="A1028" s="8" t="s">
        <v>1728</v>
      </c>
      <c r="B1028" s="7" t="s">
        <v>1714</v>
      </c>
      <c r="C1028" s="13" t="s">
        <v>1715</v>
      </c>
      <c r="D1028" s="7" t="s">
        <v>162</v>
      </c>
      <c r="E1028" s="8" t="s">
        <v>163</v>
      </c>
      <c r="F1028" s="8" t="s">
        <v>318</v>
      </c>
      <c r="G1028" s="7" t="s">
        <v>1716</v>
      </c>
      <c r="H1028" s="7" t="s">
        <v>168</v>
      </c>
      <c r="I1028" s="8">
        <v>3002.0</v>
      </c>
      <c r="J1028" s="8">
        <v>2.4</v>
      </c>
      <c r="K1028" s="8" t="s">
        <v>321</v>
      </c>
      <c r="L1028" s="8" t="s">
        <v>322</v>
      </c>
      <c r="M1028" s="8" t="s">
        <v>740</v>
      </c>
      <c r="N1028" s="8">
        <v>1.2</v>
      </c>
      <c r="O1028" s="14">
        <f t="shared" si="1"/>
        <v>44501</v>
      </c>
      <c r="P1028" s="15">
        <f>IFERROR(VLOOKUP(K1028,Formula!$A$11:$B$20,2,FALSE),Formula!$C$26)</f>
        <v>0.9</v>
      </c>
      <c r="Q1028" s="15">
        <f>IF(AND(ISNUMBER(J1028),J1028&gt;0),1/J1028,IF(AND(ISNUMBER(I1028),I1028&gt;0),SQRT(MIN(I1028,Formula!$C$27))/Formula!$C$24,1/Formula!$C$25))</f>
        <v>0.4166666667</v>
      </c>
      <c r="R1028" s="15">
        <f t="shared" si="2"/>
        <v>0.375</v>
      </c>
      <c r="S1028" s="15">
        <f>IF(H1028&lt;&gt;"",EXP(-Formula!$C$28*(EOMONTH(H1028,0)-H1028)),EXP(-Formula!$C$28*(EOMONTH(D1028,0)-D1028)))</f>
        <v>0.3678794412</v>
      </c>
      <c r="T1028" s="15">
        <f t="shared" si="3"/>
        <v>0.2672612419</v>
      </c>
      <c r="U1028" s="15">
        <f t="shared" si="4"/>
        <v>0.03686996862</v>
      </c>
      <c r="V1028" s="16">
        <f>IF(AND(L1028="Among all respondents",NOT(OR(K1028="Online poll in Telegram channel",K1028="Website online poll",K1028="CAWI (Computer Assisted Web Interviewing)"))),1/(1-MIN(MAX(Formula!$C$33+(YEAR(D1028)-Formula!$C$34)/(Formula!$C$35-Formula!$C$34)*(Formula!$C$32-Formula!$C$33),Formula!$C$33),Formula!$C$32)),1)</f>
        <v>1</v>
      </c>
      <c r="W1028" s="17">
        <f t="shared" si="5"/>
        <v>1.2</v>
      </c>
    </row>
    <row r="1029" ht="15.75" customHeight="1">
      <c r="A1029" s="8" t="s">
        <v>1729</v>
      </c>
      <c r="B1029" s="7" t="s">
        <v>1714</v>
      </c>
      <c r="C1029" s="13" t="s">
        <v>1715</v>
      </c>
      <c r="D1029" s="7" t="s">
        <v>162</v>
      </c>
      <c r="E1029" s="8" t="s">
        <v>163</v>
      </c>
      <c r="F1029" s="8" t="s">
        <v>318</v>
      </c>
      <c r="G1029" s="7" t="s">
        <v>1716</v>
      </c>
      <c r="H1029" s="7" t="s">
        <v>168</v>
      </c>
      <c r="I1029" s="8">
        <v>3002.0</v>
      </c>
      <c r="J1029" s="8">
        <v>2.4</v>
      </c>
      <c r="K1029" s="8" t="s">
        <v>321</v>
      </c>
      <c r="L1029" s="8" t="s">
        <v>322</v>
      </c>
      <c r="M1029" s="8" t="s">
        <v>743</v>
      </c>
      <c r="N1029" s="8">
        <v>0.7</v>
      </c>
      <c r="O1029" s="14">
        <f t="shared" si="1"/>
        <v>44501</v>
      </c>
      <c r="P1029" s="15">
        <f>IFERROR(VLOOKUP(K1029,Formula!$A$11:$B$20,2,FALSE),Formula!$C$26)</f>
        <v>0.9</v>
      </c>
      <c r="Q1029" s="15">
        <f>IF(AND(ISNUMBER(J1029),J1029&gt;0),1/J1029,IF(AND(ISNUMBER(I1029),I1029&gt;0),SQRT(MIN(I1029,Formula!$C$27))/Formula!$C$24,1/Formula!$C$25))</f>
        <v>0.4166666667</v>
      </c>
      <c r="R1029" s="15">
        <f t="shared" si="2"/>
        <v>0.375</v>
      </c>
      <c r="S1029" s="15">
        <f>IF(H1029&lt;&gt;"",EXP(-Formula!$C$28*(EOMONTH(H1029,0)-H1029)),EXP(-Formula!$C$28*(EOMONTH(D1029,0)-D1029)))</f>
        <v>0.3678794412</v>
      </c>
      <c r="T1029" s="15">
        <f t="shared" si="3"/>
        <v>0.2672612419</v>
      </c>
      <c r="U1029" s="15">
        <f t="shared" si="4"/>
        <v>0.03686996862</v>
      </c>
      <c r="V1029" s="16">
        <f>IF(AND(L1029="Among all respondents",NOT(OR(K1029="Online poll in Telegram channel",K1029="Website online poll",K1029="CAWI (Computer Assisted Web Interviewing)"))),1/(1-MIN(MAX(Formula!$C$33+(YEAR(D1029)-Formula!$C$34)/(Formula!$C$35-Formula!$C$34)*(Formula!$C$32-Formula!$C$33),Formula!$C$33),Formula!$C$32)),1)</f>
        <v>1</v>
      </c>
      <c r="W1029" s="17">
        <f t="shared" si="5"/>
        <v>0.7</v>
      </c>
    </row>
    <row r="1030" ht="15.75" customHeight="1">
      <c r="A1030" s="8" t="s">
        <v>1730</v>
      </c>
      <c r="B1030" s="7" t="s">
        <v>1731</v>
      </c>
      <c r="C1030" s="13" t="s">
        <v>1732</v>
      </c>
      <c r="D1030" s="7" t="s">
        <v>166</v>
      </c>
      <c r="E1030" s="8" t="s">
        <v>40</v>
      </c>
      <c r="F1030" s="8" t="s">
        <v>318</v>
      </c>
      <c r="G1030" s="7" t="s">
        <v>1733</v>
      </c>
      <c r="H1030" s="7" t="s">
        <v>169</v>
      </c>
      <c r="I1030" s="8">
        <v>5000.0</v>
      </c>
      <c r="J1030" s="8">
        <v>1.5</v>
      </c>
      <c r="K1030" s="8" t="s">
        <v>321</v>
      </c>
      <c r="L1030" s="8" t="s">
        <v>322</v>
      </c>
      <c r="M1030" s="8" t="s">
        <v>323</v>
      </c>
      <c r="N1030" s="8">
        <v>21.8</v>
      </c>
      <c r="O1030" s="14">
        <f t="shared" si="1"/>
        <v>44501</v>
      </c>
      <c r="P1030" s="15">
        <f>IFERROR(VLOOKUP(K1030,Formula!$A$11:$B$20,2,FALSE),Formula!$C$26)</f>
        <v>0.9</v>
      </c>
      <c r="Q1030" s="15">
        <f>IF(AND(ISNUMBER(J1030),J1030&gt;0),1/J1030,IF(AND(ISNUMBER(I1030),I1030&gt;0),SQRT(MIN(I1030,Formula!$C$27))/Formula!$C$24,1/Formula!$C$25))</f>
        <v>0.6666666667</v>
      </c>
      <c r="R1030" s="15">
        <f t="shared" si="2"/>
        <v>0.6</v>
      </c>
      <c r="S1030" s="15">
        <f>IF(H1030&lt;&gt;"",EXP(-Formula!$C$28*(EOMONTH(H1030,0)-H1030)),EXP(-Formula!$C$28*(EOMONTH(D1030,0)-D1030)))</f>
        <v>0.3499377491</v>
      </c>
      <c r="T1030" s="15">
        <f t="shared" si="3"/>
        <v>0.1643989873</v>
      </c>
      <c r="U1030" s="15">
        <f t="shared" si="4"/>
        <v>0.03451764694</v>
      </c>
      <c r="V1030" s="16">
        <f>IF(AND(L1030="Among all respondents",NOT(OR(K1030="Online poll in Telegram channel",K1030="Website online poll",K1030="CAWI (Computer Assisted Web Interviewing)"))),1/(1-MIN(MAX(Formula!$C$33+(YEAR(D1030)-Formula!$C$34)/(Formula!$C$35-Formula!$C$34)*(Formula!$C$32-Formula!$C$33),Formula!$C$33),Formula!$C$32)),1)</f>
        <v>1</v>
      </c>
      <c r="W1030" s="17">
        <f t="shared" si="5"/>
        <v>21.8</v>
      </c>
    </row>
    <row r="1031" ht="15.75" customHeight="1">
      <c r="A1031" s="8" t="s">
        <v>1734</v>
      </c>
      <c r="B1031" s="7" t="s">
        <v>1731</v>
      </c>
      <c r="C1031" s="13" t="s">
        <v>1732</v>
      </c>
      <c r="D1031" s="7" t="s">
        <v>166</v>
      </c>
      <c r="E1031" s="8" t="s">
        <v>40</v>
      </c>
      <c r="F1031" s="8" t="s">
        <v>318</v>
      </c>
      <c r="G1031" s="7" t="s">
        <v>1733</v>
      </c>
      <c r="H1031" s="7" t="s">
        <v>169</v>
      </c>
      <c r="I1031" s="8">
        <v>5000.0</v>
      </c>
      <c r="J1031" s="8">
        <v>1.5</v>
      </c>
      <c r="K1031" s="8" t="s">
        <v>321</v>
      </c>
      <c r="L1031" s="8" t="s">
        <v>322</v>
      </c>
      <c r="M1031" s="8" t="s">
        <v>329</v>
      </c>
      <c r="N1031" s="8">
        <v>14.5</v>
      </c>
      <c r="O1031" s="14">
        <f t="shared" si="1"/>
        <v>44501</v>
      </c>
      <c r="P1031" s="15">
        <f>IFERROR(VLOOKUP(K1031,Formula!$A$11:$B$20,2,FALSE),Formula!$C$26)</f>
        <v>0.9</v>
      </c>
      <c r="Q1031" s="15">
        <f>IF(AND(ISNUMBER(J1031),J1031&gt;0),1/J1031,IF(AND(ISNUMBER(I1031),I1031&gt;0),SQRT(MIN(I1031,Formula!$C$27))/Formula!$C$24,1/Formula!$C$25))</f>
        <v>0.6666666667</v>
      </c>
      <c r="R1031" s="15">
        <f t="shared" si="2"/>
        <v>0.6</v>
      </c>
      <c r="S1031" s="15">
        <f>IF(H1031&lt;&gt;"",EXP(-Formula!$C$28*(EOMONTH(H1031,0)-H1031)),EXP(-Formula!$C$28*(EOMONTH(D1031,0)-D1031)))</f>
        <v>0.3499377491</v>
      </c>
      <c r="T1031" s="15">
        <f t="shared" si="3"/>
        <v>0.1643989873</v>
      </c>
      <c r="U1031" s="15">
        <f t="shared" si="4"/>
        <v>0.03451764694</v>
      </c>
      <c r="V1031" s="16">
        <f>IF(AND(L1031="Among all respondents",NOT(OR(K1031="Online poll in Telegram channel",K1031="Website online poll",K1031="CAWI (Computer Assisted Web Interviewing)"))),1/(1-MIN(MAX(Formula!$C$33+(YEAR(D1031)-Formula!$C$34)/(Formula!$C$35-Formula!$C$34)*(Formula!$C$32-Formula!$C$33),Formula!$C$33),Formula!$C$32)),1)</f>
        <v>1</v>
      </c>
      <c r="W1031" s="17">
        <f t="shared" si="5"/>
        <v>14.5</v>
      </c>
    </row>
    <row r="1032" ht="15.75" customHeight="1">
      <c r="A1032" s="8" t="s">
        <v>1735</v>
      </c>
      <c r="B1032" s="7" t="s">
        <v>1731</v>
      </c>
      <c r="C1032" s="13" t="s">
        <v>1732</v>
      </c>
      <c r="D1032" s="7" t="s">
        <v>166</v>
      </c>
      <c r="E1032" s="8" t="s">
        <v>40</v>
      </c>
      <c r="F1032" s="8" t="s">
        <v>318</v>
      </c>
      <c r="G1032" s="7" t="s">
        <v>1733</v>
      </c>
      <c r="H1032" s="7" t="s">
        <v>169</v>
      </c>
      <c r="I1032" s="8">
        <v>5000.0</v>
      </c>
      <c r="J1032" s="8">
        <v>1.5</v>
      </c>
      <c r="K1032" s="8" t="s">
        <v>321</v>
      </c>
      <c r="L1032" s="8" t="s">
        <v>322</v>
      </c>
      <c r="M1032" s="8" t="s">
        <v>365</v>
      </c>
      <c r="N1032" s="8">
        <v>11.0</v>
      </c>
      <c r="O1032" s="14">
        <f t="shared" si="1"/>
        <v>44501</v>
      </c>
      <c r="P1032" s="15">
        <f>IFERROR(VLOOKUP(K1032,Formula!$A$11:$B$20,2,FALSE),Formula!$C$26)</f>
        <v>0.9</v>
      </c>
      <c r="Q1032" s="15">
        <f>IF(AND(ISNUMBER(J1032),J1032&gt;0),1/J1032,IF(AND(ISNUMBER(I1032),I1032&gt;0),SQRT(MIN(I1032,Formula!$C$27))/Formula!$C$24,1/Formula!$C$25))</f>
        <v>0.6666666667</v>
      </c>
      <c r="R1032" s="15">
        <f t="shared" si="2"/>
        <v>0.6</v>
      </c>
      <c r="S1032" s="15">
        <f>IF(H1032&lt;&gt;"",EXP(-Formula!$C$28*(EOMONTH(H1032,0)-H1032)),EXP(-Formula!$C$28*(EOMONTH(D1032,0)-D1032)))</f>
        <v>0.3499377491</v>
      </c>
      <c r="T1032" s="15">
        <f t="shared" si="3"/>
        <v>0.1643989873</v>
      </c>
      <c r="U1032" s="15">
        <f t="shared" si="4"/>
        <v>0.03451764694</v>
      </c>
      <c r="V1032" s="16">
        <f>IF(AND(L1032="Among all respondents",NOT(OR(K1032="Online poll in Telegram channel",K1032="Website online poll",K1032="CAWI (Computer Assisted Web Interviewing)"))),1/(1-MIN(MAX(Formula!$C$33+(YEAR(D1032)-Formula!$C$34)/(Formula!$C$35-Formula!$C$34)*(Formula!$C$32-Formula!$C$33),Formula!$C$33),Formula!$C$32)),1)</f>
        <v>1</v>
      </c>
      <c r="W1032" s="17">
        <f t="shared" si="5"/>
        <v>11</v>
      </c>
    </row>
    <row r="1033" ht="15.75" customHeight="1">
      <c r="A1033" s="8" t="s">
        <v>1736</v>
      </c>
      <c r="B1033" s="7" t="s">
        <v>1731</v>
      </c>
      <c r="C1033" s="13" t="s">
        <v>1732</v>
      </c>
      <c r="D1033" s="7" t="s">
        <v>166</v>
      </c>
      <c r="E1033" s="8" t="s">
        <v>40</v>
      </c>
      <c r="F1033" s="8" t="s">
        <v>318</v>
      </c>
      <c r="G1033" s="7" t="s">
        <v>1733</v>
      </c>
      <c r="H1033" s="7" t="s">
        <v>169</v>
      </c>
      <c r="I1033" s="8">
        <v>5000.0</v>
      </c>
      <c r="J1033" s="8">
        <v>1.5</v>
      </c>
      <c r="K1033" s="8" t="s">
        <v>321</v>
      </c>
      <c r="L1033" s="8" t="s">
        <v>322</v>
      </c>
      <c r="M1033" s="8" t="s">
        <v>337</v>
      </c>
      <c r="N1033" s="8">
        <v>10.8</v>
      </c>
      <c r="O1033" s="14">
        <f t="shared" si="1"/>
        <v>44501</v>
      </c>
      <c r="P1033" s="15">
        <f>IFERROR(VLOOKUP(K1033,Formula!$A$11:$B$20,2,FALSE),Formula!$C$26)</f>
        <v>0.9</v>
      </c>
      <c r="Q1033" s="15">
        <f>IF(AND(ISNUMBER(J1033),J1033&gt;0),1/J1033,IF(AND(ISNUMBER(I1033),I1033&gt;0),SQRT(MIN(I1033,Formula!$C$27))/Formula!$C$24,1/Formula!$C$25))</f>
        <v>0.6666666667</v>
      </c>
      <c r="R1033" s="15">
        <f t="shared" si="2"/>
        <v>0.6</v>
      </c>
      <c r="S1033" s="15">
        <f>IF(H1033&lt;&gt;"",EXP(-Formula!$C$28*(EOMONTH(H1033,0)-H1033)),EXP(-Formula!$C$28*(EOMONTH(D1033,0)-D1033)))</f>
        <v>0.3499377491</v>
      </c>
      <c r="T1033" s="15">
        <f t="shared" si="3"/>
        <v>0.1643989873</v>
      </c>
      <c r="U1033" s="15">
        <f t="shared" si="4"/>
        <v>0.03451764694</v>
      </c>
      <c r="V1033" s="16">
        <f>IF(AND(L1033="Among all respondents",NOT(OR(K1033="Online poll in Telegram channel",K1033="Website online poll",K1033="CAWI (Computer Assisted Web Interviewing)"))),1/(1-MIN(MAX(Formula!$C$33+(YEAR(D1033)-Formula!$C$34)/(Formula!$C$35-Formula!$C$34)*(Formula!$C$32-Formula!$C$33),Formula!$C$33),Formula!$C$32)),1)</f>
        <v>1</v>
      </c>
      <c r="W1033" s="17">
        <f t="shared" si="5"/>
        <v>10.8</v>
      </c>
    </row>
    <row r="1034" ht="15.75" customHeight="1">
      <c r="A1034" s="8" t="s">
        <v>1737</v>
      </c>
      <c r="B1034" s="7" t="s">
        <v>1731</v>
      </c>
      <c r="C1034" s="13" t="s">
        <v>1732</v>
      </c>
      <c r="D1034" s="7" t="s">
        <v>166</v>
      </c>
      <c r="E1034" s="8" t="s">
        <v>40</v>
      </c>
      <c r="F1034" s="8" t="s">
        <v>318</v>
      </c>
      <c r="G1034" s="7" t="s">
        <v>1733</v>
      </c>
      <c r="H1034" s="7" t="s">
        <v>169</v>
      </c>
      <c r="I1034" s="8">
        <v>5000.0</v>
      </c>
      <c r="J1034" s="8">
        <v>1.5</v>
      </c>
      <c r="K1034" s="8" t="s">
        <v>321</v>
      </c>
      <c r="L1034" s="8" t="s">
        <v>322</v>
      </c>
      <c r="M1034" s="8" t="s">
        <v>333</v>
      </c>
      <c r="N1034" s="8">
        <v>8.8</v>
      </c>
      <c r="O1034" s="14">
        <f t="shared" si="1"/>
        <v>44501</v>
      </c>
      <c r="P1034" s="15">
        <f>IFERROR(VLOOKUP(K1034,Formula!$A$11:$B$20,2,FALSE),Formula!$C$26)</f>
        <v>0.9</v>
      </c>
      <c r="Q1034" s="15">
        <f>IF(AND(ISNUMBER(J1034),J1034&gt;0),1/J1034,IF(AND(ISNUMBER(I1034),I1034&gt;0),SQRT(MIN(I1034,Formula!$C$27))/Formula!$C$24,1/Formula!$C$25))</f>
        <v>0.6666666667</v>
      </c>
      <c r="R1034" s="15">
        <f t="shared" si="2"/>
        <v>0.6</v>
      </c>
      <c r="S1034" s="15">
        <f>IF(H1034&lt;&gt;"",EXP(-Formula!$C$28*(EOMONTH(H1034,0)-H1034)),EXP(-Formula!$C$28*(EOMONTH(D1034,0)-D1034)))</f>
        <v>0.3499377491</v>
      </c>
      <c r="T1034" s="15">
        <f t="shared" si="3"/>
        <v>0.1643989873</v>
      </c>
      <c r="U1034" s="15">
        <f t="shared" si="4"/>
        <v>0.03451764694</v>
      </c>
      <c r="V1034" s="16">
        <f>IF(AND(L1034="Among all respondents",NOT(OR(K1034="Online poll in Telegram channel",K1034="Website online poll",K1034="CAWI (Computer Assisted Web Interviewing)"))),1/(1-MIN(MAX(Formula!$C$33+(YEAR(D1034)-Formula!$C$34)/(Formula!$C$35-Formula!$C$34)*(Formula!$C$32-Formula!$C$33),Formula!$C$33),Formula!$C$32)),1)</f>
        <v>1</v>
      </c>
      <c r="W1034" s="17">
        <f t="shared" si="5"/>
        <v>8.8</v>
      </c>
    </row>
    <row r="1035" ht="15.75" customHeight="1">
      <c r="A1035" s="8" t="s">
        <v>1738</v>
      </c>
      <c r="B1035" s="7" t="s">
        <v>1731</v>
      </c>
      <c r="C1035" s="13" t="s">
        <v>1732</v>
      </c>
      <c r="D1035" s="7" t="s">
        <v>166</v>
      </c>
      <c r="E1035" s="8" t="s">
        <v>40</v>
      </c>
      <c r="F1035" s="8" t="s">
        <v>318</v>
      </c>
      <c r="G1035" s="7" t="s">
        <v>1733</v>
      </c>
      <c r="H1035" s="7" t="s">
        <v>169</v>
      </c>
      <c r="I1035" s="8">
        <v>5000.0</v>
      </c>
      <c r="J1035" s="8">
        <v>1.5</v>
      </c>
      <c r="K1035" s="8" t="s">
        <v>321</v>
      </c>
      <c r="L1035" s="8" t="s">
        <v>322</v>
      </c>
      <c r="M1035" s="8" t="s">
        <v>1153</v>
      </c>
      <c r="N1035" s="8">
        <v>6.4</v>
      </c>
      <c r="O1035" s="14">
        <f t="shared" si="1"/>
        <v>44501</v>
      </c>
      <c r="P1035" s="15">
        <f>IFERROR(VLOOKUP(K1035,Formula!$A$11:$B$20,2,FALSE),Formula!$C$26)</f>
        <v>0.9</v>
      </c>
      <c r="Q1035" s="15">
        <f>IF(AND(ISNUMBER(J1035),J1035&gt;0),1/J1035,IF(AND(ISNUMBER(I1035),I1035&gt;0),SQRT(MIN(I1035,Formula!$C$27))/Formula!$C$24,1/Formula!$C$25))</f>
        <v>0.6666666667</v>
      </c>
      <c r="R1035" s="15">
        <f t="shared" si="2"/>
        <v>0.6</v>
      </c>
      <c r="S1035" s="15">
        <f>IF(H1035&lt;&gt;"",EXP(-Formula!$C$28*(EOMONTH(H1035,0)-H1035)),EXP(-Formula!$C$28*(EOMONTH(D1035,0)-D1035)))</f>
        <v>0.3499377491</v>
      </c>
      <c r="T1035" s="15">
        <f t="shared" si="3"/>
        <v>0.1643989873</v>
      </c>
      <c r="U1035" s="15">
        <f t="shared" si="4"/>
        <v>0.03451764694</v>
      </c>
      <c r="V1035" s="16">
        <f>IF(AND(L1035="Among all respondents",NOT(OR(K1035="Online poll in Telegram channel",K1035="Website online poll",K1035="CAWI (Computer Assisted Web Interviewing)"))),1/(1-MIN(MAX(Formula!$C$33+(YEAR(D1035)-Formula!$C$34)/(Formula!$C$35-Formula!$C$34)*(Formula!$C$32-Formula!$C$33),Formula!$C$33),Formula!$C$32)),1)</f>
        <v>1</v>
      </c>
      <c r="W1035" s="17">
        <f t="shared" si="5"/>
        <v>6.4</v>
      </c>
    </row>
    <row r="1036" ht="15.75" customHeight="1">
      <c r="A1036" s="8" t="s">
        <v>1739</v>
      </c>
      <c r="B1036" s="7" t="s">
        <v>1731</v>
      </c>
      <c r="C1036" s="13" t="s">
        <v>1732</v>
      </c>
      <c r="D1036" s="7" t="s">
        <v>166</v>
      </c>
      <c r="E1036" s="8" t="s">
        <v>40</v>
      </c>
      <c r="F1036" s="8" t="s">
        <v>318</v>
      </c>
      <c r="G1036" s="7" t="s">
        <v>1733</v>
      </c>
      <c r="H1036" s="7" t="s">
        <v>169</v>
      </c>
      <c r="I1036" s="8">
        <v>5000.0</v>
      </c>
      <c r="J1036" s="8">
        <v>1.5</v>
      </c>
      <c r="K1036" s="8" t="s">
        <v>321</v>
      </c>
      <c r="L1036" s="8" t="s">
        <v>322</v>
      </c>
      <c r="M1036" s="8" t="s">
        <v>828</v>
      </c>
      <c r="N1036" s="8">
        <v>6.2</v>
      </c>
      <c r="O1036" s="14">
        <f t="shared" si="1"/>
        <v>44501</v>
      </c>
      <c r="P1036" s="15">
        <f>IFERROR(VLOOKUP(K1036,Formula!$A$11:$B$20,2,FALSE),Formula!$C$26)</f>
        <v>0.9</v>
      </c>
      <c r="Q1036" s="15">
        <f>IF(AND(ISNUMBER(J1036),J1036&gt;0),1/J1036,IF(AND(ISNUMBER(I1036),I1036&gt;0),SQRT(MIN(I1036,Formula!$C$27))/Formula!$C$24,1/Formula!$C$25))</f>
        <v>0.6666666667</v>
      </c>
      <c r="R1036" s="15">
        <f t="shared" si="2"/>
        <v>0.6</v>
      </c>
      <c r="S1036" s="15">
        <f>IF(H1036&lt;&gt;"",EXP(-Formula!$C$28*(EOMONTH(H1036,0)-H1036)),EXP(-Formula!$C$28*(EOMONTH(D1036,0)-D1036)))</f>
        <v>0.3499377491</v>
      </c>
      <c r="T1036" s="15">
        <f t="shared" si="3"/>
        <v>0.1643989873</v>
      </c>
      <c r="U1036" s="15">
        <f t="shared" si="4"/>
        <v>0.03451764694</v>
      </c>
      <c r="V1036" s="16">
        <f>IF(AND(L1036="Among all respondents",NOT(OR(K1036="Online poll in Telegram channel",K1036="Website online poll",K1036="CAWI (Computer Assisted Web Interviewing)"))),1/(1-MIN(MAX(Formula!$C$33+(YEAR(D1036)-Formula!$C$34)/(Formula!$C$35-Formula!$C$34)*(Formula!$C$32-Formula!$C$33),Formula!$C$33),Formula!$C$32)),1)</f>
        <v>1</v>
      </c>
      <c r="W1036" s="17">
        <f t="shared" si="5"/>
        <v>6.2</v>
      </c>
    </row>
    <row r="1037" ht="15.75" customHeight="1">
      <c r="A1037" s="8" t="s">
        <v>1740</v>
      </c>
      <c r="B1037" s="7" t="s">
        <v>1731</v>
      </c>
      <c r="C1037" s="13" t="s">
        <v>1732</v>
      </c>
      <c r="D1037" s="7" t="s">
        <v>166</v>
      </c>
      <c r="E1037" s="8" t="s">
        <v>40</v>
      </c>
      <c r="F1037" s="8" t="s">
        <v>318</v>
      </c>
      <c r="G1037" s="7" t="s">
        <v>1733</v>
      </c>
      <c r="H1037" s="7" t="s">
        <v>169</v>
      </c>
      <c r="I1037" s="8">
        <v>5000.0</v>
      </c>
      <c r="J1037" s="8">
        <v>1.5</v>
      </c>
      <c r="K1037" s="8" t="s">
        <v>321</v>
      </c>
      <c r="L1037" s="8" t="s">
        <v>322</v>
      </c>
      <c r="M1037" s="8" t="s">
        <v>386</v>
      </c>
      <c r="N1037" s="8">
        <v>5.7</v>
      </c>
      <c r="O1037" s="14">
        <f t="shared" si="1"/>
        <v>44501</v>
      </c>
      <c r="P1037" s="15">
        <f>IFERROR(VLOOKUP(K1037,Formula!$A$11:$B$20,2,FALSE),Formula!$C$26)</f>
        <v>0.9</v>
      </c>
      <c r="Q1037" s="15">
        <f>IF(AND(ISNUMBER(J1037),J1037&gt;0),1/J1037,IF(AND(ISNUMBER(I1037),I1037&gt;0),SQRT(MIN(I1037,Formula!$C$27))/Formula!$C$24,1/Formula!$C$25))</f>
        <v>0.6666666667</v>
      </c>
      <c r="R1037" s="15">
        <f t="shared" si="2"/>
        <v>0.6</v>
      </c>
      <c r="S1037" s="15">
        <f>IF(H1037&lt;&gt;"",EXP(-Formula!$C$28*(EOMONTH(H1037,0)-H1037)),EXP(-Formula!$C$28*(EOMONTH(D1037,0)-D1037)))</f>
        <v>0.3499377491</v>
      </c>
      <c r="T1037" s="15">
        <f t="shared" si="3"/>
        <v>0.1643989873</v>
      </c>
      <c r="U1037" s="15">
        <f t="shared" si="4"/>
        <v>0.03451764694</v>
      </c>
      <c r="V1037" s="16">
        <f>IF(AND(L1037="Among all respondents",NOT(OR(K1037="Online poll in Telegram channel",K1037="Website online poll",K1037="CAWI (Computer Assisted Web Interviewing)"))),1/(1-MIN(MAX(Formula!$C$33+(YEAR(D1037)-Formula!$C$34)/(Formula!$C$35-Formula!$C$34)*(Formula!$C$32-Formula!$C$33),Formula!$C$33),Formula!$C$32)),1)</f>
        <v>1</v>
      </c>
      <c r="W1037" s="17">
        <f t="shared" si="5"/>
        <v>5.7</v>
      </c>
    </row>
    <row r="1038" ht="15.75" customHeight="1">
      <c r="A1038" s="8" t="s">
        <v>1741</v>
      </c>
      <c r="B1038" s="7" t="s">
        <v>1731</v>
      </c>
      <c r="C1038" s="13" t="s">
        <v>1732</v>
      </c>
      <c r="D1038" s="7" t="s">
        <v>166</v>
      </c>
      <c r="E1038" s="8" t="s">
        <v>40</v>
      </c>
      <c r="F1038" s="8" t="s">
        <v>318</v>
      </c>
      <c r="G1038" s="7" t="s">
        <v>1733</v>
      </c>
      <c r="H1038" s="7" t="s">
        <v>169</v>
      </c>
      <c r="I1038" s="8">
        <v>5000.0</v>
      </c>
      <c r="J1038" s="8">
        <v>1.5</v>
      </c>
      <c r="K1038" s="8" t="s">
        <v>321</v>
      </c>
      <c r="L1038" s="8" t="s">
        <v>322</v>
      </c>
      <c r="M1038" s="8" t="s">
        <v>388</v>
      </c>
      <c r="N1038" s="8">
        <v>4.0</v>
      </c>
      <c r="O1038" s="14">
        <f t="shared" si="1"/>
        <v>44501</v>
      </c>
      <c r="P1038" s="15">
        <f>IFERROR(VLOOKUP(K1038,Formula!$A$11:$B$20,2,FALSE),Formula!$C$26)</f>
        <v>0.9</v>
      </c>
      <c r="Q1038" s="15">
        <f>IF(AND(ISNUMBER(J1038),J1038&gt;0),1/J1038,IF(AND(ISNUMBER(I1038),I1038&gt;0),SQRT(MIN(I1038,Formula!$C$27))/Formula!$C$24,1/Formula!$C$25))</f>
        <v>0.6666666667</v>
      </c>
      <c r="R1038" s="15">
        <f t="shared" si="2"/>
        <v>0.6</v>
      </c>
      <c r="S1038" s="15">
        <f>IF(H1038&lt;&gt;"",EXP(-Formula!$C$28*(EOMONTH(H1038,0)-H1038)),EXP(-Formula!$C$28*(EOMONTH(D1038,0)-D1038)))</f>
        <v>0.3499377491</v>
      </c>
      <c r="T1038" s="15">
        <f t="shared" si="3"/>
        <v>0.1643989873</v>
      </c>
      <c r="U1038" s="15">
        <f t="shared" si="4"/>
        <v>0.03451764694</v>
      </c>
      <c r="V1038" s="16">
        <f>IF(AND(L1038="Among all respondents",NOT(OR(K1038="Online poll in Telegram channel",K1038="Website online poll",K1038="CAWI (Computer Assisted Web Interviewing)"))),1/(1-MIN(MAX(Formula!$C$33+(YEAR(D1038)-Formula!$C$34)/(Formula!$C$35-Formula!$C$34)*(Formula!$C$32-Formula!$C$33),Formula!$C$33),Formula!$C$32)),1)</f>
        <v>1</v>
      </c>
      <c r="W1038" s="17">
        <f t="shared" si="5"/>
        <v>4</v>
      </c>
    </row>
    <row r="1039" ht="15.75" customHeight="1">
      <c r="A1039" s="8" t="s">
        <v>1742</v>
      </c>
      <c r="B1039" s="7" t="s">
        <v>1731</v>
      </c>
      <c r="C1039" s="13" t="s">
        <v>1732</v>
      </c>
      <c r="D1039" s="7" t="s">
        <v>166</v>
      </c>
      <c r="E1039" s="8" t="s">
        <v>40</v>
      </c>
      <c r="F1039" s="8" t="s">
        <v>318</v>
      </c>
      <c r="G1039" s="7" t="s">
        <v>1733</v>
      </c>
      <c r="H1039" s="7" t="s">
        <v>169</v>
      </c>
      <c r="I1039" s="8">
        <v>5000.0</v>
      </c>
      <c r="J1039" s="8">
        <v>1.5</v>
      </c>
      <c r="K1039" s="8" t="s">
        <v>321</v>
      </c>
      <c r="L1039" s="8" t="s">
        <v>322</v>
      </c>
      <c r="M1039" s="8" t="s">
        <v>836</v>
      </c>
      <c r="N1039" s="8">
        <v>2.6</v>
      </c>
      <c r="O1039" s="14">
        <f t="shared" si="1"/>
        <v>44501</v>
      </c>
      <c r="P1039" s="15">
        <f>IFERROR(VLOOKUP(K1039,Formula!$A$11:$B$20,2,FALSE),Formula!$C$26)</f>
        <v>0.9</v>
      </c>
      <c r="Q1039" s="15">
        <f>IF(AND(ISNUMBER(J1039),J1039&gt;0),1/J1039,IF(AND(ISNUMBER(I1039),I1039&gt;0),SQRT(MIN(I1039,Formula!$C$27))/Formula!$C$24,1/Formula!$C$25))</f>
        <v>0.6666666667</v>
      </c>
      <c r="R1039" s="15">
        <f t="shared" si="2"/>
        <v>0.6</v>
      </c>
      <c r="S1039" s="15">
        <f>IF(H1039&lt;&gt;"",EXP(-Formula!$C$28*(EOMONTH(H1039,0)-H1039)),EXP(-Formula!$C$28*(EOMONTH(D1039,0)-D1039)))</f>
        <v>0.3499377491</v>
      </c>
      <c r="T1039" s="15">
        <f t="shared" si="3"/>
        <v>0.1643989873</v>
      </c>
      <c r="U1039" s="15">
        <f t="shared" si="4"/>
        <v>0.03451764694</v>
      </c>
      <c r="V1039" s="16">
        <f>IF(AND(L1039="Among all respondents",NOT(OR(K1039="Online poll in Telegram channel",K1039="Website online poll",K1039="CAWI (Computer Assisted Web Interviewing)"))),1/(1-MIN(MAX(Formula!$C$33+(YEAR(D1039)-Formula!$C$34)/(Formula!$C$35-Formula!$C$34)*(Formula!$C$32-Formula!$C$33),Formula!$C$33),Formula!$C$32)),1)</f>
        <v>1</v>
      </c>
      <c r="W1039" s="17">
        <f t="shared" si="5"/>
        <v>2.6</v>
      </c>
    </row>
    <row r="1040" ht="15.75" customHeight="1">
      <c r="A1040" s="8" t="s">
        <v>1743</v>
      </c>
      <c r="B1040" s="7" t="s">
        <v>1731</v>
      </c>
      <c r="C1040" s="13" t="s">
        <v>1732</v>
      </c>
      <c r="D1040" s="7" t="s">
        <v>166</v>
      </c>
      <c r="E1040" s="8" t="s">
        <v>40</v>
      </c>
      <c r="F1040" s="8" t="s">
        <v>318</v>
      </c>
      <c r="G1040" s="7" t="s">
        <v>1733</v>
      </c>
      <c r="H1040" s="7" t="s">
        <v>169</v>
      </c>
      <c r="I1040" s="8">
        <v>5000.0</v>
      </c>
      <c r="J1040" s="8">
        <v>1.5</v>
      </c>
      <c r="K1040" s="8" t="s">
        <v>321</v>
      </c>
      <c r="L1040" s="8" t="s">
        <v>322</v>
      </c>
      <c r="M1040" s="8" t="s">
        <v>740</v>
      </c>
      <c r="N1040" s="8">
        <v>2.4</v>
      </c>
      <c r="O1040" s="14">
        <f t="shared" si="1"/>
        <v>44501</v>
      </c>
      <c r="P1040" s="15">
        <f>IFERROR(VLOOKUP(K1040,Formula!$A$11:$B$20,2,FALSE),Formula!$C$26)</f>
        <v>0.9</v>
      </c>
      <c r="Q1040" s="15">
        <f>IF(AND(ISNUMBER(J1040),J1040&gt;0),1/J1040,IF(AND(ISNUMBER(I1040),I1040&gt;0),SQRT(MIN(I1040,Formula!$C$27))/Formula!$C$24,1/Formula!$C$25))</f>
        <v>0.6666666667</v>
      </c>
      <c r="R1040" s="15">
        <f t="shared" si="2"/>
        <v>0.6</v>
      </c>
      <c r="S1040" s="15">
        <f>IF(H1040&lt;&gt;"",EXP(-Formula!$C$28*(EOMONTH(H1040,0)-H1040)),EXP(-Formula!$C$28*(EOMONTH(D1040,0)-D1040)))</f>
        <v>0.3499377491</v>
      </c>
      <c r="T1040" s="15">
        <f t="shared" si="3"/>
        <v>0.1643989873</v>
      </c>
      <c r="U1040" s="15">
        <f t="shared" si="4"/>
        <v>0.03451764694</v>
      </c>
      <c r="V1040" s="16">
        <f>IF(AND(L1040="Among all respondents",NOT(OR(K1040="Online poll in Telegram channel",K1040="Website online poll",K1040="CAWI (Computer Assisted Web Interviewing)"))),1/(1-MIN(MAX(Formula!$C$33+(YEAR(D1040)-Formula!$C$34)/(Formula!$C$35-Formula!$C$34)*(Formula!$C$32-Formula!$C$33),Formula!$C$33),Formula!$C$32)),1)</f>
        <v>1</v>
      </c>
      <c r="W1040" s="17">
        <f t="shared" si="5"/>
        <v>2.4</v>
      </c>
    </row>
    <row r="1041" ht="15.75" customHeight="1">
      <c r="A1041" s="8" t="s">
        <v>1744</v>
      </c>
      <c r="B1041" s="7" t="s">
        <v>1731</v>
      </c>
      <c r="C1041" s="13" t="s">
        <v>1732</v>
      </c>
      <c r="D1041" s="7" t="s">
        <v>166</v>
      </c>
      <c r="E1041" s="8" t="s">
        <v>40</v>
      </c>
      <c r="F1041" s="8" t="s">
        <v>318</v>
      </c>
      <c r="G1041" s="7" t="s">
        <v>1733</v>
      </c>
      <c r="H1041" s="7" t="s">
        <v>169</v>
      </c>
      <c r="I1041" s="8">
        <v>5000.0</v>
      </c>
      <c r="J1041" s="8">
        <v>1.5</v>
      </c>
      <c r="K1041" s="8" t="s">
        <v>321</v>
      </c>
      <c r="L1041" s="8" t="s">
        <v>322</v>
      </c>
      <c r="M1041" s="8" t="s">
        <v>343</v>
      </c>
      <c r="N1041" s="8">
        <v>1.7</v>
      </c>
      <c r="O1041" s="14">
        <f t="shared" si="1"/>
        <v>44501</v>
      </c>
      <c r="P1041" s="15">
        <f>IFERROR(VLOOKUP(K1041,Formula!$A$11:$B$20,2,FALSE),Formula!$C$26)</f>
        <v>0.9</v>
      </c>
      <c r="Q1041" s="15">
        <f>IF(AND(ISNUMBER(J1041),J1041&gt;0),1/J1041,IF(AND(ISNUMBER(I1041),I1041&gt;0),SQRT(MIN(I1041,Formula!$C$27))/Formula!$C$24,1/Formula!$C$25))</f>
        <v>0.6666666667</v>
      </c>
      <c r="R1041" s="15">
        <f t="shared" si="2"/>
        <v>0.6</v>
      </c>
      <c r="S1041" s="15">
        <f>IF(H1041&lt;&gt;"",EXP(-Formula!$C$28*(EOMONTH(H1041,0)-H1041)),EXP(-Formula!$C$28*(EOMONTH(D1041,0)-D1041)))</f>
        <v>0.3499377491</v>
      </c>
      <c r="T1041" s="15">
        <f t="shared" si="3"/>
        <v>0.1643989873</v>
      </c>
      <c r="U1041" s="15">
        <f t="shared" si="4"/>
        <v>0.03451764694</v>
      </c>
      <c r="V1041" s="16">
        <f>IF(AND(L1041="Among all respondents",NOT(OR(K1041="Online poll in Telegram channel",K1041="Website online poll",K1041="CAWI (Computer Assisted Web Interviewing)"))),1/(1-MIN(MAX(Formula!$C$33+(YEAR(D1041)-Formula!$C$34)/(Formula!$C$35-Formula!$C$34)*(Formula!$C$32-Formula!$C$33),Formula!$C$33),Formula!$C$32)),1)</f>
        <v>1</v>
      </c>
      <c r="W1041" s="17">
        <f t="shared" si="5"/>
        <v>1.7</v>
      </c>
    </row>
    <row r="1042" ht="15.75" customHeight="1">
      <c r="A1042" s="8" t="s">
        <v>1745</v>
      </c>
      <c r="B1042" s="7" t="s">
        <v>1746</v>
      </c>
      <c r="C1042" s="13" t="s">
        <v>1747</v>
      </c>
      <c r="D1042" s="7" t="s">
        <v>168</v>
      </c>
      <c r="E1042" s="8" t="s">
        <v>20</v>
      </c>
      <c r="F1042" s="8" t="s">
        <v>318</v>
      </c>
      <c r="G1042" s="7" t="s">
        <v>1683</v>
      </c>
      <c r="H1042" s="7" t="s">
        <v>1748</v>
      </c>
      <c r="I1042" s="8">
        <v>1200.0</v>
      </c>
      <c r="J1042" s="8">
        <v>2.9</v>
      </c>
      <c r="K1042" s="8" t="s">
        <v>321</v>
      </c>
      <c r="L1042" s="8" t="s">
        <v>322</v>
      </c>
      <c r="M1042" s="8" t="s">
        <v>323</v>
      </c>
      <c r="N1042" s="8">
        <v>25.4</v>
      </c>
      <c r="O1042" s="14">
        <f t="shared" si="1"/>
        <v>44501</v>
      </c>
      <c r="P1042" s="15">
        <f>IFERROR(VLOOKUP(K1042,Formula!$A$11:$B$20,2,FALSE),Formula!$C$26)</f>
        <v>0.9</v>
      </c>
      <c r="Q1042" s="15">
        <f>IF(AND(ISNUMBER(J1042),J1042&gt;0),1/J1042,IF(AND(ISNUMBER(I1042),I1042&gt;0),SQRT(MIN(I1042,Formula!$C$27))/Formula!$C$24,1/Formula!$C$25))</f>
        <v>0.3448275862</v>
      </c>
      <c r="R1042" s="15">
        <f t="shared" si="2"/>
        <v>0.3103448276</v>
      </c>
      <c r="S1042" s="15">
        <f>IF(H1042&lt;&gt;"",EXP(-Formula!$C$28*(EOMONTH(H1042,0)-H1042)),EXP(-Formula!$C$28*(EOMONTH(D1042,0)-D1042)))</f>
        <v>0.3166367694</v>
      </c>
      <c r="T1042" s="15">
        <f t="shared" si="3"/>
        <v>0.3015113446</v>
      </c>
      <c r="U1042" s="15">
        <f t="shared" si="4"/>
        <v>0.02962848975</v>
      </c>
      <c r="V1042" s="16">
        <f>IF(AND(L1042="Among all respondents",NOT(OR(K1042="Online poll in Telegram channel",K1042="Website online poll",K1042="CAWI (Computer Assisted Web Interviewing)"))),1/(1-MIN(MAX(Formula!$C$33+(YEAR(D1042)-Formula!$C$34)/(Formula!$C$35-Formula!$C$34)*(Formula!$C$32-Formula!$C$33),Formula!$C$33),Formula!$C$32)),1)</f>
        <v>1</v>
      </c>
      <c r="W1042" s="17">
        <f t="shared" si="5"/>
        <v>25.4</v>
      </c>
    </row>
    <row r="1043" ht="15.75" customHeight="1">
      <c r="A1043" s="8" t="s">
        <v>1749</v>
      </c>
      <c r="B1043" s="7" t="s">
        <v>1746</v>
      </c>
      <c r="C1043" s="13" t="s">
        <v>1747</v>
      </c>
      <c r="D1043" s="7" t="s">
        <v>168</v>
      </c>
      <c r="E1043" s="8" t="s">
        <v>20</v>
      </c>
      <c r="F1043" s="8" t="s">
        <v>318</v>
      </c>
      <c r="G1043" s="7" t="s">
        <v>1683</v>
      </c>
      <c r="H1043" s="7" t="s">
        <v>1748</v>
      </c>
      <c r="I1043" s="8">
        <v>1200.0</v>
      </c>
      <c r="J1043" s="8">
        <v>2.9</v>
      </c>
      <c r="K1043" s="8" t="s">
        <v>321</v>
      </c>
      <c r="L1043" s="8" t="s">
        <v>322</v>
      </c>
      <c r="M1043" s="8" t="s">
        <v>329</v>
      </c>
      <c r="N1043" s="8">
        <v>16.4</v>
      </c>
      <c r="O1043" s="14">
        <f t="shared" si="1"/>
        <v>44501</v>
      </c>
      <c r="P1043" s="15">
        <f>IFERROR(VLOOKUP(K1043,Formula!$A$11:$B$20,2,FALSE),Formula!$C$26)</f>
        <v>0.9</v>
      </c>
      <c r="Q1043" s="15">
        <f>IF(AND(ISNUMBER(J1043),J1043&gt;0),1/J1043,IF(AND(ISNUMBER(I1043),I1043&gt;0),SQRT(MIN(I1043,Formula!$C$27))/Formula!$C$24,1/Formula!$C$25))</f>
        <v>0.3448275862</v>
      </c>
      <c r="R1043" s="15">
        <f t="shared" si="2"/>
        <v>0.3103448276</v>
      </c>
      <c r="S1043" s="15">
        <f>IF(H1043&lt;&gt;"",EXP(-Formula!$C$28*(EOMONTH(H1043,0)-H1043)),EXP(-Formula!$C$28*(EOMONTH(D1043,0)-D1043)))</f>
        <v>0.3166367694</v>
      </c>
      <c r="T1043" s="15">
        <f t="shared" si="3"/>
        <v>0.3015113446</v>
      </c>
      <c r="U1043" s="15">
        <f t="shared" si="4"/>
        <v>0.02962848975</v>
      </c>
      <c r="V1043" s="16">
        <f>IF(AND(L1043="Among all respondents",NOT(OR(K1043="Online poll in Telegram channel",K1043="Website online poll",K1043="CAWI (Computer Assisted Web Interviewing)"))),1/(1-MIN(MAX(Formula!$C$33+(YEAR(D1043)-Formula!$C$34)/(Formula!$C$35-Formula!$C$34)*(Formula!$C$32-Formula!$C$33),Formula!$C$33),Formula!$C$32)),1)</f>
        <v>1</v>
      </c>
      <c r="W1043" s="17">
        <f t="shared" si="5"/>
        <v>16.4</v>
      </c>
    </row>
    <row r="1044" ht="15.75" customHeight="1">
      <c r="A1044" s="8" t="s">
        <v>1750</v>
      </c>
      <c r="B1044" s="7" t="s">
        <v>1746</v>
      </c>
      <c r="C1044" s="13" t="s">
        <v>1747</v>
      </c>
      <c r="D1044" s="7" t="s">
        <v>168</v>
      </c>
      <c r="E1044" s="8" t="s">
        <v>20</v>
      </c>
      <c r="F1044" s="8" t="s">
        <v>318</v>
      </c>
      <c r="G1044" s="7" t="s">
        <v>1683</v>
      </c>
      <c r="H1044" s="7" t="s">
        <v>1748</v>
      </c>
      <c r="I1044" s="8">
        <v>1200.0</v>
      </c>
      <c r="J1044" s="8">
        <v>2.9</v>
      </c>
      <c r="K1044" s="8" t="s">
        <v>321</v>
      </c>
      <c r="L1044" s="8" t="s">
        <v>322</v>
      </c>
      <c r="M1044" s="8" t="s">
        <v>365</v>
      </c>
      <c r="N1044" s="8">
        <v>11.2</v>
      </c>
      <c r="O1044" s="14">
        <f t="shared" si="1"/>
        <v>44501</v>
      </c>
      <c r="P1044" s="15">
        <f>IFERROR(VLOOKUP(K1044,Formula!$A$11:$B$20,2,FALSE),Formula!$C$26)</f>
        <v>0.9</v>
      </c>
      <c r="Q1044" s="15">
        <f>IF(AND(ISNUMBER(J1044),J1044&gt;0),1/J1044,IF(AND(ISNUMBER(I1044),I1044&gt;0),SQRT(MIN(I1044,Formula!$C$27))/Formula!$C$24,1/Formula!$C$25))</f>
        <v>0.3448275862</v>
      </c>
      <c r="R1044" s="15">
        <f t="shared" si="2"/>
        <v>0.3103448276</v>
      </c>
      <c r="S1044" s="15">
        <f>IF(H1044&lt;&gt;"",EXP(-Formula!$C$28*(EOMONTH(H1044,0)-H1044)),EXP(-Formula!$C$28*(EOMONTH(D1044,0)-D1044)))</f>
        <v>0.3166367694</v>
      </c>
      <c r="T1044" s="15">
        <f t="shared" si="3"/>
        <v>0.3015113446</v>
      </c>
      <c r="U1044" s="15">
        <f t="shared" si="4"/>
        <v>0.02962848975</v>
      </c>
      <c r="V1044" s="16">
        <f>IF(AND(L1044="Among all respondents",NOT(OR(K1044="Online poll in Telegram channel",K1044="Website online poll",K1044="CAWI (Computer Assisted Web Interviewing)"))),1/(1-MIN(MAX(Formula!$C$33+(YEAR(D1044)-Formula!$C$34)/(Formula!$C$35-Formula!$C$34)*(Formula!$C$32-Formula!$C$33),Formula!$C$33),Formula!$C$32)),1)</f>
        <v>1</v>
      </c>
      <c r="W1044" s="17">
        <f t="shared" si="5"/>
        <v>11.2</v>
      </c>
    </row>
    <row r="1045" ht="15.75" customHeight="1">
      <c r="A1045" s="8" t="s">
        <v>1751</v>
      </c>
      <c r="B1045" s="7" t="s">
        <v>1746</v>
      </c>
      <c r="C1045" s="13" t="s">
        <v>1747</v>
      </c>
      <c r="D1045" s="7" t="s">
        <v>168</v>
      </c>
      <c r="E1045" s="8" t="s">
        <v>20</v>
      </c>
      <c r="F1045" s="8" t="s">
        <v>318</v>
      </c>
      <c r="G1045" s="7" t="s">
        <v>1683</v>
      </c>
      <c r="H1045" s="7" t="s">
        <v>1748</v>
      </c>
      <c r="I1045" s="8">
        <v>1200.0</v>
      </c>
      <c r="J1045" s="8">
        <v>2.9</v>
      </c>
      <c r="K1045" s="8" t="s">
        <v>321</v>
      </c>
      <c r="L1045" s="8" t="s">
        <v>322</v>
      </c>
      <c r="M1045" s="8" t="s">
        <v>337</v>
      </c>
      <c r="N1045" s="8">
        <v>10.4</v>
      </c>
      <c r="O1045" s="14">
        <f t="shared" si="1"/>
        <v>44501</v>
      </c>
      <c r="P1045" s="15">
        <f>IFERROR(VLOOKUP(K1045,Formula!$A$11:$B$20,2,FALSE),Formula!$C$26)</f>
        <v>0.9</v>
      </c>
      <c r="Q1045" s="15">
        <f>IF(AND(ISNUMBER(J1045),J1045&gt;0),1/J1045,IF(AND(ISNUMBER(I1045),I1045&gt;0),SQRT(MIN(I1045,Formula!$C$27))/Formula!$C$24,1/Formula!$C$25))</f>
        <v>0.3448275862</v>
      </c>
      <c r="R1045" s="15">
        <f t="shared" si="2"/>
        <v>0.3103448276</v>
      </c>
      <c r="S1045" s="15">
        <f>IF(H1045&lt;&gt;"",EXP(-Formula!$C$28*(EOMONTH(H1045,0)-H1045)),EXP(-Formula!$C$28*(EOMONTH(D1045,0)-D1045)))</f>
        <v>0.3166367694</v>
      </c>
      <c r="T1045" s="15">
        <f t="shared" si="3"/>
        <v>0.3015113446</v>
      </c>
      <c r="U1045" s="15">
        <f t="shared" si="4"/>
        <v>0.02962848975</v>
      </c>
      <c r="V1045" s="16">
        <f>IF(AND(L1045="Among all respondents",NOT(OR(K1045="Online poll in Telegram channel",K1045="Website online poll",K1045="CAWI (Computer Assisted Web Interviewing)"))),1/(1-MIN(MAX(Formula!$C$33+(YEAR(D1045)-Formula!$C$34)/(Formula!$C$35-Formula!$C$34)*(Formula!$C$32-Formula!$C$33),Formula!$C$33),Formula!$C$32)),1)</f>
        <v>1</v>
      </c>
      <c r="W1045" s="17">
        <f t="shared" si="5"/>
        <v>10.4</v>
      </c>
    </row>
    <row r="1046" ht="15.75" customHeight="1">
      <c r="A1046" s="8" t="s">
        <v>1752</v>
      </c>
      <c r="B1046" s="7" t="s">
        <v>1746</v>
      </c>
      <c r="C1046" s="13" t="s">
        <v>1747</v>
      </c>
      <c r="D1046" s="7" t="s">
        <v>168</v>
      </c>
      <c r="E1046" s="8" t="s">
        <v>20</v>
      </c>
      <c r="F1046" s="8" t="s">
        <v>318</v>
      </c>
      <c r="G1046" s="7" t="s">
        <v>1683</v>
      </c>
      <c r="H1046" s="7" t="s">
        <v>1748</v>
      </c>
      <c r="I1046" s="8">
        <v>1200.0</v>
      </c>
      <c r="J1046" s="8">
        <v>2.9</v>
      </c>
      <c r="K1046" s="8" t="s">
        <v>321</v>
      </c>
      <c r="L1046" s="8" t="s">
        <v>322</v>
      </c>
      <c r="M1046" s="8" t="s">
        <v>333</v>
      </c>
      <c r="N1046" s="8">
        <v>8.2</v>
      </c>
      <c r="O1046" s="14">
        <f t="shared" si="1"/>
        <v>44501</v>
      </c>
      <c r="P1046" s="15">
        <f>IFERROR(VLOOKUP(K1046,Formula!$A$11:$B$20,2,FALSE),Formula!$C$26)</f>
        <v>0.9</v>
      </c>
      <c r="Q1046" s="15">
        <f>IF(AND(ISNUMBER(J1046),J1046&gt;0),1/J1046,IF(AND(ISNUMBER(I1046),I1046&gt;0),SQRT(MIN(I1046,Formula!$C$27))/Formula!$C$24,1/Formula!$C$25))</f>
        <v>0.3448275862</v>
      </c>
      <c r="R1046" s="15">
        <f t="shared" si="2"/>
        <v>0.3103448276</v>
      </c>
      <c r="S1046" s="15">
        <f>IF(H1046&lt;&gt;"",EXP(-Formula!$C$28*(EOMONTH(H1046,0)-H1046)),EXP(-Formula!$C$28*(EOMONTH(D1046,0)-D1046)))</f>
        <v>0.3166367694</v>
      </c>
      <c r="T1046" s="15">
        <f t="shared" si="3"/>
        <v>0.3015113446</v>
      </c>
      <c r="U1046" s="15">
        <f t="shared" si="4"/>
        <v>0.02962848975</v>
      </c>
      <c r="V1046" s="16">
        <f>IF(AND(L1046="Among all respondents",NOT(OR(K1046="Online poll in Telegram channel",K1046="Website online poll",K1046="CAWI (Computer Assisted Web Interviewing)"))),1/(1-MIN(MAX(Formula!$C$33+(YEAR(D1046)-Formula!$C$34)/(Formula!$C$35-Formula!$C$34)*(Formula!$C$32-Formula!$C$33),Formula!$C$33),Formula!$C$32)),1)</f>
        <v>1</v>
      </c>
      <c r="W1046" s="17">
        <f t="shared" si="5"/>
        <v>8.2</v>
      </c>
    </row>
    <row r="1047" ht="15.75" customHeight="1">
      <c r="A1047" s="8" t="s">
        <v>1753</v>
      </c>
      <c r="B1047" s="7" t="s">
        <v>1746</v>
      </c>
      <c r="C1047" s="13" t="s">
        <v>1747</v>
      </c>
      <c r="D1047" s="7" t="s">
        <v>168</v>
      </c>
      <c r="E1047" s="8" t="s">
        <v>20</v>
      </c>
      <c r="F1047" s="8" t="s">
        <v>318</v>
      </c>
      <c r="G1047" s="7" t="s">
        <v>1683</v>
      </c>
      <c r="H1047" s="7" t="s">
        <v>1748</v>
      </c>
      <c r="I1047" s="8">
        <v>1200.0</v>
      </c>
      <c r="J1047" s="8">
        <v>2.9</v>
      </c>
      <c r="K1047" s="8" t="s">
        <v>321</v>
      </c>
      <c r="L1047" s="8" t="s">
        <v>322</v>
      </c>
      <c r="M1047" s="8" t="s">
        <v>828</v>
      </c>
      <c r="N1047" s="8">
        <v>6.0</v>
      </c>
      <c r="O1047" s="14">
        <f t="shared" si="1"/>
        <v>44501</v>
      </c>
      <c r="P1047" s="15">
        <f>IFERROR(VLOOKUP(K1047,Formula!$A$11:$B$20,2,FALSE),Formula!$C$26)</f>
        <v>0.9</v>
      </c>
      <c r="Q1047" s="15">
        <f>IF(AND(ISNUMBER(J1047),J1047&gt;0),1/J1047,IF(AND(ISNUMBER(I1047),I1047&gt;0),SQRT(MIN(I1047,Formula!$C$27))/Formula!$C$24,1/Formula!$C$25))</f>
        <v>0.3448275862</v>
      </c>
      <c r="R1047" s="15">
        <f t="shared" si="2"/>
        <v>0.3103448276</v>
      </c>
      <c r="S1047" s="15">
        <f>IF(H1047&lt;&gt;"",EXP(-Formula!$C$28*(EOMONTH(H1047,0)-H1047)),EXP(-Formula!$C$28*(EOMONTH(D1047,0)-D1047)))</f>
        <v>0.3166367694</v>
      </c>
      <c r="T1047" s="15">
        <f t="shared" si="3"/>
        <v>0.3015113446</v>
      </c>
      <c r="U1047" s="15">
        <f t="shared" si="4"/>
        <v>0.02962848975</v>
      </c>
      <c r="V1047" s="16">
        <f>IF(AND(L1047="Among all respondents",NOT(OR(K1047="Online poll in Telegram channel",K1047="Website online poll",K1047="CAWI (Computer Assisted Web Interviewing)"))),1/(1-MIN(MAX(Formula!$C$33+(YEAR(D1047)-Formula!$C$34)/(Formula!$C$35-Formula!$C$34)*(Formula!$C$32-Formula!$C$33),Formula!$C$33),Formula!$C$32)),1)</f>
        <v>1</v>
      </c>
      <c r="W1047" s="17">
        <f t="shared" si="5"/>
        <v>6</v>
      </c>
    </row>
    <row r="1048" ht="15.75" customHeight="1">
      <c r="A1048" s="8" t="s">
        <v>1754</v>
      </c>
      <c r="B1048" s="7" t="s">
        <v>1746</v>
      </c>
      <c r="C1048" s="13" t="s">
        <v>1747</v>
      </c>
      <c r="D1048" s="7" t="s">
        <v>168</v>
      </c>
      <c r="E1048" s="8" t="s">
        <v>20</v>
      </c>
      <c r="F1048" s="8" t="s">
        <v>318</v>
      </c>
      <c r="G1048" s="7" t="s">
        <v>1683</v>
      </c>
      <c r="H1048" s="7" t="s">
        <v>1748</v>
      </c>
      <c r="I1048" s="8">
        <v>1200.0</v>
      </c>
      <c r="J1048" s="8">
        <v>2.9</v>
      </c>
      <c r="K1048" s="8" t="s">
        <v>321</v>
      </c>
      <c r="L1048" s="8" t="s">
        <v>322</v>
      </c>
      <c r="M1048" s="8" t="s">
        <v>386</v>
      </c>
      <c r="N1048" s="8">
        <v>5.2</v>
      </c>
      <c r="O1048" s="14">
        <f t="shared" si="1"/>
        <v>44501</v>
      </c>
      <c r="P1048" s="15">
        <f>IFERROR(VLOOKUP(K1048,Formula!$A$11:$B$20,2,FALSE),Formula!$C$26)</f>
        <v>0.9</v>
      </c>
      <c r="Q1048" s="15">
        <f>IF(AND(ISNUMBER(J1048),J1048&gt;0),1/J1048,IF(AND(ISNUMBER(I1048),I1048&gt;0),SQRT(MIN(I1048,Formula!$C$27))/Formula!$C$24,1/Formula!$C$25))</f>
        <v>0.3448275862</v>
      </c>
      <c r="R1048" s="15">
        <f t="shared" si="2"/>
        <v>0.3103448276</v>
      </c>
      <c r="S1048" s="15">
        <f>IF(H1048&lt;&gt;"",EXP(-Formula!$C$28*(EOMONTH(H1048,0)-H1048)),EXP(-Formula!$C$28*(EOMONTH(D1048,0)-D1048)))</f>
        <v>0.3166367694</v>
      </c>
      <c r="T1048" s="15">
        <f t="shared" si="3"/>
        <v>0.3015113446</v>
      </c>
      <c r="U1048" s="15">
        <f t="shared" si="4"/>
        <v>0.02962848975</v>
      </c>
      <c r="V1048" s="16">
        <f>IF(AND(L1048="Among all respondents",NOT(OR(K1048="Online poll in Telegram channel",K1048="Website online poll",K1048="CAWI (Computer Assisted Web Interviewing)"))),1/(1-MIN(MAX(Formula!$C$33+(YEAR(D1048)-Formula!$C$34)/(Formula!$C$35-Formula!$C$34)*(Formula!$C$32-Formula!$C$33),Formula!$C$33),Formula!$C$32)),1)</f>
        <v>1</v>
      </c>
      <c r="W1048" s="17">
        <f t="shared" si="5"/>
        <v>5.2</v>
      </c>
    </row>
    <row r="1049" ht="15.75" customHeight="1">
      <c r="A1049" s="8" t="s">
        <v>1755</v>
      </c>
      <c r="B1049" s="7" t="s">
        <v>1746</v>
      </c>
      <c r="C1049" s="13" t="s">
        <v>1747</v>
      </c>
      <c r="D1049" s="7" t="s">
        <v>168</v>
      </c>
      <c r="E1049" s="8" t="s">
        <v>20</v>
      </c>
      <c r="F1049" s="8" t="s">
        <v>318</v>
      </c>
      <c r="G1049" s="7" t="s">
        <v>1683</v>
      </c>
      <c r="H1049" s="7" t="s">
        <v>1748</v>
      </c>
      <c r="I1049" s="8">
        <v>1200.0</v>
      </c>
      <c r="J1049" s="8">
        <v>2.9</v>
      </c>
      <c r="K1049" s="8" t="s">
        <v>321</v>
      </c>
      <c r="L1049" s="8" t="s">
        <v>322</v>
      </c>
      <c r="M1049" s="8" t="s">
        <v>1153</v>
      </c>
      <c r="N1049" s="8">
        <v>4.5</v>
      </c>
      <c r="O1049" s="14">
        <f t="shared" si="1"/>
        <v>44501</v>
      </c>
      <c r="P1049" s="15">
        <f>IFERROR(VLOOKUP(K1049,Formula!$A$11:$B$20,2,FALSE),Formula!$C$26)</f>
        <v>0.9</v>
      </c>
      <c r="Q1049" s="15">
        <f>IF(AND(ISNUMBER(J1049),J1049&gt;0),1/J1049,IF(AND(ISNUMBER(I1049),I1049&gt;0),SQRT(MIN(I1049,Formula!$C$27))/Formula!$C$24,1/Formula!$C$25))</f>
        <v>0.3448275862</v>
      </c>
      <c r="R1049" s="15">
        <f t="shared" si="2"/>
        <v>0.3103448276</v>
      </c>
      <c r="S1049" s="15">
        <f>IF(H1049&lt;&gt;"",EXP(-Formula!$C$28*(EOMONTH(H1049,0)-H1049)),EXP(-Formula!$C$28*(EOMONTH(D1049,0)-D1049)))</f>
        <v>0.3166367694</v>
      </c>
      <c r="T1049" s="15">
        <f t="shared" si="3"/>
        <v>0.3015113446</v>
      </c>
      <c r="U1049" s="15">
        <f t="shared" si="4"/>
        <v>0.02962848975</v>
      </c>
      <c r="V1049" s="16">
        <f>IF(AND(L1049="Among all respondents",NOT(OR(K1049="Online poll in Telegram channel",K1049="Website online poll",K1049="CAWI (Computer Assisted Web Interviewing)"))),1/(1-MIN(MAX(Formula!$C$33+(YEAR(D1049)-Formula!$C$34)/(Formula!$C$35-Formula!$C$34)*(Formula!$C$32-Formula!$C$33),Formula!$C$33),Formula!$C$32)),1)</f>
        <v>1</v>
      </c>
      <c r="W1049" s="17">
        <f t="shared" si="5"/>
        <v>4.5</v>
      </c>
    </row>
    <row r="1050" ht="15.75" customHeight="1">
      <c r="A1050" s="8" t="s">
        <v>1756</v>
      </c>
      <c r="B1050" s="7" t="s">
        <v>1746</v>
      </c>
      <c r="C1050" s="13" t="s">
        <v>1747</v>
      </c>
      <c r="D1050" s="7" t="s">
        <v>168</v>
      </c>
      <c r="E1050" s="8" t="s">
        <v>20</v>
      </c>
      <c r="F1050" s="8" t="s">
        <v>318</v>
      </c>
      <c r="G1050" s="7" t="s">
        <v>1683</v>
      </c>
      <c r="H1050" s="7" t="s">
        <v>1748</v>
      </c>
      <c r="I1050" s="8">
        <v>1200.0</v>
      </c>
      <c r="J1050" s="8">
        <v>2.9</v>
      </c>
      <c r="K1050" s="8" t="s">
        <v>321</v>
      </c>
      <c r="L1050" s="8" t="s">
        <v>322</v>
      </c>
      <c r="M1050" s="8" t="s">
        <v>388</v>
      </c>
      <c r="N1050" s="8">
        <v>3.0</v>
      </c>
      <c r="O1050" s="14">
        <f t="shared" si="1"/>
        <v>44501</v>
      </c>
      <c r="P1050" s="15">
        <f>IFERROR(VLOOKUP(K1050,Formula!$A$11:$B$20,2,FALSE),Formula!$C$26)</f>
        <v>0.9</v>
      </c>
      <c r="Q1050" s="15">
        <f>IF(AND(ISNUMBER(J1050),J1050&gt;0),1/J1050,IF(AND(ISNUMBER(I1050),I1050&gt;0),SQRT(MIN(I1050,Formula!$C$27))/Formula!$C$24,1/Formula!$C$25))</f>
        <v>0.3448275862</v>
      </c>
      <c r="R1050" s="15">
        <f t="shared" si="2"/>
        <v>0.3103448276</v>
      </c>
      <c r="S1050" s="15">
        <f>IF(H1050&lt;&gt;"",EXP(-Formula!$C$28*(EOMONTH(H1050,0)-H1050)),EXP(-Formula!$C$28*(EOMONTH(D1050,0)-D1050)))</f>
        <v>0.3166367694</v>
      </c>
      <c r="T1050" s="15">
        <f t="shared" si="3"/>
        <v>0.3015113446</v>
      </c>
      <c r="U1050" s="15">
        <f t="shared" si="4"/>
        <v>0.02962848975</v>
      </c>
      <c r="V1050" s="16">
        <f>IF(AND(L1050="Among all respondents",NOT(OR(K1050="Online poll in Telegram channel",K1050="Website online poll",K1050="CAWI (Computer Assisted Web Interviewing)"))),1/(1-MIN(MAX(Formula!$C$33+(YEAR(D1050)-Formula!$C$34)/(Formula!$C$35-Formula!$C$34)*(Formula!$C$32-Formula!$C$33),Formula!$C$33),Formula!$C$32)),1)</f>
        <v>1</v>
      </c>
      <c r="W1050" s="17">
        <f t="shared" si="5"/>
        <v>3</v>
      </c>
    </row>
    <row r="1051" ht="15.75" customHeight="1">
      <c r="A1051" s="8" t="s">
        <v>1757</v>
      </c>
      <c r="B1051" s="7" t="s">
        <v>1746</v>
      </c>
      <c r="C1051" s="13" t="s">
        <v>1747</v>
      </c>
      <c r="D1051" s="7" t="s">
        <v>168</v>
      </c>
      <c r="E1051" s="8" t="s">
        <v>20</v>
      </c>
      <c r="F1051" s="8" t="s">
        <v>318</v>
      </c>
      <c r="G1051" s="7" t="s">
        <v>1683</v>
      </c>
      <c r="H1051" s="7" t="s">
        <v>1748</v>
      </c>
      <c r="I1051" s="8">
        <v>1200.0</v>
      </c>
      <c r="J1051" s="8">
        <v>2.9</v>
      </c>
      <c r="K1051" s="8" t="s">
        <v>321</v>
      </c>
      <c r="L1051" s="8" t="s">
        <v>322</v>
      </c>
      <c r="M1051" s="8" t="s">
        <v>343</v>
      </c>
      <c r="N1051" s="8">
        <v>3.0</v>
      </c>
      <c r="O1051" s="14">
        <f t="shared" si="1"/>
        <v>44501</v>
      </c>
      <c r="P1051" s="15">
        <f>IFERROR(VLOOKUP(K1051,Formula!$A$11:$B$20,2,FALSE),Formula!$C$26)</f>
        <v>0.9</v>
      </c>
      <c r="Q1051" s="15">
        <f>IF(AND(ISNUMBER(J1051),J1051&gt;0),1/J1051,IF(AND(ISNUMBER(I1051),I1051&gt;0),SQRT(MIN(I1051,Formula!$C$27))/Formula!$C$24,1/Formula!$C$25))</f>
        <v>0.3448275862</v>
      </c>
      <c r="R1051" s="15">
        <f t="shared" si="2"/>
        <v>0.3103448276</v>
      </c>
      <c r="S1051" s="15">
        <f>IF(H1051&lt;&gt;"",EXP(-Formula!$C$28*(EOMONTH(H1051,0)-H1051)),EXP(-Formula!$C$28*(EOMONTH(D1051,0)-D1051)))</f>
        <v>0.3166367694</v>
      </c>
      <c r="T1051" s="15">
        <f t="shared" si="3"/>
        <v>0.3015113446</v>
      </c>
      <c r="U1051" s="15">
        <f t="shared" si="4"/>
        <v>0.02962848975</v>
      </c>
      <c r="V1051" s="16">
        <f>IF(AND(L1051="Among all respondents",NOT(OR(K1051="Online poll in Telegram channel",K1051="Website online poll",K1051="CAWI (Computer Assisted Web Interviewing)"))),1/(1-MIN(MAX(Formula!$C$33+(YEAR(D1051)-Formula!$C$34)/(Formula!$C$35-Formula!$C$34)*(Formula!$C$32-Formula!$C$33),Formula!$C$33),Formula!$C$32)),1)</f>
        <v>1</v>
      </c>
      <c r="W1051" s="17">
        <f t="shared" si="5"/>
        <v>3</v>
      </c>
    </row>
    <row r="1052" ht="15.75" customHeight="1">
      <c r="A1052" s="8" t="s">
        <v>1758</v>
      </c>
      <c r="B1052" s="7" t="s">
        <v>1746</v>
      </c>
      <c r="C1052" s="13" t="s">
        <v>1747</v>
      </c>
      <c r="D1052" s="7" t="s">
        <v>168</v>
      </c>
      <c r="E1052" s="8" t="s">
        <v>20</v>
      </c>
      <c r="F1052" s="8" t="s">
        <v>318</v>
      </c>
      <c r="G1052" s="7" t="s">
        <v>1683</v>
      </c>
      <c r="H1052" s="7" t="s">
        <v>1748</v>
      </c>
      <c r="I1052" s="8">
        <v>1200.0</v>
      </c>
      <c r="J1052" s="8">
        <v>2.9</v>
      </c>
      <c r="K1052" s="8" t="s">
        <v>321</v>
      </c>
      <c r="L1052" s="8" t="s">
        <v>322</v>
      </c>
      <c r="M1052" s="8" t="s">
        <v>740</v>
      </c>
      <c r="N1052" s="8">
        <v>0.7</v>
      </c>
      <c r="O1052" s="14">
        <f t="shared" si="1"/>
        <v>44501</v>
      </c>
      <c r="P1052" s="15">
        <f>IFERROR(VLOOKUP(K1052,Formula!$A$11:$B$20,2,FALSE),Formula!$C$26)</f>
        <v>0.9</v>
      </c>
      <c r="Q1052" s="15">
        <f>IF(AND(ISNUMBER(J1052),J1052&gt;0),1/J1052,IF(AND(ISNUMBER(I1052),I1052&gt;0),SQRT(MIN(I1052,Formula!$C$27))/Formula!$C$24,1/Formula!$C$25))</f>
        <v>0.3448275862</v>
      </c>
      <c r="R1052" s="15">
        <f t="shared" si="2"/>
        <v>0.3103448276</v>
      </c>
      <c r="S1052" s="15">
        <f>IF(H1052&lt;&gt;"",EXP(-Formula!$C$28*(EOMONTH(H1052,0)-H1052)),EXP(-Formula!$C$28*(EOMONTH(D1052,0)-D1052)))</f>
        <v>0.3166367694</v>
      </c>
      <c r="T1052" s="15">
        <f t="shared" si="3"/>
        <v>0.3015113446</v>
      </c>
      <c r="U1052" s="15">
        <f t="shared" si="4"/>
        <v>0.02962848975</v>
      </c>
      <c r="V1052" s="16">
        <f>IF(AND(L1052="Among all respondents",NOT(OR(K1052="Online poll in Telegram channel",K1052="Website online poll",K1052="CAWI (Computer Assisted Web Interviewing)"))),1/(1-MIN(MAX(Formula!$C$33+(YEAR(D1052)-Formula!$C$34)/(Formula!$C$35-Formula!$C$34)*(Formula!$C$32-Formula!$C$33),Formula!$C$33),Formula!$C$32)),1)</f>
        <v>1</v>
      </c>
      <c r="W1052" s="17">
        <f t="shared" si="5"/>
        <v>0.7</v>
      </c>
    </row>
    <row r="1053" ht="15.75" customHeight="1">
      <c r="A1053" s="8" t="s">
        <v>1759</v>
      </c>
      <c r="B1053" s="7" t="s">
        <v>1760</v>
      </c>
      <c r="C1053" s="13" t="s">
        <v>1761</v>
      </c>
      <c r="D1053" s="7" t="s">
        <v>169</v>
      </c>
      <c r="E1053" s="8" t="s">
        <v>17</v>
      </c>
      <c r="F1053" s="8" t="s">
        <v>318</v>
      </c>
      <c r="G1053" s="7" t="s">
        <v>1762</v>
      </c>
      <c r="H1053" s="7" t="s">
        <v>1733</v>
      </c>
      <c r="I1053" s="8">
        <v>2000.0</v>
      </c>
      <c r="J1053" s="8">
        <v>2.4</v>
      </c>
      <c r="K1053" s="8" t="s">
        <v>321</v>
      </c>
      <c r="L1053" s="8" t="s">
        <v>373</v>
      </c>
      <c r="M1053" s="8" t="s">
        <v>323</v>
      </c>
      <c r="N1053" s="8">
        <v>18.6</v>
      </c>
      <c r="O1053" s="14">
        <f t="shared" si="1"/>
        <v>44501</v>
      </c>
      <c r="P1053" s="15">
        <f>IFERROR(VLOOKUP(K1053,Formula!$A$11:$B$20,2,FALSE),Formula!$C$26)</f>
        <v>0.9</v>
      </c>
      <c r="Q1053" s="15">
        <f>IF(AND(ISNUMBER(J1053),J1053&gt;0),1/J1053,IF(AND(ISNUMBER(I1053),I1053&gt;0),SQRT(MIN(I1053,Formula!$C$27))/Formula!$C$24,1/Formula!$C$25))</f>
        <v>0.4166666667</v>
      </c>
      <c r="R1053" s="15">
        <f t="shared" si="2"/>
        <v>0.375</v>
      </c>
      <c r="S1053" s="15">
        <f>IF(H1053&lt;&gt;"",EXP(-Formula!$C$28*(EOMONTH(H1053,0)-H1053)),EXP(-Formula!$C$28*(EOMONTH(D1053,0)-D1053)))</f>
        <v>0.272531793</v>
      </c>
      <c r="T1053" s="15">
        <f t="shared" si="3"/>
        <v>0.3015113446</v>
      </c>
      <c r="U1053" s="15">
        <f t="shared" si="4"/>
        <v>0.03081428526</v>
      </c>
      <c r="V1053" s="16">
        <f>IF(AND(L1053="Among all respondents",NOT(OR(K1053="Online poll in Telegram channel",K1053="Website online poll",K1053="CAWI (Computer Assisted Web Interviewing)"))),1/(1-MIN(MAX(Formula!$C$33+(YEAR(D1053)-Formula!$C$34)/(Formula!$C$35-Formula!$C$34)*(Formula!$C$32-Formula!$C$33),Formula!$C$33),Formula!$C$32)),1)</f>
        <v>1.052631579</v>
      </c>
      <c r="W1053" s="17">
        <f t="shared" si="5"/>
        <v>19.57894737</v>
      </c>
    </row>
    <row r="1054" ht="15.75" customHeight="1">
      <c r="A1054" s="8" t="s">
        <v>1763</v>
      </c>
      <c r="B1054" s="7" t="s">
        <v>1760</v>
      </c>
      <c r="C1054" s="13" t="s">
        <v>1761</v>
      </c>
      <c r="D1054" s="7" t="s">
        <v>169</v>
      </c>
      <c r="E1054" s="8" t="s">
        <v>17</v>
      </c>
      <c r="F1054" s="8" t="s">
        <v>318</v>
      </c>
      <c r="G1054" s="7" t="s">
        <v>1762</v>
      </c>
      <c r="H1054" s="7" t="s">
        <v>1733</v>
      </c>
      <c r="I1054" s="8">
        <v>2000.0</v>
      </c>
      <c r="J1054" s="8">
        <v>2.4</v>
      </c>
      <c r="K1054" s="8" t="s">
        <v>321</v>
      </c>
      <c r="L1054" s="8" t="s">
        <v>373</v>
      </c>
      <c r="M1054" s="8" t="s">
        <v>329</v>
      </c>
      <c r="N1054" s="8">
        <v>12.6</v>
      </c>
      <c r="O1054" s="14">
        <f t="shared" si="1"/>
        <v>44501</v>
      </c>
      <c r="P1054" s="15">
        <f>IFERROR(VLOOKUP(K1054,Formula!$A$11:$B$20,2,FALSE),Formula!$C$26)</f>
        <v>0.9</v>
      </c>
      <c r="Q1054" s="15">
        <f>IF(AND(ISNUMBER(J1054),J1054&gt;0),1/J1054,IF(AND(ISNUMBER(I1054),I1054&gt;0),SQRT(MIN(I1054,Formula!$C$27))/Formula!$C$24,1/Formula!$C$25))</f>
        <v>0.4166666667</v>
      </c>
      <c r="R1054" s="15">
        <f t="shared" si="2"/>
        <v>0.375</v>
      </c>
      <c r="S1054" s="15">
        <f>IF(H1054&lt;&gt;"",EXP(-Formula!$C$28*(EOMONTH(H1054,0)-H1054)),EXP(-Formula!$C$28*(EOMONTH(D1054,0)-D1054)))</f>
        <v>0.272531793</v>
      </c>
      <c r="T1054" s="15">
        <f t="shared" si="3"/>
        <v>0.3015113446</v>
      </c>
      <c r="U1054" s="15">
        <f t="shared" si="4"/>
        <v>0.03081428526</v>
      </c>
      <c r="V1054" s="16">
        <f>IF(AND(L1054="Among all respondents",NOT(OR(K1054="Online poll in Telegram channel",K1054="Website online poll",K1054="CAWI (Computer Assisted Web Interviewing)"))),1/(1-MIN(MAX(Formula!$C$33+(YEAR(D1054)-Formula!$C$34)/(Formula!$C$35-Formula!$C$34)*(Formula!$C$32-Formula!$C$33),Formula!$C$33),Formula!$C$32)),1)</f>
        <v>1.052631579</v>
      </c>
      <c r="W1054" s="17">
        <f t="shared" si="5"/>
        <v>13.26315789</v>
      </c>
    </row>
    <row r="1055" ht="15.75" customHeight="1">
      <c r="A1055" s="8" t="s">
        <v>1764</v>
      </c>
      <c r="B1055" s="7" t="s">
        <v>1760</v>
      </c>
      <c r="C1055" s="13" t="s">
        <v>1761</v>
      </c>
      <c r="D1055" s="7" t="s">
        <v>169</v>
      </c>
      <c r="E1055" s="8" t="s">
        <v>17</v>
      </c>
      <c r="F1055" s="8" t="s">
        <v>318</v>
      </c>
      <c r="G1055" s="7" t="s">
        <v>1762</v>
      </c>
      <c r="H1055" s="7" t="s">
        <v>1733</v>
      </c>
      <c r="I1055" s="8">
        <v>2000.0</v>
      </c>
      <c r="J1055" s="8">
        <v>2.4</v>
      </c>
      <c r="K1055" s="8" t="s">
        <v>321</v>
      </c>
      <c r="L1055" s="8" t="s">
        <v>373</v>
      </c>
      <c r="M1055" s="8" t="s">
        <v>365</v>
      </c>
      <c r="N1055" s="8">
        <v>8.2</v>
      </c>
      <c r="O1055" s="14">
        <f t="shared" si="1"/>
        <v>44501</v>
      </c>
      <c r="P1055" s="15">
        <f>IFERROR(VLOOKUP(K1055,Formula!$A$11:$B$20,2,FALSE),Formula!$C$26)</f>
        <v>0.9</v>
      </c>
      <c r="Q1055" s="15">
        <f>IF(AND(ISNUMBER(J1055),J1055&gt;0),1/J1055,IF(AND(ISNUMBER(I1055),I1055&gt;0),SQRT(MIN(I1055,Formula!$C$27))/Formula!$C$24,1/Formula!$C$25))</f>
        <v>0.4166666667</v>
      </c>
      <c r="R1055" s="15">
        <f t="shared" si="2"/>
        <v>0.375</v>
      </c>
      <c r="S1055" s="15">
        <f>IF(H1055&lt;&gt;"",EXP(-Formula!$C$28*(EOMONTH(H1055,0)-H1055)),EXP(-Formula!$C$28*(EOMONTH(D1055,0)-D1055)))</f>
        <v>0.272531793</v>
      </c>
      <c r="T1055" s="15">
        <f t="shared" si="3"/>
        <v>0.3015113446</v>
      </c>
      <c r="U1055" s="15">
        <f t="shared" si="4"/>
        <v>0.03081428526</v>
      </c>
      <c r="V1055" s="16">
        <f>IF(AND(L1055="Among all respondents",NOT(OR(K1055="Online poll in Telegram channel",K1055="Website online poll",K1055="CAWI (Computer Assisted Web Interviewing)"))),1/(1-MIN(MAX(Formula!$C$33+(YEAR(D1055)-Formula!$C$34)/(Formula!$C$35-Formula!$C$34)*(Formula!$C$32-Formula!$C$33),Formula!$C$33),Formula!$C$32)),1)</f>
        <v>1.052631579</v>
      </c>
      <c r="W1055" s="17">
        <f t="shared" si="5"/>
        <v>8.631578947</v>
      </c>
    </row>
    <row r="1056" ht="15.75" customHeight="1">
      <c r="A1056" s="8" t="s">
        <v>1765</v>
      </c>
      <c r="B1056" s="7" t="s">
        <v>1760</v>
      </c>
      <c r="C1056" s="13" t="s">
        <v>1761</v>
      </c>
      <c r="D1056" s="7" t="s">
        <v>169</v>
      </c>
      <c r="E1056" s="8" t="s">
        <v>17</v>
      </c>
      <c r="F1056" s="8" t="s">
        <v>318</v>
      </c>
      <c r="G1056" s="7" t="s">
        <v>1762</v>
      </c>
      <c r="H1056" s="7" t="s">
        <v>1733</v>
      </c>
      <c r="I1056" s="8">
        <v>2000.0</v>
      </c>
      <c r="J1056" s="8">
        <v>2.4</v>
      </c>
      <c r="K1056" s="8" t="s">
        <v>321</v>
      </c>
      <c r="L1056" s="8" t="s">
        <v>373</v>
      </c>
      <c r="M1056" s="8" t="s">
        <v>337</v>
      </c>
      <c r="N1056" s="8">
        <v>7.8</v>
      </c>
      <c r="O1056" s="14">
        <f t="shared" si="1"/>
        <v>44501</v>
      </c>
      <c r="P1056" s="15">
        <f>IFERROR(VLOOKUP(K1056,Formula!$A$11:$B$20,2,FALSE),Formula!$C$26)</f>
        <v>0.9</v>
      </c>
      <c r="Q1056" s="15">
        <f>IF(AND(ISNUMBER(J1056),J1056&gt;0),1/J1056,IF(AND(ISNUMBER(I1056),I1056&gt;0),SQRT(MIN(I1056,Formula!$C$27))/Formula!$C$24,1/Formula!$C$25))</f>
        <v>0.4166666667</v>
      </c>
      <c r="R1056" s="15">
        <f t="shared" si="2"/>
        <v>0.375</v>
      </c>
      <c r="S1056" s="15">
        <f>IF(H1056&lt;&gt;"",EXP(-Formula!$C$28*(EOMONTH(H1056,0)-H1056)),EXP(-Formula!$C$28*(EOMONTH(D1056,0)-D1056)))</f>
        <v>0.272531793</v>
      </c>
      <c r="T1056" s="15">
        <f t="shared" si="3"/>
        <v>0.3015113446</v>
      </c>
      <c r="U1056" s="15">
        <f t="shared" si="4"/>
        <v>0.03081428526</v>
      </c>
      <c r="V1056" s="16">
        <f>IF(AND(L1056="Among all respondents",NOT(OR(K1056="Online poll in Telegram channel",K1056="Website online poll",K1056="CAWI (Computer Assisted Web Interviewing)"))),1/(1-MIN(MAX(Formula!$C$33+(YEAR(D1056)-Formula!$C$34)/(Formula!$C$35-Formula!$C$34)*(Formula!$C$32-Formula!$C$33),Formula!$C$33),Formula!$C$32)),1)</f>
        <v>1.052631579</v>
      </c>
      <c r="W1056" s="17">
        <f t="shared" si="5"/>
        <v>8.210526316</v>
      </c>
    </row>
    <row r="1057" ht="15.75" customHeight="1">
      <c r="A1057" s="8" t="s">
        <v>1766</v>
      </c>
      <c r="B1057" s="7" t="s">
        <v>1760</v>
      </c>
      <c r="C1057" s="13" t="s">
        <v>1761</v>
      </c>
      <c r="D1057" s="7" t="s">
        <v>169</v>
      </c>
      <c r="E1057" s="8" t="s">
        <v>17</v>
      </c>
      <c r="F1057" s="8" t="s">
        <v>318</v>
      </c>
      <c r="G1057" s="7" t="s">
        <v>1762</v>
      </c>
      <c r="H1057" s="7" t="s">
        <v>1733</v>
      </c>
      <c r="I1057" s="8">
        <v>2000.0</v>
      </c>
      <c r="J1057" s="8">
        <v>2.4</v>
      </c>
      <c r="K1057" s="8" t="s">
        <v>321</v>
      </c>
      <c r="L1057" s="8" t="s">
        <v>373</v>
      </c>
      <c r="M1057" s="8" t="s">
        <v>333</v>
      </c>
      <c r="N1057" s="8">
        <v>4.5</v>
      </c>
      <c r="O1057" s="14">
        <f t="shared" si="1"/>
        <v>44501</v>
      </c>
      <c r="P1057" s="15">
        <f>IFERROR(VLOOKUP(K1057,Formula!$A$11:$B$20,2,FALSE),Formula!$C$26)</f>
        <v>0.9</v>
      </c>
      <c r="Q1057" s="15">
        <f>IF(AND(ISNUMBER(J1057),J1057&gt;0),1/J1057,IF(AND(ISNUMBER(I1057),I1057&gt;0),SQRT(MIN(I1057,Formula!$C$27))/Formula!$C$24,1/Formula!$C$25))</f>
        <v>0.4166666667</v>
      </c>
      <c r="R1057" s="15">
        <f t="shared" si="2"/>
        <v>0.375</v>
      </c>
      <c r="S1057" s="15">
        <f>IF(H1057&lt;&gt;"",EXP(-Formula!$C$28*(EOMONTH(H1057,0)-H1057)),EXP(-Formula!$C$28*(EOMONTH(D1057,0)-D1057)))</f>
        <v>0.272531793</v>
      </c>
      <c r="T1057" s="15">
        <f t="shared" si="3"/>
        <v>0.3015113446</v>
      </c>
      <c r="U1057" s="15">
        <f t="shared" si="4"/>
        <v>0.03081428526</v>
      </c>
      <c r="V1057" s="16">
        <f>IF(AND(L1057="Among all respondents",NOT(OR(K1057="Online poll in Telegram channel",K1057="Website online poll",K1057="CAWI (Computer Assisted Web Interviewing)"))),1/(1-MIN(MAX(Formula!$C$33+(YEAR(D1057)-Formula!$C$34)/(Formula!$C$35-Formula!$C$34)*(Formula!$C$32-Formula!$C$33),Formula!$C$33),Formula!$C$32)),1)</f>
        <v>1.052631579</v>
      </c>
      <c r="W1057" s="17">
        <f t="shared" si="5"/>
        <v>4.736842105</v>
      </c>
    </row>
    <row r="1058" ht="15.75" customHeight="1">
      <c r="A1058" s="8" t="s">
        <v>1767</v>
      </c>
      <c r="B1058" s="7" t="s">
        <v>1760</v>
      </c>
      <c r="C1058" s="13" t="s">
        <v>1761</v>
      </c>
      <c r="D1058" s="7" t="s">
        <v>169</v>
      </c>
      <c r="E1058" s="8" t="s">
        <v>17</v>
      </c>
      <c r="F1058" s="8" t="s">
        <v>318</v>
      </c>
      <c r="G1058" s="7" t="s">
        <v>1762</v>
      </c>
      <c r="H1058" s="7" t="s">
        <v>1733</v>
      </c>
      <c r="I1058" s="8">
        <v>2000.0</v>
      </c>
      <c r="J1058" s="8">
        <v>2.4</v>
      </c>
      <c r="K1058" s="8" t="s">
        <v>321</v>
      </c>
      <c r="L1058" s="8" t="s">
        <v>373</v>
      </c>
      <c r="M1058" s="8" t="s">
        <v>1153</v>
      </c>
      <c r="N1058" s="8">
        <v>4.0</v>
      </c>
      <c r="O1058" s="14">
        <f t="shared" si="1"/>
        <v>44501</v>
      </c>
      <c r="P1058" s="15">
        <f>IFERROR(VLOOKUP(K1058,Formula!$A$11:$B$20,2,FALSE),Formula!$C$26)</f>
        <v>0.9</v>
      </c>
      <c r="Q1058" s="15">
        <f>IF(AND(ISNUMBER(J1058),J1058&gt;0),1/J1058,IF(AND(ISNUMBER(I1058),I1058&gt;0),SQRT(MIN(I1058,Formula!$C$27))/Formula!$C$24,1/Formula!$C$25))</f>
        <v>0.4166666667</v>
      </c>
      <c r="R1058" s="15">
        <f t="shared" si="2"/>
        <v>0.375</v>
      </c>
      <c r="S1058" s="15">
        <f>IF(H1058&lt;&gt;"",EXP(-Formula!$C$28*(EOMONTH(H1058,0)-H1058)),EXP(-Formula!$C$28*(EOMONTH(D1058,0)-D1058)))</f>
        <v>0.272531793</v>
      </c>
      <c r="T1058" s="15">
        <f t="shared" si="3"/>
        <v>0.3015113446</v>
      </c>
      <c r="U1058" s="15">
        <f t="shared" si="4"/>
        <v>0.03081428526</v>
      </c>
      <c r="V1058" s="16">
        <f>IF(AND(L1058="Among all respondents",NOT(OR(K1058="Online poll in Telegram channel",K1058="Website online poll",K1058="CAWI (Computer Assisted Web Interviewing)"))),1/(1-MIN(MAX(Formula!$C$33+(YEAR(D1058)-Formula!$C$34)/(Formula!$C$35-Formula!$C$34)*(Formula!$C$32-Formula!$C$33),Formula!$C$33),Formula!$C$32)),1)</f>
        <v>1.052631579</v>
      </c>
      <c r="W1058" s="17">
        <f t="shared" si="5"/>
        <v>4.210526316</v>
      </c>
    </row>
    <row r="1059" ht="15.75" customHeight="1">
      <c r="A1059" s="8" t="s">
        <v>1768</v>
      </c>
      <c r="B1059" s="7" t="s">
        <v>1760</v>
      </c>
      <c r="C1059" s="13" t="s">
        <v>1761</v>
      </c>
      <c r="D1059" s="7" t="s">
        <v>169</v>
      </c>
      <c r="E1059" s="8" t="s">
        <v>17</v>
      </c>
      <c r="F1059" s="8" t="s">
        <v>318</v>
      </c>
      <c r="G1059" s="7" t="s">
        <v>1762</v>
      </c>
      <c r="H1059" s="7" t="s">
        <v>1733</v>
      </c>
      <c r="I1059" s="8">
        <v>2000.0</v>
      </c>
      <c r="J1059" s="8">
        <v>2.4</v>
      </c>
      <c r="K1059" s="8" t="s">
        <v>321</v>
      </c>
      <c r="L1059" s="8" t="s">
        <v>373</v>
      </c>
      <c r="M1059" s="8" t="s">
        <v>828</v>
      </c>
      <c r="N1059" s="8">
        <v>3.6</v>
      </c>
      <c r="O1059" s="14">
        <f t="shared" si="1"/>
        <v>44501</v>
      </c>
      <c r="P1059" s="15">
        <f>IFERROR(VLOOKUP(K1059,Formula!$A$11:$B$20,2,FALSE),Formula!$C$26)</f>
        <v>0.9</v>
      </c>
      <c r="Q1059" s="15">
        <f>IF(AND(ISNUMBER(J1059),J1059&gt;0),1/J1059,IF(AND(ISNUMBER(I1059),I1059&gt;0),SQRT(MIN(I1059,Formula!$C$27))/Formula!$C$24,1/Formula!$C$25))</f>
        <v>0.4166666667</v>
      </c>
      <c r="R1059" s="15">
        <f t="shared" si="2"/>
        <v>0.375</v>
      </c>
      <c r="S1059" s="15">
        <f>IF(H1059&lt;&gt;"",EXP(-Formula!$C$28*(EOMONTH(H1059,0)-H1059)),EXP(-Formula!$C$28*(EOMONTH(D1059,0)-D1059)))</f>
        <v>0.272531793</v>
      </c>
      <c r="T1059" s="15">
        <f t="shared" si="3"/>
        <v>0.3015113446</v>
      </c>
      <c r="U1059" s="15">
        <f t="shared" si="4"/>
        <v>0.03081428526</v>
      </c>
      <c r="V1059" s="16">
        <f>IF(AND(L1059="Among all respondents",NOT(OR(K1059="Online poll in Telegram channel",K1059="Website online poll",K1059="CAWI (Computer Assisted Web Interviewing)"))),1/(1-MIN(MAX(Formula!$C$33+(YEAR(D1059)-Formula!$C$34)/(Formula!$C$35-Formula!$C$34)*(Formula!$C$32-Formula!$C$33),Formula!$C$33),Formula!$C$32)),1)</f>
        <v>1.052631579</v>
      </c>
      <c r="W1059" s="17">
        <f t="shared" si="5"/>
        <v>3.789473684</v>
      </c>
    </row>
    <row r="1060" ht="15.75" customHeight="1">
      <c r="A1060" s="8" t="s">
        <v>1769</v>
      </c>
      <c r="B1060" s="7" t="s">
        <v>1760</v>
      </c>
      <c r="C1060" s="13" t="s">
        <v>1761</v>
      </c>
      <c r="D1060" s="7" t="s">
        <v>169</v>
      </c>
      <c r="E1060" s="8" t="s">
        <v>17</v>
      </c>
      <c r="F1060" s="8" t="s">
        <v>318</v>
      </c>
      <c r="G1060" s="7" t="s">
        <v>1762</v>
      </c>
      <c r="H1060" s="7" t="s">
        <v>1733</v>
      </c>
      <c r="I1060" s="8">
        <v>2000.0</v>
      </c>
      <c r="J1060" s="8">
        <v>2.4</v>
      </c>
      <c r="K1060" s="8" t="s">
        <v>321</v>
      </c>
      <c r="L1060" s="8" t="s">
        <v>373</v>
      </c>
      <c r="M1060" s="8" t="s">
        <v>386</v>
      </c>
      <c r="N1060" s="8">
        <v>3.1</v>
      </c>
      <c r="O1060" s="14">
        <f t="shared" si="1"/>
        <v>44501</v>
      </c>
      <c r="P1060" s="15">
        <f>IFERROR(VLOOKUP(K1060,Formula!$A$11:$B$20,2,FALSE),Formula!$C$26)</f>
        <v>0.9</v>
      </c>
      <c r="Q1060" s="15">
        <f>IF(AND(ISNUMBER(J1060),J1060&gt;0),1/J1060,IF(AND(ISNUMBER(I1060),I1060&gt;0),SQRT(MIN(I1060,Formula!$C$27))/Formula!$C$24,1/Formula!$C$25))</f>
        <v>0.4166666667</v>
      </c>
      <c r="R1060" s="15">
        <f t="shared" si="2"/>
        <v>0.375</v>
      </c>
      <c r="S1060" s="15">
        <f>IF(H1060&lt;&gt;"",EXP(-Formula!$C$28*(EOMONTH(H1060,0)-H1060)),EXP(-Formula!$C$28*(EOMONTH(D1060,0)-D1060)))</f>
        <v>0.272531793</v>
      </c>
      <c r="T1060" s="15">
        <f t="shared" si="3"/>
        <v>0.3015113446</v>
      </c>
      <c r="U1060" s="15">
        <f t="shared" si="4"/>
        <v>0.03081428526</v>
      </c>
      <c r="V1060" s="16">
        <f>IF(AND(L1060="Among all respondents",NOT(OR(K1060="Online poll in Telegram channel",K1060="Website online poll",K1060="CAWI (Computer Assisted Web Interviewing)"))),1/(1-MIN(MAX(Formula!$C$33+(YEAR(D1060)-Formula!$C$34)/(Formula!$C$35-Formula!$C$34)*(Formula!$C$32-Formula!$C$33),Formula!$C$33),Formula!$C$32)),1)</f>
        <v>1.052631579</v>
      </c>
      <c r="W1060" s="17">
        <f t="shared" si="5"/>
        <v>3.263157895</v>
      </c>
    </row>
    <row r="1061" ht="15.75" customHeight="1">
      <c r="A1061" s="8" t="s">
        <v>1770</v>
      </c>
      <c r="B1061" s="7" t="s">
        <v>1760</v>
      </c>
      <c r="C1061" s="13" t="s">
        <v>1761</v>
      </c>
      <c r="D1061" s="7" t="s">
        <v>169</v>
      </c>
      <c r="E1061" s="8" t="s">
        <v>17</v>
      </c>
      <c r="F1061" s="8" t="s">
        <v>318</v>
      </c>
      <c r="G1061" s="7" t="s">
        <v>1762</v>
      </c>
      <c r="H1061" s="7" t="s">
        <v>1733</v>
      </c>
      <c r="I1061" s="8">
        <v>2000.0</v>
      </c>
      <c r="J1061" s="8">
        <v>2.4</v>
      </c>
      <c r="K1061" s="8" t="s">
        <v>321</v>
      </c>
      <c r="L1061" s="8" t="s">
        <v>373</v>
      </c>
      <c r="M1061" s="8" t="s">
        <v>1334</v>
      </c>
      <c r="N1061" s="8">
        <v>1.3</v>
      </c>
      <c r="O1061" s="14">
        <f t="shared" si="1"/>
        <v>44501</v>
      </c>
      <c r="P1061" s="15">
        <f>IFERROR(VLOOKUP(K1061,Formula!$A$11:$B$20,2,FALSE),Formula!$C$26)</f>
        <v>0.9</v>
      </c>
      <c r="Q1061" s="15">
        <f>IF(AND(ISNUMBER(J1061),J1061&gt;0),1/J1061,IF(AND(ISNUMBER(I1061),I1061&gt;0),SQRT(MIN(I1061,Formula!$C$27))/Formula!$C$24,1/Formula!$C$25))</f>
        <v>0.4166666667</v>
      </c>
      <c r="R1061" s="15">
        <f t="shared" si="2"/>
        <v>0.375</v>
      </c>
      <c r="S1061" s="15">
        <f>IF(H1061&lt;&gt;"",EXP(-Formula!$C$28*(EOMONTH(H1061,0)-H1061)),EXP(-Formula!$C$28*(EOMONTH(D1061,0)-D1061)))</f>
        <v>0.272531793</v>
      </c>
      <c r="T1061" s="15">
        <f t="shared" si="3"/>
        <v>0.3015113446</v>
      </c>
      <c r="U1061" s="15">
        <f t="shared" si="4"/>
        <v>0.03081428526</v>
      </c>
      <c r="V1061" s="16">
        <f>IF(AND(L1061="Among all respondents",NOT(OR(K1061="Online poll in Telegram channel",K1061="Website online poll",K1061="CAWI (Computer Assisted Web Interviewing)"))),1/(1-MIN(MAX(Formula!$C$33+(YEAR(D1061)-Formula!$C$34)/(Formula!$C$35-Formula!$C$34)*(Formula!$C$32-Formula!$C$33),Formula!$C$33),Formula!$C$32)),1)</f>
        <v>1.052631579</v>
      </c>
      <c r="W1061" s="17">
        <f t="shared" si="5"/>
        <v>1.368421053</v>
      </c>
    </row>
    <row r="1062" ht="15.75" customHeight="1">
      <c r="A1062" s="8" t="s">
        <v>1771</v>
      </c>
      <c r="B1062" s="7" t="s">
        <v>1760</v>
      </c>
      <c r="C1062" s="13" t="s">
        <v>1761</v>
      </c>
      <c r="D1062" s="7" t="s">
        <v>169</v>
      </c>
      <c r="E1062" s="8" t="s">
        <v>17</v>
      </c>
      <c r="F1062" s="8" t="s">
        <v>318</v>
      </c>
      <c r="G1062" s="7" t="s">
        <v>1762</v>
      </c>
      <c r="H1062" s="7" t="s">
        <v>1733</v>
      </c>
      <c r="I1062" s="8">
        <v>2000.0</v>
      </c>
      <c r="J1062" s="8">
        <v>2.4</v>
      </c>
      <c r="K1062" s="8" t="s">
        <v>321</v>
      </c>
      <c r="L1062" s="8" t="s">
        <v>373</v>
      </c>
      <c r="M1062" s="8" t="s">
        <v>388</v>
      </c>
      <c r="N1062" s="8">
        <v>1.3</v>
      </c>
      <c r="O1062" s="14">
        <f t="shared" si="1"/>
        <v>44501</v>
      </c>
      <c r="P1062" s="15">
        <f>IFERROR(VLOOKUP(K1062,Formula!$A$11:$B$20,2,FALSE),Formula!$C$26)</f>
        <v>0.9</v>
      </c>
      <c r="Q1062" s="15">
        <f>IF(AND(ISNUMBER(J1062),J1062&gt;0),1/J1062,IF(AND(ISNUMBER(I1062),I1062&gt;0),SQRT(MIN(I1062,Formula!$C$27))/Formula!$C$24,1/Formula!$C$25))</f>
        <v>0.4166666667</v>
      </c>
      <c r="R1062" s="15">
        <f t="shared" si="2"/>
        <v>0.375</v>
      </c>
      <c r="S1062" s="15">
        <f>IF(H1062&lt;&gt;"",EXP(-Formula!$C$28*(EOMONTH(H1062,0)-H1062)),EXP(-Formula!$C$28*(EOMONTH(D1062,0)-D1062)))</f>
        <v>0.272531793</v>
      </c>
      <c r="T1062" s="15">
        <f t="shared" si="3"/>
        <v>0.3015113446</v>
      </c>
      <c r="U1062" s="15">
        <f t="shared" si="4"/>
        <v>0.03081428526</v>
      </c>
      <c r="V1062" s="16">
        <f>IF(AND(L1062="Among all respondents",NOT(OR(K1062="Online poll in Telegram channel",K1062="Website online poll",K1062="CAWI (Computer Assisted Web Interviewing)"))),1/(1-MIN(MAX(Formula!$C$33+(YEAR(D1062)-Formula!$C$34)/(Formula!$C$35-Formula!$C$34)*(Formula!$C$32-Formula!$C$33),Formula!$C$33),Formula!$C$32)),1)</f>
        <v>1.052631579</v>
      </c>
      <c r="W1062" s="17">
        <f t="shared" si="5"/>
        <v>1.368421053</v>
      </c>
    </row>
    <row r="1063" ht="15.75" customHeight="1">
      <c r="A1063" s="8" t="s">
        <v>1772</v>
      </c>
      <c r="B1063" s="7" t="s">
        <v>1760</v>
      </c>
      <c r="C1063" s="13" t="s">
        <v>1761</v>
      </c>
      <c r="D1063" s="7" t="s">
        <v>169</v>
      </c>
      <c r="E1063" s="8" t="s">
        <v>17</v>
      </c>
      <c r="F1063" s="8" t="s">
        <v>318</v>
      </c>
      <c r="G1063" s="7" t="s">
        <v>1762</v>
      </c>
      <c r="H1063" s="7" t="s">
        <v>1733</v>
      </c>
      <c r="I1063" s="8">
        <v>2000.0</v>
      </c>
      <c r="J1063" s="8">
        <v>2.4</v>
      </c>
      <c r="K1063" s="8" t="s">
        <v>321</v>
      </c>
      <c r="L1063" s="8" t="s">
        <v>373</v>
      </c>
      <c r="M1063" s="8" t="s">
        <v>740</v>
      </c>
      <c r="N1063" s="8">
        <v>1.0</v>
      </c>
      <c r="O1063" s="14">
        <f t="shared" si="1"/>
        <v>44501</v>
      </c>
      <c r="P1063" s="15">
        <f>IFERROR(VLOOKUP(K1063,Formula!$A$11:$B$20,2,FALSE),Formula!$C$26)</f>
        <v>0.9</v>
      </c>
      <c r="Q1063" s="15">
        <f>IF(AND(ISNUMBER(J1063),J1063&gt;0),1/J1063,IF(AND(ISNUMBER(I1063),I1063&gt;0),SQRT(MIN(I1063,Formula!$C$27))/Formula!$C$24,1/Formula!$C$25))</f>
        <v>0.4166666667</v>
      </c>
      <c r="R1063" s="15">
        <f t="shared" si="2"/>
        <v>0.375</v>
      </c>
      <c r="S1063" s="15">
        <f>IF(H1063&lt;&gt;"",EXP(-Formula!$C$28*(EOMONTH(H1063,0)-H1063)),EXP(-Formula!$C$28*(EOMONTH(D1063,0)-D1063)))</f>
        <v>0.272531793</v>
      </c>
      <c r="T1063" s="15">
        <f t="shared" si="3"/>
        <v>0.3015113446</v>
      </c>
      <c r="U1063" s="15">
        <f t="shared" si="4"/>
        <v>0.03081428526</v>
      </c>
      <c r="V1063" s="16">
        <f>IF(AND(L1063="Among all respondents",NOT(OR(K1063="Online poll in Telegram channel",K1063="Website online poll",K1063="CAWI (Computer Assisted Web Interviewing)"))),1/(1-MIN(MAX(Formula!$C$33+(YEAR(D1063)-Formula!$C$34)/(Formula!$C$35-Formula!$C$34)*(Formula!$C$32-Formula!$C$33),Formula!$C$33),Formula!$C$32)),1)</f>
        <v>1.052631579</v>
      </c>
      <c r="W1063" s="17">
        <f t="shared" si="5"/>
        <v>1.052631579</v>
      </c>
    </row>
    <row r="1064" ht="15.75" customHeight="1">
      <c r="A1064" s="8" t="s">
        <v>1773</v>
      </c>
      <c r="B1064" s="7" t="s">
        <v>1774</v>
      </c>
      <c r="C1064" s="13" t="s">
        <v>1775</v>
      </c>
      <c r="D1064" s="7" t="s">
        <v>170</v>
      </c>
      <c r="E1064" s="8" t="s">
        <v>172</v>
      </c>
      <c r="F1064" s="8" t="s">
        <v>318</v>
      </c>
      <c r="G1064" s="7" t="s">
        <v>1776</v>
      </c>
      <c r="H1064" s="7" t="s">
        <v>167</v>
      </c>
      <c r="K1064" s="8" t="s">
        <v>583</v>
      </c>
      <c r="L1064" s="8" t="s">
        <v>322</v>
      </c>
      <c r="M1064" s="8" t="s">
        <v>323</v>
      </c>
      <c r="N1064" s="8">
        <v>25.0</v>
      </c>
      <c r="O1064" s="14">
        <f t="shared" si="1"/>
        <v>44501</v>
      </c>
      <c r="P1064" s="15">
        <f>IFERROR(VLOOKUP(K1064,Formula!$A$11:$B$20,2,FALSE),Formula!$C$26)</f>
        <v>0.95</v>
      </c>
      <c r="Q1064" s="15">
        <f>IF(AND(ISNUMBER(J1064),J1064&gt;0),1/J1064,IF(AND(ISNUMBER(I1064),I1064&gt;0),SQRT(MIN(I1064,Formula!$C$27))/Formula!$C$24,1/Formula!$C$25))</f>
        <v>0.4</v>
      </c>
      <c r="R1064" s="15">
        <f t="shared" si="2"/>
        <v>0.38</v>
      </c>
      <c r="S1064" s="15">
        <f>IF(H1064&lt;&gt;"",EXP(-Formula!$C$28*(EOMONTH(H1064,0)-H1064)),EXP(-Formula!$C$28*(EOMONTH(D1064,0)-D1064)))</f>
        <v>0.2465969639</v>
      </c>
      <c r="T1064" s="15">
        <f t="shared" si="3"/>
        <v>0.316227766</v>
      </c>
      <c r="U1064" s="15">
        <f t="shared" si="4"/>
        <v>0.02963270667</v>
      </c>
      <c r="V1064" s="16">
        <f>IF(AND(L1064="Among all respondents",NOT(OR(K1064="Online poll in Telegram channel",K1064="Website online poll",K1064="CAWI (Computer Assisted Web Interviewing)"))),1/(1-MIN(MAX(Formula!$C$33+(YEAR(D1064)-Formula!$C$34)/(Formula!$C$35-Formula!$C$34)*(Formula!$C$32-Formula!$C$33),Formula!$C$33),Formula!$C$32)),1)</f>
        <v>1</v>
      </c>
      <c r="W1064" s="17">
        <f t="shared" si="5"/>
        <v>25</v>
      </c>
    </row>
    <row r="1065" ht="15.75" customHeight="1">
      <c r="A1065" s="8" t="s">
        <v>1777</v>
      </c>
      <c r="B1065" s="7" t="s">
        <v>1774</v>
      </c>
      <c r="C1065" s="13" t="s">
        <v>1775</v>
      </c>
      <c r="D1065" s="7" t="s">
        <v>170</v>
      </c>
      <c r="E1065" s="8" t="s">
        <v>172</v>
      </c>
      <c r="F1065" s="8" t="s">
        <v>318</v>
      </c>
      <c r="G1065" s="7" t="s">
        <v>1776</v>
      </c>
      <c r="H1065" s="7" t="s">
        <v>167</v>
      </c>
      <c r="K1065" s="8" t="s">
        <v>583</v>
      </c>
      <c r="L1065" s="8" t="s">
        <v>322</v>
      </c>
      <c r="M1065" s="8" t="s">
        <v>329</v>
      </c>
      <c r="N1065" s="8">
        <v>13.0</v>
      </c>
      <c r="O1065" s="14">
        <f t="shared" si="1"/>
        <v>44501</v>
      </c>
      <c r="P1065" s="15">
        <f>IFERROR(VLOOKUP(K1065,Formula!$A$11:$B$20,2,FALSE),Formula!$C$26)</f>
        <v>0.95</v>
      </c>
      <c r="Q1065" s="15">
        <f>IF(AND(ISNUMBER(J1065),J1065&gt;0),1/J1065,IF(AND(ISNUMBER(I1065),I1065&gt;0),SQRT(MIN(I1065,Formula!$C$27))/Formula!$C$24,1/Formula!$C$25))</f>
        <v>0.4</v>
      </c>
      <c r="R1065" s="15">
        <f t="shared" si="2"/>
        <v>0.38</v>
      </c>
      <c r="S1065" s="15">
        <f>IF(H1065&lt;&gt;"",EXP(-Formula!$C$28*(EOMONTH(H1065,0)-H1065)),EXP(-Formula!$C$28*(EOMONTH(D1065,0)-D1065)))</f>
        <v>0.2465969639</v>
      </c>
      <c r="T1065" s="15">
        <f t="shared" si="3"/>
        <v>0.316227766</v>
      </c>
      <c r="U1065" s="15">
        <f t="shared" si="4"/>
        <v>0.02963270667</v>
      </c>
      <c r="V1065" s="16">
        <f>IF(AND(L1065="Among all respondents",NOT(OR(K1065="Online poll in Telegram channel",K1065="Website online poll",K1065="CAWI (Computer Assisted Web Interviewing)"))),1/(1-MIN(MAX(Formula!$C$33+(YEAR(D1065)-Formula!$C$34)/(Formula!$C$35-Formula!$C$34)*(Formula!$C$32-Formula!$C$33),Formula!$C$33),Formula!$C$32)),1)</f>
        <v>1</v>
      </c>
      <c r="W1065" s="17">
        <f t="shared" si="5"/>
        <v>13</v>
      </c>
    </row>
    <row r="1066" ht="15.75" customHeight="1">
      <c r="A1066" s="8" t="s">
        <v>1778</v>
      </c>
      <c r="B1066" s="7" t="s">
        <v>1774</v>
      </c>
      <c r="C1066" s="13" t="s">
        <v>1775</v>
      </c>
      <c r="D1066" s="7" t="s">
        <v>170</v>
      </c>
      <c r="E1066" s="8" t="s">
        <v>172</v>
      </c>
      <c r="F1066" s="8" t="s">
        <v>318</v>
      </c>
      <c r="G1066" s="7" t="s">
        <v>1776</v>
      </c>
      <c r="H1066" s="7" t="s">
        <v>167</v>
      </c>
      <c r="K1066" s="8" t="s">
        <v>583</v>
      </c>
      <c r="L1066" s="8" t="s">
        <v>322</v>
      </c>
      <c r="M1066" s="8" t="s">
        <v>365</v>
      </c>
      <c r="N1066" s="8">
        <v>12.0</v>
      </c>
      <c r="O1066" s="14">
        <f t="shared" si="1"/>
        <v>44501</v>
      </c>
      <c r="P1066" s="15">
        <f>IFERROR(VLOOKUP(K1066,Formula!$A$11:$B$20,2,FALSE),Formula!$C$26)</f>
        <v>0.95</v>
      </c>
      <c r="Q1066" s="15">
        <f>IF(AND(ISNUMBER(J1066),J1066&gt;0),1/J1066,IF(AND(ISNUMBER(I1066),I1066&gt;0),SQRT(MIN(I1066,Formula!$C$27))/Formula!$C$24,1/Formula!$C$25))</f>
        <v>0.4</v>
      </c>
      <c r="R1066" s="15">
        <f t="shared" si="2"/>
        <v>0.38</v>
      </c>
      <c r="S1066" s="15">
        <f>IF(H1066&lt;&gt;"",EXP(-Formula!$C$28*(EOMONTH(H1066,0)-H1066)),EXP(-Formula!$C$28*(EOMONTH(D1066,0)-D1066)))</f>
        <v>0.2465969639</v>
      </c>
      <c r="T1066" s="15">
        <f t="shared" si="3"/>
        <v>0.316227766</v>
      </c>
      <c r="U1066" s="15">
        <f t="shared" si="4"/>
        <v>0.02963270667</v>
      </c>
      <c r="V1066" s="16">
        <f>IF(AND(L1066="Among all respondents",NOT(OR(K1066="Online poll in Telegram channel",K1066="Website online poll",K1066="CAWI (Computer Assisted Web Interviewing)"))),1/(1-MIN(MAX(Formula!$C$33+(YEAR(D1066)-Formula!$C$34)/(Formula!$C$35-Formula!$C$34)*(Formula!$C$32-Formula!$C$33),Formula!$C$33),Formula!$C$32)),1)</f>
        <v>1</v>
      </c>
      <c r="W1066" s="17">
        <f t="shared" si="5"/>
        <v>12</v>
      </c>
    </row>
    <row r="1067" ht="15.75" customHeight="1">
      <c r="A1067" s="8" t="s">
        <v>1779</v>
      </c>
      <c r="B1067" s="7" t="s">
        <v>1774</v>
      </c>
      <c r="C1067" s="13" t="s">
        <v>1775</v>
      </c>
      <c r="D1067" s="7" t="s">
        <v>170</v>
      </c>
      <c r="E1067" s="8" t="s">
        <v>172</v>
      </c>
      <c r="F1067" s="8" t="s">
        <v>318</v>
      </c>
      <c r="G1067" s="7" t="s">
        <v>1776</v>
      </c>
      <c r="H1067" s="7" t="s">
        <v>167</v>
      </c>
      <c r="K1067" s="8" t="s">
        <v>583</v>
      </c>
      <c r="L1067" s="8" t="s">
        <v>322</v>
      </c>
      <c r="M1067" s="8" t="s">
        <v>337</v>
      </c>
      <c r="N1067" s="8">
        <v>11.0</v>
      </c>
      <c r="O1067" s="14">
        <f t="shared" si="1"/>
        <v>44501</v>
      </c>
      <c r="P1067" s="15">
        <f>IFERROR(VLOOKUP(K1067,Formula!$A$11:$B$20,2,FALSE),Formula!$C$26)</f>
        <v>0.95</v>
      </c>
      <c r="Q1067" s="15">
        <f>IF(AND(ISNUMBER(J1067),J1067&gt;0),1/J1067,IF(AND(ISNUMBER(I1067),I1067&gt;0),SQRT(MIN(I1067,Formula!$C$27))/Formula!$C$24,1/Formula!$C$25))</f>
        <v>0.4</v>
      </c>
      <c r="R1067" s="15">
        <f t="shared" si="2"/>
        <v>0.38</v>
      </c>
      <c r="S1067" s="15">
        <f>IF(H1067&lt;&gt;"",EXP(-Formula!$C$28*(EOMONTH(H1067,0)-H1067)),EXP(-Formula!$C$28*(EOMONTH(D1067,0)-D1067)))</f>
        <v>0.2465969639</v>
      </c>
      <c r="T1067" s="15">
        <f t="shared" si="3"/>
        <v>0.316227766</v>
      </c>
      <c r="U1067" s="15">
        <f t="shared" si="4"/>
        <v>0.02963270667</v>
      </c>
      <c r="V1067" s="16">
        <f>IF(AND(L1067="Among all respondents",NOT(OR(K1067="Online poll in Telegram channel",K1067="Website online poll",K1067="CAWI (Computer Assisted Web Interviewing)"))),1/(1-MIN(MAX(Formula!$C$33+(YEAR(D1067)-Formula!$C$34)/(Formula!$C$35-Formula!$C$34)*(Formula!$C$32-Formula!$C$33),Formula!$C$33),Formula!$C$32)),1)</f>
        <v>1</v>
      </c>
      <c r="W1067" s="17">
        <f t="shared" si="5"/>
        <v>11</v>
      </c>
    </row>
    <row r="1068" ht="15.75" customHeight="1">
      <c r="A1068" s="8" t="s">
        <v>1780</v>
      </c>
      <c r="B1068" s="7" t="s">
        <v>1774</v>
      </c>
      <c r="C1068" s="13" t="s">
        <v>1775</v>
      </c>
      <c r="D1068" s="7" t="s">
        <v>170</v>
      </c>
      <c r="E1068" s="8" t="s">
        <v>172</v>
      </c>
      <c r="F1068" s="8" t="s">
        <v>318</v>
      </c>
      <c r="G1068" s="7" t="s">
        <v>1776</v>
      </c>
      <c r="H1068" s="7" t="s">
        <v>167</v>
      </c>
      <c r="K1068" s="8" t="s">
        <v>583</v>
      </c>
      <c r="L1068" s="8" t="s">
        <v>322</v>
      </c>
      <c r="M1068" s="8" t="s">
        <v>828</v>
      </c>
      <c r="N1068" s="8">
        <v>8.0</v>
      </c>
      <c r="O1068" s="14">
        <f t="shared" si="1"/>
        <v>44501</v>
      </c>
      <c r="P1068" s="15">
        <f>IFERROR(VLOOKUP(K1068,Formula!$A$11:$B$20,2,FALSE),Formula!$C$26)</f>
        <v>0.95</v>
      </c>
      <c r="Q1068" s="15">
        <f>IF(AND(ISNUMBER(J1068),J1068&gt;0),1/J1068,IF(AND(ISNUMBER(I1068),I1068&gt;0),SQRT(MIN(I1068,Formula!$C$27))/Formula!$C$24,1/Formula!$C$25))</f>
        <v>0.4</v>
      </c>
      <c r="R1068" s="15">
        <f t="shared" si="2"/>
        <v>0.38</v>
      </c>
      <c r="S1068" s="15">
        <f>IF(H1068&lt;&gt;"",EXP(-Formula!$C$28*(EOMONTH(H1068,0)-H1068)),EXP(-Formula!$C$28*(EOMONTH(D1068,0)-D1068)))</f>
        <v>0.2465969639</v>
      </c>
      <c r="T1068" s="15">
        <f t="shared" si="3"/>
        <v>0.316227766</v>
      </c>
      <c r="U1068" s="15">
        <f t="shared" si="4"/>
        <v>0.02963270667</v>
      </c>
      <c r="V1068" s="16">
        <f>IF(AND(L1068="Among all respondents",NOT(OR(K1068="Online poll in Telegram channel",K1068="Website online poll",K1068="CAWI (Computer Assisted Web Interviewing)"))),1/(1-MIN(MAX(Formula!$C$33+(YEAR(D1068)-Formula!$C$34)/(Formula!$C$35-Formula!$C$34)*(Formula!$C$32-Formula!$C$33),Formula!$C$33),Formula!$C$32)),1)</f>
        <v>1</v>
      </c>
      <c r="W1068" s="17">
        <f t="shared" si="5"/>
        <v>8</v>
      </c>
    </row>
    <row r="1069" ht="15.75" customHeight="1">
      <c r="A1069" s="8" t="s">
        <v>1781</v>
      </c>
      <c r="B1069" s="7" t="s">
        <v>1774</v>
      </c>
      <c r="C1069" s="13" t="s">
        <v>1775</v>
      </c>
      <c r="D1069" s="7" t="s">
        <v>170</v>
      </c>
      <c r="E1069" s="8" t="s">
        <v>172</v>
      </c>
      <c r="F1069" s="8" t="s">
        <v>318</v>
      </c>
      <c r="G1069" s="7" t="s">
        <v>1776</v>
      </c>
      <c r="H1069" s="7" t="s">
        <v>167</v>
      </c>
      <c r="K1069" s="8" t="s">
        <v>583</v>
      </c>
      <c r="L1069" s="8" t="s">
        <v>322</v>
      </c>
      <c r="M1069" s="8" t="s">
        <v>386</v>
      </c>
      <c r="N1069" s="8">
        <v>7.0</v>
      </c>
      <c r="O1069" s="14">
        <f t="shared" si="1"/>
        <v>44501</v>
      </c>
      <c r="P1069" s="15">
        <f>IFERROR(VLOOKUP(K1069,Formula!$A$11:$B$20,2,FALSE),Formula!$C$26)</f>
        <v>0.95</v>
      </c>
      <c r="Q1069" s="15">
        <f>IF(AND(ISNUMBER(J1069),J1069&gt;0),1/J1069,IF(AND(ISNUMBER(I1069),I1069&gt;0),SQRT(MIN(I1069,Formula!$C$27))/Formula!$C$24,1/Formula!$C$25))</f>
        <v>0.4</v>
      </c>
      <c r="R1069" s="15">
        <f t="shared" si="2"/>
        <v>0.38</v>
      </c>
      <c r="S1069" s="15">
        <f>IF(H1069&lt;&gt;"",EXP(-Formula!$C$28*(EOMONTH(H1069,0)-H1069)),EXP(-Formula!$C$28*(EOMONTH(D1069,0)-D1069)))</f>
        <v>0.2465969639</v>
      </c>
      <c r="T1069" s="15">
        <f t="shared" si="3"/>
        <v>0.316227766</v>
      </c>
      <c r="U1069" s="15">
        <f t="shared" si="4"/>
        <v>0.02963270667</v>
      </c>
      <c r="V1069" s="16">
        <f>IF(AND(L1069="Among all respondents",NOT(OR(K1069="Online poll in Telegram channel",K1069="Website online poll",K1069="CAWI (Computer Assisted Web Interviewing)"))),1/(1-MIN(MAX(Formula!$C$33+(YEAR(D1069)-Formula!$C$34)/(Formula!$C$35-Formula!$C$34)*(Formula!$C$32-Formula!$C$33),Formula!$C$33),Formula!$C$32)),1)</f>
        <v>1</v>
      </c>
      <c r="W1069" s="17">
        <f t="shared" si="5"/>
        <v>7</v>
      </c>
    </row>
    <row r="1070" ht="15.75" customHeight="1">
      <c r="A1070" s="8" t="s">
        <v>1782</v>
      </c>
      <c r="B1070" s="7" t="s">
        <v>1774</v>
      </c>
      <c r="C1070" s="13" t="s">
        <v>1775</v>
      </c>
      <c r="D1070" s="7" t="s">
        <v>170</v>
      </c>
      <c r="E1070" s="8" t="s">
        <v>172</v>
      </c>
      <c r="F1070" s="8" t="s">
        <v>318</v>
      </c>
      <c r="G1070" s="7" t="s">
        <v>1776</v>
      </c>
      <c r="H1070" s="7" t="s">
        <v>167</v>
      </c>
      <c r="K1070" s="8" t="s">
        <v>583</v>
      </c>
      <c r="L1070" s="8" t="s">
        <v>322</v>
      </c>
      <c r="M1070" s="8" t="s">
        <v>1153</v>
      </c>
      <c r="N1070" s="8">
        <v>7.0</v>
      </c>
      <c r="O1070" s="14">
        <f t="shared" si="1"/>
        <v>44501</v>
      </c>
      <c r="P1070" s="15">
        <f>IFERROR(VLOOKUP(K1070,Formula!$A$11:$B$20,2,FALSE),Formula!$C$26)</f>
        <v>0.95</v>
      </c>
      <c r="Q1070" s="15">
        <f>IF(AND(ISNUMBER(J1070),J1070&gt;0),1/J1070,IF(AND(ISNUMBER(I1070),I1070&gt;0),SQRT(MIN(I1070,Formula!$C$27))/Formula!$C$24,1/Formula!$C$25))</f>
        <v>0.4</v>
      </c>
      <c r="R1070" s="15">
        <f t="shared" si="2"/>
        <v>0.38</v>
      </c>
      <c r="S1070" s="15">
        <f>IF(H1070&lt;&gt;"",EXP(-Formula!$C$28*(EOMONTH(H1070,0)-H1070)),EXP(-Formula!$C$28*(EOMONTH(D1070,0)-D1070)))</f>
        <v>0.2465969639</v>
      </c>
      <c r="T1070" s="15">
        <f t="shared" si="3"/>
        <v>0.316227766</v>
      </c>
      <c r="U1070" s="15">
        <f t="shared" si="4"/>
        <v>0.02963270667</v>
      </c>
      <c r="V1070" s="16">
        <f>IF(AND(L1070="Among all respondents",NOT(OR(K1070="Online poll in Telegram channel",K1070="Website online poll",K1070="CAWI (Computer Assisted Web Interviewing)"))),1/(1-MIN(MAX(Formula!$C$33+(YEAR(D1070)-Formula!$C$34)/(Formula!$C$35-Formula!$C$34)*(Formula!$C$32-Formula!$C$33),Formula!$C$33),Formula!$C$32)),1)</f>
        <v>1</v>
      </c>
      <c r="W1070" s="17">
        <f t="shared" si="5"/>
        <v>7</v>
      </c>
    </row>
    <row r="1071" ht="15.75" customHeight="1">
      <c r="A1071" s="8" t="s">
        <v>1783</v>
      </c>
      <c r="B1071" s="7" t="s">
        <v>1774</v>
      </c>
      <c r="C1071" s="13" t="s">
        <v>1775</v>
      </c>
      <c r="D1071" s="7" t="s">
        <v>170</v>
      </c>
      <c r="E1071" s="8" t="s">
        <v>172</v>
      </c>
      <c r="F1071" s="8" t="s">
        <v>318</v>
      </c>
      <c r="G1071" s="7" t="s">
        <v>1776</v>
      </c>
      <c r="H1071" s="7" t="s">
        <v>167</v>
      </c>
      <c r="K1071" s="8" t="s">
        <v>583</v>
      </c>
      <c r="L1071" s="8" t="s">
        <v>322</v>
      </c>
      <c r="M1071" s="8" t="s">
        <v>333</v>
      </c>
      <c r="N1071" s="8">
        <v>6.0</v>
      </c>
      <c r="O1071" s="14">
        <f t="shared" si="1"/>
        <v>44501</v>
      </c>
      <c r="P1071" s="15">
        <f>IFERROR(VLOOKUP(K1071,Formula!$A$11:$B$20,2,FALSE),Formula!$C$26)</f>
        <v>0.95</v>
      </c>
      <c r="Q1071" s="15">
        <f>IF(AND(ISNUMBER(J1071),J1071&gt;0),1/J1071,IF(AND(ISNUMBER(I1071),I1071&gt;0),SQRT(MIN(I1071,Formula!$C$27))/Formula!$C$24,1/Formula!$C$25))</f>
        <v>0.4</v>
      </c>
      <c r="R1071" s="15">
        <f t="shared" si="2"/>
        <v>0.38</v>
      </c>
      <c r="S1071" s="15">
        <f>IF(H1071&lt;&gt;"",EXP(-Formula!$C$28*(EOMONTH(H1071,0)-H1071)),EXP(-Formula!$C$28*(EOMONTH(D1071,0)-D1071)))</f>
        <v>0.2465969639</v>
      </c>
      <c r="T1071" s="15">
        <f t="shared" si="3"/>
        <v>0.316227766</v>
      </c>
      <c r="U1071" s="15">
        <f t="shared" si="4"/>
        <v>0.02963270667</v>
      </c>
      <c r="V1071" s="16">
        <f>IF(AND(L1071="Among all respondents",NOT(OR(K1071="Online poll in Telegram channel",K1071="Website online poll",K1071="CAWI (Computer Assisted Web Interviewing)"))),1/(1-MIN(MAX(Formula!$C$33+(YEAR(D1071)-Formula!$C$34)/(Formula!$C$35-Formula!$C$34)*(Formula!$C$32-Formula!$C$33),Formula!$C$33),Formula!$C$32)),1)</f>
        <v>1</v>
      </c>
      <c r="W1071" s="17">
        <f t="shared" si="5"/>
        <v>6</v>
      </c>
    </row>
    <row r="1072" ht="15.75" customHeight="1">
      <c r="A1072" s="8" t="s">
        <v>1784</v>
      </c>
      <c r="B1072" s="7" t="s">
        <v>1774</v>
      </c>
      <c r="C1072" s="13" t="s">
        <v>1775</v>
      </c>
      <c r="D1072" s="7" t="s">
        <v>170</v>
      </c>
      <c r="E1072" s="8" t="s">
        <v>172</v>
      </c>
      <c r="F1072" s="8" t="s">
        <v>318</v>
      </c>
      <c r="G1072" s="7" t="s">
        <v>1776</v>
      </c>
      <c r="H1072" s="7" t="s">
        <v>167</v>
      </c>
      <c r="K1072" s="8" t="s">
        <v>583</v>
      </c>
      <c r="L1072" s="8" t="s">
        <v>322</v>
      </c>
      <c r="M1072" s="8" t="s">
        <v>1334</v>
      </c>
      <c r="N1072" s="8">
        <v>3.0</v>
      </c>
      <c r="O1072" s="14">
        <f t="shared" si="1"/>
        <v>44501</v>
      </c>
      <c r="P1072" s="15">
        <f>IFERROR(VLOOKUP(K1072,Formula!$A$11:$B$20,2,FALSE),Formula!$C$26)</f>
        <v>0.95</v>
      </c>
      <c r="Q1072" s="15">
        <f>IF(AND(ISNUMBER(J1072),J1072&gt;0),1/J1072,IF(AND(ISNUMBER(I1072),I1072&gt;0),SQRT(MIN(I1072,Formula!$C$27))/Formula!$C$24,1/Formula!$C$25))</f>
        <v>0.4</v>
      </c>
      <c r="R1072" s="15">
        <f t="shared" si="2"/>
        <v>0.38</v>
      </c>
      <c r="S1072" s="15">
        <f>IF(H1072&lt;&gt;"",EXP(-Formula!$C$28*(EOMONTH(H1072,0)-H1072)),EXP(-Formula!$C$28*(EOMONTH(D1072,0)-D1072)))</f>
        <v>0.2465969639</v>
      </c>
      <c r="T1072" s="15">
        <f t="shared" si="3"/>
        <v>0.316227766</v>
      </c>
      <c r="U1072" s="15">
        <f t="shared" si="4"/>
        <v>0.02963270667</v>
      </c>
      <c r="V1072" s="16">
        <f>IF(AND(L1072="Among all respondents",NOT(OR(K1072="Online poll in Telegram channel",K1072="Website online poll",K1072="CAWI (Computer Assisted Web Interviewing)"))),1/(1-MIN(MAX(Formula!$C$33+(YEAR(D1072)-Formula!$C$34)/(Formula!$C$35-Formula!$C$34)*(Formula!$C$32-Formula!$C$33),Formula!$C$33),Formula!$C$32)),1)</f>
        <v>1</v>
      </c>
      <c r="W1072" s="17">
        <f t="shared" si="5"/>
        <v>3</v>
      </c>
    </row>
    <row r="1073" ht="15.75" customHeight="1">
      <c r="A1073" s="8" t="s">
        <v>1785</v>
      </c>
      <c r="B1073" s="7" t="s">
        <v>1774</v>
      </c>
      <c r="C1073" s="13" t="s">
        <v>1775</v>
      </c>
      <c r="D1073" s="7" t="s">
        <v>170</v>
      </c>
      <c r="E1073" s="8" t="s">
        <v>172</v>
      </c>
      <c r="F1073" s="8" t="s">
        <v>318</v>
      </c>
      <c r="G1073" s="7" t="s">
        <v>1776</v>
      </c>
      <c r="H1073" s="7" t="s">
        <v>167</v>
      </c>
      <c r="K1073" s="8" t="s">
        <v>583</v>
      </c>
      <c r="L1073" s="8" t="s">
        <v>322</v>
      </c>
      <c r="M1073" s="8" t="s">
        <v>343</v>
      </c>
      <c r="N1073" s="8">
        <v>3.0</v>
      </c>
      <c r="O1073" s="14">
        <f t="shared" si="1"/>
        <v>44501</v>
      </c>
      <c r="P1073" s="15">
        <f>IFERROR(VLOOKUP(K1073,Formula!$A$11:$B$20,2,FALSE),Formula!$C$26)</f>
        <v>0.95</v>
      </c>
      <c r="Q1073" s="15">
        <f>IF(AND(ISNUMBER(J1073),J1073&gt;0),1/J1073,IF(AND(ISNUMBER(I1073),I1073&gt;0),SQRT(MIN(I1073,Formula!$C$27))/Formula!$C$24,1/Formula!$C$25))</f>
        <v>0.4</v>
      </c>
      <c r="R1073" s="15">
        <f t="shared" si="2"/>
        <v>0.38</v>
      </c>
      <c r="S1073" s="15">
        <f>IF(H1073&lt;&gt;"",EXP(-Formula!$C$28*(EOMONTH(H1073,0)-H1073)),EXP(-Formula!$C$28*(EOMONTH(D1073,0)-D1073)))</f>
        <v>0.2465969639</v>
      </c>
      <c r="T1073" s="15">
        <f t="shared" si="3"/>
        <v>0.316227766</v>
      </c>
      <c r="U1073" s="15">
        <f t="shared" si="4"/>
        <v>0.02963270667</v>
      </c>
      <c r="V1073" s="16">
        <f>IF(AND(L1073="Among all respondents",NOT(OR(K1073="Online poll in Telegram channel",K1073="Website online poll",K1073="CAWI (Computer Assisted Web Interviewing)"))),1/(1-MIN(MAX(Formula!$C$33+(YEAR(D1073)-Formula!$C$34)/(Formula!$C$35-Formula!$C$34)*(Formula!$C$32-Formula!$C$33),Formula!$C$33),Formula!$C$32)),1)</f>
        <v>1</v>
      </c>
      <c r="W1073" s="17">
        <f t="shared" si="5"/>
        <v>3</v>
      </c>
    </row>
    <row r="1074" ht="15.75" customHeight="1">
      <c r="A1074" s="8" t="s">
        <v>1786</v>
      </c>
      <c r="B1074" s="7" t="s">
        <v>1787</v>
      </c>
      <c r="C1074" s="13" t="s">
        <v>1788</v>
      </c>
      <c r="D1074" s="7" t="s">
        <v>167</v>
      </c>
      <c r="E1074" s="8" t="s">
        <v>40</v>
      </c>
      <c r="F1074" s="8" t="s">
        <v>318</v>
      </c>
      <c r="G1074" s="7" t="s">
        <v>1789</v>
      </c>
      <c r="H1074" s="7" t="s">
        <v>1790</v>
      </c>
      <c r="I1074" s="8">
        <v>2500.0</v>
      </c>
      <c r="J1074" s="8">
        <v>2.0</v>
      </c>
      <c r="K1074" s="8" t="s">
        <v>321</v>
      </c>
      <c r="L1074" s="8" t="s">
        <v>322</v>
      </c>
      <c r="M1074" s="8" t="s">
        <v>323</v>
      </c>
      <c r="N1074" s="8">
        <v>25.1</v>
      </c>
      <c r="O1074" s="14">
        <f t="shared" si="1"/>
        <v>44501</v>
      </c>
      <c r="P1074" s="15">
        <f>IFERROR(VLOOKUP(K1074,Formula!$A$11:$B$20,2,FALSE),Formula!$C$26)</f>
        <v>0.9</v>
      </c>
      <c r="Q1074" s="15">
        <f>IF(AND(ISNUMBER(J1074),J1074&gt;0),1/J1074,IF(AND(ISNUMBER(I1074),I1074&gt;0),SQRT(MIN(I1074,Formula!$C$27))/Formula!$C$24,1/Formula!$C$25))</f>
        <v>0.5</v>
      </c>
      <c r="R1074" s="15">
        <f t="shared" si="2"/>
        <v>0.45</v>
      </c>
      <c r="S1074" s="15">
        <f>IF(H1074&lt;&gt;"",EXP(-Formula!$C$28*(EOMONTH(H1074,0)-H1074)),EXP(-Formula!$C$28*(EOMONTH(D1074,0)-D1074)))</f>
        <v>0.7046880897</v>
      </c>
      <c r="T1074" s="15">
        <f t="shared" si="3"/>
        <v>0.1643989873</v>
      </c>
      <c r="U1074" s="15">
        <f t="shared" si="4"/>
        <v>0.05213250374</v>
      </c>
      <c r="V1074" s="16">
        <f>IF(AND(L1074="Among all respondents",NOT(OR(K1074="Online poll in Telegram channel",K1074="Website online poll",K1074="CAWI (Computer Assisted Web Interviewing)"))),1/(1-MIN(MAX(Formula!$C$33+(YEAR(D1074)-Formula!$C$34)/(Formula!$C$35-Formula!$C$34)*(Formula!$C$32-Formula!$C$33),Formula!$C$33),Formula!$C$32)),1)</f>
        <v>1</v>
      </c>
      <c r="W1074" s="17">
        <f t="shared" si="5"/>
        <v>25.1</v>
      </c>
    </row>
    <row r="1075" ht="15.75" customHeight="1">
      <c r="A1075" s="8" t="s">
        <v>1791</v>
      </c>
      <c r="B1075" s="7" t="s">
        <v>1787</v>
      </c>
      <c r="C1075" s="13" t="s">
        <v>1788</v>
      </c>
      <c r="D1075" s="7" t="s">
        <v>167</v>
      </c>
      <c r="E1075" s="8" t="s">
        <v>40</v>
      </c>
      <c r="F1075" s="8" t="s">
        <v>318</v>
      </c>
      <c r="G1075" s="7" t="s">
        <v>1789</v>
      </c>
      <c r="H1075" s="7" t="s">
        <v>1790</v>
      </c>
      <c r="I1075" s="8">
        <v>2500.0</v>
      </c>
      <c r="J1075" s="8">
        <v>2.0</v>
      </c>
      <c r="K1075" s="8" t="s">
        <v>321</v>
      </c>
      <c r="L1075" s="8" t="s">
        <v>322</v>
      </c>
      <c r="M1075" s="8" t="s">
        <v>329</v>
      </c>
      <c r="N1075" s="8">
        <v>14.1</v>
      </c>
      <c r="O1075" s="14">
        <f t="shared" si="1"/>
        <v>44501</v>
      </c>
      <c r="P1075" s="15">
        <f>IFERROR(VLOOKUP(K1075,Formula!$A$11:$B$20,2,FALSE),Formula!$C$26)</f>
        <v>0.9</v>
      </c>
      <c r="Q1075" s="15">
        <f>IF(AND(ISNUMBER(J1075),J1075&gt;0),1/J1075,IF(AND(ISNUMBER(I1075),I1075&gt;0),SQRT(MIN(I1075,Formula!$C$27))/Formula!$C$24,1/Formula!$C$25))</f>
        <v>0.5</v>
      </c>
      <c r="R1075" s="15">
        <f t="shared" si="2"/>
        <v>0.45</v>
      </c>
      <c r="S1075" s="15">
        <f>IF(H1075&lt;&gt;"",EXP(-Formula!$C$28*(EOMONTH(H1075,0)-H1075)),EXP(-Formula!$C$28*(EOMONTH(D1075,0)-D1075)))</f>
        <v>0.7046880897</v>
      </c>
      <c r="T1075" s="15">
        <f t="shared" si="3"/>
        <v>0.1643989873</v>
      </c>
      <c r="U1075" s="15">
        <f t="shared" si="4"/>
        <v>0.05213250374</v>
      </c>
      <c r="V1075" s="16">
        <f>IF(AND(L1075="Among all respondents",NOT(OR(K1075="Online poll in Telegram channel",K1075="Website online poll",K1075="CAWI (Computer Assisted Web Interviewing)"))),1/(1-MIN(MAX(Formula!$C$33+(YEAR(D1075)-Formula!$C$34)/(Formula!$C$35-Formula!$C$34)*(Formula!$C$32-Formula!$C$33),Formula!$C$33),Formula!$C$32)),1)</f>
        <v>1</v>
      </c>
      <c r="W1075" s="17">
        <f t="shared" si="5"/>
        <v>14.1</v>
      </c>
    </row>
    <row r="1076" ht="15.75" customHeight="1">
      <c r="A1076" s="8" t="s">
        <v>1792</v>
      </c>
      <c r="B1076" s="7" t="s">
        <v>1787</v>
      </c>
      <c r="C1076" s="13" t="s">
        <v>1788</v>
      </c>
      <c r="D1076" s="7" t="s">
        <v>167</v>
      </c>
      <c r="E1076" s="8" t="s">
        <v>40</v>
      </c>
      <c r="F1076" s="8" t="s">
        <v>318</v>
      </c>
      <c r="G1076" s="7" t="s">
        <v>1789</v>
      </c>
      <c r="H1076" s="7" t="s">
        <v>1790</v>
      </c>
      <c r="I1076" s="8">
        <v>2500.0</v>
      </c>
      <c r="J1076" s="8">
        <v>2.0</v>
      </c>
      <c r="K1076" s="8" t="s">
        <v>321</v>
      </c>
      <c r="L1076" s="8" t="s">
        <v>322</v>
      </c>
      <c r="M1076" s="8" t="s">
        <v>337</v>
      </c>
      <c r="N1076" s="8">
        <v>10.1</v>
      </c>
      <c r="O1076" s="14">
        <f t="shared" si="1"/>
        <v>44501</v>
      </c>
      <c r="P1076" s="15">
        <f>IFERROR(VLOOKUP(K1076,Formula!$A$11:$B$20,2,FALSE),Formula!$C$26)</f>
        <v>0.9</v>
      </c>
      <c r="Q1076" s="15">
        <f>IF(AND(ISNUMBER(J1076),J1076&gt;0),1/J1076,IF(AND(ISNUMBER(I1076),I1076&gt;0),SQRT(MIN(I1076,Formula!$C$27))/Formula!$C$24,1/Formula!$C$25))</f>
        <v>0.5</v>
      </c>
      <c r="R1076" s="15">
        <f t="shared" si="2"/>
        <v>0.45</v>
      </c>
      <c r="S1076" s="15">
        <f>IF(H1076&lt;&gt;"",EXP(-Formula!$C$28*(EOMONTH(H1076,0)-H1076)),EXP(-Formula!$C$28*(EOMONTH(D1076,0)-D1076)))</f>
        <v>0.7046880897</v>
      </c>
      <c r="T1076" s="15">
        <f t="shared" si="3"/>
        <v>0.1643989873</v>
      </c>
      <c r="U1076" s="15">
        <f t="shared" si="4"/>
        <v>0.05213250374</v>
      </c>
      <c r="V1076" s="16">
        <f>IF(AND(L1076="Among all respondents",NOT(OR(K1076="Online poll in Telegram channel",K1076="Website online poll",K1076="CAWI (Computer Assisted Web Interviewing)"))),1/(1-MIN(MAX(Formula!$C$33+(YEAR(D1076)-Formula!$C$34)/(Formula!$C$35-Formula!$C$34)*(Formula!$C$32-Formula!$C$33),Formula!$C$33),Formula!$C$32)),1)</f>
        <v>1</v>
      </c>
      <c r="W1076" s="17">
        <f t="shared" si="5"/>
        <v>10.1</v>
      </c>
    </row>
    <row r="1077" ht="15.75" customHeight="1">
      <c r="A1077" s="8" t="s">
        <v>1793</v>
      </c>
      <c r="B1077" s="7" t="s">
        <v>1787</v>
      </c>
      <c r="C1077" s="13" t="s">
        <v>1788</v>
      </c>
      <c r="D1077" s="7" t="s">
        <v>167</v>
      </c>
      <c r="E1077" s="8" t="s">
        <v>40</v>
      </c>
      <c r="F1077" s="8" t="s">
        <v>318</v>
      </c>
      <c r="G1077" s="7" t="s">
        <v>1789</v>
      </c>
      <c r="H1077" s="7" t="s">
        <v>1790</v>
      </c>
      <c r="I1077" s="8">
        <v>2500.0</v>
      </c>
      <c r="J1077" s="8">
        <v>2.0</v>
      </c>
      <c r="K1077" s="8" t="s">
        <v>321</v>
      </c>
      <c r="L1077" s="8" t="s">
        <v>322</v>
      </c>
      <c r="M1077" s="8" t="s">
        <v>365</v>
      </c>
      <c r="N1077" s="8">
        <v>9.5</v>
      </c>
      <c r="O1077" s="14">
        <f t="shared" si="1"/>
        <v>44501</v>
      </c>
      <c r="P1077" s="15">
        <f>IFERROR(VLOOKUP(K1077,Formula!$A$11:$B$20,2,FALSE),Formula!$C$26)</f>
        <v>0.9</v>
      </c>
      <c r="Q1077" s="15">
        <f>IF(AND(ISNUMBER(J1077),J1077&gt;0),1/J1077,IF(AND(ISNUMBER(I1077),I1077&gt;0),SQRT(MIN(I1077,Formula!$C$27))/Formula!$C$24,1/Formula!$C$25))</f>
        <v>0.5</v>
      </c>
      <c r="R1077" s="15">
        <f t="shared" si="2"/>
        <v>0.45</v>
      </c>
      <c r="S1077" s="15">
        <f>IF(H1077&lt;&gt;"",EXP(-Formula!$C$28*(EOMONTH(H1077,0)-H1077)),EXP(-Formula!$C$28*(EOMONTH(D1077,0)-D1077)))</f>
        <v>0.7046880897</v>
      </c>
      <c r="T1077" s="15">
        <f t="shared" si="3"/>
        <v>0.1643989873</v>
      </c>
      <c r="U1077" s="15">
        <f t="shared" si="4"/>
        <v>0.05213250374</v>
      </c>
      <c r="V1077" s="16">
        <f>IF(AND(L1077="Among all respondents",NOT(OR(K1077="Online poll in Telegram channel",K1077="Website online poll",K1077="CAWI (Computer Assisted Web Interviewing)"))),1/(1-MIN(MAX(Formula!$C$33+(YEAR(D1077)-Formula!$C$34)/(Formula!$C$35-Formula!$C$34)*(Formula!$C$32-Formula!$C$33),Formula!$C$33),Formula!$C$32)),1)</f>
        <v>1</v>
      </c>
      <c r="W1077" s="17">
        <f t="shared" si="5"/>
        <v>9.5</v>
      </c>
    </row>
    <row r="1078" ht="15.75" customHeight="1">
      <c r="A1078" s="8" t="s">
        <v>1794</v>
      </c>
      <c r="B1078" s="7" t="s">
        <v>1787</v>
      </c>
      <c r="C1078" s="13" t="s">
        <v>1788</v>
      </c>
      <c r="D1078" s="7" t="s">
        <v>167</v>
      </c>
      <c r="E1078" s="8" t="s">
        <v>40</v>
      </c>
      <c r="F1078" s="8" t="s">
        <v>318</v>
      </c>
      <c r="G1078" s="7" t="s">
        <v>1789</v>
      </c>
      <c r="H1078" s="7" t="s">
        <v>1790</v>
      </c>
      <c r="I1078" s="8">
        <v>2500.0</v>
      </c>
      <c r="J1078" s="8">
        <v>2.0</v>
      </c>
      <c r="K1078" s="8" t="s">
        <v>321</v>
      </c>
      <c r="L1078" s="8" t="s">
        <v>322</v>
      </c>
      <c r="M1078" s="8" t="s">
        <v>333</v>
      </c>
      <c r="N1078" s="8">
        <v>7.3</v>
      </c>
      <c r="O1078" s="14">
        <f t="shared" si="1"/>
        <v>44501</v>
      </c>
      <c r="P1078" s="15">
        <f>IFERROR(VLOOKUP(K1078,Formula!$A$11:$B$20,2,FALSE),Formula!$C$26)</f>
        <v>0.9</v>
      </c>
      <c r="Q1078" s="15">
        <f>IF(AND(ISNUMBER(J1078),J1078&gt;0),1/J1078,IF(AND(ISNUMBER(I1078),I1078&gt;0),SQRT(MIN(I1078,Formula!$C$27))/Formula!$C$24,1/Formula!$C$25))</f>
        <v>0.5</v>
      </c>
      <c r="R1078" s="15">
        <f t="shared" si="2"/>
        <v>0.45</v>
      </c>
      <c r="S1078" s="15">
        <f>IF(H1078&lt;&gt;"",EXP(-Formula!$C$28*(EOMONTH(H1078,0)-H1078)),EXP(-Formula!$C$28*(EOMONTH(D1078,0)-D1078)))</f>
        <v>0.7046880897</v>
      </c>
      <c r="T1078" s="15">
        <f t="shared" si="3"/>
        <v>0.1643989873</v>
      </c>
      <c r="U1078" s="15">
        <f t="shared" si="4"/>
        <v>0.05213250374</v>
      </c>
      <c r="V1078" s="16">
        <f>IF(AND(L1078="Among all respondents",NOT(OR(K1078="Online poll in Telegram channel",K1078="Website online poll",K1078="CAWI (Computer Assisted Web Interviewing)"))),1/(1-MIN(MAX(Formula!$C$33+(YEAR(D1078)-Formula!$C$34)/(Formula!$C$35-Formula!$C$34)*(Formula!$C$32-Formula!$C$33),Formula!$C$33),Formula!$C$32)),1)</f>
        <v>1</v>
      </c>
      <c r="W1078" s="17">
        <f t="shared" si="5"/>
        <v>7.3</v>
      </c>
    </row>
    <row r="1079" ht="15.75" customHeight="1">
      <c r="A1079" s="8" t="s">
        <v>1795</v>
      </c>
      <c r="B1079" s="7" t="s">
        <v>1787</v>
      </c>
      <c r="C1079" s="13" t="s">
        <v>1788</v>
      </c>
      <c r="D1079" s="7" t="s">
        <v>167</v>
      </c>
      <c r="E1079" s="8" t="s">
        <v>40</v>
      </c>
      <c r="F1079" s="8" t="s">
        <v>318</v>
      </c>
      <c r="G1079" s="7" t="s">
        <v>1789</v>
      </c>
      <c r="H1079" s="7" t="s">
        <v>1790</v>
      </c>
      <c r="I1079" s="8">
        <v>2500.0</v>
      </c>
      <c r="J1079" s="8">
        <v>2.0</v>
      </c>
      <c r="K1079" s="8" t="s">
        <v>321</v>
      </c>
      <c r="L1079" s="8" t="s">
        <v>322</v>
      </c>
      <c r="M1079" s="8" t="s">
        <v>828</v>
      </c>
      <c r="N1079" s="8">
        <v>7.1</v>
      </c>
      <c r="O1079" s="14">
        <f t="shared" si="1"/>
        <v>44501</v>
      </c>
      <c r="P1079" s="15">
        <f>IFERROR(VLOOKUP(K1079,Formula!$A$11:$B$20,2,FALSE),Formula!$C$26)</f>
        <v>0.9</v>
      </c>
      <c r="Q1079" s="15">
        <f>IF(AND(ISNUMBER(J1079),J1079&gt;0),1/J1079,IF(AND(ISNUMBER(I1079),I1079&gt;0),SQRT(MIN(I1079,Formula!$C$27))/Formula!$C$24,1/Formula!$C$25))</f>
        <v>0.5</v>
      </c>
      <c r="R1079" s="15">
        <f t="shared" si="2"/>
        <v>0.45</v>
      </c>
      <c r="S1079" s="15">
        <f>IF(H1079&lt;&gt;"",EXP(-Formula!$C$28*(EOMONTH(H1079,0)-H1079)),EXP(-Formula!$C$28*(EOMONTH(D1079,0)-D1079)))</f>
        <v>0.7046880897</v>
      </c>
      <c r="T1079" s="15">
        <f t="shared" si="3"/>
        <v>0.1643989873</v>
      </c>
      <c r="U1079" s="15">
        <f t="shared" si="4"/>
        <v>0.05213250374</v>
      </c>
      <c r="V1079" s="16">
        <f>IF(AND(L1079="Among all respondents",NOT(OR(K1079="Online poll in Telegram channel",K1079="Website online poll",K1079="CAWI (Computer Assisted Web Interviewing)"))),1/(1-MIN(MAX(Formula!$C$33+(YEAR(D1079)-Formula!$C$34)/(Formula!$C$35-Formula!$C$34)*(Formula!$C$32-Formula!$C$33),Formula!$C$33),Formula!$C$32)),1)</f>
        <v>1</v>
      </c>
      <c r="W1079" s="17">
        <f t="shared" si="5"/>
        <v>7.1</v>
      </c>
    </row>
    <row r="1080" ht="15.75" customHeight="1">
      <c r="A1080" s="8" t="s">
        <v>1796</v>
      </c>
      <c r="B1080" s="7" t="s">
        <v>1787</v>
      </c>
      <c r="C1080" s="13" t="s">
        <v>1788</v>
      </c>
      <c r="D1080" s="7" t="s">
        <v>167</v>
      </c>
      <c r="E1080" s="8" t="s">
        <v>40</v>
      </c>
      <c r="F1080" s="8" t="s">
        <v>318</v>
      </c>
      <c r="G1080" s="7" t="s">
        <v>1789</v>
      </c>
      <c r="H1080" s="7" t="s">
        <v>1790</v>
      </c>
      <c r="I1080" s="8">
        <v>2500.0</v>
      </c>
      <c r="J1080" s="8">
        <v>2.0</v>
      </c>
      <c r="K1080" s="8" t="s">
        <v>321</v>
      </c>
      <c r="L1080" s="8" t="s">
        <v>322</v>
      </c>
      <c r="M1080" s="8" t="s">
        <v>1153</v>
      </c>
      <c r="N1080" s="8">
        <v>6.0</v>
      </c>
      <c r="O1080" s="14">
        <f t="shared" si="1"/>
        <v>44501</v>
      </c>
      <c r="P1080" s="15">
        <f>IFERROR(VLOOKUP(K1080,Formula!$A$11:$B$20,2,FALSE),Formula!$C$26)</f>
        <v>0.9</v>
      </c>
      <c r="Q1080" s="15">
        <f>IF(AND(ISNUMBER(J1080),J1080&gt;0),1/J1080,IF(AND(ISNUMBER(I1080),I1080&gt;0),SQRT(MIN(I1080,Formula!$C$27))/Formula!$C$24,1/Formula!$C$25))</f>
        <v>0.5</v>
      </c>
      <c r="R1080" s="15">
        <f t="shared" si="2"/>
        <v>0.45</v>
      </c>
      <c r="S1080" s="15">
        <f>IF(H1080&lt;&gt;"",EXP(-Formula!$C$28*(EOMONTH(H1080,0)-H1080)),EXP(-Formula!$C$28*(EOMONTH(D1080,0)-D1080)))</f>
        <v>0.7046880897</v>
      </c>
      <c r="T1080" s="15">
        <f t="shared" si="3"/>
        <v>0.1643989873</v>
      </c>
      <c r="U1080" s="15">
        <f t="shared" si="4"/>
        <v>0.05213250374</v>
      </c>
      <c r="V1080" s="16">
        <f>IF(AND(L1080="Among all respondents",NOT(OR(K1080="Online poll in Telegram channel",K1080="Website online poll",K1080="CAWI (Computer Assisted Web Interviewing)"))),1/(1-MIN(MAX(Formula!$C$33+(YEAR(D1080)-Formula!$C$34)/(Formula!$C$35-Formula!$C$34)*(Formula!$C$32-Formula!$C$33),Formula!$C$33),Formula!$C$32)),1)</f>
        <v>1</v>
      </c>
      <c r="W1080" s="17">
        <f t="shared" si="5"/>
        <v>6</v>
      </c>
    </row>
    <row r="1081" ht="15.75" customHeight="1">
      <c r="A1081" s="8" t="s">
        <v>1797</v>
      </c>
      <c r="B1081" s="7" t="s">
        <v>1787</v>
      </c>
      <c r="C1081" s="13" t="s">
        <v>1788</v>
      </c>
      <c r="D1081" s="7" t="s">
        <v>167</v>
      </c>
      <c r="E1081" s="8" t="s">
        <v>40</v>
      </c>
      <c r="F1081" s="8" t="s">
        <v>318</v>
      </c>
      <c r="G1081" s="7" t="s">
        <v>1789</v>
      </c>
      <c r="H1081" s="7" t="s">
        <v>1790</v>
      </c>
      <c r="I1081" s="8">
        <v>2500.0</v>
      </c>
      <c r="J1081" s="8">
        <v>2.0</v>
      </c>
      <c r="K1081" s="8" t="s">
        <v>321</v>
      </c>
      <c r="L1081" s="8" t="s">
        <v>322</v>
      </c>
      <c r="M1081" s="8" t="s">
        <v>386</v>
      </c>
      <c r="N1081" s="8">
        <v>5.1</v>
      </c>
      <c r="O1081" s="14">
        <f t="shared" si="1"/>
        <v>44501</v>
      </c>
      <c r="P1081" s="15">
        <f>IFERROR(VLOOKUP(K1081,Formula!$A$11:$B$20,2,FALSE),Formula!$C$26)</f>
        <v>0.9</v>
      </c>
      <c r="Q1081" s="15">
        <f>IF(AND(ISNUMBER(J1081),J1081&gt;0),1/J1081,IF(AND(ISNUMBER(I1081),I1081&gt;0),SQRT(MIN(I1081,Formula!$C$27))/Formula!$C$24,1/Formula!$C$25))</f>
        <v>0.5</v>
      </c>
      <c r="R1081" s="15">
        <f t="shared" si="2"/>
        <v>0.45</v>
      </c>
      <c r="S1081" s="15">
        <f>IF(H1081&lt;&gt;"",EXP(-Formula!$C$28*(EOMONTH(H1081,0)-H1081)),EXP(-Formula!$C$28*(EOMONTH(D1081,0)-D1081)))</f>
        <v>0.7046880897</v>
      </c>
      <c r="T1081" s="15">
        <f t="shared" si="3"/>
        <v>0.1643989873</v>
      </c>
      <c r="U1081" s="15">
        <f t="shared" si="4"/>
        <v>0.05213250374</v>
      </c>
      <c r="V1081" s="16">
        <f>IF(AND(L1081="Among all respondents",NOT(OR(K1081="Online poll in Telegram channel",K1081="Website online poll",K1081="CAWI (Computer Assisted Web Interviewing)"))),1/(1-MIN(MAX(Formula!$C$33+(YEAR(D1081)-Formula!$C$34)/(Formula!$C$35-Formula!$C$34)*(Formula!$C$32-Formula!$C$33),Formula!$C$33),Formula!$C$32)),1)</f>
        <v>1</v>
      </c>
      <c r="W1081" s="17">
        <f t="shared" si="5"/>
        <v>5.1</v>
      </c>
    </row>
    <row r="1082" ht="15.75" customHeight="1">
      <c r="A1082" s="8" t="s">
        <v>1798</v>
      </c>
      <c r="B1082" s="7" t="s">
        <v>1787</v>
      </c>
      <c r="C1082" s="13" t="s">
        <v>1788</v>
      </c>
      <c r="D1082" s="7" t="s">
        <v>167</v>
      </c>
      <c r="E1082" s="8" t="s">
        <v>40</v>
      </c>
      <c r="F1082" s="8" t="s">
        <v>318</v>
      </c>
      <c r="G1082" s="7" t="s">
        <v>1789</v>
      </c>
      <c r="H1082" s="7" t="s">
        <v>1790</v>
      </c>
      <c r="I1082" s="8">
        <v>2500.0</v>
      </c>
      <c r="J1082" s="8">
        <v>2.0</v>
      </c>
      <c r="K1082" s="8" t="s">
        <v>321</v>
      </c>
      <c r="L1082" s="8" t="s">
        <v>322</v>
      </c>
      <c r="M1082" s="8" t="s">
        <v>838</v>
      </c>
      <c r="N1082" s="8">
        <v>4.3</v>
      </c>
      <c r="O1082" s="14">
        <f t="shared" si="1"/>
        <v>44501</v>
      </c>
      <c r="P1082" s="15">
        <f>IFERROR(VLOOKUP(K1082,Formula!$A$11:$B$20,2,FALSE),Formula!$C$26)</f>
        <v>0.9</v>
      </c>
      <c r="Q1082" s="15">
        <f>IF(AND(ISNUMBER(J1082),J1082&gt;0),1/J1082,IF(AND(ISNUMBER(I1082),I1082&gt;0),SQRT(MIN(I1082,Formula!$C$27))/Formula!$C$24,1/Formula!$C$25))</f>
        <v>0.5</v>
      </c>
      <c r="R1082" s="15">
        <f t="shared" si="2"/>
        <v>0.45</v>
      </c>
      <c r="S1082" s="15">
        <f>IF(H1082&lt;&gt;"",EXP(-Formula!$C$28*(EOMONTH(H1082,0)-H1082)),EXP(-Formula!$C$28*(EOMONTH(D1082,0)-D1082)))</f>
        <v>0.7046880897</v>
      </c>
      <c r="T1082" s="15">
        <f t="shared" si="3"/>
        <v>0.1643989873</v>
      </c>
      <c r="U1082" s="15">
        <f t="shared" si="4"/>
        <v>0.05213250374</v>
      </c>
      <c r="V1082" s="16">
        <f>IF(AND(L1082="Among all respondents",NOT(OR(K1082="Online poll in Telegram channel",K1082="Website online poll",K1082="CAWI (Computer Assisted Web Interviewing)"))),1/(1-MIN(MAX(Formula!$C$33+(YEAR(D1082)-Formula!$C$34)/(Formula!$C$35-Formula!$C$34)*(Formula!$C$32-Formula!$C$33),Formula!$C$33),Formula!$C$32)),1)</f>
        <v>1</v>
      </c>
      <c r="W1082" s="17">
        <f t="shared" si="5"/>
        <v>4.3</v>
      </c>
    </row>
    <row r="1083" ht="15.75" customHeight="1">
      <c r="A1083" s="8" t="s">
        <v>1799</v>
      </c>
      <c r="B1083" s="7" t="s">
        <v>1787</v>
      </c>
      <c r="C1083" s="13" t="s">
        <v>1788</v>
      </c>
      <c r="D1083" s="7" t="s">
        <v>167</v>
      </c>
      <c r="E1083" s="8" t="s">
        <v>40</v>
      </c>
      <c r="F1083" s="8" t="s">
        <v>318</v>
      </c>
      <c r="G1083" s="7" t="s">
        <v>1789</v>
      </c>
      <c r="H1083" s="7" t="s">
        <v>1790</v>
      </c>
      <c r="I1083" s="8">
        <v>2500.0</v>
      </c>
      <c r="J1083" s="8">
        <v>2.0</v>
      </c>
      <c r="K1083" s="8" t="s">
        <v>321</v>
      </c>
      <c r="L1083" s="8" t="s">
        <v>322</v>
      </c>
      <c r="M1083" s="8" t="s">
        <v>388</v>
      </c>
      <c r="N1083" s="8">
        <v>3.9</v>
      </c>
      <c r="O1083" s="14">
        <f t="shared" si="1"/>
        <v>44501</v>
      </c>
      <c r="P1083" s="15">
        <f>IFERROR(VLOOKUP(K1083,Formula!$A$11:$B$20,2,FALSE),Formula!$C$26)</f>
        <v>0.9</v>
      </c>
      <c r="Q1083" s="15">
        <f>IF(AND(ISNUMBER(J1083),J1083&gt;0),1/J1083,IF(AND(ISNUMBER(I1083),I1083&gt;0),SQRT(MIN(I1083,Formula!$C$27))/Formula!$C$24,1/Formula!$C$25))</f>
        <v>0.5</v>
      </c>
      <c r="R1083" s="15">
        <f t="shared" si="2"/>
        <v>0.45</v>
      </c>
      <c r="S1083" s="15">
        <f>IF(H1083&lt;&gt;"",EXP(-Formula!$C$28*(EOMONTH(H1083,0)-H1083)),EXP(-Formula!$C$28*(EOMONTH(D1083,0)-D1083)))</f>
        <v>0.7046880897</v>
      </c>
      <c r="T1083" s="15">
        <f t="shared" si="3"/>
        <v>0.1643989873</v>
      </c>
      <c r="U1083" s="15">
        <f t="shared" si="4"/>
        <v>0.05213250374</v>
      </c>
      <c r="V1083" s="16">
        <f>IF(AND(L1083="Among all respondents",NOT(OR(K1083="Online poll in Telegram channel",K1083="Website online poll",K1083="CAWI (Computer Assisted Web Interviewing)"))),1/(1-MIN(MAX(Formula!$C$33+(YEAR(D1083)-Formula!$C$34)/(Formula!$C$35-Formula!$C$34)*(Formula!$C$32-Formula!$C$33),Formula!$C$33),Formula!$C$32)),1)</f>
        <v>1</v>
      </c>
      <c r="W1083" s="17">
        <f t="shared" si="5"/>
        <v>3.9</v>
      </c>
    </row>
    <row r="1084" ht="15.75" customHeight="1">
      <c r="A1084" s="8" t="s">
        <v>1800</v>
      </c>
      <c r="B1084" s="7" t="s">
        <v>1787</v>
      </c>
      <c r="C1084" s="13" t="s">
        <v>1788</v>
      </c>
      <c r="D1084" s="7" t="s">
        <v>167</v>
      </c>
      <c r="E1084" s="8" t="s">
        <v>40</v>
      </c>
      <c r="F1084" s="8" t="s">
        <v>318</v>
      </c>
      <c r="G1084" s="7" t="s">
        <v>1789</v>
      </c>
      <c r="H1084" s="7" t="s">
        <v>1790</v>
      </c>
      <c r="I1084" s="8">
        <v>2500.0</v>
      </c>
      <c r="J1084" s="8">
        <v>2.0</v>
      </c>
      <c r="K1084" s="8" t="s">
        <v>321</v>
      </c>
      <c r="L1084" s="8" t="s">
        <v>322</v>
      </c>
      <c r="M1084" s="8" t="s">
        <v>740</v>
      </c>
      <c r="N1084" s="8">
        <v>2.0</v>
      </c>
      <c r="O1084" s="14">
        <f t="shared" si="1"/>
        <v>44501</v>
      </c>
      <c r="P1084" s="15">
        <f>IFERROR(VLOOKUP(K1084,Formula!$A$11:$B$20,2,FALSE),Formula!$C$26)</f>
        <v>0.9</v>
      </c>
      <c r="Q1084" s="15">
        <f>IF(AND(ISNUMBER(J1084),J1084&gt;0),1/J1084,IF(AND(ISNUMBER(I1084),I1084&gt;0),SQRT(MIN(I1084,Formula!$C$27))/Formula!$C$24,1/Formula!$C$25))</f>
        <v>0.5</v>
      </c>
      <c r="R1084" s="15">
        <f t="shared" si="2"/>
        <v>0.45</v>
      </c>
      <c r="S1084" s="15">
        <f>IF(H1084&lt;&gt;"",EXP(-Formula!$C$28*(EOMONTH(H1084,0)-H1084)),EXP(-Formula!$C$28*(EOMONTH(D1084,0)-D1084)))</f>
        <v>0.7046880897</v>
      </c>
      <c r="T1084" s="15">
        <f t="shared" si="3"/>
        <v>0.1643989873</v>
      </c>
      <c r="U1084" s="15">
        <f t="shared" si="4"/>
        <v>0.05213250374</v>
      </c>
      <c r="V1084" s="16">
        <f>IF(AND(L1084="Among all respondents",NOT(OR(K1084="Online poll in Telegram channel",K1084="Website online poll",K1084="CAWI (Computer Assisted Web Interviewing)"))),1/(1-MIN(MAX(Formula!$C$33+(YEAR(D1084)-Formula!$C$34)/(Formula!$C$35-Formula!$C$34)*(Formula!$C$32-Formula!$C$33),Formula!$C$33),Formula!$C$32)),1)</f>
        <v>1</v>
      </c>
      <c r="W1084" s="17">
        <f t="shared" si="5"/>
        <v>2</v>
      </c>
    </row>
    <row r="1085" ht="15.75" customHeight="1">
      <c r="A1085" s="8" t="s">
        <v>1801</v>
      </c>
      <c r="B1085" s="7" t="s">
        <v>1787</v>
      </c>
      <c r="C1085" s="13" t="s">
        <v>1788</v>
      </c>
      <c r="D1085" s="7" t="s">
        <v>167</v>
      </c>
      <c r="E1085" s="8" t="s">
        <v>40</v>
      </c>
      <c r="F1085" s="8" t="s">
        <v>318</v>
      </c>
      <c r="G1085" s="7" t="s">
        <v>1789</v>
      </c>
      <c r="H1085" s="7" t="s">
        <v>1790</v>
      </c>
      <c r="I1085" s="8">
        <v>2500.0</v>
      </c>
      <c r="J1085" s="8">
        <v>2.0</v>
      </c>
      <c r="K1085" s="8" t="s">
        <v>321</v>
      </c>
      <c r="L1085" s="8" t="s">
        <v>322</v>
      </c>
      <c r="M1085" s="8" t="s">
        <v>836</v>
      </c>
      <c r="N1085" s="8">
        <v>1.5</v>
      </c>
      <c r="O1085" s="14">
        <f t="shared" si="1"/>
        <v>44501</v>
      </c>
      <c r="P1085" s="15">
        <f>IFERROR(VLOOKUP(K1085,Formula!$A$11:$B$20,2,FALSE),Formula!$C$26)</f>
        <v>0.9</v>
      </c>
      <c r="Q1085" s="15">
        <f>IF(AND(ISNUMBER(J1085),J1085&gt;0),1/J1085,IF(AND(ISNUMBER(I1085),I1085&gt;0),SQRT(MIN(I1085,Formula!$C$27))/Formula!$C$24,1/Formula!$C$25))</f>
        <v>0.5</v>
      </c>
      <c r="R1085" s="15">
        <f t="shared" si="2"/>
        <v>0.45</v>
      </c>
      <c r="S1085" s="15">
        <f>IF(H1085&lt;&gt;"",EXP(-Formula!$C$28*(EOMONTH(H1085,0)-H1085)),EXP(-Formula!$C$28*(EOMONTH(D1085,0)-D1085)))</f>
        <v>0.7046880897</v>
      </c>
      <c r="T1085" s="15">
        <f t="shared" si="3"/>
        <v>0.1643989873</v>
      </c>
      <c r="U1085" s="15">
        <f t="shared" si="4"/>
        <v>0.05213250374</v>
      </c>
      <c r="V1085" s="16">
        <f>IF(AND(L1085="Among all respondents",NOT(OR(K1085="Online poll in Telegram channel",K1085="Website online poll",K1085="CAWI (Computer Assisted Web Interviewing)"))),1/(1-MIN(MAX(Formula!$C$33+(YEAR(D1085)-Formula!$C$34)/(Formula!$C$35-Formula!$C$34)*(Formula!$C$32-Formula!$C$33),Formula!$C$33),Formula!$C$32)),1)</f>
        <v>1</v>
      </c>
      <c r="W1085" s="17">
        <f t="shared" si="5"/>
        <v>1.5</v>
      </c>
    </row>
    <row r="1086" ht="15.75" customHeight="1">
      <c r="A1086" s="8" t="s">
        <v>1802</v>
      </c>
      <c r="B1086" s="7" t="s">
        <v>1803</v>
      </c>
      <c r="C1086" s="13" t="s">
        <v>1804</v>
      </c>
      <c r="D1086" s="7" t="s">
        <v>160</v>
      </c>
      <c r="E1086" s="8" t="s">
        <v>164</v>
      </c>
      <c r="F1086" s="8" t="s">
        <v>318</v>
      </c>
      <c r="G1086" s="7" t="s">
        <v>1776</v>
      </c>
      <c r="H1086" s="7" t="s">
        <v>1805</v>
      </c>
      <c r="I1086" s="8">
        <v>1200.0</v>
      </c>
      <c r="J1086" s="8">
        <v>2.9</v>
      </c>
      <c r="K1086" s="8" t="s">
        <v>321</v>
      </c>
      <c r="L1086" s="8" t="s">
        <v>373</v>
      </c>
      <c r="M1086" s="8" t="s">
        <v>323</v>
      </c>
      <c r="N1086" s="8">
        <v>18.7</v>
      </c>
      <c r="O1086" s="14">
        <f t="shared" si="1"/>
        <v>44501</v>
      </c>
      <c r="P1086" s="15">
        <f>IFERROR(VLOOKUP(K1086,Formula!$A$11:$B$20,2,FALSE),Formula!$C$26)</f>
        <v>0.9</v>
      </c>
      <c r="Q1086" s="15">
        <f>IF(AND(ISNUMBER(J1086),J1086&gt;0),1/J1086,IF(AND(ISNUMBER(I1086),I1086&gt;0),SQRT(MIN(I1086,Formula!$C$27))/Formula!$C$24,1/Formula!$C$25))</f>
        <v>0.3448275862</v>
      </c>
      <c r="R1086" s="15">
        <f t="shared" si="2"/>
        <v>0.3103448276</v>
      </c>
      <c r="S1086" s="15">
        <f>IF(H1086&lt;&gt;"",EXP(-Formula!$C$28*(EOMONTH(H1086,0)-H1086)),EXP(-Formula!$C$28*(EOMONTH(D1086,0)-D1086)))</f>
        <v>0.8607079764</v>
      </c>
      <c r="T1086" s="15">
        <f t="shared" si="3"/>
        <v>0.2886751346</v>
      </c>
      <c r="U1086" s="15">
        <f t="shared" si="4"/>
        <v>0.07710982477</v>
      </c>
      <c r="V1086" s="16">
        <f>IF(AND(L1086="Among all respondents",NOT(OR(K1086="Online poll in Telegram channel",K1086="Website online poll",K1086="CAWI (Computer Assisted Web Interviewing)"))),1/(1-MIN(MAX(Formula!$C$33+(YEAR(D1086)-Formula!$C$34)/(Formula!$C$35-Formula!$C$34)*(Formula!$C$32-Formula!$C$33),Formula!$C$33),Formula!$C$32)),1)</f>
        <v>1.052631579</v>
      </c>
      <c r="W1086" s="17">
        <f t="shared" si="5"/>
        <v>19.68421053</v>
      </c>
    </row>
    <row r="1087" ht="15.75" customHeight="1">
      <c r="A1087" s="8" t="s">
        <v>1806</v>
      </c>
      <c r="B1087" s="7" t="s">
        <v>1803</v>
      </c>
      <c r="C1087" s="13" t="s">
        <v>1804</v>
      </c>
      <c r="D1087" s="7" t="s">
        <v>160</v>
      </c>
      <c r="E1087" s="8" t="s">
        <v>164</v>
      </c>
      <c r="F1087" s="8" t="s">
        <v>318</v>
      </c>
      <c r="G1087" s="7" t="s">
        <v>1776</v>
      </c>
      <c r="H1087" s="7" t="s">
        <v>1805</v>
      </c>
      <c r="I1087" s="8">
        <v>1200.0</v>
      </c>
      <c r="J1087" s="8">
        <v>2.9</v>
      </c>
      <c r="K1087" s="8" t="s">
        <v>321</v>
      </c>
      <c r="L1087" s="8" t="s">
        <v>373</v>
      </c>
      <c r="M1087" s="8" t="s">
        <v>329</v>
      </c>
      <c r="N1087" s="8">
        <v>12.7</v>
      </c>
      <c r="O1087" s="14">
        <f t="shared" si="1"/>
        <v>44501</v>
      </c>
      <c r="P1087" s="15">
        <f>IFERROR(VLOOKUP(K1087,Formula!$A$11:$B$20,2,FALSE),Formula!$C$26)</f>
        <v>0.9</v>
      </c>
      <c r="Q1087" s="15">
        <f>IF(AND(ISNUMBER(J1087),J1087&gt;0),1/J1087,IF(AND(ISNUMBER(I1087),I1087&gt;0),SQRT(MIN(I1087,Formula!$C$27))/Formula!$C$24,1/Formula!$C$25))</f>
        <v>0.3448275862</v>
      </c>
      <c r="R1087" s="15">
        <f t="shared" si="2"/>
        <v>0.3103448276</v>
      </c>
      <c r="S1087" s="15">
        <f>IF(H1087&lt;&gt;"",EXP(-Formula!$C$28*(EOMONTH(H1087,0)-H1087)),EXP(-Formula!$C$28*(EOMONTH(D1087,0)-D1087)))</f>
        <v>0.8607079764</v>
      </c>
      <c r="T1087" s="15">
        <f t="shared" si="3"/>
        <v>0.2886751346</v>
      </c>
      <c r="U1087" s="15">
        <f t="shared" si="4"/>
        <v>0.07710982477</v>
      </c>
      <c r="V1087" s="16">
        <f>IF(AND(L1087="Among all respondents",NOT(OR(K1087="Online poll in Telegram channel",K1087="Website online poll",K1087="CAWI (Computer Assisted Web Interviewing)"))),1/(1-MIN(MAX(Formula!$C$33+(YEAR(D1087)-Formula!$C$34)/(Formula!$C$35-Formula!$C$34)*(Formula!$C$32-Formula!$C$33),Formula!$C$33),Formula!$C$32)),1)</f>
        <v>1.052631579</v>
      </c>
      <c r="W1087" s="17">
        <f t="shared" si="5"/>
        <v>13.36842105</v>
      </c>
    </row>
    <row r="1088" ht="15.75" customHeight="1">
      <c r="A1088" s="8" t="s">
        <v>1807</v>
      </c>
      <c r="B1088" s="7" t="s">
        <v>1803</v>
      </c>
      <c r="C1088" s="13" t="s">
        <v>1804</v>
      </c>
      <c r="D1088" s="7" t="s">
        <v>160</v>
      </c>
      <c r="E1088" s="8" t="s">
        <v>164</v>
      </c>
      <c r="F1088" s="8" t="s">
        <v>318</v>
      </c>
      <c r="G1088" s="7" t="s">
        <v>1776</v>
      </c>
      <c r="H1088" s="7" t="s">
        <v>1805</v>
      </c>
      <c r="I1088" s="8">
        <v>1200.0</v>
      </c>
      <c r="J1088" s="8">
        <v>2.9</v>
      </c>
      <c r="K1088" s="8" t="s">
        <v>321</v>
      </c>
      <c r="L1088" s="8" t="s">
        <v>373</v>
      </c>
      <c r="M1088" s="8" t="s">
        <v>365</v>
      </c>
      <c r="N1088" s="8">
        <v>6.2</v>
      </c>
      <c r="O1088" s="14">
        <f t="shared" si="1"/>
        <v>44501</v>
      </c>
      <c r="P1088" s="15">
        <f>IFERROR(VLOOKUP(K1088,Formula!$A$11:$B$20,2,FALSE),Formula!$C$26)</f>
        <v>0.9</v>
      </c>
      <c r="Q1088" s="15">
        <f>IF(AND(ISNUMBER(J1088),J1088&gt;0),1/J1088,IF(AND(ISNUMBER(I1088),I1088&gt;0),SQRT(MIN(I1088,Formula!$C$27))/Formula!$C$24,1/Formula!$C$25))</f>
        <v>0.3448275862</v>
      </c>
      <c r="R1088" s="15">
        <f t="shared" si="2"/>
        <v>0.3103448276</v>
      </c>
      <c r="S1088" s="15">
        <f>IF(H1088&lt;&gt;"",EXP(-Formula!$C$28*(EOMONTH(H1088,0)-H1088)),EXP(-Formula!$C$28*(EOMONTH(D1088,0)-D1088)))</f>
        <v>0.8607079764</v>
      </c>
      <c r="T1088" s="15">
        <f t="shared" si="3"/>
        <v>0.2886751346</v>
      </c>
      <c r="U1088" s="15">
        <f t="shared" si="4"/>
        <v>0.07710982477</v>
      </c>
      <c r="V1088" s="16">
        <f>IF(AND(L1088="Among all respondents",NOT(OR(K1088="Online poll in Telegram channel",K1088="Website online poll",K1088="CAWI (Computer Assisted Web Interviewing)"))),1/(1-MIN(MAX(Formula!$C$33+(YEAR(D1088)-Formula!$C$34)/(Formula!$C$35-Formula!$C$34)*(Formula!$C$32-Formula!$C$33),Formula!$C$33),Formula!$C$32)),1)</f>
        <v>1.052631579</v>
      </c>
      <c r="W1088" s="17">
        <f t="shared" si="5"/>
        <v>6.526315789</v>
      </c>
    </row>
    <row r="1089" ht="15.75" customHeight="1">
      <c r="A1089" s="8" t="s">
        <v>1808</v>
      </c>
      <c r="B1089" s="7" t="s">
        <v>1803</v>
      </c>
      <c r="C1089" s="13" t="s">
        <v>1804</v>
      </c>
      <c r="D1089" s="7" t="s">
        <v>160</v>
      </c>
      <c r="E1089" s="8" t="s">
        <v>164</v>
      </c>
      <c r="F1089" s="8" t="s">
        <v>318</v>
      </c>
      <c r="G1089" s="7" t="s">
        <v>1776</v>
      </c>
      <c r="H1089" s="7" t="s">
        <v>1805</v>
      </c>
      <c r="I1089" s="8">
        <v>1200.0</v>
      </c>
      <c r="J1089" s="8">
        <v>2.9</v>
      </c>
      <c r="K1089" s="8" t="s">
        <v>321</v>
      </c>
      <c r="L1089" s="8" t="s">
        <v>373</v>
      </c>
      <c r="M1089" s="8" t="s">
        <v>333</v>
      </c>
      <c r="N1089" s="8">
        <v>5.5</v>
      </c>
      <c r="O1089" s="14">
        <f t="shared" si="1"/>
        <v>44501</v>
      </c>
      <c r="P1089" s="15">
        <f>IFERROR(VLOOKUP(K1089,Formula!$A$11:$B$20,2,FALSE),Formula!$C$26)</f>
        <v>0.9</v>
      </c>
      <c r="Q1089" s="15">
        <f>IF(AND(ISNUMBER(J1089),J1089&gt;0),1/J1089,IF(AND(ISNUMBER(I1089),I1089&gt;0),SQRT(MIN(I1089,Formula!$C$27))/Formula!$C$24,1/Formula!$C$25))</f>
        <v>0.3448275862</v>
      </c>
      <c r="R1089" s="15">
        <f t="shared" si="2"/>
        <v>0.3103448276</v>
      </c>
      <c r="S1089" s="15">
        <f>IF(H1089&lt;&gt;"",EXP(-Formula!$C$28*(EOMONTH(H1089,0)-H1089)),EXP(-Formula!$C$28*(EOMONTH(D1089,0)-D1089)))</f>
        <v>0.8607079764</v>
      </c>
      <c r="T1089" s="15">
        <f t="shared" si="3"/>
        <v>0.2886751346</v>
      </c>
      <c r="U1089" s="15">
        <f t="shared" si="4"/>
        <v>0.07710982477</v>
      </c>
      <c r="V1089" s="16">
        <f>IF(AND(L1089="Among all respondents",NOT(OR(K1089="Online poll in Telegram channel",K1089="Website online poll",K1089="CAWI (Computer Assisted Web Interviewing)"))),1/(1-MIN(MAX(Formula!$C$33+(YEAR(D1089)-Formula!$C$34)/(Formula!$C$35-Formula!$C$34)*(Formula!$C$32-Formula!$C$33),Formula!$C$33),Formula!$C$32)),1)</f>
        <v>1.052631579</v>
      </c>
      <c r="W1089" s="17">
        <f t="shared" si="5"/>
        <v>5.789473684</v>
      </c>
    </row>
    <row r="1090" ht="15.75" customHeight="1">
      <c r="A1090" s="8" t="s">
        <v>1809</v>
      </c>
      <c r="B1090" s="7" t="s">
        <v>1803</v>
      </c>
      <c r="C1090" s="13" t="s">
        <v>1804</v>
      </c>
      <c r="D1090" s="7" t="s">
        <v>160</v>
      </c>
      <c r="E1090" s="8" t="s">
        <v>164</v>
      </c>
      <c r="F1090" s="8" t="s">
        <v>318</v>
      </c>
      <c r="G1090" s="7" t="s">
        <v>1776</v>
      </c>
      <c r="H1090" s="7" t="s">
        <v>1805</v>
      </c>
      <c r="I1090" s="8">
        <v>1200.0</v>
      </c>
      <c r="J1090" s="8">
        <v>2.9</v>
      </c>
      <c r="K1090" s="8" t="s">
        <v>321</v>
      </c>
      <c r="L1090" s="8" t="s">
        <v>373</v>
      </c>
      <c r="M1090" s="8" t="s">
        <v>337</v>
      </c>
      <c r="N1090" s="8">
        <v>5.0</v>
      </c>
      <c r="O1090" s="14">
        <f t="shared" si="1"/>
        <v>44501</v>
      </c>
      <c r="P1090" s="15">
        <f>IFERROR(VLOOKUP(K1090,Formula!$A$11:$B$20,2,FALSE),Formula!$C$26)</f>
        <v>0.9</v>
      </c>
      <c r="Q1090" s="15">
        <f>IF(AND(ISNUMBER(J1090),J1090&gt;0),1/J1090,IF(AND(ISNUMBER(I1090),I1090&gt;0),SQRT(MIN(I1090,Formula!$C$27))/Formula!$C$24,1/Formula!$C$25))</f>
        <v>0.3448275862</v>
      </c>
      <c r="R1090" s="15">
        <f t="shared" si="2"/>
        <v>0.3103448276</v>
      </c>
      <c r="S1090" s="15">
        <f>IF(H1090&lt;&gt;"",EXP(-Formula!$C$28*(EOMONTH(H1090,0)-H1090)),EXP(-Formula!$C$28*(EOMONTH(D1090,0)-D1090)))</f>
        <v>0.8607079764</v>
      </c>
      <c r="T1090" s="15">
        <f t="shared" si="3"/>
        <v>0.2886751346</v>
      </c>
      <c r="U1090" s="15">
        <f t="shared" si="4"/>
        <v>0.07710982477</v>
      </c>
      <c r="V1090" s="16">
        <f>IF(AND(L1090="Among all respondents",NOT(OR(K1090="Online poll in Telegram channel",K1090="Website online poll",K1090="CAWI (Computer Assisted Web Interviewing)"))),1/(1-MIN(MAX(Formula!$C$33+(YEAR(D1090)-Formula!$C$34)/(Formula!$C$35-Formula!$C$34)*(Formula!$C$32-Formula!$C$33),Formula!$C$33),Formula!$C$32)),1)</f>
        <v>1.052631579</v>
      </c>
      <c r="W1090" s="17">
        <f t="shared" si="5"/>
        <v>5.263157895</v>
      </c>
    </row>
    <row r="1091" ht="15.75" customHeight="1">
      <c r="A1091" s="8" t="s">
        <v>1810</v>
      </c>
      <c r="B1091" s="7" t="s">
        <v>1803</v>
      </c>
      <c r="C1091" s="13" t="s">
        <v>1804</v>
      </c>
      <c r="D1091" s="7" t="s">
        <v>160</v>
      </c>
      <c r="E1091" s="8" t="s">
        <v>164</v>
      </c>
      <c r="F1091" s="8" t="s">
        <v>318</v>
      </c>
      <c r="G1091" s="7" t="s">
        <v>1776</v>
      </c>
      <c r="H1091" s="7" t="s">
        <v>1805</v>
      </c>
      <c r="I1091" s="8">
        <v>1200.0</v>
      </c>
      <c r="J1091" s="8">
        <v>2.9</v>
      </c>
      <c r="K1091" s="8" t="s">
        <v>321</v>
      </c>
      <c r="L1091" s="8" t="s">
        <v>373</v>
      </c>
      <c r="M1091" s="8" t="s">
        <v>386</v>
      </c>
      <c r="N1091" s="8">
        <v>4.1</v>
      </c>
      <c r="O1091" s="14">
        <f t="shared" si="1"/>
        <v>44501</v>
      </c>
      <c r="P1091" s="15">
        <f>IFERROR(VLOOKUP(K1091,Formula!$A$11:$B$20,2,FALSE),Formula!$C$26)</f>
        <v>0.9</v>
      </c>
      <c r="Q1091" s="15">
        <f>IF(AND(ISNUMBER(J1091),J1091&gt;0),1/J1091,IF(AND(ISNUMBER(I1091),I1091&gt;0),SQRT(MIN(I1091,Formula!$C$27))/Formula!$C$24,1/Formula!$C$25))</f>
        <v>0.3448275862</v>
      </c>
      <c r="R1091" s="15">
        <f t="shared" si="2"/>
        <v>0.3103448276</v>
      </c>
      <c r="S1091" s="15">
        <f>IF(H1091&lt;&gt;"",EXP(-Formula!$C$28*(EOMONTH(H1091,0)-H1091)),EXP(-Formula!$C$28*(EOMONTH(D1091,0)-D1091)))</f>
        <v>0.8607079764</v>
      </c>
      <c r="T1091" s="15">
        <f t="shared" si="3"/>
        <v>0.2886751346</v>
      </c>
      <c r="U1091" s="15">
        <f t="shared" si="4"/>
        <v>0.07710982477</v>
      </c>
      <c r="V1091" s="16">
        <f>IF(AND(L1091="Among all respondents",NOT(OR(K1091="Online poll in Telegram channel",K1091="Website online poll",K1091="CAWI (Computer Assisted Web Interviewing)"))),1/(1-MIN(MAX(Formula!$C$33+(YEAR(D1091)-Formula!$C$34)/(Formula!$C$35-Formula!$C$34)*(Formula!$C$32-Formula!$C$33),Formula!$C$33),Formula!$C$32)),1)</f>
        <v>1.052631579</v>
      </c>
      <c r="W1091" s="17">
        <f t="shared" si="5"/>
        <v>4.315789474</v>
      </c>
    </row>
    <row r="1092" ht="15.75" customHeight="1">
      <c r="A1092" s="8" t="s">
        <v>1811</v>
      </c>
      <c r="B1092" s="7" t="s">
        <v>1803</v>
      </c>
      <c r="C1092" s="13" t="s">
        <v>1804</v>
      </c>
      <c r="D1092" s="7" t="s">
        <v>160</v>
      </c>
      <c r="E1092" s="8" t="s">
        <v>164</v>
      </c>
      <c r="F1092" s="8" t="s">
        <v>318</v>
      </c>
      <c r="G1092" s="7" t="s">
        <v>1776</v>
      </c>
      <c r="H1092" s="7" t="s">
        <v>1805</v>
      </c>
      <c r="I1092" s="8">
        <v>1200.0</v>
      </c>
      <c r="J1092" s="8">
        <v>2.9</v>
      </c>
      <c r="K1092" s="8" t="s">
        <v>321</v>
      </c>
      <c r="L1092" s="8" t="s">
        <v>373</v>
      </c>
      <c r="M1092" s="8" t="s">
        <v>828</v>
      </c>
      <c r="N1092" s="8">
        <v>3.2</v>
      </c>
      <c r="O1092" s="14">
        <f t="shared" si="1"/>
        <v>44501</v>
      </c>
      <c r="P1092" s="15">
        <f>IFERROR(VLOOKUP(K1092,Formula!$A$11:$B$20,2,FALSE),Formula!$C$26)</f>
        <v>0.9</v>
      </c>
      <c r="Q1092" s="15">
        <f>IF(AND(ISNUMBER(J1092),J1092&gt;0),1/J1092,IF(AND(ISNUMBER(I1092),I1092&gt;0),SQRT(MIN(I1092,Formula!$C$27))/Formula!$C$24,1/Formula!$C$25))</f>
        <v>0.3448275862</v>
      </c>
      <c r="R1092" s="15">
        <f t="shared" si="2"/>
        <v>0.3103448276</v>
      </c>
      <c r="S1092" s="15">
        <f>IF(H1092&lt;&gt;"",EXP(-Formula!$C$28*(EOMONTH(H1092,0)-H1092)),EXP(-Formula!$C$28*(EOMONTH(D1092,0)-D1092)))</f>
        <v>0.8607079764</v>
      </c>
      <c r="T1092" s="15">
        <f t="shared" si="3"/>
        <v>0.2886751346</v>
      </c>
      <c r="U1092" s="15">
        <f t="shared" si="4"/>
        <v>0.07710982477</v>
      </c>
      <c r="V1092" s="16">
        <f>IF(AND(L1092="Among all respondents",NOT(OR(K1092="Online poll in Telegram channel",K1092="Website online poll",K1092="CAWI (Computer Assisted Web Interviewing)"))),1/(1-MIN(MAX(Formula!$C$33+(YEAR(D1092)-Formula!$C$34)/(Formula!$C$35-Formula!$C$34)*(Formula!$C$32-Formula!$C$33),Formula!$C$33),Formula!$C$32)),1)</f>
        <v>1.052631579</v>
      </c>
      <c r="W1092" s="17">
        <f t="shared" si="5"/>
        <v>3.368421053</v>
      </c>
    </row>
    <row r="1093" ht="15.75" customHeight="1">
      <c r="A1093" s="8" t="s">
        <v>1812</v>
      </c>
      <c r="B1093" s="7" t="s">
        <v>1803</v>
      </c>
      <c r="C1093" s="13" t="s">
        <v>1804</v>
      </c>
      <c r="D1093" s="7" t="s">
        <v>160</v>
      </c>
      <c r="E1093" s="8" t="s">
        <v>164</v>
      </c>
      <c r="F1093" s="8" t="s">
        <v>318</v>
      </c>
      <c r="G1093" s="7" t="s">
        <v>1776</v>
      </c>
      <c r="H1093" s="7" t="s">
        <v>1805</v>
      </c>
      <c r="I1093" s="8">
        <v>1200.0</v>
      </c>
      <c r="J1093" s="8">
        <v>2.9</v>
      </c>
      <c r="K1093" s="8" t="s">
        <v>321</v>
      </c>
      <c r="L1093" s="8" t="s">
        <v>373</v>
      </c>
      <c r="M1093" s="8" t="s">
        <v>1153</v>
      </c>
      <c r="N1093" s="8">
        <v>3.1</v>
      </c>
      <c r="O1093" s="14">
        <f t="shared" si="1"/>
        <v>44501</v>
      </c>
      <c r="P1093" s="15">
        <f>IFERROR(VLOOKUP(K1093,Formula!$A$11:$B$20,2,FALSE),Formula!$C$26)</f>
        <v>0.9</v>
      </c>
      <c r="Q1093" s="15">
        <f>IF(AND(ISNUMBER(J1093),J1093&gt;0),1/J1093,IF(AND(ISNUMBER(I1093),I1093&gt;0),SQRT(MIN(I1093,Formula!$C$27))/Formula!$C$24,1/Formula!$C$25))</f>
        <v>0.3448275862</v>
      </c>
      <c r="R1093" s="15">
        <f t="shared" si="2"/>
        <v>0.3103448276</v>
      </c>
      <c r="S1093" s="15">
        <f>IF(H1093&lt;&gt;"",EXP(-Formula!$C$28*(EOMONTH(H1093,0)-H1093)),EXP(-Formula!$C$28*(EOMONTH(D1093,0)-D1093)))</f>
        <v>0.8607079764</v>
      </c>
      <c r="T1093" s="15">
        <f t="shared" si="3"/>
        <v>0.2886751346</v>
      </c>
      <c r="U1093" s="15">
        <f t="shared" si="4"/>
        <v>0.07710982477</v>
      </c>
      <c r="V1093" s="16">
        <f>IF(AND(L1093="Among all respondents",NOT(OR(K1093="Online poll in Telegram channel",K1093="Website online poll",K1093="CAWI (Computer Assisted Web Interviewing)"))),1/(1-MIN(MAX(Formula!$C$33+(YEAR(D1093)-Formula!$C$34)/(Formula!$C$35-Formula!$C$34)*(Formula!$C$32-Formula!$C$33),Formula!$C$33),Formula!$C$32)),1)</f>
        <v>1.052631579</v>
      </c>
      <c r="W1093" s="17">
        <f t="shared" si="5"/>
        <v>3.263157895</v>
      </c>
    </row>
    <row r="1094" ht="15.75" customHeight="1">
      <c r="A1094" s="8" t="s">
        <v>1813</v>
      </c>
      <c r="B1094" s="7" t="s">
        <v>1803</v>
      </c>
      <c r="C1094" s="13" t="s">
        <v>1804</v>
      </c>
      <c r="D1094" s="7" t="s">
        <v>160</v>
      </c>
      <c r="E1094" s="8" t="s">
        <v>164</v>
      </c>
      <c r="F1094" s="8" t="s">
        <v>318</v>
      </c>
      <c r="G1094" s="7" t="s">
        <v>1776</v>
      </c>
      <c r="H1094" s="7" t="s">
        <v>1805</v>
      </c>
      <c r="I1094" s="8">
        <v>1200.0</v>
      </c>
      <c r="J1094" s="8">
        <v>2.9</v>
      </c>
      <c r="K1094" s="8" t="s">
        <v>321</v>
      </c>
      <c r="L1094" s="8" t="s">
        <v>373</v>
      </c>
      <c r="M1094" s="8" t="s">
        <v>388</v>
      </c>
      <c r="N1094" s="8">
        <v>2.0</v>
      </c>
      <c r="O1094" s="14">
        <f t="shared" si="1"/>
        <v>44501</v>
      </c>
      <c r="P1094" s="15">
        <f>IFERROR(VLOOKUP(K1094,Formula!$A$11:$B$20,2,FALSE),Formula!$C$26)</f>
        <v>0.9</v>
      </c>
      <c r="Q1094" s="15">
        <f>IF(AND(ISNUMBER(J1094),J1094&gt;0),1/J1094,IF(AND(ISNUMBER(I1094),I1094&gt;0),SQRT(MIN(I1094,Formula!$C$27))/Formula!$C$24,1/Formula!$C$25))</f>
        <v>0.3448275862</v>
      </c>
      <c r="R1094" s="15">
        <f t="shared" si="2"/>
        <v>0.3103448276</v>
      </c>
      <c r="S1094" s="15">
        <f>IF(H1094&lt;&gt;"",EXP(-Formula!$C$28*(EOMONTH(H1094,0)-H1094)),EXP(-Formula!$C$28*(EOMONTH(D1094,0)-D1094)))</f>
        <v>0.8607079764</v>
      </c>
      <c r="T1094" s="15">
        <f t="shared" si="3"/>
        <v>0.2886751346</v>
      </c>
      <c r="U1094" s="15">
        <f t="shared" si="4"/>
        <v>0.07710982477</v>
      </c>
      <c r="V1094" s="16">
        <f>IF(AND(L1094="Among all respondents",NOT(OR(K1094="Online poll in Telegram channel",K1094="Website online poll",K1094="CAWI (Computer Assisted Web Interviewing)"))),1/(1-MIN(MAX(Formula!$C$33+(YEAR(D1094)-Formula!$C$34)/(Formula!$C$35-Formula!$C$34)*(Formula!$C$32-Formula!$C$33),Formula!$C$33),Formula!$C$32)),1)</f>
        <v>1.052631579</v>
      </c>
      <c r="W1094" s="17">
        <f t="shared" si="5"/>
        <v>2.105263158</v>
      </c>
    </row>
    <row r="1095" ht="15.75" customHeight="1">
      <c r="A1095" s="8" t="s">
        <v>1814</v>
      </c>
      <c r="B1095" s="7" t="s">
        <v>1803</v>
      </c>
      <c r="C1095" s="13" t="s">
        <v>1804</v>
      </c>
      <c r="D1095" s="7" t="s">
        <v>160</v>
      </c>
      <c r="E1095" s="8" t="s">
        <v>164</v>
      </c>
      <c r="F1095" s="8" t="s">
        <v>318</v>
      </c>
      <c r="G1095" s="7" t="s">
        <v>1776</v>
      </c>
      <c r="H1095" s="7" t="s">
        <v>1805</v>
      </c>
      <c r="I1095" s="8">
        <v>1200.0</v>
      </c>
      <c r="J1095" s="8">
        <v>2.9</v>
      </c>
      <c r="K1095" s="8" t="s">
        <v>321</v>
      </c>
      <c r="L1095" s="8" t="s">
        <v>373</v>
      </c>
      <c r="M1095" s="8" t="s">
        <v>1334</v>
      </c>
      <c r="N1095" s="8">
        <v>1.7</v>
      </c>
      <c r="O1095" s="14">
        <f t="shared" si="1"/>
        <v>44501</v>
      </c>
      <c r="P1095" s="15">
        <f>IFERROR(VLOOKUP(K1095,Formula!$A$11:$B$20,2,FALSE),Formula!$C$26)</f>
        <v>0.9</v>
      </c>
      <c r="Q1095" s="15">
        <f>IF(AND(ISNUMBER(J1095),J1095&gt;0),1/J1095,IF(AND(ISNUMBER(I1095),I1095&gt;0),SQRT(MIN(I1095,Formula!$C$27))/Formula!$C$24,1/Formula!$C$25))</f>
        <v>0.3448275862</v>
      </c>
      <c r="R1095" s="15">
        <f t="shared" si="2"/>
        <v>0.3103448276</v>
      </c>
      <c r="S1095" s="15">
        <f>IF(H1095&lt;&gt;"",EXP(-Formula!$C$28*(EOMONTH(H1095,0)-H1095)),EXP(-Formula!$C$28*(EOMONTH(D1095,0)-D1095)))</f>
        <v>0.8607079764</v>
      </c>
      <c r="T1095" s="15">
        <f t="shared" si="3"/>
        <v>0.2886751346</v>
      </c>
      <c r="U1095" s="15">
        <f t="shared" si="4"/>
        <v>0.07710982477</v>
      </c>
      <c r="V1095" s="16">
        <f>IF(AND(L1095="Among all respondents",NOT(OR(K1095="Online poll in Telegram channel",K1095="Website online poll",K1095="CAWI (Computer Assisted Web Interviewing)"))),1/(1-MIN(MAX(Formula!$C$33+(YEAR(D1095)-Formula!$C$34)/(Formula!$C$35-Formula!$C$34)*(Formula!$C$32-Formula!$C$33),Formula!$C$33),Formula!$C$32)),1)</f>
        <v>1.052631579</v>
      </c>
      <c r="W1095" s="17">
        <f t="shared" si="5"/>
        <v>1.789473684</v>
      </c>
    </row>
    <row r="1096" ht="15.75" customHeight="1">
      <c r="A1096" s="8" t="s">
        <v>1815</v>
      </c>
      <c r="B1096" s="7" t="s">
        <v>1803</v>
      </c>
      <c r="C1096" s="13" t="s">
        <v>1804</v>
      </c>
      <c r="D1096" s="7" t="s">
        <v>160</v>
      </c>
      <c r="E1096" s="8" t="s">
        <v>164</v>
      </c>
      <c r="F1096" s="8" t="s">
        <v>318</v>
      </c>
      <c r="G1096" s="7" t="s">
        <v>1776</v>
      </c>
      <c r="H1096" s="7" t="s">
        <v>1805</v>
      </c>
      <c r="I1096" s="8">
        <v>1200.0</v>
      </c>
      <c r="J1096" s="8">
        <v>2.9</v>
      </c>
      <c r="K1096" s="8" t="s">
        <v>321</v>
      </c>
      <c r="L1096" s="8" t="s">
        <v>373</v>
      </c>
      <c r="M1096" s="8" t="s">
        <v>740</v>
      </c>
      <c r="N1096" s="8">
        <v>1.4</v>
      </c>
      <c r="O1096" s="14">
        <f t="shared" si="1"/>
        <v>44501</v>
      </c>
      <c r="P1096" s="15">
        <f>IFERROR(VLOOKUP(K1096,Formula!$A$11:$B$20,2,FALSE),Formula!$C$26)</f>
        <v>0.9</v>
      </c>
      <c r="Q1096" s="15">
        <f>IF(AND(ISNUMBER(J1096),J1096&gt;0),1/J1096,IF(AND(ISNUMBER(I1096),I1096&gt;0),SQRT(MIN(I1096,Formula!$C$27))/Formula!$C$24,1/Formula!$C$25))</f>
        <v>0.3448275862</v>
      </c>
      <c r="R1096" s="15">
        <f t="shared" si="2"/>
        <v>0.3103448276</v>
      </c>
      <c r="S1096" s="15">
        <f>IF(H1096&lt;&gt;"",EXP(-Formula!$C$28*(EOMONTH(H1096,0)-H1096)),EXP(-Formula!$C$28*(EOMONTH(D1096,0)-D1096)))</f>
        <v>0.8607079764</v>
      </c>
      <c r="T1096" s="15">
        <f t="shared" si="3"/>
        <v>0.2886751346</v>
      </c>
      <c r="U1096" s="15">
        <f t="shared" si="4"/>
        <v>0.07710982477</v>
      </c>
      <c r="V1096" s="16">
        <f>IF(AND(L1096="Among all respondents",NOT(OR(K1096="Online poll in Telegram channel",K1096="Website online poll",K1096="CAWI (Computer Assisted Web Interviewing)"))),1/(1-MIN(MAX(Formula!$C$33+(YEAR(D1096)-Formula!$C$34)/(Formula!$C$35-Formula!$C$34)*(Formula!$C$32-Formula!$C$33),Formula!$C$33),Formula!$C$32)),1)</f>
        <v>1.052631579</v>
      </c>
      <c r="W1096" s="17">
        <f t="shared" si="5"/>
        <v>1.473684211</v>
      </c>
    </row>
    <row r="1097" ht="15.75" customHeight="1">
      <c r="A1097" s="8" t="s">
        <v>1816</v>
      </c>
      <c r="B1097" s="7" t="s">
        <v>1803</v>
      </c>
      <c r="C1097" s="13" t="s">
        <v>1804</v>
      </c>
      <c r="D1097" s="7" t="s">
        <v>160</v>
      </c>
      <c r="E1097" s="8" t="s">
        <v>164</v>
      </c>
      <c r="F1097" s="8" t="s">
        <v>318</v>
      </c>
      <c r="G1097" s="7" t="s">
        <v>1776</v>
      </c>
      <c r="H1097" s="7" t="s">
        <v>1805</v>
      </c>
      <c r="I1097" s="8">
        <v>1200.0</v>
      </c>
      <c r="J1097" s="8">
        <v>2.9</v>
      </c>
      <c r="K1097" s="8" t="s">
        <v>321</v>
      </c>
      <c r="L1097" s="8" t="s">
        <v>373</v>
      </c>
      <c r="M1097" s="8" t="s">
        <v>1171</v>
      </c>
      <c r="N1097" s="8">
        <v>0.3</v>
      </c>
      <c r="O1097" s="14">
        <f t="shared" si="1"/>
        <v>44501</v>
      </c>
      <c r="P1097" s="15">
        <f>IFERROR(VLOOKUP(K1097,Formula!$A$11:$B$20,2,FALSE),Formula!$C$26)</f>
        <v>0.9</v>
      </c>
      <c r="Q1097" s="15">
        <f>IF(AND(ISNUMBER(J1097),J1097&gt;0),1/J1097,IF(AND(ISNUMBER(I1097),I1097&gt;0),SQRT(MIN(I1097,Formula!$C$27))/Formula!$C$24,1/Formula!$C$25))</f>
        <v>0.3448275862</v>
      </c>
      <c r="R1097" s="15">
        <f t="shared" si="2"/>
        <v>0.3103448276</v>
      </c>
      <c r="S1097" s="15">
        <f>IF(H1097&lt;&gt;"",EXP(-Formula!$C$28*(EOMONTH(H1097,0)-H1097)),EXP(-Formula!$C$28*(EOMONTH(D1097,0)-D1097)))</f>
        <v>0.8607079764</v>
      </c>
      <c r="T1097" s="15">
        <f t="shared" si="3"/>
        <v>0.2886751346</v>
      </c>
      <c r="U1097" s="15">
        <f t="shared" si="4"/>
        <v>0.07710982477</v>
      </c>
      <c r="V1097" s="16">
        <f>IF(AND(L1097="Among all respondents",NOT(OR(K1097="Online poll in Telegram channel",K1097="Website online poll",K1097="CAWI (Computer Assisted Web Interviewing)"))),1/(1-MIN(MAX(Formula!$C$33+(YEAR(D1097)-Formula!$C$34)/(Formula!$C$35-Formula!$C$34)*(Formula!$C$32-Formula!$C$33),Formula!$C$33),Formula!$C$32)),1)</f>
        <v>1.052631579</v>
      </c>
      <c r="W1097" s="17">
        <f t="shared" si="5"/>
        <v>0.3157894737</v>
      </c>
    </row>
    <row r="1098" ht="15.75" customHeight="1">
      <c r="A1098" s="8" t="s">
        <v>1817</v>
      </c>
      <c r="B1098" s="7" t="s">
        <v>1818</v>
      </c>
      <c r="C1098" s="13" t="s">
        <v>1819</v>
      </c>
      <c r="D1098" s="7" t="s">
        <v>173</v>
      </c>
      <c r="E1098" s="8" t="s">
        <v>106</v>
      </c>
      <c r="F1098" s="8" t="s">
        <v>318</v>
      </c>
      <c r="G1098" s="7" t="s">
        <v>1820</v>
      </c>
      <c r="H1098" s="7" t="s">
        <v>1821</v>
      </c>
      <c r="I1098" s="8">
        <v>2018.0</v>
      </c>
      <c r="J1098" s="8">
        <v>2.3</v>
      </c>
      <c r="K1098" s="8" t="s">
        <v>583</v>
      </c>
      <c r="L1098" s="8" t="s">
        <v>322</v>
      </c>
      <c r="M1098" s="8" t="s">
        <v>323</v>
      </c>
      <c r="N1098" s="8">
        <v>25.7</v>
      </c>
      <c r="O1098" s="14">
        <f t="shared" si="1"/>
        <v>44470</v>
      </c>
      <c r="P1098" s="15">
        <f>IFERROR(VLOOKUP(K1098,Formula!$A$11:$B$20,2,FALSE),Formula!$C$26)</f>
        <v>0.95</v>
      </c>
      <c r="Q1098" s="15">
        <f>IF(AND(ISNUMBER(J1098),J1098&gt;0),1/J1098,IF(AND(ISNUMBER(I1098),I1098&gt;0),SQRT(MIN(I1098,Formula!$C$27))/Formula!$C$24,1/Formula!$C$25))</f>
        <v>0.4347826087</v>
      </c>
      <c r="R1098" s="15">
        <f t="shared" si="2"/>
        <v>0.4130434783</v>
      </c>
      <c r="S1098" s="15">
        <f>IF(H1098&lt;&gt;"",EXP(-Formula!$C$28*(EOMONTH(H1098,0)-H1098)),EXP(-Formula!$C$28*(EOMONTH(D1098,0)-D1098)))</f>
        <v>0.5769498104</v>
      </c>
      <c r="T1098" s="15">
        <f t="shared" si="3"/>
        <v>0.2773500981</v>
      </c>
      <c r="U1098" s="15">
        <f t="shared" si="4"/>
        <v>0.066094014</v>
      </c>
      <c r="V1098" s="16">
        <f>IF(AND(L1098="Among all respondents",NOT(OR(K1098="Online poll in Telegram channel",K1098="Website online poll",K1098="CAWI (Computer Assisted Web Interviewing)"))),1/(1-MIN(MAX(Formula!$C$33+(YEAR(D1098)-Formula!$C$34)/(Formula!$C$35-Formula!$C$34)*(Formula!$C$32-Formula!$C$33),Formula!$C$33),Formula!$C$32)),1)</f>
        <v>1</v>
      </c>
      <c r="W1098" s="17">
        <f t="shared" si="5"/>
        <v>25.7</v>
      </c>
    </row>
    <row r="1099" ht="15.75" customHeight="1">
      <c r="A1099" s="8" t="s">
        <v>1822</v>
      </c>
      <c r="B1099" s="7" t="s">
        <v>1818</v>
      </c>
      <c r="C1099" s="13" t="s">
        <v>1819</v>
      </c>
      <c r="D1099" s="7" t="s">
        <v>173</v>
      </c>
      <c r="E1099" s="8" t="s">
        <v>106</v>
      </c>
      <c r="F1099" s="8" t="s">
        <v>318</v>
      </c>
      <c r="G1099" s="7" t="s">
        <v>1820</v>
      </c>
      <c r="H1099" s="7" t="s">
        <v>1821</v>
      </c>
      <c r="I1099" s="8">
        <v>2018.0</v>
      </c>
      <c r="J1099" s="8">
        <v>2.3</v>
      </c>
      <c r="K1099" s="8" t="s">
        <v>583</v>
      </c>
      <c r="L1099" s="8" t="s">
        <v>322</v>
      </c>
      <c r="M1099" s="8" t="s">
        <v>329</v>
      </c>
      <c r="N1099" s="8">
        <v>14.0</v>
      </c>
      <c r="O1099" s="14">
        <f t="shared" si="1"/>
        <v>44470</v>
      </c>
      <c r="P1099" s="15">
        <f>IFERROR(VLOOKUP(K1099,Formula!$A$11:$B$20,2,FALSE),Formula!$C$26)</f>
        <v>0.95</v>
      </c>
      <c r="Q1099" s="15">
        <f>IF(AND(ISNUMBER(J1099),J1099&gt;0),1/J1099,IF(AND(ISNUMBER(I1099),I1099&gt;0),SQRT(MIN(I1099,Formula!$C$27))/Formula!$C$24,1/Formula!$C$25))</f>
        <v>0.4347826087</v>
      </c>
      <c r="R1099" s="15">
        <f t="shared" si="2"/>
        <v>0.4130434783</v>
      </c>
      <c r="S1099" s="15">
        <f>IF(H1099&lt;&gt;"",EXP(-Formula!$C$28*(EOMONTH(H1099,0)-H1099)),EXP(-Formula!$C$28*(EOMONTH(D1099,0)-D1099)))</f>
        <v>0.5769498104</v>
      </c>
      <c r="T1099" s="15">
        <f t="shared" si="3"/>
        <v>0.2773500981</v>
      </c>
      <c r="U1099" s="15">
        <f t="shared" si="4"/>
        <v>0.066094014</v>
      </c>
      <c r="V1099" s="16">
        <f>IF(AND(L1099="Among all respondents",NOT(OR(K1099="Online poll in Telegram channel",K1099="Website online poll",K1099="CAWI (Computer Assisted Web Interviewing)"))),1/(1-MIN(MAX(Formula!$C$33+(YEAR(D1099)-Formula!$C$34)/(Formula!$C$35-Formula!$C$34)*(Formula!$C$32-Formula!$C$33),Formula!$C$33),Formula!$C$32)),1)</f>
        <v>1</v>
      </c>
      <c r="W1099" s="17">
        <f t="shared" si="5"/>
        <v>14</v>
      </c>
    </row>
    <row r="1100" ht="15.75" customHeight="1">
      <c r="A1100" s="8" t="s">
        <v>1823</v>
      </c>
      <c r="B1100" s="7" t="s">
        <v>1818</v>
      </c>
      <c r="C1100" s="13" t="s">
        <v>1819</v>
      </c>
      <c r="D1100" s="7" t="s">
        <v>173</v>
      </c>
      <c r="E1100" s="8" t="s">
        <v>106</v>
      </c>
      <c r="F1100" s="8" t="s">
        <v>318</v>
      </c>
      <c r="G1100" s="7" t="s">
        <v>1820</v>
      </c>
      <c r="H1100" s="7" t="s">
        <v>1821</v>
      </c>
      <c r="I1100" s="8">
        <v>2018.0</v>
      </c>
      <c r="J1100" s="8">
        <v>2.3</v>
      </c>
      <c r="K1100" s="8" t="s">
        <v>583</v>
      </c>
      <c r="L1100" s="8" t="s">
        <v>322</v>
      </c>
      <c r="M1100" s="8" t="s">
        <v>365</v>
      </c>
      <c r="N1100" s="8">
        <v>11.7</v>
      </c>
      <c r="O1100" s="14">
        <f t="shared" si="1"/>
        <v>44470</v>
      </c>
      <c r="P1100" s="15">
        <f>IFERROR(VLOOKUP(K1100,Formula!$A$11:$B$20,2,FALSE),Formula!$C$26)</f>
        <v>0.95</v>
      </c>
      <c r="Q1100" s="15">
        <f>IF(AND(ISNUMBER(J1100),J1100&gt;0),1/J1100,IF(AND(ISNUMBER(I1100),I1100&gt;0),SQRT(MIN(I1100,Formula!$C$27))/Formula!$C$24,1/Formula!$C$25))</f>
        <v>0.4347826087</v>
      </c>
      <c r="R1100" s="15">
        <f t="shared" si="2"/>
        <v>0.4130434783</v>
      </c>
      <c r="S1100" s="15">
        <f>IF(H1100&lt;&gt;"",EXP(-Formula!$C$28*(EOMONTH(H1100,0)-H1100)),EXP(-Formula!$C$28*(EOMONTH(D1100,0)-D1100)))</f>
        <v>0.5769498104</v>
      </c>
      <c r="T1100" s="15">
        <f t="shared" si="3"/>
        <v>0.2773500981</v>
      </c>
      <c r="U1100" s="15">
        <f t="shared" si="4"/>
        <v>0.066094014</v>
      </c>
      <c r="V1100" s="16">
        <f>IF(AND(L1100="Among all respondents",NOT(OR(K1100="Online poll in Telegram channel",K1100="Website online poll",K1100="CAWI (Computer Assisted Web Interviewing)"))),1/(1-MIN(MAX(Formula!$C$33+(YEAR(D1100)-Formula!$C$34)/(Formula!$C$35-Formula!$C$34)*(Formula!$C$32-Formula!$C$33),Formula!$C$33),Formula!$C$32)),1)</f>
        <v>1</v>
      </c>
      <c r="W1100" s="17">
        <f t="shared" si="5"/>
        <v>11.7</v>
      </c>
    </row>
    <row r="1101" ht="15.75" customHeight="1">
      <c r="A1101" s="8" t="s">
        <v>1824</v>
      </c>
      <c r="B1101" s="7" t="s">
        <v>1818</v>
      </c>
      <c r="C1101" s="13" t="s">
        <v>1819</v>
      </c>
      <c r="D1101" s="7" t="s">
        <v>173</v>
      </c>
      <c r="E1101" s="8" t="s">
        <v>106</v>
      </c>
      <c r="F1101" s="8" t="s">
        <v>318</v>
      </c>
      <c r="G1101" s="7" t="s">
        <v>1820</v>
      </c>
      <c r="H1101" s="7" t="s">
        <v>1821</v>
      </c>
      <c r="I1101" s="8">
        <v>2018.0</v>
      </c>
      <c r="J1101" s="8">
        <v>2.3</v>
      </c>
      <c r="K1101" s="8" t="s">
        <v>583</v>
      </c>
      <c r="L1101" s="8" t="s">
        <v>322</v>
      </c>
      <c r="M1101" s="8" t="s">
        <v>337</v>
      </c>
      <c r="N1101" s="8">
        <v>10.1</v>
      </c>
      <c r="O1101" s="14">
        <f t="shared" si="1"/>
        <v>44470</v>
      </c>
      <c r="P1101" s="15">
        <f>IFERROR(VLOOKUP(K1101,Formula!$A$11:$B$20,2,FALSE),Formula!$C$26)</f>
        <v>0.95</v>
      </c>
      <c r="Q1101" s="15">
        <f>IF(AND(ISNUMBER(J1101),J1101&gt;0),1/J1101,IF(AND(ISNUMBER(I1101),I1101&gt;0),SQRT(MIN(I1101,Formula!$C$27))/Formula!$C$24,1/Formula!$C$25))</f>
        <v>0.4347826087</v>
      </c>
      <c r="R1101" s="15">
        <f t="shared" si="2"/>
        <v>0.4130434783</v>
      </c>
      <c r="S1101" s="15">
        <f>IF(H1101&lt;&gt;"",EXP(-Formula!$C$28*(EOMONTH(H1101,0)-H1101)),EXP(-Formula!$C$28*(EOMONTH(D1101,0)-D1101)))</f>
        <v>0.5769498104</v>
      </c>
      <c r="T1101" s="15">
        <f t="shared" si="3"/>
        <v>0.2773500981</v>
      </c>
      <c r="U1101" s="15">
        <f t="shared" si="4"/>
        <v>0.066094014</v>
      </c>
      <c r="V1101" s="16">
        <f>IF(AND(L1101="Among all respondents",NOT(OR(K1101="Online poll in Telegram channel",K1101="Website online poll",K1101="CAWI (Computer Assisted Web Interviewing)"))),1/(1-MIN(MAX(Formula!$C$33+(YEAR(D1101)-Formula!$C$34)/(Formula!$C$35-Formula!$C$34)*(Formula!$C$32-Formula!$C$33),Formula!$C$33),Formula!$C$32)),1)</f>
        <v>1</v>
      </c>
      <c r="W1101" s="17">
        <f t="shared" si="5"/>
        <v>10.1</v>
      </c>
    </row>
    <row r="1102" ht="15.75" customHeight="1">
      <c r="A1102" s="8" t="s">
        <v>1825</v>
      </c>
      <c r="B1102" s="7" t="s">
        <v>1818</v>
      </c>
      <c r="C1102" s="13" t="s">
        <v>1819</v>
      </c>
      <c r="D1102" s="7" t="s">
        <v>173</v>
      </c>
      <c r="E1102" s="8" t="s">
        <v>106</v>
      </c>
      <c r="F1102" s="8" t="s">
        <v>318</v>
      </c>
      <c r="G1102" s="7" t="s">
        <v>1820</v>
      </c>
      <c r="H1102" s="7" t="s">
        <v>1821</v>
      </c>
      <c r="I1102" s="8">
        <v>2018.0</v>
      </c>
      <c r="J1102" s="8">
        <v>2.3</v>
      </c>
      <c r="K1102" s="8" t="s">
        <v>583</v>
      </c>
      <c r="L1102" s="8" t="s">
        <v>322</v>
      </c>
      <c r="M1102" s="8" t="s">
        <v>333</v>
      </c>
      <c r="N1102" s="8">
        <v>8.8</v>
      </c>
      <c r="O1102" s="14">
        <f t="shared" si="1"/>
        <v>44470</v>
      </c>
      <c r="P1102" s="15">
        <f>IFERROR(VLOOKUP(K1102,Formula!$A$11:$B$20,2,FALSE),Formula!$C$26)</f>
        <v>0.95</v>
      </c>
      <c r="Q1102" s="15">
        <f>IF(AND(ISNUMBER(J1102),J1102&gt;0),1/J1102,IF(AND(ISNUMBER(I1102),I1102&gt;0),SQRT(MIN(I1102,Formula!$C$27))/Formula!$C$24,1/Formula!$C$25))</f>
        <v>0.4347826087</v>
      </c>
      <c r="R1102" s="15">
        <f t="shared" si="2"/>
        <v>0.4130434783</v>
      </c>
      <c r="S1102" s="15">
        <f>IF(H1102&lt;&gt;"",EXP(-Formula!$C$28*(EOMONTH(H1102,0)-H1102)),EXP(-Formula!$C$28*(EOMONTH(D1102,0)-D1102)))</f>
        <v>0.5769498104</v>
      </c>
      <c r="T1102" s="15">
        <f t="shared" si="3"/>
        <v>0.2773500981</v>
      </c>
      <c r="U1102" s="15">
        <f t="shared" si="4"/>
        <v>0.066094014</v>
      </c>
      <c r="V1102" s="16">
        <f>IF(AND(L1102="Among all respondents",NOT(OR(K1102="Online poll in Telegram channel",K1102="Website online poll",K1102="CAWI (Computer Assisted Web Interviewing)"))),1/(1-MIN(MAX(Formula!$C$33+(YEAR(D1102)-Formula!$C$34)/(Formula!$C$35-Formula!$C$34)*(Formula!$C$32-Formula!$C$33),Formula!$C$33),Formula!$C$32)),1)</f>
        <v>1</v>
      </c>
      <c r="W1102" s="17">
        <f t="shared" si="5"/>
        <v>8.8</v>
      </c>
    </row>
    <row r="1103" ht="15.75" customHeight="1">
      <c r="A1103" s="8" t="s">
        <v>1826</v>
      </c>
      <c r="B1103" s="7" t="s">
        <v>1818</v>
      </c>
      <c r="C1103" s="13" t="s">
        <v>1819</v>
      </c>
      <c r="D1103" s="7" t="s">
        <v>173</v>
      </c>
      <c r="E1103" s="8" t="s">
        <v>106</v>
      </c>
      <c r="F1103" s="8" t="s">
        <v>318</v>
      </c>
      <c r="G1103" s="7" t="s">
        <v>1820</v>
      </c>
      <c r="H1103" s="7" t="s">
        <v>1821</v>
      </c>
      <c r="I1103" s="8">
        <v>2018.0</v>
      </c>
      <c r="J1103" s="8">
        <v>2.3</v>
      </c>
      <c r="K1103" s="8" t="s">
        <v>583</v>
      </c>
      <c r="L1103" s="8" t="s">
        <v>322</v>
      </c>
      <c r="M1103" s="8" t="s">
        <v>1153</v>
      </c>
      <c r="N1103" s="8">
        <v>6.3</v>
      </c>
      <c r="O1103" s="14">
        <f t="shared" si="1"/>
        <v>44470</v>
      </c>
      <c r="P1103" s="15">
        <f>IFERROR(VLOOKUP(K1103,Formula!$A$11:$B$20,2,FALSE),Formula!$C$26)</f>
        <v>0.95</v>
      </c>
      <c r="Q1103" s="15">
        <f>IF(AND(ISNUMBER(J1103),J1103&gt;0),1/J1103,IF(AND(ISNUMBER(I1103),I1103&gt;0),SQRT(MIN(I1103,Formula!$C$27))/Formula!$C$24,1/Formula!$C$25))</f>
        <v>0.4347826087</v>
      </c>
      <c r="R1103" s="15">
        <f t="shared" si="2"/>
        <v>0.4130434783</v>
      </c>
      <c r="S1103" s="15">
        <f>IF(H1103&lt;&gt;"",EXP(-Formula!$C$28*(EOMONTH(H1103,0)-H1103)),EXP(-Formula!$C$28*(EOMONTH(D1103,0)-D1103)))</f>
        <v>0.5769498104</v>
      </c>
      <c r="T1103" s="15">
        <f t="shared" si="3"/>
        <v>0.2773500981</v>
      </c>
      <c r="U1103" s="15">
        <f t="shared" si="4"/>
        <v>0.066094014</v>
      </c>
      <c r="V1103" s="16">
        <f>IF(AND(L1103="Among all respondents",NOT(OR(K1103="Online poll in Telegram channel",K1103="Website online poll",K1103="CAWI (Computer Assisted Web Interviewing)"))),1/(1-MIN(MAX(Formula!$C$33+(YEAR(D1103)-Formula!$C$34)/(Formula!$C$35-Formula!$C$34)*(Formula!$C$32-Formula!$C$33),Formula!$C$33),Formula!$C$32)),1)</f>
        <v>1</v>
      </c>
      <c r="W1103" s="17">
        <f t="shared" si="5"/>
        <v>6.3</v>
      </c>
    </row>
    <row r="1104" ht="15.75" customHeight="1">
      <c r="A1104" s="8" t="s">
        <v>1827</v>
      </c>
      <c r="B1104" s="7" t="s">
        <v>1818</v>
      </c>
      <c r="C1104" s="13" t="s">
        <v>1819</v>
      </c>
      <c r="D1104" s="7" t="s">
        <v>173</v>
      </c>
      <c r="E1104" s="8" t="s">
        <v>106</v>
      </c>
      <c r="F1104" s="8" t="s">
        <v>318</v>
      </c>
      <c r="G1104" s="7" t="s">
        <v>1820</v>
      </c>
      <c r="H1104" s="7" t="s">
        <v>1821</v>
      </c>
      <c r="I1104" s="8">
        <v>2018.0</v>
      </c>
      <c r="J1104" s="8">
        <v>2.3</v>
      </c>
      <c r="K1104" s="8" t="s">
        <v>583</v>
      </c>
      <c r="L1104" s="8" t="s">
        <v>322</v>
      </c>
      <c r="M1104" s="8" t="s">
        <v>828</v>
      </c>
      <c r="N1104" s="8">
        <v>5.0</v>
      </c>
      <c r="O1104" s="14">
        <f t="shared" si="1"/>
        <v>44470</v>
      </c>
      <c r="P1104" s="15">
        <f>IFERROR(VLOOKUP(K1104,Formula!$A$11:$B$20,2,FALSE),Formula!$C$26)</f>
        <v>0.95</v>
      </c>
      <c r="Q1104" s="15">
        <f>IF(AND(ISNUMBER(J1104),J1104&gt;0),1/J1104,IF(AND(ISNUMBER(I1104),I1104&gt;0),SQRT(MIN(I1104,Formula!$C$27))/Formula!$C$24,1/Formula!$C$25))</f>
        <v>0.4347826087</v>
      </c>
      <c r="R1104" s="15">
        <f t="shared" si="2"/>
        <v>0.4130434783</v>
      </c>
      <c r="S1104" s="15">
        <f>IF(H1104&lt;&gt;"",EXP(-Formula!$C$28*(EOMONTH(H1104,0)-H1104)),EXP(-Formula!$C$28*(EOMONTH(D1104,0)-D1104)))</f>
        <v>0.5769498104</v>
      </c>
      <c r="T1104" s="15">
        <f t="shared" si="3"/>
        <v>0.2773500981</v>
      </c>
      <c r="U1104" s="15">
        <f t="shared" si="4"/>
        <v>0.066094014</v>
      </c>
      <c r="V1104" s="16">
        <f>IF(AND(L1104="Among all respondents",NOT(OR(K1104="Online poll in Telegram channel",K1104="Website online poll",K1104="CAWI (Computer Assisted Web Interviewing)"))),1/(1-MIN(MAX(Formula!$C$33+(YEAR(D1104)-Formula!$C$34)/(Formula!$C$35-Formula!$C$34)*(Formula!$C$32-Formula!$C$33),Formula!$C$33),Formula!$C$32)),1)</f>
        <v>1</v>
      </c>
      <c r="W1104" s="17">
        <f t="shared" si="5"/>
        <v>5</v>
      </c>
    </row>
    <row r="1105" ht="15.75" customHeight="1">
      <c r="A1105" s="8" t="s">
        <v>1828</v>
      </c>
      <c r="B1105" s="7" t="s">
        <v>1818</v>
      </c>
      <c r="C1105" s="13" t="s">
        <v>1819</v>
      </c>
      <c r="D1105" s="7" t="s">
        <v>173</v>
      </c>
      <c r="E1105" s="8" t="s">
        <v>106</v>
      </c>
      <c r="F1105" s="8" t="s">
        <v>318</v>
      </c>
      <c r="G1105" s="7" t="s">
        <v>1820</v>
      </c>
      <c r="H1105" s="7" t="s">
        <v>1821</v>
      </c>
      <c r="I1105" s="8">
        <v>2018.0</v>
      </c>
      <c r="J1105" s="8">
        <v>2.3</v>
      </c>
      <c r="K1105" s="8" t="s">
        <v>583</v>
      </c>
      <c r="L1105" s="8" t="s">
        <v>322</v>
      </c>
      <c r="M1105" s="8" t="s">
        <v>386</v>
      </c>
      <c r="N1105" s="8">
        <v>3.5</v>
      </c>
      <c r="O1105" s="14">
        <f t="shared" si="1"/>
        <v>44470</v>
      </c>
      <c r="P1105" s="15">
        <f>IFERROR(VLOOKUP(K1105,Formula!$A$11:$B$20,2,FALSE),Formula!$C$26)</f>
        <v>0.95</v>
      </c>
      <c r="Q1105" s="15">
        <f>IF(AND(ISNUMBER(J1105),J1105&gt;0),1/J1105,IF(AND(ISNUMBER(I1105),I1105&gt;0),SQRT(MIN(I1105,Formula!$C$27))/Formula!$C$24,1/Formula!$C$25))</f>
        <v>0.4347826087</v>
      </c>
      <c r="R1105" s="15">
        <f t="shared" si="2"/>
        <v>0.4130434783</v>
      </c>
      <c r="S1105" s="15">
        <f>IF(H1105&lt;&gt;"",EXP(-Formula!$C$28*(EOMONTH(H1105,0)-H1105)),EXP(-Formula!$C$28*(EOMONTH(D1105,0)-D1105)))</f>
        <v>0.5769498104</v>
      </c>
      <c r="T1105" s="15">
        <f t="shared" si="3"/>
        <v>0.2773500981</v>
      </c>
      <c r="U1105" s="15">
        <f t="shared" si="4"/>
        <v>0.066094014</v>
      </c>
      <c r="V1105" s="16">
        <f>IF(AND(L1105="Among all respondents",NOT(OR(K1105="Online poll in Telegram channel",K1105="Website online poll",K1105="CAWI (Computer Assisted Web Interviewing)"))),1/(1-MIN(MAX(Formula!$C$33+(YEAR(D1105)-Formula!$C$34)/(Formula!$C$35-Formula!$C$34)*(Formula!$C$32-Formula!$C$33),Formula!$C$33),Formula!$C$32)),1)</f>
        <v>1</v>
      </c>
      <c r="W1105" s="17">
        <f t="shared" si="5"/>
        <v>3.5</v>
      </c>
    </row>
    <row r="1106" ht="15.75" customHeight="1">
      <c r="A1106" s="8" t="s">
        <v>1829</v>
      </c>
      <c r="B1106" s="7" t="s">
        <v>1818</v>
      </c>
      <c r="C1106" s="13" t="s">
        <v>1819</v>
      </c>
      <c r="D1106" s="7" t="s">
        <v>173</v>
      </c>
      <c r="E1106" s="8" t="s">
        <v>106</v>
      </c>
      <c r="F1106" s="8" t="s">
        <v>318</v>
      </c>
      <c r="G1106" s="7" t="s">
        <v>1820</v>
      </c>
      <c r="H1106" s="7" t="s">
        <v>1821</v>
      </c>
      <c r="I1106" s="8">
        <v>2018.0</v>
      </c>
      <c r="J1106" s="8">
        <v>2.3</v>
      </c>
      <c r="K1106" s="8" t="s">
        <v>583</v>
      </c>
      <c r="L1106" s="8" t="s">
        <v>322</v>
      </c>
      <c r="M1106" s="8" t="s">
        <v>838</v>
      </c>
      <c r="N1106" s="8">
        <v>2.7</v>
      </c>
      <c r="O1106" s="14">
        <f t="shared" si="1"/>
        <v>44470</v>
      </c>
      <c r="P1106" s="15">
        <f>IFERROR(VLOOKUP(K1106,Formula!$A$11:$B$20,2,FALSE),Formula!$C$26)</f>
        <v>0.95</v>
      </c>
      <c r="Q1106" s="15">
        <f>IF(AND(ISNUMBER(J1106),J1106&gt;0),1/J1106,IF(AND(ISNUMBER(I1106),I1106&gt;0),SQRT(MIN(I1106,Formula!$C$27))/Formula!$C$24,1/Formula!$C$25))</f>
        <v>0.4347826087</v>
      </c>
      <c r="R1106" s="15">
        <f t="shared" si="2"/>
        <v>0.4130434783</v>
      </c>
      <c r="S1106" s="15">
        <f>IF(H1106&lt;&gt;"",EXP(-Formula!$C$28*(EOMONTH(H1106,0)-H1106)),EXP(-Formula!$C$28*(EOMONTH(D1106,0)-D1106)))</f>
        <v>0.5769498104</v>
      </c>
      <c r="T1106" s="15">
        <f t="shared" si="3"/>
        <v>0.2773500981</v>
      </c>
      <c r="U1106" s="15">
        <f t="shared" si="4"/>
        <v>0.066094014</v>
      </c>
      <c r="V1106" s="16">
        <f>IF(AND(L1106="Among all respondents",NOT(OR(K1106="Online poll in Telegram channel",K1106="Website online poll",K1106="CAWI (Computer Assisted Web Interviewing)"))),1/(1-MIN(MAX(Formula!$C$33+(YEAR(D1106)-Formula!$C$34)/(Formula!$C$35-Formula!$C$34)*(Formula!$C$32-Formula!$C$33),Formula!$C$33),Formula!$C$32)),1)</f>
        <v>1</v>
      </c>
      <c r="W1106" s="17">
        <f t="shared" si="5"/>
        <v>2.7</v>
      </c>
    </row>
    <row r="1107" ht="15.75" customHeight="1">
      <c r="A1107" s="8" t="s">
        <v>1830</v>
      </c>
      <c r="B1107" s="7" t="s">
        <v>1818</v>
      </c>
      <c r="C1107" s="13" t="s">
        <v>1819</v>
      </c>
      <c r="D1107" s="7" t="s">
        <v>173</v>
      </c>
      <c r="E1107" s="8" t="s">
        <v>106</v>
      </c>
      <c r="F1107" s="8" t="s">
        <v>318</v>
      </c>
      <c r="G1107" s="7" t="s">
        <v>1820</v>
      </c>
      <c r="H1107" s="7" t="s">
        <v>1821</v>
      </c>
      <c r="I1107" s="8">
        <v>2018.0</v>
      </c>
      <c r="J1107" s="8">
        <v>2.3</v>
      </c>
      <c r="K1107" s="8" t="s">
        <v>583</v>
      </c>
      <c r="L1107" s="8" t="s">
        <v>322</v>
      </c>
      <c r="M1107" s="8" t="s">
        <v>388</v>
      </c>
      <c r="N1107" s="8">
        <v>2.4</v>
      </c>
      <c r="O1107" s="14">
        <f t="shared" si="1"/>
        <v>44470</v>
      </c>
      <c r="P1107" s="15">
        <f>IFERROR(VLOOKUP(K1107,Formula!$A$11:$B$20,2,FALSE),Formula!$C$26)</f>
        <v>0.95</v>
      </c>
      <c r="Q1107" s="15">
        <f>IF(AND(ISNUMBER(J1107),J1107&gt;0),1/J1107,IF(AND(ISNUMBER(I1107),I1107&gt;0),SQRT(MIN(I1107,Formula!$C$27))/Formula!$C$24,1/Formula!$C$25))</f>
        <v>0.4347826087</v>
      </c>
      <c r="R1107" s="15">
        <f t="shared" si="2"/>
        <v>0.4130434783</v>
      </c>
      <c r="S1107" s="15">
        <f>IF(H1107&lt;&gt;"",EXP(-Formula!$C$28*(EOMONTH(H1107,0)-H1107)),EXP(-Formula!$C$28*(EOMONTH(D1107,0)-D1107)))</f>
        <v>0.5769498104</v>
      </c>
      <c r="T1107" s="15">
        <f t="shared" si="3"/>
        <v>0.2773500981</v>
      </c>
      <c r="U1107" s="15">
        <f t="shared" si="4"/>
        <v>0.066094014</v>
      </c>
      <c r="V1107" s="16">
        <f>IF(AND(L1107="Among all respondents",NOT(OR(K1107="Online poll in Telegram channel",K1107="Website online poll",K1107="CAWI (Computer Assisted Web Interviewing)"))),1/(1-MIN(MAX(Formula!$C$33+(YEAR(D1107)-Formula!$C$34)/(Formula!$C$35-Formula!$C$34)*(Formula!$C$32-Formula!$C$33),Formula!$C$33),Formula!$C$32)),1)</f>
        <v>1</v>
      </c>
      <c r="W1107" s="17">
        <f t="shared" si="5"/>
        <v>2.4</v>
      </c>
    </row>
    <row r="1108" ht="15.75" customHeight="1">
      <c r="A1108" s="8" t="s">
        <v>1831</v>
      </c>
      <c r="B1108" s="7" t="s">
        <v>1818</v>
      </c>
      <c r="C1108" s="13" t="s">
        <v>1819</v>
      </c>
      <c r="D1108" s="7" t="s">
        <v>173</v>
      </c>
      <c r="E1108" s="8" t="s">
        <v>106</v>
      </c>
      <c r="F1108" s="8" t="s">
        <v>318</v>
      </c>
      <c r="G1108" s="7" t="s">
        <v>1820</v>
      </c>
      <c r="H1108" s="7" t="s">
        <v>1821</v>
      </c>
      <c r="I1108" s="8">
        <v>2018.0</v>
      </c>
      <c r="J1108" s="8">
        <v>2.3</v>
      </c>
      <c r="K1108" s="8" t="s">
        <v>583</v>
      </c>
      <c r="L1108" s="8" t="s">
        <v>322</v>
      </c>
      <c r="M1108" s="8" t="s">
        <v>1398</v>
      </c>
      <c r="N1108" s="8">
        <v>2.2</v>
      </c>
      <c r="O1108" s="14">
        <f t="shared" si="1"/>
        <v>44470</v>
      </c>
      <c r="P1108" s="15">
        <f>IFERROR(VLOOKUP(K1108,Formula!$A$11:$B$20,2,FALSE),Formula!$C$26)</f>
        <v>0.95</v>
      </c>
      <c r="Q1108" s="15">
        <f>IF(AND(ISNUMBER(J1108),J1108&gt;0),1/J1108,IF(AND(ISNUMBER(I1108),I1108&gt;0),SQRT(MIN(I1108,Formula!$C$27))/Formula!$C$24,1/Formula!$C$25))</f>
        <v>0.4347826087</v>
      </c>
      <c r="R1108" s="15">
        <f t="shared" si="2"/>
        <v>0.4130434783</v>
      </c>
      <c r="S1108" s="15">
        <f>IF(H1108&lt;&gt;"",EXP(-Formula!$C$28*(EOMONTH(H1108,0)-H1108)),EXP(-Formula!$C$28*(EOMONTH(D1108,0)-D1108)))</f>
        <v>0.5769498104</v>
      </c>
      <c r="T1108" s="15">
        <f t="shared" si="3"/>
        <v>0.2773500981</v>
      </c>
      <c r="U1108" s="15">
        <f t="shared" si="4"/>
        <v>0.066094014</v>
      </c>
      <c r="V1108" s="16">
        <f>IF(AND(L1108="Among all respondents",NOT(OR(K1108="Online poll in Telegram channel",K1108="Website online poll",K1108="CAWI (Computer Assisted Web Interviewing)"))),1/(1-MIN(MAX(Formula!$C$33+(YEAR(D1108)-Formula!$C$34)/(Formula!$C$35-Formula!$C$34)*(Formula!$C$32-Formula!$C$33),Formula!$C$33),Formula!$C$32)),1)</f>
        <v>1</v>
      </c>
      <c r="W1108" s="17">
        <f t="shared" si="5"/>
        <v>2.2</v>
      </c>
    </row>
    <row r="1109" ht="15.75" customHeight="1">
      <c r="A1109" s="8" t="s">
        <v>1832</v>
      </c>
      <c r="B1109" s="7" t="s">
        <v>1818</v>
      </c>
      <c r="C1109" s="13" t="s">
        <v>1819</v>
      </c>
      <c r="D1109" s="7" t="s">
        <v>173</v>
      </c>
      <c r="E1109" s="8" t="s">
        <v>106</v>
      </c>
      <c r="F1109" s="8" t="s">
        <v>318</v>
      </c>
      <c r="G1109" s="7" t="s">
        <v>1820</v>
      </c>
      <c r="H1109" s="7" t="s">
        <v>1821</v>
      </c>
      <c r="I1109" s="8">
        <v>2018.0</v>
      </c>
      <c r="J1109" s="8">
        <v>2.3</v>
      </c>
      <c r="K1109" s="8" t="s">
        <v>583</v>
      </c>
      <c r="L1109" s="8" t="s">
        <v>322</v>
      </c>
      <c r="M1109" s="8" t="s">
        <v>339</v>
      </c>
      <c r="N1109" s="8">
        <v>1.9</v>
      </c>
      <c r="O1109" s="14">
        <f t="shared" si="1"/>
        <v>44470</v>
      </c>
      <c r="P1109" s="15">
        <f>IFERROR(VLOOKUP(K1109,Formula!$A$11:$B$20,2,FALSE),Formula!$C$26)</f>
        <v>0.95</v>
      </c>
      <c r="Q1109" s="15">
        <f>IF(AND(ISNUMBER(J1109),J1109&gt;0),1/J1109,IF(AND(ISNUMBER(I1109),I1109&gt;0),SQRT(MIN(I1109,Formula!$C$27))/Formula!$C$24,1/Formula!$C$25))</f>
        <v>0.4347826087</v>
      </c>
      <c r="R1109" s="15">
        <f t="shared" si="2"/>
        <v>0.4130434783</v>
      </c>
      <c r="S1109" s="15">
        <f>IF(H1109&lt;&gt;"",EXP(-Formula!$C$28*(EOMONTH(H1109,0)-H1109)),EXP(-Formula!$C$28*(EOMONTH(D1109,0)-D1109)))</f>
        <v>0.5769498104</v>
      </c>
      <c r="T1109" s="15">
        <f t="shared" si="3"/>
        <v>0.2773500981</v>
      </c>
      <c r="U1109" s="15">
        <f t="shared" si="4"/>
        <v>0.066094014</v>
      </c>
      <c r="V1109" s="16">
        <f>IF(AND(L1109="Among all respondents",NOT(OR(K1109="Online poll in Telegram channel",K1109="Website online poll",K1109="CAWI (Computer Assisted Web Interviewing)"))),1/(1-MIN(MAX(Formula!$C$33+(YEAR(D1109)-Formula!$C$34)/(Formula!$C$35-Formula!$C$34)*(Formula!$C$32-Formula!$C$33),Formula!$C$33),Formula!$C$32)),1)</f>
        <v>1</v>
      </c>
      <c r="W1109" s="17">
        <f t="shared" si="5"/>
        <v>1.9</v>
      </c>
    </row>
    <row r="1110" ht="15.75" customHeight="1">
      <c r="A1110" s="8" t="s">
        <v>1833</v>
      </c>
      <c r="B1110" s="7" t="s">
        <v>1818</v>
      </c>
      <c r="C1110" s="13" t="s">
        <v>1819</v>
      </c>
      <c r="D1110" s="7" t="s">
        <v>173</v>
      </c>
      <c r="E1110" s="8" t="s">
        <v>106</v>
      </c>
      <c r="F1110" s="8" t="s">
        <v>318</v>
      </c>
      <c r="G1110" s="7" t="s">
        <v>1820</v>
      </c>
      <c r="H1110" s="7" t="s">
        <v>1821</v>
      </c>
      <c r="I1110" s="8">
        <v>2018.0</v>
      </c>
      <c r="J1110" s="8">
        <v>2.3</v>
      </c>
      <c r="K1110" s="8" t="s">
        <v>583</v>
      </c>
      <c r="L1110" s="8" t="s">
        <v>322</v>
      </c>
      <c r="M1110" s="8" t="s">
        <v>343</v>
      </c>
      <c r="N1110" s="8">
        <v>1.0</v>
      </c>
      <c r="O1110" s="14">
        <f t="shared" si="1"/>
        <v>44470</v>
      </c>
      <c r="P1110" s="15">
        <f>IFERROR(VLOOKUP(K1110,Formula!$A$11:$B$20,2,FALSE),Formula!$C$26)</f>
        <v>0.95</v>
      </c>
      <c r="Q1110" s="15">
        <f>IF(AND(ISNUMBER(J1110),J1110&gt;0),1/J1110,IF(AND(ISNUMBER(I1110),I1110&gt;0),SQRT(MIN(I1110,Formula!$C$27))/Formula!$C$24,1/Formula!$C$25))</f>
        <v>0.4347826087</v>
      </c>
      <c r="R1110" s="15">
        <f t="shared" si="2"/>
        <v>0.4130434783</v>
      </c>
      <c r="S1110" s="15">
        <f>IF(H1110&lt;&gt;"",EXP(-Formula!$C$28*(EOMONTH(H1110,0)-H1110)),EXP(-Formula!$C$28*(EOMONTH(D1110,0)-D1110)))</f>
        <v>0.5769498104</v>
      </c>
      <c r="T1110" s="15">
        <f t="shared" si="3"/>
        <v>0.2773500981</v>
      </c>
      <c r="U1110" s="15">
        <f t="shared" si="4"/>
        <v>0.066094014</v>
      </c>
      <c r="V1110" s="16">
        <f>IF(AND(L1110="Among all respondents",NOT(OR(K1110="Online poll in Telegram channel",K1110="Website online poll",K1110="CAWI (Computer Assisted Web Interviewing)"))),1/(1-MIN(MAX(Formula!$C$33+(YEAR(D1110)-Formula!$C$34)/(Formula!$C$35-Formula!$C$34)*(Formula!$C$32-Formula!$C$33),Formula!$C$33),Formula!$C$32)),1)</f>
        <v>1</v>
      </c>
      <c r="W1110" s="17">
        <f t="shared" si="5"/>
        <v>1</v>
      </c>
    </row>
    <row r="1111" ht="15.75" customHeight="1">
      <c r="A1111" s="8" t="s">
        <v>1834</v>
      </c>
      <c r="B1111" s="7" t="s">
        <v>1835</v>
      </c>
      <c r="C1111" s="13" t="s">
        <v>1836</v>
      </c>
      <c r="D1111" s="7" t="s">
        <v>174</v>
      </c>
      <c r="E1111" s="8" t="s">
        <v>72</v>
      </c>
      <c r="F1111" s="8" t="s">
        <v>318</v>
      </c>
      <c r="G1111" s="7" t="s">
        <v>1837</v>
      </c>
      <c r="H1111" s="7" t="s">
        <v>1838</v>
      </c>
      <c r="I1111" s="8">
        <v>1200.0</v>
      </c>
      <c r="J1111" s="8">
        <v>3.2</v>
      </c>
      <c r="K1111" s="8" t="s">
        <v>321</v>
      </c>
      <c r="L1111" s="8" t="s">
        <v>322</v>
      </c>
      <c r="M1111" s="8" t="s">
        <v>323</v>
      </c>
      <c r="N1111" s="8">
        <v>24.7</v>
      </c>
      <c r="O1111" s="14">
        <f t="shared" si="1"/>
        <v>44470</v>
      </c>
      <c r="P1111" s="15">
        <f>IFERROR(VLOOKUP(K1111,Formula!$A$11:$B$20,2,FALSE),Formula!$C$26)</f>
        <v>0.9</v>
      </c>
      <c r="Q1111" s="15">
        <f>IF(AND(ISNUMBER(J1111),J1111&gt;0),1/J1111,IF(AND(ISNUMBER(I1111),I1111&gt;0),SQRT(MIN(I1111,Formula!$C$27))/Formula!$C$24,1/Formula!$C$25))</f>
        <v>0.3125</v>
      </c>
      <c r="R1111" s="15">
        <f t="shared" si="2"/>
        <v>0.28125</v>
      </c>
      <c r="S1111" s="15">
        <f>IF(H1111&lt;&gt;"",EXP(-Formula!$C$28*(EOMONTH(H1111,0)-H1111)),EXP(-Formula!$C$28*(EOMONTH(D1111,0)-D1111)))</f>
        <v>0.5220457768</v>
      </c>
      <c r="T1111" s="15">
        <f t="shared" si="3"/>
        <v>0.2886751346</v>
      </c>
      <c r="U1111" s="15">
        <f t="shared" si="4"/>
        <v>0.04238483481</v>
      </c>
      <c r="V1111" s="16">
        <f>IF(AND(L1111="Among all respondents",NOT(OR(K1111="Online poll in Telegram channel",K1111="Website online poll",K1111="CAWI (Computer Assisted Web Interviewing)"))),1/(1-MIN(MAX(Formula!$C$33+(YEAR(D1111)-Formula!$C$34)/(Formula!$C$35-Formula!$C$34)*(Formula!$C$32-Formula!$C$33),Formula!$C$33),Formula!$C$32)),1)</f>
        <v>1</v>
      </c>
      <c r="W1111" s="17">
        <f t="shared" si="5"/>
        <v>24.7</v>
      </c>
    </row>
    <row r="1112" ht="15.75" customHeight="1">
      <c r="A1112" s="8" t="s">
        <v>1839</v>
      </c>
      <c r="B1112" s="7" t="s">
        <v>1835</v>
      </c>
      <c r="C1112" s="13" t="s">
        <v>1836</v>
      </c>
      <c r="D1112" s="7" t="s">
        <v>174</v>
      </c>
      <c r="E1112" s="8" t="s">
        <v>72</v>
      </c>
      <c r="F1112" s="8" t="s">
        <v>318</v>
      </c>
      <c r="G1112" s="7" t="s">
        <v>1837</v>
      </c>
      <c r="H1112" s="7" t="s">
        <v>1838</v>
      </c>
      <c r="I1112" s="8">
        <v>1200.0</v>
      </c>
      <c r="J1112" s="8">
        <v>3.2</v>
      </c>
      <c r="K1112" s="8" t="s">
        <v>321</v>
      </c>
      <c r="L1112" s="8" t="s">
        <v>322</v>
      </c>
      <c r="M1112" s="8" t="s">
        <v>329</v>
      </c>
      <c r="N1112" s="8">
        <v>15.6</v>
      </c>
      <c r="O1112" s="14">
        <f t="shared" si="1"/>
        <v>44470</v>
      </c>
      <c r="P1112" s="15">
        <f>IFERROR(VLOOKUP(K1112,Formula!$A$11:$B$20,2,FALSE),Formula!$C$26)</f>
        <v>0.9</v>
      </c>
      <c r="Q1112" s="15">
        <f>IF(AND(ISNUMBER(J1112),J1112&gt;0),1/J1112,IF(AND(ISNUMBER(I1112),I1112&gt;0),SQRT(MIN(I1112,Formula!$C$27))/Formula!$C$24,1/Formula!$C$25))</f>
        <v>0.3125</v>
      </c>
      <c r="R1112" s="15">
        <f t="shared" si="2"/>
        <v>0.28125</v>
      </c>
      <c r="S1112" s="15">
        <f>IF(H1112&lt;&gt;"",EXP(-Formula!$C$28*(EOMONTH(H1112,0)-H1112)),EXP(-Formula!$C$28*(EOMONTH(D1112,0)-D1112)))</f>
        <v>0.5220457768</v>
      </c>
      <c r="T1112" s="15">
        <f t="shared" si="3"/>
        <v>0.2886751346</v>
      </c>
      <c r="U1112" s="15">
        <f t="shared" si="4"/>
        <v>0.04238483481</v>
      </c>
      <c r="V1112" s="16">
        <f>IF(AND(L1112="Among all respondents",NOT(OR(K1112="Online poll in Telegram channel",K1112="Website online poll",K1112="CAWI (Computer Assisted Web Interviewing)"))),1/(1-MIN(MAX(Formula!$C$33+(YEAR(D1112)-Formula!$C$34)/(Formula!$C$35-Formula!$C$34)*(Formula!$C$32-Formula!$C$33),Formula!$C$33),Formula!$C$32)),1)</f>
        <v>1</v>
      </c>
      <c r="W1112" s="17">
        <f t="shared" si="5"/>
        <v>15.6</v>
      </c>
    </row>
    <row r="1113" ht="15.75" customHeight="1">
      <c r="A1113" s="8" t="s">
        <v>1840</v>
      </c>
      <c r="B1113" s="7" t="s">
        <v>1835</v>
      </c>
      <c r="C1113" s="13" t="s">
        <v>1836</v>
      </c>
      <c r="D1113" s="7" t="s">
        <v>174</v>
      </c>
      <c r="E1113" s="8" t="s">
        <v>72</v>
      </c>
      <c r="F1113" s="8" t="s">
        <v>318</v>
      </c>
      <c r="G1113" s="7" t="s">
        <v>1837</v>
      </c>
      <c r="H1113" s="7" t="s">
        <v>1838</v>
      </c>
      <c r="I1113" s="8">
        <v>1200.0</v>
      </c>
      <c r="J1113" s="8">
        <v>3.2</v>
      </c>
      <c r="K1113" s="8" t="s">
        <v>321</v>
      </c>
      <c r="L1113" s="8" t="s">
        <v>322</v>
      </c>
      <c r="M1113" s="8" t="s">
        <v>337</v>
      </c>
      <c r="N1113" s="8">
        <v>12.2</v>
      </c>
      <c r="O1113" s="14">
        <f t="shared" si="1"/>
        <v>44470</v>
      </c>
      <c r="P1113" s="15">
        <f>IFERROR(VLOOKUP(K1113,Formula!$A$11:$B$20,2,FALSE),Formula!$C$26)</f>
        <v>0.9</v>
      </c>
      <c r="Q1113" s="15">
        <f>IF(AND(ISNUMBER(J1113),J1113&gt;0),1/J1113,IF(AND(ISNUMBER(I1113),I1113&gt;0),SQRT(MIN(I1113,Formula!$C$27))/Formula!$C$24,1/Formula!$C$25))</f>
        <v>0.3125</v>
      </c>
      <c r="R1113" s="15">
        <f t="shared" si="2"/>
        <v>0.28125</v>
      </c>
      <c r="S1113" s="15">
        <f>IF(H1113&lt;&gt;"",EXP(-Formula!$C$28*(EOMONTH(H1113,0)-H1113)),EXP(-Formula!$C$28*(EOMONTH(D1113,0)-D1113)))</f>
        <v>0.5220457768</v>
      </c>
      <c r="T1113" s="15">
        <f t="shared" si="3"/>
        <v>0.2886751346</v>
      </c>
      <c r="U1113" s="15">
        <f t="shared" si="4"/>
        <v>0.04238483481</v>
      </c>
      <c r="V1113" s="16">
        <f>IF(AND(L1113="Among all respondents",NOT(OR(K1113="Online poll in Telegram channel",K1113="Website online poll",K1113="CAWI (Computer Assisted Web Interviewing)"))),1/(1-MIN(MAX(Formula!$C$33+(YEAR(D1113)-Formula!$C$34)/(Formula!$C$35-Formula!$C$34)*(Formula!$C$32-Formula!$C$33),Formula!$C$33),Formula!$C$32)),1)</f>
        <v>1</v>
      </c>
      <c r="W1113" s="17">
        <f t="shared" si="5"/>
        <v>12.2</v>
      </c>
    </row>
    <row r="1114" ht="15.75" customHeight="1">
      <c r="A1114" s="8" t="s">
        <v>1841</v>
      </c>
      <c r="B1114" s="7" t="s">
        <v>1835</v>
      </c>
      <c r="C1114" s="13" t="s">
        <v>1836</v>
      </c>
      <c r="D1114" s="7" t="s">
        <v>174</v>
      </c>
      <c r="E1114" s="8" t="s">
        <v>72</v>
      </c>
      <c r="F1114" s="8" t="s">
        <v>318</v>
      </c>
      <c r="G1114" s="7" t="s">
        <v>1837</v>
      </c>
      <c r="H1114" s="7" t="s">
        <v>1838</v>
      </c>
      <c r="I1114" s="8">
        <v>1200.0</v>
      </c>
      <c r="J1114" s="8">
        <v>3.2</v>
      </c>
      <c r="K1114" s="8" t="s">
        <v>321</v>
      </c>
      <c r="L1114" s="8" t="s">
        <v>322</v>
      </c>
      <c r="M1114" s="8" t="s">
        <v>365</v>
      </c>
      <c r="N1114" s="8">
        <v>9.4</v>
      </c>
      <c r="O1114" s="14">
        <f t="shared" si="1"/>
        <v>44470</v>
      </c>
      <c r="P1114" s="15">
        <f>IFERROR(VLOOKUP(K1114,Formula!$A$11:$B$20,2,FALSE),Formula!$C$26)</f>
        <v>0.9</v>
      </c>
      <c r="Q1114" s="15">
        <f>IF(AND(ISNUMBER(J1114),J1114&gt;0),1/J1114,IF(AND(ISNUMBER(I1114),I1114&gt;0),SQRT(MIN(I1114,Formula!$C$27))/Formula!$C$24,1/Formula!$C$25))</f>
        <v>0.3125</v>
      </c>
      <c r="R1114" s="15">
        <f t="shared" si="2"/>
        <v>0.28125</v>
      </c>
      <c r="S1114" s="15">
        <f>IF(H1114&lt;&gt;"",EXP(-Formula!$C$28*(EOMONTH(H1114,0)-H1114)),EXP(-Formula!$C$28*(EOMONTH(D1114,0)-D1114)))</f>
        <v>0.5220457768</v>
      </c>
      <c r="T1114" s="15">
        <f t="shared" si="3"/>
        <v>0.2886751346</v>
      </c>
      <c r="U1114" s="15">
        <f t="shared" si="4"/>
        <v>0.04238483481</v>
      </c>
      <c r="V1114" s="16">
        <f>IF(AND(L1114="Among all respondents",NOT(OR(K1114="Online poll in Telegram channel",K1114="Website online poll",K1114="CAWI (Computer Assisted Web Interviewing)"))),1/(1-MIN(MAX(Formula!$C$33+(YEAR(D1114)-Formula!$C$34)/(Formula!$C$35-Formula!$C$34)*(Formula!$C$32-Formula!$C$33),Formula!$C$33),Formula!$C$32)),1)</f>
        <v>1</v>
      </c>
      <c r="W1114" s="17">
        <f t="shared" si="5"/>
        <v>9.4</v>
      </c>
    </row>
    <row r="1115" ht="15.75" customHeight="1">
      <c r="A1115" s="8" t="s">
        <v>1842</v>
      </c>
      <c r="B1115" s="7" t="s">
        <v>1835</v>
      </c>
      <c r="C1115" s="13" t="s">
        <v>1836</v>
      </c>
      <c r="D1115" s="7" t="s">
        <v>174</v>
      </c>
      <c r="E1115" s="8" t="s">
        <v>72</v>
      </c>
      <c r="F1115" s="8" t="s">
        <v>318</v>
      </c>
      <c r="G1115" s="7" t="s">
        <v>1837</v>
      </c>
      <c r="H1115" s="7" t="s">
        <v>1838</v>
      </c>
      <c r="I1115" s="8">
        <v>1200.0</v>
      </c>
      <c r="J1115" s="8">
        <v>3.2</v>
      </c>
      <c r="K1115" s="8" t="s">
        <v>321</v>
      </c>
      <c r="L1115" s="8" t="s">
        <v>322</v>
      </c>
      <c r="M1115" s="8" t="s">
        <v>828</v>
      </c>
      <c r="N1115" s="8">
        <v>7.8</v>
      </c>
      <c r="O1115" s="14">
        <f t="shared" si="1"/>
        <v>44470</v>
      </c>
      <c r="P1115" s="15">
        <f>IFERROR(VLOOKUP(K1115,Formula!$A$11:$B$20,2,FALSE),Formula!$C$26)</f>
        <v>0.9</v>
      </c>
      <c r="Q1115" s="15">
        <f>IF(AND(ISNUMBER(J1115),J1115&gt;0),1/J1115,IF(AND(ISNUMBER(I1115),I1115&gt;0),SQRT(MIN(I1115,Formula!$C$27))/Formula!$C$24,1/Formula!$C$25))</f>
        <v>0.3125</v>
      </c>
      <c r="R1115" s="15">
        <f t="shared" si="2"/>
        <v>0.28125</v>
      </c>
      <c r="S1115" s="15">
        <f>IF(H1115&lt;&gt;"",EXP(-Formula!$C$28*(EOMONTH(H1115,0)-H1115)),EXP(-Formula!$C$28*(EOMONTH(D1115,0)-D1115)))</f>
        <v>0.5220457768</v>
      </c>
      <c r="T1115" s="15">
        <f t="shared" si="3"/>
        <v>0.2886751346</v>
      </c>
      <c r="U1115" s="15">
        <f t="shared" si="4"/>
        <v>0.04238483481</v>
      </c>
      <c r="V1115" s="16">
        <f>IF(AND(L1115="Among all respondents",NOT(OR(K1115="Online poll in Telegram channel",K1115="Website online poll",K1115="CAWI (Computer Assisted Web Interviewing)"))),1/(1-MIN(MAX(Formula!$C$33+(YEAR(D1115)-Formula!$C$34)/(Formula!$C$35-Formula!$C$34)*(Formula!$C$32-Formula!$C$33),Formula!$C$33),Formula!$C$32)),1)</f>
        <v>1</v>
      </c>
      <c r="W1115" s="17">
        <f t="shared" si="5"/>
        <v>7.8</v>
      </c>
    </row>
    <row r="1116" ht="15.75" customHeight="1">
      <c r="A1116" s="8" t="s">
        <v>1843</v>
      </c>
      <c r="B1116" s="7" t="s">
        <v>1835</v>
      </c>
      <c r="C1116" s="13" t="s">
        <v>1836</v>
      </c>
      <c r="D1116" s="7" t="s">
        <v>174</v>
      </c>
      <c r="E1116" s="8" t="s">
        <v>72</v>
      </c>
      <c r="F1116" s="8" t="s">
        <v>318</v>
      </c>
      <c r="G1116" s="7" t="s">
        <v>1837</v>
      </c>
      <c r="H1116" s="7" t="s">
        <v>1838</v>
      </c>
      <c r="I1116" s="8">
        <v>1200.0</v>
      </c>
      <c r="J1116" s="8">
        <v>3.2</v>
      </c>
      <c r="K1116" s="8" t="s">
        <v>321</v>
      </c>
      <c r="L1116" s="8" t="s">
        <v>322</v>
      </c>
      <c r="M1116" s="8" t="s">
        <v>333</v>
      </c>
      <c r="N1116" s="8">
        <v>7.1</v>
      </c>
      <c r="O1116" s="14">
        <f t="shared" si="1"/>
        <v>44470</v>
      </c>
      <c r="P1116" s="15">
        <f>IFERROR(VLOOKUP(K1116,Formula!$A$11:$B$20,2,FALSE),Formula!$C$26)</f>
        <v>0.9</v>
      </c>
      <c r="Q1116" s="15">
        <f>IF(AND(ISNUMBER(J1116),J1116&gt;0),1/J1116,IF(AND(ISNUMBER(I1116),I1116&gt;0),SQRT(MIN(I1116,Formula!$C$27))/Formula!$C$24,1/Formula!$C$25))</f>
        <v>0.3125</v>
      </c>
      <c r="R1116" s="15">
        <f t="shared" si="2"/>
        <v>0.28125</v>
      </c>
      <c r="S1116" s="15">
        <f>IF(H1116&lt;&gt;"",EXP(-Formula!$C$28*(EOMONTH(H1116,0)-H1116)),EXP(-Formula!$C$28*(EOMONTH(D1116,0)-D1116)))</f>
        <v>0.5220457768</v>
      </c>
      <c r="T1116" s="15">
        <f t="shared" si="3"/>
        <v>0.2886751346</v>
      </c>
      <c r="U1116" s="15">
        <f t="shared" si="4"/>
        <v>0.04238483481</v>
      </c>
      <c r="V1116" s="16">
        <f>IF(AND(L1116="Among all respondents",NOT(OR(K1116="Online poll in Telegram channel",K1116="Website online poll",K1116="CAWI (Computer Assisted Web Interviewing)"))),1/(1-MIN(MAX(Formula!$C$33+(YEAR(D1116)-Formula!$C$34)/(Formula!$C$35-Formula!$C$34)*(Formula!$C$32-Formula!$C$33),Formula!$C$33),Formula!$C$32)),1)</f>
        <v>1</v>
      </c>
      <c r="W1116" s="17">
        <f t="shared" si="5"/>
        <v>7.1</v>
      </c>
    </row>
    <row r="1117" ht="15.75" customHeight="1">
      <c r="A1117" s="8" t="s">
        <v>1844</v>
      </c>
      <c r="B1117" s="7" t="s">
        <v>1835</v>
      </c>
      <c r="C1117" s="13" t="s">
        <v>1836</v>
      </c>
      <c r="D1117" s="7" t="s">
        <v>174</v>
      </c>
      <c r="E1117" s="8" t="s">
        <v>72</v>
      </c>
      <c r="F1117" s="8" t="s">
        <v>318</v>
      </c>
      <c r="G1117" s="7" t="s">
        <v>1837</v>
      </c>
      <c r="H1117" s="7" t="s">
        <v>1838</v>
      </c>
      <c r="I1117" s="8">
        <v>1200.0</v>
      </c>
      <c r="J1117" s="8">
        <v>3.2</v>
      </c>
      <c r="K1117" s="8" t="s">
        <v>321</v>
      </c>
      <c r="L1117" s="8" t="s">
        <v>322</v>
      </c>
      <c r="M1117" s="8" t="s">
        <v>1153</v>
      </c>
      <c r="N1117" s="8">
        <v>6.2</v>
      </c>
      <c r="O1117" s="14">
        <f t="shared" si="1"/>
        <v>44470</v>
      </c>
      <c r="P1117" s="15">
        <f>IFERROR(VLOOKUP(K1117,Formula!$A$11:$B$20,2,FALSE),Formula!$C$26)</f>
        <v>0.9</v>
      </c>
      <c r="Q1117" s="15">
        <f>IF(AND(ISNUMBER(J1117),J1117&gt;0),1/J1117,IF(AND(ISNUMBER(I1117),I1117&gt;0),SQRT(MIN(I1117,Formula!$C$27))/Formula!$C$24,1/Formula!$C$25))</f>
        <v>0.3125</v>
      </c>
      <c r="R1117" s="15">
        <f t="shared" si="2"/>
        <v>0.28125</v>
      </c>
      <c r="S1117" s="15">
        <f>IF(H1117&lt;&gt;"",EXP(-Formula!$C$28*(EOMONTH(H1117,0)-H1117)),EXP(-Formula!$C$28*(EOMONTH(D1117,0)-D1117)))</f>
        <v>0.5220457768</v>
      </c>
      <c r="T1117" s="15">
        <f t="shared" si="3"/>
        <v>0.2886751346</v>
      </c>
      <c r="U1117" s="15">
        <f t="shared" si="4"/>
        <v>0.04238483481</v>
      </c>
      <c r="V1117" s="16">
        <f>IF(AND(L1117="Among all respondents",NOT(OR(K1117="Online poll in Telegram channel",K1117="Website online poll",K1117="CAWI (Computer Assisted Web Interviewing)"))),1/(1-MIN(MAX(Formula!$C$33+(YEAR(D1117)-Formula!$C$34)/(Formula!$C$35-Formula!$C$34)*(Formula!$C$32-Formula!$C$33),Formula!$C$33),Formula!$C$32)),1)</f>
        <v>1</v>
      </c>
      <c r="W1117" s="17">
        <f t="shared" si="5"/>
        <v>6.2</v>
      </c>
    </row>
    <row r="1118" ht="15.75" customHeight="1">
      <c r="A1118" s="8" t="s">
        <v>1845</v>
      </c>
      <c r="B1118" s="7" t="s">
        <v>1835</v>
      </c>
      <c r="C1118" s="13" t="s">
        <v>1836</v>
      </c>
      <c r="D1118" s="7" t="s">
        <v>174</v>
      </c>
      <c r="E1118" s="8" t="s">
        <v>72</v>
      </c>
      <c r="F1118" s="8" t="s">
        <v>318</v>
      </c>
      <c r="G1118" s="7" t="s">
        <v>1837</v>
      </c>
      <c r="H1118" s="7" t="s">
        <v>1838</v>
      </c>
      <c r="I1118" s="8">
        <v>1200.0</v>
      </c>
      <c r="J1118" s="8">
        <v>3.2</v>
      </c>
      <c r="K1118" s="8" t="s">
        <v>321</v>
      </c>
      <c r="L1118" s="8" t="s">
        <v>322</v>
      </c>
      <c r="M1118" s="8" t="s">
        <v>386</v>
      </c>
      <c r="N1118" s="8">
        <v>5.3</v>
      </c>
      <c r="O1118" s="14">
        <f t="shared" si="1"/>
        <v>44470</v>
      </c>
      <c r="P1118" s="15">
        <f>IFERROR(VLOOKUP(K1118,Formula!$A$11:$B$20,2,FALSE),Formula!$C$26)</f>
        <v>0.9</v>
      </c>
      <c r="Q1118" s="15">
        <f>IF(AND(ISNUMBER(J1118),J1118&gt;0),1/J1118,IF(AND(ISNUMBER(I1118),I1118&gt;0),SQRT(MIN(I1118,Formula!$C$27))/Formula!$C$24,1/Formula!$C$25))</f>
        <v>0.3125</v>
      </c>
      <c r="R1118" s="15">
        <f t="shared" si="2"/>
        <v>0.28125</v>
      </c>
      <c r="S1118" s="15">
        <f>IF(H1118&lt;&gt;"",EXP(-Formula!$C$28*(EOMONTH(H1118,0)-H1118)),EXP(-Formula!$C$28*(EOMONTH(D1118,0)-D1118)))</f>
        <v>0.5220457768</v>
      </c>
      <c r="T1118" s="15">
        <f t="shared" si="3"/>
        <v>0.2886751346</v>
      </c>
      <c r="U1118" s="15">
        <f t="shared" si="4"/>
        <v>0.04238483481</v>
      </c>
      <c r="V1118" s="16">
        <f>IF(AND(L1118="Among all respondents",NOT(OR(K1118="Online poll in Telegram channel",K1118="Website online poll",K1118="CAWI (Computer Assisted Web Interviewing)"))),1/(1-MIN(MAX(Formula!$C$33+(YEAR(D1118)-Formula!$C$34)/(Formula!$C$35-Formula!$C$34)*(Formula!$C$32-Formula!$C$33),Formula!$C$33),Formula!$C$32)),1)</f>
        <v>1</v>
      </c>
      <c r="W1118" s="17">
        <f t="shared" si="5"/>
        <v>5.3</v>
      </c>
    </row>
    <row r="1119" ht="15.75" customHeight="1">
      <c r="A1119" s="8" t="s">
        <v>1846</v>
      </c>
      <c r="B1119" s="7" t="s">
        <v>1835</v>
      </c>
      <c r="C1119" s="13" t="s">
        <v>1836</v>
      </c>
      <c r="D1119" s="7" t="s">
        <v>174</v>
      </c>
      <c r="E1119" s="8" t="s">
        <v>72</v>
      </c>
      <c r="F1119" s="8" t="s">
        <v>318</v>
      </c>
      <c r="G1119" s="7" t="s">
        <v>1837</v>
      </c>
      <c r="H1119" s="7" t="s">
        <v>1838</v>
      </c>
      <c r="I1119" s="8">
        <v>1200.0</v>
      </c>
      <c r="J1119" s="8">
        <v>3.2</v>
      </c>
      <c r="K1119" s="8" t="s">
        <v>321</v>
      </c>
      <c r="L1119" s="8" t="s">
        <v>322</v>
      </c>
      <c r="M1119" s="8" t="s">
        <v>388</v>
      </c>
      <c r="N1119" s="8">
        <v>5.1</v>
      </c>
      <c r="O1119" s="14">
        <f t="shared" si="1"/>
        <v>44470</v>
      </c>
      <c r="P1119" s="15">
        <f>IFERROR(VLOOKUP(K1119,Formula!$A$11:$B$20,2,FALSE),Formula!$C$26)</f>
        <v>0.9</v>
      </c>
      <c r="Q1119" s="15">
        <f>IF(AND(ISNUMBER(J1119),J1119&gt;0),1/J1119,IF(AND(ISNUMBER(I1119),I1119&gt;0),SQRT(MIN(I1119,Formula!$C$27))/Formula!$C$24,1/Formula!$C$25))</f>
        <v>0.3125</v>
      </c>
      <c r="R1119" s="15">
        <f t="shared" si="2"/>
        <v>0.28125</v>
      </c>
      <c r="S1119" s="15">
        <f>IF(H1119&lt;&gt;"",EXP(-Formula!$C$28*(EOMONTH(H1119,0)-H1119)),EXP(-Formula!$C$28*(EOMONTH(D1119,0)-D1119)))</f>
        <v>0.5220457768</v>
      </c>
      <c r="T1119" s="15">
        <f t="shared" si="3"/>
        <v>0.2886751346</v>
      </c>
      <c r="U1119" s="15">
        <f t="shared" si="4"/>
        <v>0.04238483481</v>
      </c>
      <c r="V1119" s="16">
        <f>IF(AND(L1119="Among all respondents",NOT(OR(K1119="Online poll in Telegram channel",K1119="Website online poll",K1119="CAWI (Computer Assisted Web Interviewing)"))),1/(1-MIN(MAX(Formula!$C$33+(YEAR(D1119)-Formula!$C$34)/(Formula!$C$35-Formula!$C$34)*(Formula!$C$32-Formula!$C$33),Formula!$C$33),Formula!$C$32)),1)</f>
        <v>1</v>
      </c>
      <c r="W1119" s="17">
        <f t="shared" si="5"/>
        <v>5.1</v>
      </c>
    </row>
    <row r="1120" ht="15.75" customHeight="1">
      <c r="A1120" s="8" t="s">
        <v>1847</v>
      </c>
      <c r="B1120" s="7" t="s">
        <v>1835</v>
      </c>
      <c r="C1120" s="13" t="s">
        <v>1836</v>
      </c>
      <c r="D1120" s="7" t="s">
        <v>174</v>
      </c>
      <c r="E1120" s="8" t="s">
        <v>72</v>
      </c>
      <c r="F1120" s="8" t="s">
        <v>318</v>
      </c>
      <c r="G1120" s="7" t="s">
        <v>1837</v>
      </c>
      <c r="H1120" s="7" t="s">
        <v>1838</v>
      </c>
      <c r="I1120" s="8">
        <v>1200.0</v>
      </c>
      <c r="J1120" s="8">
        <v>3.2</v>
      </c>
      <c r="K1120" s="8" t="s">
        <v>321</v>
      </c>
      <c r="L1120" s="8" t="s">
        <v>322</v>
      </c>
      <c r="M1120" s="8" t="s">
        <v>1334</v>
      </c>
      <c r="N1120" s="8">
        <v>2.9</v>
      </c>
      <c r="O1120" s="14">
        <f t="shared" si="1"/>
        <v>44470</v>
      </c>
      <c r="P1120" s="15">
        <f>IFERROR(VLOOKUP(K1120,Formula!$A$11:$B$20,2,FALSE),Formula!$C$26)</f>
        <v>0.9</v>
      </c>
      <c r="Q1120" s="15">
        <f>IF(AND(ISNUMBER(J1120),J1120&gt;0),1/J1120,IF(AND(ISNUMBER(I1120),I1120&gt;0),SQRT(MIN(I1120,Formula!$C$27))/Formula!$C$24,1/Formula!$C$25))</f>
        <v>0.3125</v>
      </c>
      <c r="R1120" s="15">
        <f t="shared" si="2"/>
        <v>0.28125</v>
      </c>
      <c r="S1120" s="15">
        <f>IF(H1120&lt;&gt;"",EXP(-Formula!$C$28*(EOMONTH(H1120,0)-H1120)),EXP(-Formula!$C$28*(EOMONTH(D1120,0)-D1120)))</f>
        <v>0.5220457768</v>
      </c>
      <c r="T1120" s="15">
        <f t="shared" si="3"/>
        <v>0.2886751346</v>
      </c>
      <c r="U1120" s="15">
        <f t="shared" si="4"/>
        <v>0.04238483481</v>
      </c>
      <c r="V1120" s="16">
        <f>IF(AND(L1120="Among all respondents",NOT(OR(K1120="Online poll in Telegram channel",K1120="Website online poll",K1120="CAWI (Computer Assisted Web Interviewing)"))),1/(1-MIN(MAX(Formula!$C$33+(YEAR(D1120)-Formula!$C$34)/(Formula!$C$35-Formula!$C$34)*(Formula!$C$32-Formula!$C$33),Formula!$C$33),Formula!$C$32)),1)</f>
        <v>1</v>
      </c>
      <c r="W1120" s="17">
        <f t="shared" si="5"/>
        <v>2.9</v>
      </c>
    </row>
    <row r="1121" ht="15.75" customHeight="1">
      <c r="A1121" s="8" t="s">
        <v>1848</v>
      </c>
      <c r="B1121" s="7" t="s">
        <v>1835</v>
      </c>
      <c r="C1121" s="13" t="s">
        <v>1836</v>
      </c>
      <c r="D1121" s="7" t="s">
        <v>174</v>
      </c>
      <c r="E1121" s="8" t="s">
        <v>72</v>
      </c>
      <c r="F1121" s="8" t="s">
        <v>318</v>
      </c>
      <c r="G1121" s="7" t="s">
        <v>1837</v>
      </c>
      <c r="H1121" s="7" t="s">
        <v>1838</v>
      </c>
      <c r="I1121" s="8">
        <v>1200.0</v>
      </c>
      <c r="J1121" s="8">
        <v>3.2</v>
      </c>
      <c r="K1121" s="8" t="s">
        <v>321</v>
      </c>
      <c r="L1121" s="8" t="s">
        <v>322</v>
      </c>
      <c r="M1121" s="8" t="s">
        <v>740</v>
      </c>
      <c r="N1121" s="8">
        <v>1.3</v>
      </c>
      <c r="O1121" s="14">
        <f t="shared" si="1"/>
        <v>44470</v>
      </c>
      <c r="P1121" s="15">
        <f>IFERROR(VLOOKUP(K1121,Formula!$A$11:$B$20,2,FALSE),Formula!$C$26)</f>
        <v>0.9</v>
      </c>
      <c r="Q1121" s="15">
        <f>IF(AND(ISNUMBER(J1121),J1121&gt;0),1/J1121,IF(AND(ISNUMBER(I1121),I1121&gt;0),SQRT(MIN(I1121,Formula!$C$27))/Formula!$C$24,1/Formula!$C$25))</f>
        <v>0.3125</v>
      </c>
      <c r="R1121" s="15">
        <f t="shared" si="2"/>
        <v>0.28125</v>
      </c>
      <c r="S1121" s="15">
        <f>IF(H1121&lt;&gt;"",EXP(-Formula!$C$28*(EOMONTH(H1121,0)-H1121)),EXP(-Formula!$C$28*(EOMONTH(D1121,0)-D1121)))</f>
        <v>0.5220457768</v>
      </c>
      <c r="T1121" s="15">
        <f t="shared" si="3"/>
        <v>0.2886751346</v>
      </c>
      <c r="U1121" s="15">
        <f t="shared" si="4"/>
        <v>0.04238483481</v>
      </c>
      <c r="V1121" s="16">
        <f>IF(AND(L1121="Among all respondents",NOT(OR(K1121="Online poll in Telegram channel",K1121="Website online poll",K1121="CAWI (Computer Assisted Web Interviewing)"))),1/(1-MIN(MAX(Formula!$C$33+(YEAR(D1121)-Formula!$C$34)/(Formula!$C$35-Formula!$C$34)*(Formula!$C$32-Formula!$C$33),Formula!$C$33),Formula!$C$32)),1)</f>
        <v>1</v>
      </c>
      <c r="W1121" s="17">
        <f t="shared" si="5"/>
        <v>1.3</v>
      </c>
    </row>
    <row r="1122" ht="15.75" customHeight="1">
      <c r="A1122" s="8" t="s">
        <v>1849</v>
      </c>
      <c r="B1122" s="7" t="s">
        <v>1835</v>
      </c>
      <c r="C1122" s="13" t="s">
        <v>1836</v>
      </c>
      <c r="D1122" s="7" t="s">
        <v>174</v>
      </c>
      <c r="E1122" s="8" t="s">
        <v>72</v>
      </c>
      <c r="F1122" s="8" t="s">
        <v>318</v>
      </c>
      <c r="G1122" s="7" t="s">
        <v>1837</v>
      </c>
      <c r="H1122" s="7" t="s">
        <v>1838</v>
      </c>
      <c r="I1122" s="8">
        <v>1200.0</v>
      </c>
      <c r="J1122" s="8">
        <v>3.2</v>
      </c>
      <c r="K1122" s="8" t="s">
        <v>321</v>
      </c>
      <c r="L1122" s="8" t="s">
        <v>322</v>
      </c>
      <c r="M1122" s="8" t="s">
        <v>1171</v>
      </c>
      <c r="N1122" s="8">
        <v>0.8</v>
      </c>
      <c r="O1122" s="14">
        <f t="shared" si="1"/>
        <v>44470</v>
      </c>
      <c r="P1122" s="15">
        <f>IFERROR(VLOOKUP(K1122,Formula!$A$11:$B$20,2,FALSE),Formula!$C$26)</f>
        <v>0.9</v>
      </c>
      <c r="Q1122" s="15">
        <f>IF(AND(ISNUMBER(J1122),J1122&gt;0),1/J1122,IF(AND(ISNUMBER(I1122),I1122&gt;0),SQRT(MIN(I1122,Formula!$C$27))/Formula!$C$24,1/Formula!$C$25))</f>
        <v>0.3125</v>
      </c>
      <c r="R1122" s="15">
        <f t="shared" si="2"/>
        <v>0.28125</v>
      </c>
      <c r="S1122" s="15">
        <f>IF(H1122&lt;&gt;"",EXP(-Formula!$C$28*(EOMONTH(H1122,0)-H1122)),EXP(-Formula!$C$28*(EOMONTH(D1122,0)-D1122)))</f>
        <v>0.5220457768</v>
      </c>
      <c r="T1122" s="15">
        <f t="shared" si="3"/>
        <v>0.2886751346</v>
      </c>
      <c r="U1122" s="15">
        <f t="shared" si="4"/>
        <v>0.04238483481</v>
      </c>
      <c r="V1122" s="16">
        <f>IF(AND(L1122="Among all respondents",NOT(OR(K1122="Online poll in Telegram channel",K1122="Website online poll",K1122="CAWI (Computer Assisted Web Interviewing)"))),1/(1-MIN(MAX(Formula!$C$33+(YEAR(D1122)-Formula!$C$34)/(Formula!$C$35-Formula!$C$34)*(Formula!$C$32-Formula!$C$33),Formula!$C$33),Formula!$C$32)),1)</f>
        <v>1</v>
      </c>
      <c r="W1122" s="17">
        <f t="shared" si="5"/>
        <v>0.8</v>
      </c>
    </row>
    <row r="1123" ht="15.75" customHeight="1">
      <c r="A1123" s="8" t="s">
        <v>1850</v>
      </c>
      <c r="B1123" s="7" t="s">
        <v>1851</v>
      </c>
      <c r="C1123" s="13" t="s">
        <v>1852</v>
      </c>
      <c r="D1123" s="7" t="s">
        <v>175</v>
      </c>
      <c r="E1123" s="8" t="s">
        <v>158</v>
      </c>
      <c r="F1123" s="8" t="s">
        <v>318</v>
      </c>
      <c r="G1123" s="7" t="s">
        <v>1853</v>
      </c>
      <c r="H1123" s="7" t="s">
        <v>1854</v>
      </c>
      <c r="I1123" s="8">
        <v>2045.0</v>
      </c>
      <c r="J1123" s="8">
        <v>3.5</v>
      </c>
      <c r="K1123" s="8" t="s">
        <v>583</v>
      </c>
      <c r="L1123" s="8" t="s">
        <v>322</v>
      </c>
      <c r="M1123" s="8" t="s">
        <v>323</v>
      </c>
      <c r="N1123" s="8">
        <v>25.2</v>
      </c>
      <c r="O1123" s="14">
        <f t="shared" si="1"/>
        <v>44470</v>
      </c>
      <c r="P1123" s="15">
        <f>IFERROR(VLOOKUP(K1123,Formula!$A$11:$B$20,2,FALSE),Formula!$C$26)</f>
        <v>0.95</v>
      </c>
      <c r="Q1123" s="15">
        <f>IF(AND(ISNUMBER(J1123),J1123&gt;0),1/J1123,IF(AND(ISNUMBER(I1123),I1123&gt;0),SQRT(MIN(I1123,Formula!$C$27))/Formula!$C$24,1/Formula!$C$25))</f>
        <v>0.2857142857</v>
      </c>
      <c r="R1123" s="15">
        <f t="shared" si="2"/>
        <v>0.2714285714</v>
      </c>
      <c r="S1123" s="15">
        <f>IF(H1123&lt;&gt;"",EXP(-Formula!$C$28*(EOMONTH(H1123,0)-H1123)),EXP(-Formula!$C$28*(EOMONTH(D1123,0)-D1123)))</f>
        <v>0.3678794412</v>
      </c>
      <c r="T1123" s="15">
        <f t="shared" si="3"/>
        <v>0.2773500981</v>
      </c>
      <c r="U1123" s="15">
        <f t="shared" si="4"/>
        <v>0.0276942369</v>
      </c>
      <c r="V1123" s="16">
        <f>IF(AND(L1123="Among all respondents",NOT(OR(K1123="Online poll in Telegram channel",K1123="Website online poll",K1123="CAWI (Computer Assisted Web Interviewing)"))),1/(1-MIN(MAX(Formula!$C$33+(YEAR(D1123)-Formula!$C$34)/(Formula!$C$35-Formula!$C$34)*(Formula!$C$32-Formula!$C$33),Formula!$C$33),Formula!$C$32)),1)</f>
        <v>1</v>
      </c>
      <c r="W1123" s="17">
        <f t="shared" si="5"/>
        <v>25.2</v>
      </c>
    </row>
    <row r="1124" ht="15.75" customHeight="1">
      <c r="A1124" s="8" t="s">
        <v>1855</v>
      </c>
      <c r="B1124" s="7" t="s">
        <v>1851</v>
      </c>
      <c r="C1124" s="13" t="s">
        <v>1852</v>
      </c>
      <c r="D1124" s="7" t="s">
        <v>175</v>
      </c>
      <c r="E1124" s="8" t="s">
        <v>158</v>
      </c>
      <c r="F1124" s="8" t="s">
        <v>318</v>
      </c>
      <c r="G1124" s="7" t="s">
        <v>1853</v>
      </c>
      <c r="H1124" s="7" t="s">
        <v>1854</v>
      </c>
      <c r="I1124" s="8">
        <v>2045.0</v>
      </c>
      <c r="J1124" s="8">
        <v>3.5</v>
      </c>
      <c r="K1124" s="8" t="s">
        <v>583</v>
      </c>
      <c r="L1124" s="8" t="s">
        <v>322</v>
      </c>
      <c r="M1124" s="8" t="s">
        <v>329</v>
      </c>
      <c r="N1124" s="8">
        <v>14.9</v>
      </c>
      <c r="O1124" s="14">
        <f t="shared" si="1"/>
        <v>44470</v>
      </c>
      <c r="P1124" s="15">
        <f>IFERROR(VLOOKUP(K1124,Formula!$A$11:$B$20,2,FALSE),Formula!$C$26)</f>
        <v>0.95</v>
      </c>
      <c r="Q1124" s="15">
        <f>IF(AND(ISNUMBER(J1124),J1124&gt;0),1/J1124,IF(AND(ISNUMBER(I1124),I1124&gt;0),SQRT(MIN(I1124,Formula!$C$27))/Formula!$C$24,1/Formula!$C$25))</f>
        <v>0.2857142857</v>
      </c>
      <c r="R1124" s="15">
        <f t="shared" si="2"/>
        <v>0.2714285714</v>
      </c>
      <c r="S1124" s="15">
        <f>IF(H1124&lt;&gt;"",EXP(-Formula!$C$28*(EOMONTH(H1124,0)-H1124)),EXP(-Formula!$C$28*(EOMONTH(D1124,0)-D1124)))</f>
        <v>0.3678794412</v>
      </c>
      <c r="T1124" s="15">
        <f t="shared" si="3"/>
        <v>0.2773500981</v>
      </c>
      <c r="U1124" s="15">
        <f t="shared" si="4"/>
        <v>0.0276942369</v>
      </c>
      <c r="V1124" s="16">
        <f>IF(AND(L1124="Among all respondents",NOT(OR(K1124="Online poll in Telegram channel",K1124="Website online poll",K1124="CAWI (Computer Assisted Web Interviewing)"))),1/(1-MIN(MAX(Formula!$C$33+(YEAR(D1124)-Formula!$C$34)/(Formula!$C$35-Formula!$C$34)*(Formula!$C$32-Formula!$C$33),Formula!$C$33),Formula!$C$32)),1)</f>
        <v>1</v>
      </c>
      <c r="W1124" s="17">
        <f t="shared" si="5"/>
        <v>14.9</v>
      </c>
    </row>
    <row r="1125" ht="15.75" customHeight="1">
      <c r="A1125" s="8" t="s">
        <v>1856</v>
      </c>
      <c r="B1125" s="7" t="s">
        <v>1851</v>
      </c>
      <c r="C1125" s="13" t="s">
        <v>1852</v>
      </c>
      <c r="D1125" s="7" t="s">
        <v>175</v>
      </c>
      <c r="E1125" s="8" t="s">
        <v>158</v>
      </c>
      <c r="F1125" s="8" t="s">
        <v>318</v>
      </c>
      <c r="G1125" s="7" t="s">
        <v>1853</v>
      </c>
      <c r="H1125" s="7" t="s">
        <v>1854</v>
      </c>
      <c r="I1125" s="8">
        <v>2045.0</v>
      </c>
      <c r="J1125" s="8">
        <v>3.5</v>
      </c>
      <c r="K1125" s="8" t="s">
        <v>583</v>
      </c>
      <c r="L1125" s="8" t="s">
        <v>322</v>
      </c>
      <c r="M1125" s="8" t="s">
        <v>365</v>
      </c>
      <c r="N1125" s="8">
        <v>14.2</v>
      </c>
      <c r="O1125" s="14">
        <f t="shared" si="1"/>
        <v>44470</v>
      </c>
      <c r="P1125" s="15">
        <f>IFERROR(VLOOKUP(K1125,Formula!$A$11:$B$20,2,FALSE),Formula!$C$26)</f>
        <v>0.95</v>
      </c>
      <c r="Q1125" s="15">
        <f>IF(AND(ISNUMBER(J1125),J1125&gt;0),1/J1125,IF(AND(ISNUMBER(I1125),I1125&gt;0),SQRT(MIN(I1125,Formula!$C$27))/Formula!$C$24,1/Formula!$C$25))</f>
        <v>0.2857142857</v>
      </c>
      <c r="R1125" s="15">
        <f t="shared" si="2"/>
        <v>0.2714285714</v>
      </c>
      <c r="S1125" s="15">
        <f>IF(H1125&lt;&gt;"",EXP(-Formula!$C$28*(EOMONTH(H1125,0)-H1125)),EXP(-Formula!$C$28*(EOMONTH(D1125,0)-D1125)))</f>
        <v>0.3678794412</v>
      </c>
      <c r="T1125" s="15">
        <f t="shared" si="3"/>
        <v>0.2773500981</v>
      </c>
      <c r="U1125" s="15">
        <f t="shared" si="4"/>
        <v>0.0276942369</v>
      </c>
      <c r="V1125" s="16">
        <f>IF(AND(L1125="Among all respondents",NOT(OR(K1125="Online poll in Telegram channel",K1125="Website online poll",K1125="CAWI (Computer Assisted Web Interviewing)"))),1/(1-MIN(MAX(Formula!$C$33+(YEAR(D1125)-Formula!$C$34)/(Formula!$C$35-Formula!$C$34)*(Formula!$C$32-Formula!$C$33),Formula!$C$33),Formula!$C$32)),1)</f>
        <v>1</v>
      </c>
      <c r="W1125" s="17">
        <f t="shared" si="5"/>
        <v>14.2</v>
      </c>
    </row>
    <row r="1126" ht="15.75" customHeight="1">
      <c r="A1126" s="8" t="s">
        <v>1857</v>
      </c>
      <c r="B1126" s="7" t="s">
        <v>1851</v>
      </c>
      <c r="C1126" s="13" t="s">
        <v>1852</v>
      </c>
      <c r="D1126" s="7" t="s">
        <v>175</v>
      </c>
      <c r="E1126" s="8" t="s">
        <v>158</v>
      </c>
      <c r="F1126" s="8" t="s">
        <v>318</v>
      </c>
      <c r="G1126" s="7" t="s">
        <v>1853</v>
      </c>
      <c r="H1126" s="7" t="s">
        <v>1854</v>
      </c>
      <c r="I1126" s="8">
        <v>2045.0</v>
      </c>
      <c r="J1126" s="8">
        <v>3.5</v>
      </c>
      <c r="K1126" s="8" t="s">
        <v>583</v>
      </c>
      <c r="L1126" s="8" t="s">
        <v>322</v>
      </c>
      <c r="M1126" s="8" t="s">
        <v>337</v>
      </c>
      <c r="N1126" s="8">
        <v>11.8</v>
      </c>
      <c r="O1126" s="14">
        <f t="shared" si="1"/>
        <v>44470</v>
      </c>
      <c r="P1126" s="15">
        <f>IFERROR(VLOOKUP(K1126,Formula!$A$11:$B$20,2,FALSE),Formula!$C$26)</f>
        <v>0.95</v>
      </c>
      <c r="Q1126" s="15">
        <f>IF(AND(ISNUMBER(J1126),J1126&gt;0),1/J1126,IF(AND(ISNUMBER(I1126),I1126&gt;0),SQRT(MIN(I1126,Formula!$C$27))/Formula!$C$24,1/Formula!$C$25))</f>
        <v>0.2857142857</v>
      </c>
      <c r="R1126" s="15">
        <f t="shared" si="2"/>
        <v>0.2714285714</v>
      </c>
      <c r="S1126" s="15">
        <f>IF(H1126&lt;&gt;"",EXP(-Formula!$C$28*(EOMONTH(H1126,0)-H1126)),EXP(-Formula!$C$28*(EOMONTH(D1126,0)-D1126)))</f>
        <v>0.3678794412</v>
      </c>
      <c r="T1126" s="15">
        <f t="shared" si="3"/>
        <v>0.2773500981</v>
      </c>
      <c r="U1126" s="15">
        <f t="shared" si="4"/>
        <v>0.0276942369</v>
      </c>
      <c r="V1126" s="16">
        <f>IF(AND(L1126="Among all respondents",NOT(OR(K1126="Online poll in Telegram channel",K1126="Website online poll",K1126="CAWI (Computer Assisted Web Interviewing)"))),1/(1-MIN(MAX(Formula!$C$33+(YEAR(D1126)-Formula!$C$34)/(Formula!$C$35-Formula!$C$34)*(Formula!$C$32-Formula!$C$33),Formula!$C$33),Formula!$C$32)),1)</f>
        <v>1</v>
      </c>
      <c r="W1126" s="17">
        <f t="shared" si="5"/>
        <v>11.8</v>
      </c>
    </row>
    <row r="1127" ht="15.75" customHeight="1">
      <c r="A1127" s="8" t="s">
        <v>1858</v>
      </c>
      <c r="B1127" s="7" t="s">
        <v>1851</v>
      </c>
      <c r="C1127" s="13" t="s">
        <v>1852</v>
      </c>
      <c r="D1127" s="7" t="s">
        <v>175</v>
      </c>
      <c r="E1127" s="8" t="s">
        <v>158</v>
      </c>
      <c r="F1127" s="8" t="s">
        <v>318</v>
      </c>
      <c r="G1127" s="7" t="s">
        <v>1853</v>
      </c>
      <c r="H1127" s="7" t="s">
        <v>1854</v>
      </c>
      <c r="I1127" s="8">
        <v>2045.0</v>
      </c>
      <c r="J1127" s="8">
        <v>3.5</v>
      </c>
      <c r="K1127" s="8" t="s">
        <v>583</v>
      </c>
      <c r="L1127" s="8" t="s">
        <v>322</v>
      </c>
      <c r="M1127" s="8" t="s">
        <v>828</v>
      </c>
      <c r="N1127" s="8">
        <v>6.5</v>
      </c>
      <c r="O1127" s="14">
        <f t="shared" si="1"/>
        <v>44470</v>
      </c>
      <c r="P1127" s="15">
        <f>IFERROR(VLOOKUP(K1127,Formula!$A$11:$B$20,2,FALSE),Formula!$C$26)</f>
        <v>0.95</v>
      </c>
      <c r="Q1127" s="15">
        <f>IF(AND(ISNUMBER(J1127),J1127&gt;0),1/J1127,IF(AND(ISNUMBER(I1127),I1127&gt;0),SQRT(MIN(I1127,Formula!$C$27))/Formula!$C$24,1/Formula!$C$25))</f>
        <v>0.2857142857</v>
      </c>
      <c r="R1127" s="15">
        <f t="shared" si="2"/>
        <v>0.2714285714</v>
      </c>
      <c r="S1127" s="15">
        <f>IF(H1127&lt;&gt;"",EXP(-Formula!$C$28*(EOMONTH(H1127,0)-H1127)),EXP(-Formula!$C$28*(EOMONTH(D1127,0)-D1127)))</f>
        <v>0.3678794412</v>
      </c>
      <c r="T1127" s="15">
        <f t="shared" si="3"/>
        <v>0.2773500981</v>
      </c>
      <c r="U1127" s="15">
        <f t="shared" si="4"/>
        <v>0.0276942369</v>
      </c>
      <c r="V1127" s="16">
        <f>IF(AND(L1127="Among all respondents",NOT(OR(K1127="Online poll in Telegram channel",K1127="Website online poll",K1127="CAWI (Computer Assisted Web Interviewing)"))),1/(1-MIN(MAX(Formula!$C$33+(YEAR(D1127)-Formula!$C$34)/(Formula!$C$35-Formula!$C$34)*(Formula!$C$32-Formula!$C$33),Formula!$C$33),Formula!$C$32)),1)</f>
        <v>1</v>
      </c>
      <c r="W1127" s="17">
        <f t="shared" si="5"/>
        <v>6.5</v>
      </c>
    </row>
    <row r="1128" ht="15.75" customHeight="1">
      <c r="A1128" s="8" t="s">
        <v>1859</v>
      </c>
      <c r="B1128" s="7" t="s">
        <v>1851</v>
      </c>
      <c r="C1128" s="13" t="s">
        <v>1852</v>
      </c>
      <c r="D1128" s="7" t="s">
        <v>175</v>
      </c>
      <c r="E1128" s="8" t="s">
        <v>158</v>
      </c>
      <c r="F1128" s="8" t="s">
        <v>318</v>
      </c>
      <c r="G1128" s="7" t="s">
        <v>1853</v>
      </c>
      <c r="H1128" s="7" t="s">
        <v>1854</v>
      </c>
      <c r="I1128" s="8">
        <v>2045.0</v>
      </c>
      <c r="J1128" s="8">
        <v>3.5</v>
      </c>
      <c r="K1128" s="8" t="s">
        <v>583</v>
      </c>
      <c r="L1128" s="8" t="s">
        <v>322</v>
      </c>
      <c r="M1128" s="8" t="s">
        <v>333</v>
      </c>
      <c r="N1128" s="8">
        <v>5.8</v>
      </c>
      <c r="O1128" s="14">
        <f t="shared" si="1"/>
        <v>44470</v>
      </c>
      <c r="P1128" s="15">
        <f>IFERROR(VLOOKUP(K1128,Formula!$A$11:$B$20,2,FALSE),Formula!$C$26)</f>
        <v>0.95</v>
      </c>
      <c r="Q1128" s="15">
        <f>IF(AND(ISNUMBER(J1128),J1128&gt;0),1/J1128,IF(AND(ISNUMBER(I1128),I1128&gt;0),SQRT(MIN(I1128,Formula!$C$27))/Formula!$C$24,1/Formula!$C$25))</f>
        <v>0.2857142857</v>
      </c>
      <c r="R1128" s="15">
        <f t="shared" si="2"/>
        <v>0.2714285714</v>
      </c>
      <c r="S1128" s="15">
        <f>IF(H1128&lt;&gt;"",EXP(-Formula!$C$28*(EOMONTH(H1128,0)-H1128)),EXP(-Formula!$C$28*(EOMONTH(D1128,0)-D1128)))</f>
        <v>0.3678794412</v>
      </c>
      <c r="T1128" s="15">
        <f t="shared" si="3"/>
        <v>0.2773500981</v>
      </c>
      <c r="U1128" s="15">
        <f t="shared" si="4"/>
        <v>0.0276942369</v>
      </c>
      <c r="V1128" s="16">
        <f>IF(AND(L1128="Among all respondents",NOT(OR(K1128="Online poll in Telegram channel",K1128="Website online poll",K1128="CAWI (Computer Assisted Web Interviewing)"))),1/(1-MIN(MAX(Formula!$C$33+(YEAR(D1128)-Formula!$C$34)/(Formula!$C$35-Formula!$C$34)*(Formula!$C$32-Formula!$C$33),Formula!$C$33),Formula!$C$32)),1)</f>
        <v>1</v>
      </c>
      <c r="W1128" s="17">
        <f t="shared" si="5"/>
        <v>5.8</v>
      </c>
    </row>
    <row r="1129" ht="15.75" customHeight="1">
      <c r="A1129" s="8" t="s">
        <v>1860</v>
      </c>
      <c r="B1129" s="7" t="s">
        <v>1851</v>
      </c>
      <c r="C1129" s="13" t="s">
        <v>1852</v>
      </c>
      <c r="D1129" s="7" t="s">
        <v>175</v>
      </c>
      <c r="E1129" s="8" t="s">
        <v>158</v>
      </c>
      <c r="F1129" s="8" t="s">
        <v>318</v>
      </c>
      <c r="G1129" s="7" t="s">
        <v>1853</v>
      </c>
      <c r="H1129" s="7" t="s">
        <v>1854</v>
      </c>
      <c r="I1129" s="8">
        <v>2045.0</v>
      </c>
      <c r="J1129" s="8">
        <v>3.5</v>
      </c>
      <c r="K1129" s="8" t="s">
        <v>583</v>
      </c>
      <c r="L1129" s="8" t="s">
        <v>322</v>
      </c>
      <c r="M1129" s="8" t="s">
        <v>1153</v>
      </c>
      <c r="N1129" s="8">
        <v>5.1</v>
      </c>
      <c r="O1129" s="14">
        <f t="shared" si="1"/>
        <v>44470</v>
      </c>
      <c r="P1129" s="15">
        <f>IFERROR(VLOOKUP(K1129,Formula!$A$11:$B$20,2,FALSE),Formula!$C$26)</f>
        <v>0.95</v>
      </c>
      <c r="Q1129" s="15">
        <f>IF(AND(ISNUMBER(J1129),J1129&gt;0),1/J1129,IF(AND(ISNUMBER(I1129),I1129&gt;0),SQRT(MIN(I1129,Formula!$C$27))/Formula!$C$24,1/Formula!$C$25))</f>
        <v>0.2857142857</v>
      </c>
      <c r="R1129" s="15">
        <f t="shared" si="2"/>
        <v>0.2714285714</v>
      </c>
      <c r="S1129" s="15">
        <f>IF(H1129&lt;&gt;"",EXP(-Formula!$C$28*(EOMONTH(H1129,0)-H1129)),EXP(-Formula!$C$28*(EOMONTH(D1129,0)-D1129)))</f>
        <v>0.3678794412</v>
      </c>
      <c r="T1129" s="15">
        <f t="shared" si="3"/>
        <v>0.2773500981</v>
      </c>
      <c r="U1129" s="15">
        <f t="shared" si="4"/>
        <v>0.0276942369</v>
      </c>
      <c r="V1129" s="16">
        <f>IF(AND(L1129="Among all respondents",NOT(OR(K1129="Online poll in Telegram channel",K1129="Website online poll",K1129="CAWI (Computer Assisted Web Interviewing)"))),1/(1-MIN(MAX(Formula!$C$33+(YEAR(D1129)-Formula!$C$34)/(Formula!$C$35-Formula!$C$34)*(Formula!$C$32-Formula!$C$33),Formula!$C$33),Formula!$C$32)),1)</f>
        <v>1</v>
      </c>
      <c r="W1129" s="17">
        <f t="shared" si="5"/>
        <v>5.1</v>
      </c>
    </row>
    <row r="1130" ht="15.75" customHeight="1">
      <c r="A1130" s="8" t="s">
        <v>1861</v>
      </c>
      <c r="B1130" s="7" t="s">
        <v>1851</v>
      </c>
      <c r="C1130" s="13" t="s">
        <v>1852</v>
      </c>
      <c r="D1130" s="7" t="s">
        <v>175</v>
      </c>
      <c r="E1130" s="8" t="s">
        <v>158</v>
      </c>
      <c r="F1130" s="8" t="s">
        <v>318</v>
      </c>
      <c r="G1130" s="7" t="s">
        <v>1853</v>
      </c>
      <c r="H1130" s="7" t="s">
        <v>1854</v>
      </c>
      <c r="I1130" s="8">
        <v>2045.0</v>
      </c>
      <c r="J1130" s="8">
        <v>3.5</v>
      </c>
      <c r="K1130" s="8" t="s">
        <v>583</v>
      </c>
      <c r="L1130" s="8" t="s">
        <v>322</v>
      </c>
      <c r="M1130" s="8" t="s">
        <v>386</v>
      </c>
      <c r="N1130" s="8">
        <v>4.3</v>
      </c>
      <c r="O1130" s="14">
        <f t="shared" si="1"/>
        <v>44470</v>
      </c>
      <c r="P1130" s="15">
        <f>IFERROR(VLOOKUP(K1130,Formula!$A$11:$B$20,2,FALSE),Formula!$C$26)</f>
        <v>0.95</v>
      </c>
      <c r="Q1130" s="15">
        <f>IF(AND(ISNUMBER(J1130),J1130&gt;0),1/J1130,IF(AND(ISNUMBER(I1130),I1130&gt;0),SQRT(MIN(I1130,Formula!$C$27))/Formula!$C$24,1/Formula!$C$25))</f>
        <v>0.2857142857</v>
      </c>
      <c r="R1130" s="15">
        <f t="shared" si="2"/>
        <v>0.2714285714</v>
      </c>
      <c r="S1130" s="15">
        <f>IF(H1130&lt;&gt;"",EXP(-Formula!$C$28*(EOMONTH(H1130,0)-H1130)),EXP(-Formula!$C$28*(EOMONTH(D1130,0)-D1130)))</f>
        <v>0.3678794412</v>
      </c>
      <c r="T1130" s="15">
        <f t="shared" si="3"/>
        <v>0.2773500981</v>
      </c>
      <c r="U1130" s="15">
        <f t="shared" si="4"/>
        <v>0.0276942369</v>
      </c>
      <c r="V1130" s="16">
        <f>IF(AND(L1130="Among all respondents",NOT(OR(K1130="Online poll in Telegram channel",K1130="Website online poll",K1130="CAWI (Computer Assisted Web Interviewing)"))),1/(1-MIN(MAX(Formula!$C$33+(YEAR(D1130)-Formula!$C$34)/(Formula!$C$35-Formula!$C$34)*(Formula!$C$32-Formula!$C$33),Formula!$C$33),Formula!$C$32)),1)</f>
        <v>1</v>
      </c>
      <c r="W1130" s="17">
        <f t="shared" si="5"/>
        <v>4.3</v>
      </c>
    </row>
    <row r="1131" ht="15.75" customHeight="1">
      <c r="A1131" s="8" t="s">
        <v>1862</v>
      </c>
      <c r="B1131" s="7" t="s">
        <v>1851</v>
      </c>
      <c r="C1131" s="13" t="s">
        <v>1852</v>
      </c>
      <c r="D1131" s="7" t="s">
        <v>175</v>
      </c>
      <c r="E1131" s="8" t="s">
        <v>158</v>
      </c>
      <c r="F1131" s="8" t="s">
        <v>318</v>
      </c>
      <c r="G1131" s="7" t="s">
        <v>1853</v>
      </c>
      <c r="H1131" s="7" t="s">
        <v>1854</v>
      </c>
      <c r="I1131" s="8">
        <v>2045.0</v>
      </c>
      <c r="J1131" s="8">
        <v>3.5</v>
      </c>
      <c r="K1131" s="8" t="s">
        <v>583</v>
      </c>
      <c r="L1131" s="8" t="s">
        <v>322</v>
      </c>
      <c r="M1131" s="8" t="s">
        <v>388</v>
      </c>
      <c r="N1131" s="8">
        <v>3.2</v>
      </c>
      <c r="O1131" s="14">
        <f t="shared" si="1"/>
        <v>44470</v>
      </c>
      <c r="P1131" s="15">
        <f>IFERROR(VLOOKUP(K1131,Formula!$A$11:$B$20,2,FALSE),Formula!$C$26)</f>
        <v>0.95</v>
      </c>
      <c r="Q1131" s="15">
        <f>IF(AND(ISNUMBER(J1131),J1131&gt;0),1/J1131,IF(AND(ISNUMBER(I1131),I1131&gt;0),SQRT(MIN(I1131,Formula!$C$27))/Formula!$C$24,1/Formula!$C$25))</f>
        <v>0.2857142857</v>
      </c>
      <c r="R1131" s="15">
        <f t="shared" si="2"/>
        <v>0.2714285714</v>
      </c>
      <c r="S1131" s="15">
        <f>IF(H1131&lt;&gt;"",EXP(-Formula!$C$28*(EOMONTH(H1131,0)-H1131)),EXP(-Formula!$C$28*(EOMONTH(D1131,0)-D1131)))</f>
        <v>0.3678794412</v>
      </c>
      <c r="T1131" s="15">
        <f t="shared" si="3"/>
        <v>0.2773500981</v>
      </c>
      <c r="U1131" s="15">
        <f t="shared" si="4"/>
        <v>0.0276942369</v>
      </c>
      <c r="V1131" s="16">
        <f>IF(AND(L1131="Among all respondents",NOT(OR(K1131="Online poll in Telegram channel",K1131="Website online poll",K1131="CAWI (Computer Assisted Web Interviewing)"))),1/(1-MIN(MAX(Formula!$C$33+(YEAR(D1131)-Formula!$C$34)/(Formula!$C$35-Formula!$C$34)*(Formula!$C$32-Formula!$C$33),Formula!$C$33),Formula!$C$32)),1)</f>
        <v>1</v>
      </c>
      <c r="W1131" s="17">
        <f t="shared" si="5"/>
        <v>3.2</v>
      </c>
    </row>
    <row r="1132" ht="15.75" customHeight="1">
      <c r="A1132" s="8" t="s">
        <v>1863</v>
      </c>
      <c r="B1132" s="7" t="s">
        <v>1851</v>
      </c>
      <c r="C1132" s="13" t="s">
        <v>1852</v>
      </c>
      <c r="D1132" s="7" t="s">
        <v>175</v>
      </c>
      <c r="E1132" s="8" t="s">
        <v>158</v>
      </c>
      <c r="F1132" s="8" t="s">
        <v>318</v>
      </c>
      <c r="G1132" s="7" t="s">
        <v>1853</v>
      </c>
      <c r="H1132" s="7" t="s">
        <v>1854</v>
      </c>
      <c r="I1132" s="8">
        <v>2045.0</v>
      </c>
      <c r="J1132" s="8">
        <v>3.5</v>
      </c>
      <c r="K1132" s="8" t="s">
        <v>583</v>
      </c>
      <c r="L1132" s="8" t="s">
        <v>322</v>
      </c>
      <c r="M1132" s="8" t="s">
        <v>343</v>
      </c>
      <c r="N1132" s="8">
        <v>1.8</v>
      </c>
      <c r="O1132" s="14">
        <f t="shared" si="1"/>
        <v>44470</v>
      </c>
      <c r="P1132" s="15">
        <f>IFERROR(VLOOKUP(K1132,Formula!$A$11:$B$20,2,FALSE),Formula!$C$26)</f>
        <v>0.95</v>
      </c>
      <c r="Q1132" s="15">
        <f>IF(AND(ISNUMBER(J1132),J1132&gt;0),1/J1132,IF(AND(ISNUMBER(I1132),I1132&gt;0),SQRT(MIN(I1132,Formula!$C$27))/Formula!$C$24,1/Formula!$C$25))</f>
        <v>0.2857142857</v>
      </c>
      <c r="R1132" s="15">
        <f t="shared" si="2"/>
        <v>0.2714285714</v>
      </c>
      <c r="S1132" s="15">
        <f>IF(H1132&lt;&gt;"",EXP(-Formula!$C$28*(EOMONTH(H1132,0)-H1132)),EXP(-Formula!$C$28*(EOMONTH(D1132,0)-D1132)))</f>
        <v>0.3678794412</v>
      </c>
      <c r="T1132" s="15">
        <f t="shared" si="3"/>
        <v>0.2773500981</v>
      </c>
      <c r="U1132" s="15">
        <f t="shared" si="4"/>
        <v>0.0276942369</v>
      </c>
      <c r="V1132" s="16">
        <f>IF(AND(L1132="Among all respondents",NOT(OR(K1132="Online poll in Telegram channel",K1132="Website online poll",K1132="CAWI (Computer Assisted Web Interviewing)"))),1/(1-MIN(MAX(Formula!$C$33+(YEAR(D1132)-Formula!$C$34)/(Formula!$C$35-Formula!$C$34)*(Formula!$C$32-Formula!$C$33),Formula!$C$33),Formula!$C$32)),1)</f>
        <v>1</v>
      </c>
      <c r="W1132" s="17">
        <f t="shared" si="5"/>
        <v>1.8</v>
      </c>
    </row>
    <row r="1133" ht="15.75" customHeight="1">
      <c r="A1133" s="8" t="s">
        <v>1864</v>
      </c>
      <c r="B1133" s="7" t="s">
        <v>1851</v>
      </c>
      <c r="C1133" s="13" t="s">
        <v>1852</v>
      </c>
      <c r="D1133" s="7" t="s">
        <v>175</v>
      </c>
      <c r="E1133" s="8" t="s">
        <v>158</v>
      </c>
      <c r="F1133" s="8" t="s">
        <v>318</v>
      </c>
      <c r="G1133" s="7" t="s">
        <v>1853</v>
      </c>
      <c r="H1133" s="7" t="s">
        <v>1854</v>
      </c>
      <c r="I1133" s="8">
        <v>2045.0</v>
      </c>
      <c r="J1133" s="8">
        <v>3.5</v>
      </c>
      <c r="K1133" s="8" t="s">
        <v>583</v>
      </c>
      <c r="L1133" s="8" t="s">
        <v>322</v>
      </c>
      <c r="M1133" s="8" t="s">
        <v>740</v>
      </c>
      <c r="N1133" s="8">
        <v>1.2</v>
      </c>
      <c r="O1133" s="14">
        <f t="shared" si="1"/>
        <v>44470</v>
      </c>
      <c r="P1133" s="15">
        <f>IFERROR(VLOOKUP(K1133,Formula!$A$11:$B$20,2,FALSE),Formula!$C$26)</f>
        <v>0.95</v>
      </c>
      <c r="Q1133" s="15">
        <f>IF(AND(ISNUMBER(J1133),J1133&gt;0),1/J1133,IF(AND(ISNUMBER(I1133),I1133&gt;0),SQRT(MIN(I1133,Formula!$C$27))/Formula!$C$24,1/Formula!$C$25))</f>
        <v>0.2857142857</v>
      </c>
      <c r="R1133" s="15">
        <f t="shared" si="2"/>
        <v>0.2714285714</v>
      </c>
      <c r="S1133" s="15">
        <f>IF(H1133&lt;&gt;"",EXP(-Formula!$C$28*(EOMONTH(H1133,0)-H1133)),EXP(-Formula!$C$28*(EOMONTH(D1133,0)-D1133)))</f>
        <v>0.3678794412</v>
      </c>
      <c r="T1133" s="15">
        <f t="shared" si="3"/>
        <v>0.2773500981</v>
      </c>
      <c r="U1133" s="15">
        <f t="shared" si="4"/>
        <v>0.0276942369</v>
      </c>
      <c r="V1133" s="16">
        <f>IF(AND(L1133="Among all respondents",NOT(OR(K1133="Online poll in Telegram channel",K1133="Website online poll",K1133="CAWI (Computer Assisted Web Interviewing)"))),1/(1-MIN(MAX(Formula!$C$33+(YEAR(D1133)-Formula!$C$34)/(Formula!$C$35-Formula!$C$34)*(Formula!$C$32-Formula!$C$33),Formula!$C$33),Formula!$C$32)),1)</f>
        <v>1</v>
      </c>
      <c r="W1133" s="17">
        <f t="shared" si="5"/>
        <v>1.2</v>
      </c>
    </row>
    <row r="1134" ht="15.75" customHeight="1">
      <c r="A1134" s="8" t="s">
        <v>1865</v>
      </c>
      <c r="B1134" s="7" t="s">
        <v>1851</v>
      </c>
      <c r="C1134" s="13" t="s">
        <v>1852</v>
      </c>
      <c r="D1134" s="7" t="s">
        <v>175</v>
      </c>
      <c r="E1134" s="8" t="s">
        <v>158</v>
      </c>
      <c r="F1134" s="8" t="s">
        <v>318</v>
      </c>
      <c r="G1134" s="7" t="s">
        <v>1853</v>
      </c>
      <c r="H1134" s="7" t="s">
        <v>1854</v>
      </c>
      <c r="I1134" s="8">
        <v>2045.0</v>
      </c>
      <c r="J1134" s="8">
        <v>3.5</v>
      </c>
      <c r="K1134" s="8" t="s">
        <v>583</v>
      </c>
      <c r="L1134" s="8" t="s">
        <v>322</v>
      </c>
      <c r="M1134" s="8" t="s">
        <v>1661</v>
      </c>
      <c r="N1134" s="8">
        <v>0.5</v>
      </c>
      <c r="O1134" s="14">
        <f t="shared" si="1"/>
        <v>44470</v>
      </c>
      <c r="P1134" s="15">
        <f>IFERROR(VLOOKUP(K1134,Formula!$A$11:$B$20,2,FALSE),Formula!$C$26)</f>
        <v>0.95</v>
      </c>
      <c r="Q1134" s="15">
        <f>IF(AND(ISNUMBER(J1134),J1134&gt;0),1/J1134,IF(AND(ISNUMBER(I1134),I1134&gt;0),SQRT(MIN(I1134,Formula!$C$27))/Formula!$C$24,1/Formula!$C$25))</f>
        <v>0.2857142857</v>
      </c>
      <c r="R1134" s="15">
        <f t="shared" si="2"/>
        <v>0.2714285714</v>
      </c>
      <c r="S1134" s="15">
        <f>IF(H1134&lt;&gt;"",EXP(-Formula!$C$28*(EOMONTH(H1134,0)-H1134)),EXP(-Formula!$C$28*(EOMONTH(D1134,0)-D1134)))</f>
        <v>0.3678794412</v>
      </c>
      <c r="T1134" s="15">
        <f t="shared" si="3"/>
        <v>0.2773500981</v>
      </c>
      <c r="U1134" s="15">
        <f t="shared" si="4"/>
        <v>0.0276942369</v>
      </c>
      <c r="V1134" s="16">
        <f>IF(AND(L1134="Among all respondents",NOT(OR(K1134="Online poll in Telegram channel",K1134="Website online poll",K1134="CAWI (Computer Assisted Web Interviewing)"))),1/(1-MIN(MAX(Formula!$C$33+(YEAR(D1134)-Formula!$C$34)/(Formula!$C$35-Formula!$C$34)*(Formula!$C$32-Formula!$C$33),Formula!$C$33),Formula!$C$32)),1)</f>
        <v>1</v>
      </c>
      <c r="W1134" s="17">
        <f t="shared" si="5"/>
        <v>0.5</v>
      </c>
    </row>
    <row r="1135" ht="15.75" customHeight="1">
      <c r="A1135" s="8" t="s">
        <v>1866</v>
      </c>
      <c r="B1135" s="7" t="s">
        <v>1851</v>
      </c>
      <c r="C1135" s="13" t="s">
        <v>1852</v>
      </c>
      <c r="D1135" s="7" t="s">
        <v>175</v>
      </c>
      <c r="E1135" s="8" t="s">
        <v>158</v>
      </c>
      <c r="F1135" s="8" t="s">
        <v>318</v>
      </c>
      <c r="G1135" s="7" t="s">
        <v>1853</v>
      </c>
      <c r="H1135" s="7" t="s">
        <v>1854</v>
      </c>
      <c r="I1135" s="8">
        <v>2045.0</v>
      </c>
      <c r="J1135" s="8">
        <v>3.5</v>
      </c>
      <c r="K1135" s="8" t="s">
        <v>583</v>
      </c>
      <c r="L1135" s="8" t="s">
        <v>322</v>
      </c>
      <c r="M1135" s="8" t="s">
        <v>1663</v>
      </c>
      <c r="N1135" s="8">
        <v>0.4</v>
      </c>
      <c r="O1135" s="14">
        <f t="shared" si="1"/>
        <v>44470</v>
      </c>
      <c r="P1135" s="15">
        <f>IFERROR(VLOOKUP(K1135,Formula!$A$11:$B$20,2,FALSE),Formula!$C$26)</f>
        <v>0.95</v>
      </c>
      <c r="Q1135" s="15">
        <f>IF(AND(ISNUMBER(J1135),J1135&gt;0),1/J1135,IF(AND(ISNUMBER(I1135),I1135&gt;0),SQRT(MIN(I1135,Formula!$C$27))/Formula!$C$24,1/Formula!$C$25))</f>
        <v>0.2857142857</v>
      </c>
      <c r="R1135" s="15">
        <f t="shared" si="2"/>
        <v>0.2714285714</v>
      </c>
      <c r="S1135" s="15">
        <f>IF(H1135&lt;&gt;"",EXP(-Formula!$C$28*(EOMONTH(H1135,0)-H1135)),EXP(-Formula!$C$28*(EOMONTH(D1135,0)-D1135)))</f>
        <v>0.3678794412</v>
      </c>
      <c r="T1135" s="15">
        <f t="shared" si="3"/>
        <v>0.2773500981</v>
      </c>
      <c r="U1135" s="15">
        <f t="shared" si="4"/>
        <v>0.0276942369</v>
      </c>
      <c r="V1135" s="16">
        <f>IF(AND(L1135="Among all respondents",NOT(OR(K1135="Online poll in Telegram channel",K1135="Website online poll",K1135="CAWI (Computer Assisted Web Interviewing)"))),1/(1-MIN(MAX(Formula!$C$33+(YEAR(D1135)-Formula!$C$34)/(Formula!$C$35-Formula!$C$34)*(Formula!$C$32-Formula!$C$33),Formula!$C$33),Formula!$C$32)),1)</f>
        <v>1</v>
      </c>
      <c r="W1135" s="17">
        <f t="shared" si="5"/>
        <v>0.4</v>
      </c>
    </row>
    <row r="1136" ht="15.75" customHeight="1">
      <c r="A1136" s="8" t="s">
        <v>1867</v>
      </c>
      <c r="B1136" s="7" t="s">
        <v>1868</v>
      </c>
      <c r="C1136" s="13" t="s">
        <v>1869</v>
      </c>
      <c r="D1136" s="7" t="s">
        <v>176</v>
      </c>
      <c r="E1136" s="8" t="s">
        <v>137</v>
      </c>
      <c r="F1136" s="8" t="s">
        <v>318</v>
      </c>
      <c r="G1136" s="7" t="s">
        <v>1870</v>
      </c>
      <c r="H1136" s="7" t="s">
        <v>1871</v>
      </c>
      <c r="I1136" s="8">
        <v>2400.0</v>
      </c>
      <c r="J1136" s="8">
        <v>2.0</v>
      </c>
      <c r="K1136" s="8" t="s">
        <v>583</v>
      </c>
      <c r="L1136" s="8" t="s">
        <v>322</v>
      </c>
      <c r="M1136" s="8" t="s">
        <v>323</v>
      </c>
      <c r="N1136" s="8">
        <v>32.0</v>
      </c>
      <c r="O1136" s="14">
        <f t="shared" si="1"/>
        <v>44470</v>
      </c>
      <c r="P1136" s="15">
        <f>IFERROR(VLOOKUP(K1136,Formula!$A$11:$B$20,2,FALSE),Formula!$C$26)</f>
        <v>0.95</v>
      </c>
      <c r="Q1136" s="15">
        <f>IF(AND(ISNUMBER(J1136),J1136&gt;0),1/J1136,IF(AND(ISNUMBER(I1136),I1136&gt;0),SQRT(MIN(I1136,Formula!$C$27))/Formula!$C$24,1/Formula!$C$25))</f>
        <v>0.5</v>
      </c>
      <c r="R1136" s="15">
        <f t="shared" si="2"/>
        <v>0.475</v>
      </c>
      <c r="S1136" s="15">
        <f>IF(H1136&lt;&gt;"",EXP(-Formula!$C$28*(EOMONTH(H1136,0)-H1136)),EXP(-Formula!$C$28*(EOMONTH(D1136,0)-D1136)))</f>
        <v>0.904837418</v>
      </c>
      <c r="T1136" s="15">
        <f t="shared" si="3"/>
        <v>0.316227766</v>
      </c>
      <c r="U1136" s="15">
        <f t="shared" si="4"/>
        <v>0.1359139898</v>
      </c>
      <c r="V1136" s="16">
        <f>IF(AND(L1136="Among all respondents",NOT(OR(K1136="Online poll in Telegram channel",K1136="Website online poll",K1136="CAWI (Computer Assisted Web Interviewing)"))),1/(1-MIN(MAX(Formula!$C$33+(YEAR(D1136)-Formula!$C$34)/(Formula!$C$35-Formula!$C$34)*(Formula!$C$32-Formula!$C$33),Formula!$C$33),Formula!$C$32)),1)</f>
        <v>1</v>
      </c>
      <c r="W1136" s="17">
        <f t="shared" si="5"/>
        <v>32</v>
      </c>
    </row>
    <row r="1137" ht="15.75" customHeight="1">
      <c r="A1137" s="8" t="s">
        <v>1872</v>
      </c>
      <c r="B1137" s="7" t="s">
        <v>1868</v>
      </c>
      <c r="C1137" s="13" t="s">
        <v>1869</v>
      </c>
      <c r="D1137" s="7" t="s">
        <v>176</v>
      </c>
      <c r="E1137" s="8" t="s">
        <v>137</v>
      </c>
      <c r="F1137" s="8" t="s">
        <v>318</v>
      </c>
      <c r="G1137" s="7" t="s">
        <v>1870</v>
      </c>
      <c r="H1137" s="7" t="s">
        <v>1871</v>
      </c>
      <c r="I1137" s="8">
        <v>2400.0</v>
      </c>
      <c r="J1137" s="8">
        <v>2.0</v>
      </c>
      <c r="K1137" s="8" t="s">
        <v>583</v>
      </c>
      <c r="L1137" s="8" t="s">
        <v>322</v>
      </c>
      <c r="M1137" s="8" t="s">
        <v>329</v>
      </c>
      <c r="N1137" s="8">
        <v>12.0</v>
      </c>
      <c r="O1137" s="14">
        <f t="shared" si="1"/>
        <v>44470</v>
      </c>
      <c r="P1137" s="15">
        <f>IFERROR(VLOOKUP(K1137,Formula!$A$11:$B$20,2,FALSE),Formula!$C$26)</f>
        <v>0.95</v>
      </c>
      <c r="Q1137" s="15">
        <f>IF(AND(ISNUMBER(J1137),J1137&gt;0),1/J1137,IF(AND(ISNUMBER(I1137),I1137&gt;0),SQRT(MIN(I1137,Formula!$C$27))/Formula!$C$24,1/Formula!$C$25))</f>
        <v>0.5</v>
      </c>
      <c r="R1137" s="15">
        <f t="shared" si="2"/>
        <v>0.475</v>
      </c>
      <c r="S1137" s="15">
        <f>IF(H1137&lt;&gt;"",EXP(-Formula!$C$28*(EOMONTH(H1137,0)-H1137)),EXP(-Formula!$C$28*(EOMONTH(D1137,0)-D1137)))</f>
        <v>0.904837418</v>
      </c>
      <c r="T1137" s="15">
        <f t="shared" si="3"/>
        <v>0.316227766</v>
      </c>
      <c r="U1137" s="15">
        <f t="shared" si="4"/>
        <v>0.1359139898</v>
      </c>
      <c r="V1137" s="16">
        <f>IF(AND(L1137="Among all respondents",NOT(OR(K1137="Online poll in Telegram channel",K1137="Website online poll",K1137="CAWI (Computer Assisted Web Interviewing)"))),1/(1-MIN(MAX(Formula!$C$33+(YEAR(D1137)-Formula!$C$34)/(Formula!$C$35-Formula!$C$34)*(Formula!$C$32-Formula!$C$33),Formula!$C$33),Formula!$C$32)),1)</f>
        <v>1</v>
      </c>
      <c r="W1137" s="17">
        <f t="shared" si="5"/>
        <v>12</v>
      </c>
    </row>
    <row r="1138" ht="15.75" customHeight="1">
      <c r="A1138" s="8" t="s">
        <v>1873</v>
      </c>
      <c r="B1138" s="7" t="s">
        <v>1868</v>
      </c>
      <c r="C1138" s="13" t="s">
        <v>1869</v>
      </c>
      <c r="D1138" s="7" t="s">
        <v>176</v>
      </c>
      <c r="E1138" s="8" t="s">
        <v>137</v>
      </c>
      <c r="F1138" s="8" t="s">
        <v>318</v>
      </c>
      <c r="G1138" s="7" t="s">
        <v>1870</v>
      </c>
      <c r="H1138" s="7" t="s">
        <v>1871</v>
      </c>
      <c r="I1138" s="8">
        <v>2400.0</v>
      </c>
      <c r="J1138" s="8">
        <v>2.0</v>
      </c>
      <c r="K1138" s="8" t="s">
        <v>583</v>
      </c>
      <c r="L1138" s="8" t="s">
        <v>322</v>
      </c>
      <c r="M1138" s="8" t="s">
        <v>365</v>
      </c>
      <c r="N1138" s="8">
        <v>12.0</v>
      </c>
      <c r="O1138" s="14">
        <f t="shared" si="1"/>
        <v>44470</v>
      </c>
      <c r="P1138" s="15">
        <f>IFERROR(VLOOKUP(K1138,Formula!$A$11:$B$20,2,FALSE),Formula!$C$26)</f>
        <v>0.95</v>
      </c>
      <c r="Q1138" s="15">
        <f>IF(AND(ISNUMBER(J1138),J1138&gt;0),1/J1138,IF(AND(ISNUMBER(I1138),I1138&gt;0),SQRT(MIN(I1138,Formula!$C$27))/Formula!$C$24,1/Formula!$C$25))</f>
        <v>0.5</v>
      </c>
      <c r="R1138" s="15">
        <f t="shared" si="2"/>
        <v>0.475</v>
      </c>
      <c r="S1138" s="15">
        <f>IF(H1138&lt;&gt;"",EXP(-Formula!$C$28*(EOMONTH(H1138,0)-H1138)),EXP(-Formula!$C$28*(EOMONTH(D1138,0)-D1138)))</f>
        <v>0.904837418</v>
      </c>
      <c r="T1138" s="15">
        <f t="shared" si="3"/>
        <v>0.316227766</v>
      </c>
      <c r="U1138" s="15">
        <f t="shared" si="4"/>
        <v>0.1359139898</v>
      </c>
      <c r="V1138" s="16">
        <f>IF(AND(L1138="Among all respondents",NOT(OR(K1138="Online poll in Telegram channel",K1138="Website online poll",K1138="CAWI (Computer Assisted Web Interviewing)"))),1/(1-MIN(MAX(Formula!$C$33+(YEAR(D1138)-Formula!$C$34)/(Formula!$C$35-Formula!$C$34)*(Formula!$C$32-Formula!$C$33),Formula!$C$33),Formula!$C$32)),1)</f>
        <v>1</v>
      </c>
      <c r="W1138" s="17">
        <f t="shared" si="5"/>
        <v>12</v>
      </c>
    </row>
    <row r="1139" ht="15.75" customHeight="1">
      <c r="A1139" s="8" t="s">
        <v>1874</v>
      </c>
      <c r="B1139" s="7" t="s">
        <v>1868</v>
      </c>
      <c r="C1139" s="13" t="s">
        <v>1869</v>
      </c>
      <c r="D1139" s="7" t="s">
        <v>176</v>
      </c>
      <c r="E1139" s="8" t="s">
        <v>137</v>
      </c>
      <c r="F1139" s="8" t="s">
        <v>318</v>
      </c>
      <c r="G1139" s="7" t="s">
        <v>1870</v>
      </c>
      <c r="H1139" s="7" t="s">
        <v>1871</v>
      </c>
      <c r="I1139" s="8">
        <v>2400.0</v>
      </c>
      <c r="J1139" s="8">
        <v>2.0</v>
      </c>
      <c r="K1139" s="8" t="s">
        <v>583</v>
      </c>
      <c r="L1139" s="8" t="s">
        <v>322</v>
      </c>
      <c r="M1139" s="8" t="s">
        <v>337</v>
      </c>
      <c r="N1139" s="8">
        <v>11.0</v>
      </c>
      <c r="O1139" s="14">
        <f t="shared" si="1"/>
        <v>44470</v>
      </c>
      <c r="P1139" s="15">
        <f>IFERROR(VLOOKUP(K1139,Formula!$A$11:$B$20,2,FALSE),Formula!$C$26)</f>
        <v>0.95</v>
      </c>
      <c r="Q1139" s="15">
        <f>IF(AND(ISNUMBER(J1139),J1139&gt;0),1/J1139,IF(AND(ISNUMBER(I1139),I1139&gt;0),SQRT(MIN(I1139,Formula!$C$27))/Formula!$C$24,1/Formula!$C$25))</f>
        <v>0.5</v>
      </c>
      <c r="R1139" s="15">
        <f t="shared" si="2"/>
        <v>0.475</v>
      </c>
      <c r="S1139" s="15">
        <f>IF(H1139&lt;&gt;"",EXP(-Formula!$C$28*(EOMONTH(H1139,0)-H1139)),EXP(-Formula!$C$28*(EOMONTH(D1139,0)-D1139)))</f>
        <v>0.904837418</v>
      </c>
      <c r="T1139" s="15">
        <f t="shared" si="3"/>
        <v>0.316227766</v>
      </c>
      <c r="U1139" s="15">
        <f t="shared" si="4"/>
        <v>0.1359139898</v>
      </c>
      <c r="V1139" s="16">
        <f>IF(AND(L1139="Among all respondents",NOT(OR(K1139="Online poll in Telegram channel",K1139="Website online poll",K1139="CAWI (Computer Assisted Web Interviewing)"))),1/(1-MIN(MAX(Formula!$C$33+(YEAR(D1139)-Formula!$C$34)/(Formula!$C$35-Formula!$C$34)*(Formula!$C$32-Formula!$C$33),Formula!$C$33),Formula!$C$32)),1)</f>
        <v>1</v>
      </c>
      <c r="W1139" s="17">
        <f t="shared" si="5"/>
        <v>11</v>
      </c>
    </row>
    <row r="1140" ht="15.75" customHeight="1">
      <c r="A1140" s="8" t="s">
        <v>1875</v>
      </c>
      <c r="B1140" s="7" t="s">
        <v>1868</v>
      </c>
      <c r="C1140" s="13" t="s">
        <v>1869</v>
      </c>
      <c r="D1140" s="7" t="s">
        <v>176</v>
      </c>
      <c r="E1140" s="8" t="s">
        <v>137</v>
      </c>
      <c r="F1140" s="8" t="s">
        <v>318</v>
      </c>
      <c r="G1140" s="7" t="s">
        <v>1870</v>
      </c>
      <c r="H1140" s="7" t="s">
        <v>1871</v>
      </c>
      <c r="I1140" s="8">
        <v>2400.0</v>
      </c>
      <c r="J1140" s="8">
        <v>2.0</v>
      </c>
      <c r="K1140" s="8" t="s">
        <v>583</v>
      </c>
      <c r="L1140" s="8" t="s">
        <v>322</v>
      </c>
      <c r="M1140" s="8" t="s">
        <v>828</v>
      </c>
      <c r="N1140" s="8">
        <v>8.0</v>
      </c>
      <c r="O1140" s="14">
        <f t="shared" si="1"/>
        <v>44470</v>
      </c>
      <c r="P1140" s="15">
        <f>IFERROR(VLOOKUP(K1140,Formula!$A$11:$B$20,2,FALSE),Formula!$C$26)</f>
        <v>0.95</v>
      </c>
      <c r="Q1140" s="15">
        <f>IF(AND(ISNUMBER(J1140),J1140&gt;0),1/J1140,IF(AND(ISNUMBER(I1140),I1140&gt;0),SQRT(MIN(I1140,Formula!$C$27))/Formula!$C$24,1/Formula!$C$25))</f>
        <v>0.5</v>
      </c>
      <c r="R1140" s="15">
        <f t="shared" si="2"/>
        <v>0.475</v>
      </c>
      <c r="S1140" s="15">
        <f>IF(H1140&lt;&gt;"",EXP(-Formula!$C$28*(EOMONTH(H1140,0)-H1140)),EXP(-Formula!$C$28*(EOMONTH(D1140,0)-D1140)))</f>
        <v>0.904837418</v>
      </c>
      <c r="T1140" s="15">
        <f t="shared" si="3"/>
        <v>0.316227766</v>
      </c>
      <c r="U1140" s="15">
        <f t="shared" si="4"/>
        <v>0.1359139898</v>
      </c>
      <c r="V1140" s="16">
        <f>IF(AND(L1140="Among all respondents",NOT(OR(K1140="Online poll in Telegram channel",K1140="Website online poll",K1140="CAWI (Computer Assisted Web Interviewing)"))),1/(1-MIN(MAX(Formula!$C$33+(YEAR(D1140)-Formula!$C$34)/(Formula!$C$35-Formula!$C$34)*(Formula!$C$32-Formula!$C$33),Formula!$C$33),Formula!$C$32)),1)</f>
        <v>1</v>
      </c>
      <c r="W1140" s="17">
        <f t="shared" si="5"/>
        <v>8</v>
      </c>
    </row>
    <row r="1141" ht="15.75" customHeight="1">
      <c r="A1141" s="8" t="s">
        <v>1876</v>
      </c>
      <c r="B1141" s="7" t="s">
        <v>1868</v>
      </c>
      <c r="C1141" s="13" t="s">
        <v>1869</v>
      </c>
      <c r="D1141" s="7" t="s">
        <v>176</v>
      </c>
      <c r="E1141" s="8" t="s">
        <v>137</v>
      </c>
      <c r="F1141" s="8" t="s">
        <v>318</v>
      </c>
      <c r="G1141" s="7" t="s">
        <v>1870</v>
      </c>
      <c r="H1141" s="7" t="s">
        <v>1871</v>
      </c>
      <c r="I1141" s="8">
        <v>2400.0</v>
      </c>
      <c r="J1141" s="8">
        <v>2.0</v>
      </c>
      <c r="K1141" s="8" t="s">
        <v>583</v>
      </c>
      <c r="L1141" s="8" t="s">
        <v>322</v>
      </c>
      <c r="M1141" s="8" t="s">
        <v>386</v>
      </c>
      <c r="N1141" s="8">
        <v>7.0</v>
      </c>
      <c r="O1141" s="14">
        <f t="shared" si="1"/>
        <v>44470</v>
      </c>
      <c r="P1141" s="15">
        <f>IFERROR(VLOOKUP(K1141,Formula!$A$11:$B$20,2,FALSE),Formula!$C$26)</f>
        <v>0.95</v>
      </c>
      <c r="Q1141" s="15">
        <f>IF(AND(ISNUMBER(J1141),J1141&gt;0),1/J1141,IF(AND(ISNUMBER(I1141),I1141&gt;0),SQRT(MIN(I1141,Formula!$C$27))/Formula!$C$24,1/Formula!$C$25))</f>
        <v>0.5</v>
      </c>
      <c r="R1141" s="15">
        <f t="shared" si="2"/>
        <v>0.475</v>
      </c>
      <c r="S1141" s="15">
        <f>IF(H1141&lt;&gt;"",EXP(-Formula!$C$28*(EOMONTH(H1141,0)-H1141)),EXP(-Formula!$C$28*(EOMONTH(D1141,0)-D1141)))</f>
        <v>0.904837418</v>
      </c>
      <c r="T1141" s="15">
        <f t="shared" si="3"/>
        <v>0.316227766</v>
      </c>
      <c r="U1141" s="15">
        <f t="shared" si="4"/>
        <v>0.1359139898</v>
      </c>
      <c r="V1141" s="16">
        <f>IF(AND(L1141="Among all respondents",NOT(OR(K1141="Online poll in Telegram channel",K1141="Website online poll",K1141="CAWI (Computer Assisted Web Interviewing)"))),1/(1-MIN(MAX(Formula!$C$33+(YEAR(D1141)-Formula!$C$34)/(Formula!$C$35-Formula!$C$34)*(Formula!$C$32-Formula!$C$33),Formula!$C$33),Formula!$C$32)),1)</f>
        <v>1</v>
      </c>
      <c r="W1141" s="17">
        <f t="shared" si="5"/>
        <v>7</v>
      </c>
    </row>
    <row r="1142" ht="15.75" customHeight="1">
      <c r="A1142" s="8" t="s">
        <v>1877</v>
      </c>
      <c r="B1142" s="7" t="s">
        <v>1868</v>
      </c>
      <c r="C1142" s="13" t="s">
        <v>1869</v>
      </c>
      <c r="D1142" s="7" t="s">
        <v>176</v>
      </c>
      <c r="E1142" s="8" t="s">
        <v>137</v>
      </c>
      <c r="F1142" s="8" t="s">
        <v>318</v>
      </c>
      <c r="G1142" s="7" t="s">
        <v>1870</v>
      </c>
      <c r="H1142" s="7" t="s">
        <v>1871</v>
      </c>
      <c r="I1142" s="8">
        <v>2400.0</v>
      </c>
      <c r="J1142" s="8">
        <v>2.0</v>
      </c>
      <c r="K1142" s="8" t="s">
        <v>583</v>
      </c>
      <c r="L1142" s="8" t="s">
        <v>322</v>
      </c>
      <c r="M1142" s="8" t="s">
        <v>1153</v>
      </c>
      <c r="N1142" s="8">
        <v>7.0</v>
      </c>
      <c r="O1142" s="14">
        <f t="shared" si="1"/>
        <v>44470</v>
      </c>
      <c r="P1142" s="15">
        <f>IFERROR(VLOOKUP(K1142,Formula!$A$11:$B$20,2,FALSE),Formula!$C$26)</f>
        <v>0.95</v>
      </c>
      <c r="Q1142" s="15">
        <f>IF(AND(ISNUMBER(J1142),J1142&gt;0),1/J1142,IF(AND(ISNUMBER(I1142),I1142&gt;0),SQRT(MIN(I1142,Formula!$C$27))/Formula!$C$24,1/Formula!$C$25))</f>
        <v>0.5</v>
      </c>
      <c r="R1142" s="15">
        <f t="shared" si="2"/>
        <v>0.475</v>
      </c>
      <c r="S1142" s="15">
        <f>IF(H1142&lt;&gt;"",EXP(-Formula!$C$28*(EOMONTH(H1142,0)-H1142)),EXP(-Formula!$C$28*(EOMONTH(D1142,0)-D1142)))</f>
        <v>0.904837418</v>
      </c>
      <c r="T1142" s="15">
        <f t="shared" si="3"/>
        <v>0.316227766</v>
      </c>
      <c r="U1142" s="15">
        <f t="shared" si="4"/>
        <v>0.1359139898</v>
      </c>
      <c r="V1142" s="16">
        <f>IF(AND(L1142="Among all respondents",NOT(OR(K1142="Online poll in Telegram channel",K1142="Website online poll",K1142="CAWI (Computer Assisted Web Interviewing)"))),1/(1-MIN(MAX(Formula!$C$33+(YEAR(D1142)-Formula!$C$34)/(Formula!$C$35-Formula!$C$34)*(Formula!$C$32-Formula!$C$33),Formula!$C$33),Formula!$C$32)),1)</f>
        <v>1</v>
      </c>
      <c r="W1142" s="17">
        <f t="shared" si="5"/>
        <v>7</v>
      </c>
    </row>
    <row r="1143" ht="15.75" customHeight="1">
      <c r="A1143" s="8" t="s">
        <v>1878</v>
      </c>
      <c r="B1143" s="7" t="s">
        <v>1868</v>
      </c>
      <c r="C1143" s="13" t="s">
        <v>1869</v>
      </c>
      <c r="D1143" s="7" t="s">
        <v>176</v>
      </c>
      <c r="E1143" s="8" t="s">
        <v>137</v>
      </c>
      <c r="F1143" s="8" t="s">
        <v>318</v>
      </c>
      <c r="G1143" s="7" t="s">
        <v>1870</v>
      </c>
      <c r="H1143" s="7" t="s">
        <v>1871</v>
      </c>
      <c r="I1143" s="8">
        <v>2400.0</v>
      </c>
      <c r="J1143" s="8">
        <v>2.0</v>
      </c>
      <c r="K1143" s="8" t="s">
        <v>583</v>
      </c>
      <c r="L1143" s="8" t="s">
        <v>322</v>
      </c>
      <c r="M1143" s="8" t="s">
        <v>333</v>
      </c>
      <c r="N1143" s="8">
        <v>3.0</v>
      </c>
      <c r="O1143" s="14">
        <f t="shared" si="1"/>
        <v>44470</v>
      </c>
      <c r="P1143" s="15">
        <f>IFERROR(VLOOKUP(K1143,Formula!$A$11:$B$20,2,FALSE),Formula!$C$26)</f>
        <v>0.95</v>
      </c>
      <c r="Q1143" s="15">
        <f>IF(AND(ISNUMBER(J1143),J1143&gt;0),1/J1143,IF(AND(ISNUMBER(I1143),I1143&gt;0),SQRT(MIN(I1143,Formula!$C$27))/Formula!$C$24,1/Formula!$C$25))</f>
        <v>0.5</v>
      </c>
      <c r="R1143" s="15">
        <f t="shared" si="2"/>
        <v>0.475</v>
      </c>
      <c r="S1143" s="15">
        <f>IF(H1143&lt;&gt;"",EXP(-Formula!$C$28*(EOMONTH(H1143,0)-H1143)),EXP(-Formula!$C$28*(EOMONTH(D1143,0)-D1143)))</f>
        <v>0.904837418</v>
      </c>
      <c r="T1143" s="15">
        <f t="shared" si="3"/>
        <v>0.316227766</v>
      </c>
      <c r="U1143" s="15">
        <f t="shared" si="4"/>
        <v>0.1359139898</v>
      </c>
      <c r="V1143" s="16">
        <f>IF(AND(L1143="Among all respondents",NOT(OR(K1143="Online poll in Telegram channel",K1143="Website online poll",K1143="CAWI (Computer Assisted Web Interviewing)"))),1/(1-MIN(MAX(Formula!$C$33+(YEAR(D1143)-Formula!$C$34)/(Formula!$C$35-Formula!$C$34)*(Formula!$C$32-Formula!$C$33),Formula!$C$33),Formula!$C$32)),1)</f>
        <v>1</v>
      </c>
      <c r="W1143" s="17">
        <f t="shared" si="5"/>
        <v>3</v>
      </c>
    </row>
    <row r="1144" ht="15.75" customHeight="1">
      <c r="A1144" s="8" t="s">
        <v>1879</v>
      </c>
      <c r="B1144" s="7" t="s">
        <v>1868</v>
      </c>
      <c r="C1144" s="13" t="s">
        <v>1869</v>
      </c>
      <c r="D1144" s="7" t="s">
        <v>176</v>
      </c>
      <c r="E1144" s="8" t="s">
        <v>137</v>
      </c>
      <c r="F1144" s="8" t="s">
        <v>318</v>
      </c>
      <c r="G1144" s="7" t="s">
        <v>1870</v>
      </c>
      <c r="H1144" s="7" t="s">
        <v>1871</v>
      </c>
      <c r="I1144" s="8">
        <v>2400.0</v>
      </c>
      <c r="J1144" s="8">
        <v>2.0</v>
      </c>
      <c r="K1144" s="8" t="s">
        <v>583</v>
      </c>
      <c r="L1144" s="8" t="s">
        <v>322</v>
      </c>
      <c r="M1144" s="8" t="s">
        <v>1334</v>
      </c>
      <c r="N1144" s="8">
        <v>2.0</v>
      </c>
      <c r="O1144" s="14">
        <f t="shared" si="1"/>
        <v>44470</v>
      </c>
      <c r="P1144" s="15">
        <f>IFERROR(VLOOKUP(K1144,Formula!$A$11:$B$20,2,FALSE),Formula!$C$26)</f>
        <v>0.95</v>
      </c>
      <c r="Q1144" s="15">
        <f>IF(AND(ISNUMBER(J1144),J1144&gt;0),1/J1144,IF(AND(ISNUMBER(I1144),I1144&gt;0),SQRT(MIN(I1144,Formula!$C$27))/Formula!$C$24,1/Formula!$C$25))</f>
        <v>0.5</v>
      </c>
      <c r="R1144" s="15">
        <f t="shared" si="2"/>
        <v>0.475</v>
      </c>
      <c r="S1144" s="15">
        <f>IF(H1144&lt;&gt;"",EXP(-Formula!$C$28*(EOMONTH(H1144,0)-H1144)),EXP(-Formula!$C$28*(EOMONTH(D1144,0)-D1144)))</f>
        <v>0.904837418</v>
      </c>
      <c r="T1144" s="15">
        <f t="shared" si="3"/>
        <v>0.316227766</v>
      </c>
      <c r="U1144" s="15">
        <f t="shared" si="4"/>
        <v>0.1359139898</v>
      </c>
      <c r="V1144" s="16">
        <f>IF(AND(L1144="Among all respondents",NOT(OR(K1144="Online poll in Telegram channel",K1144="Website online poll",K1144="CAWI (Computer Assisted Web Interviewing)"))),1/(1-MIN(MAX(Formula!$C$33+(YEAR(D1144)-Formula!$C$34)/(Formula!$C$35-Formula!$C$34)*(Formula!$C$32-Formula!$C$33),Formula!$C$33),Formula!$C$32)),1)</f>
        <v>1</v>
      </c>
      <c r="W1144" s="17">
        <f t="shared" si="5"/>
        <v>2</v>
      </c>
    </row>
    <row r="1145" ht="15.75" customHeight="1">
      <c r="A1145" s="8" t="s">
        <v>1880</v>
      </c>
      <c r="B1145" s="7" t="s">
        <v>1868</v>
      </c>
      <c r="C1145" s="13" t="s">
        <v>1869</v>
      </c>
      <c r="D1145" s="7" t="s">
        <v>176</v>
      </c>
      <c r="E1145" s="8" t="s">
        <v>137</v>
      </c>
      <c r="F1145" s="8" t="s">
        <v>318</v>
      </c>
      <c r="G1145" s="7" t="s">
        <v>1870</v>
      </c>
      <c r="H1145" s="7" t="s">
        <v>1871</v>
      </c>
      <c r="I1145" s="8">
        <v>2400.0</v>
      </c>
      <c r="J1145" s="8">
        <v>2.0</v>
      </c>
      <c r="K1145" s="8" t="s">
        <v>583</v>
      </c>
      <c r="L1145" s="8" t="s">
        <v>322</v>
      </c>
      <c r="M1145" s="8" t="s">
        <v>343</v>
      </c>
      <c r="N1145" s="8">
        <v>2.0</v>
      </c>
      <c r="O1145" s="14">
        <f t="shared" si="1"/>
        <v>44470</v>
      </c>
      <c r="P1145" s="15">
        <f>IFERROR(VLOOKUP(K1145,Formula!$A$11:$B$20,2,FALSE),Formula!$C$26)</f>
        <v>0.95</v>
      </c>
      <c r="Q1145" s="15">
        <f>IF(AND(ISNUMBER(J1145),J1145&gt;0),1/J1145,IF(AND(ISNUMBER(I1145),I1145&gt;0),SQRT(MIN(I1145,Formula!$C$27))/Formula!$C$24,1/Formula!$C$25))</f>
        <v>0.5</v>
      </c>
      <c r="R1145" s="15">
        <f t="shared" si="2"/>
        <v>0.475</v>
      </c>
      <c r="S1145" s="15">
        <f>IF(H1145&lt;&gt;"",EXP(-Formula!$C$28*(EOMONTH(H1145,0)-H1145)),EXP(-Formula!$C$28*(EOMONTH(D1145,0)-D1145)))</f>
        <v>0.904837418</v>
      </c>
      <c r="T1145" s="15">
        <f t="shared" si="3"/>
        <v>0.316227766</v>
      </c>
      <c r="U1145" s="15">
        <f t="shared" si="4"/>
        <v>0.1359139898</v>
      </c>
      <c r="V1145" s="16">
        <f>IF(AND(L1145="Among all respondents",NOT(OR(K1145="Online poll in Telegram channel",K1145="Website online poll",K1145="CAWI (Computer Assisted Web Interviewing)"))),1/(1-MIN(MAX(Formula!$C$33+(YEAR(D1145)-Formula!$C$34)/(Formula!$C$35-Formula!$C$34)*(Formula!$C$32-Formula!$C$33),Formula!$C$33),Formula!$C$32)),1)</f>
        <v>1</v>
      </c>
      <c r="W1145" s="17">
        <f t="shared" si="5"/>
        <v>2</v>
      </c>
    </row>
    <row r="1146" ht="15.75" customHeight="1">
      <c r="A1146" s="8" t="s">
        <v>1881</v>
      </c>
      <c r="B1146" s="7" t="s">
        <v>1882</v>
      </c>
      <c r="C1146" s="13" t="s">
        <v>1883</v>
      </c>
      <c r="D1146" s="7" t="s">
        <v>178</v>
      </c>
      <c r="E1146" s="8" t="s">
        <v>72</v>
      </c>
      <c r="F1146" s="8" t="s">
        <v>318</v>
      </c>
      <c r="G1146" s="7" t="s">
        <v>1884</v>
      </c>
      <c r="H1146" s="7" t="s">
        <v>1885</v>
      </c>
      <c r="I1146" s="8">
        <v>2002.0</v>
      </c>
      <c r="J1146" s="8">
        <v>2.4</v>
      </c>
      <c r="K1146" s="8" t="s">
        <v>321</v>
      </c>
      <c r="L1146" s="8" t="s">
        <v>322</v>
      </c>
      <c r="M1146" s="8" t="s">
        <v>323</v>
      </c>
      <c r="N1146" s="8">
        <v>33.3</v>
      </c>
      <c r="O1146" s="14">
        <f t="shared" si="1"/>
        <v>44440</v>
      </c>
      <c r="P1146" s="15">
        <f>IFERROR(VLOOKUP(K1146,Formula!$A$11:$B$20,2,FALSE),Formula!$C$26)</f>
        <v>0.9</v>
      </c>
      <c r="Q1146" s="15">
        <f>IF(AND(ISNUMBER(J1146),J1146&gt;0),1/J1146,IF(AND(ISNUMBER(I1146),I1146&gt;0),SQRT(MIN(I1146,Formula!$C$27))/Formula!$C$24,1/Formula!$C$25))</f>
        <v>0.4166666667</v>
      </c>
      <c r="R1146" s="15">
        <f t="shared" si="2"/>
        <v>0.375</v>
      </c>
      <c r="S1146" s="15">
        <f>IF(H1146&lt;&gt;"",EXP(-Formula!$C$28*(EOMONTH(H1146,0)-H1146)),EXP(-Formula!$C$28*(EOMONTH(D1146,0)-D1146)))</f>
        <v>0.4723665527</v>
      </c>
      <c r="T1146" s="15">
        <f t="shared" si="3"/>
        <v>0.3333333333</v>
      </c>
      <c r="U1146" s="15">
        <f t="shared" si="4"/>
        <v>0.05904581909</v>
      </c>
      <c r="V1146" s="16">
        <f>IF(AND(L1146="Among all respondents",NOT(OR(K1146="Online poll in Telegram channel",K1146="Website online poll",K1146="CAWI (Computer Assisted Web Interviewing)"))),1/(1-MIN(MAX(Formula!$C$33+(YEAR(D1146)-Formula!$C$34)/(Formula!$C$35-Formula!$C$34)*(Formula!$C$32-Formula!$C$33),Formula!$C$33),Formula!$C$32)),1)</f>
        <v>1</v>
      </c>
      <c r="W1146" s="17">
        <f t="shared" si="5"/>
        <v>33.3</v>
      </c>
    </row>
    <row r="1147" ht="15.75" customHeight="1">
      <c r="A1147" s="8" t="s">
        <v>1886</v>
      </c>
      <c r="B1147" s="7" t="s">
        <v>1882</v>
      </c>
      <c r="C1147" s="13" t="s">
        <v>1883</v>
      </c>
      <c r="D1147" s="7" t="s">
        <v>178</v>
      </c>
      <c r="E1147" s="8" t="s">
        <v>72</v>
      </c>
      <c r="F1147" s="8" t="s">
        <v>318</v>
      </c>
      <c r="G1147" s="7" t="s">
        <v>1884</v>
      </c>
      <c r="H1147" s="7" t="s">
        <v>1885</v>
      </c>
      <c r="I1147" s="8">
        <v>2002.0</v>
      </c>
      <c r="J1147" s="8">
        <v>2.4</v>
      </c>
      <c r="K1147" s="8" t="s">
        <v>321</v>
      </c>
      <c r="L1147" s="8" t="s">
        <v>322</v>
      </c>
      <c r="M1147" s="8" t="s">
        <v>329</v>
      </c>
      <c r="N1147" s="8">
        <v>16.8</v>
      </c>
      <c r="O1147" s="14">
        <f t="shared" si="1"/>
        <v>44440</v>
      </c>
      <c r="P1147" s="15">
        <f>IFERROR(VLOOKUP(K1147,Formula!$A$11:$B$20,2,FALSE),Formula!$C$26)</f>
        <v>0.9</v>
      </c>
      <c r="Q1147" s="15">
        <f>IF(AND(ISNUMBER(J1147),J1147&gt;0),1/J1147,IF(AND(ISNUMBER(I1147),I1147&gt;0),SQRT(MIN(I1147,Formula!$C$27))/Formula!$C$24,1/Formula!$C$25))</f>
        <v>0.4166666667</v>
      </c>
      <c r="R1147" s="15">
        <f t="shared" si="2"/>
        <v>0.375</v>
      </c>
      <c r="S1147" s="15">
        <f>IF(H1147&lt;&gt;"",EXP(-Formula!$C$28*(EOMONTH(H1147,0)-H1147)),EXP(-Formula!$C$28*(EOMONTH(D1147,0)-D1147)))</f>
        <v>0.4723665527</v>
      </c>
      <c r="T1147" s="15">
        <f t="shared" si="3"/>
        <v>0.3333333333</v>
      </c>
      <c r="U1147" s="15">
        <f t="shared" si="4"/>
        <v>0.05904581909</v>
      </c>
      <c r="V1147" s="16">
        <f>IF(AND(L1147="Among all respondents",NOT(OR(K1147="Online poll in Telegram channel",K1147="Website online poll",K1147="CAWI (Computer Assisted Web Interviewing)"))),1/(1-MIN(MAX(Formula!$C$33+(YEAR(D1147)-Formula!$C$34)/(Formula!$C$35-Formula!$C$34)*(Formula!$C$32-Formula!$C$33),Formula!$C$33),Formula!$C$32)),1)</f>
        <v>1</v>
      </c>
      <c r="W1147" s="17">
        <f t="shared" si="5"/>
        <v>16.8</v>
      </c>
    </row>
    <row r="1148" ht="15.75" customHeight="1">
      <c r="A1148" s="8" t="s">
        <v>1887</v>
      </c>
      <c r="B1148" s="7" t="s">
        <v>1882</v>
      </c>
      <c r="C1148" s="13" t="s">
        <v>1883</v>
      </c>
      <c r="D1148" s="7" t="s">
        <v>178</v>
      </c>
      <c r="E1148" s="8" t="s">
        <v>72</v>
      </c>
      <c r="F1148" s="8" t="s">
        <v>318</v>
      </c>
      <c r="G1148" s="7" t="s">
        <v>1884</v>
      </c>
      <c r="H1148" s="7" t="s">
        <v>1885</v>
      </c>
      <c r="I1148" s="8">
        <v>2002.0</v>
      </c>
      <c r="J1148" s="8">
        <v>2.4</v>
      </c>
      <c r="K1148" s="8" t="s">
        <v>321</v>
      </c>
      <c r="L1148" s="8" t="s">
        <v>322</v>
      </c>
      <c r="M1148" s="8" t="s">
        <v>337</v>
      </c>
      <c r="N1148" s="8">
        <v>10.3</v>
      </c>
      <c r="O1148" s="14">
        <f t="shared" si="1"/>
        <v>44440</v>
      </c>
      <c r="P1148" s="15">
        <f>IFERROR(VLOOKUP(K1148,Formula!$A$11:$B$20,2,FALSE),Formula!$C$26)</f>
        <v>0.9</v>
      </c>
      <c r="Q1148" s="15">
        <f>IF(AND(ISNUMBER(J1148),J1148&gt;0),1/J1148,IF(AND(ISNUMBER(I1148),I1148&gt;0),SQRT(MIN(I1148,Formula!$C$27))/Formula!$C$24,1/Formula!$C$25))</f>
        <v>0.4166666667</v>
      </c>
      <c r="R1148" s="15">
        <f t="shared" si="2"/>
        <v>0.375</v>
      </c>
      <c r="S1148" s="15">
        <f>IF(H1148&lt;&gt;"",EXP(-Formula!$C$28*(EOMONTH(H1148,0)-H1148)),EXP(-Formula!$C$28*(EOMONTH(D1148,0)-D1148)))</f>
        <v>0.4723665527</v>
      </c>
      <c r="T1148" s="15">
        <f t="shared" si="3"/>
        <v>0.3333333333</v>
      </c>
      <c r="U1148" s="15">
        <f t="shared" si="4"/>
        <v>0.05904581909</v>
      </c>
      <c r="V1148" s="16">
        <f>IF(AND(L1148="Among all respondents",NOT(OR(K1148="Online poll in Telegram channel",K1148="Website online poll",K1148="CAWI (Computer Assisted Web Interviewing)"))),1/(1-MIN(MAX(Formula!$C$33+(YEAR(D1148)-Formula!$C$34)/(Formula!$C$35-Formula!$C$34)*(Formula!$C$32-Formula!$C$33),Formula!$C$33),Formula!$C$32)),1)</f>
        <v>1</v>
      </c>
      <c r="W1148" s="17">
        <f t="shared" si="5"/>
        <v>10.3</v>
      </c>
    </row>
    <row r="1149" ht="15.75" customHeight="1">
      <c r="A1149" s="8" t="s">
        <v>1888</v>
      </c>
      <c r="B1149" s="7" t="s">
        <v>1882</v>
      </c>
      <c r="C1149" s="13" t="s">
        <v>1883</v>
      </c>
      <c r="D1149" s="7" t="s">
        <v>178</v>
      </c>
      <c r="E1149" s="8" t="s">
        <v>72</v>
      </c>
      <c r="F1149" s="8" t="s">
        <v>318</v>
      </c>
      <c r="G1149" s="7" t="s">
        <v>1884</v>
      </c>
      <c r="H1149" s="7" t="s">
        <v>1885</v>
      </c>
      <c r="I1149" s="8">
        <v>2002.0</v>
      </c>
      <c r="J1149" s="8">
        <v>2.4</v>
      </c>
      <c r="K1149" s="8" t="s">
        <v>321</v>
      </c>
      <c r="L1149" s="8" t="s">
        <v>322</v>
      </c>
      <c r="M1149" s="8" t="s">
        <v>365</v>
      </c>
      <c r="N1149" s="8">
        <v>9.5</v>
      </c>
      <c r="O1149" s="14">
        <f t="shared" si="1"/>
        <v>44440</v>
      </c>
      <c r="P1149" s="15">
        <f>IFERROR(VLOOKUP(K1149,Formula!$A$11:$B$20,2,FALSE),Formula!$C$26)</f>
        <v>0.9</v>
      </c>
      <c r="Q1149" s="15">
        <f>IF(AND(ISNUMBER(J1149),J1149&gt;0),1/J1149,IF(AND(ISNUMBER(I1149),I1149&gt;0),SQRT(MIN(I1149,Formula!$C$27))/Formula!$C$24,1/Formula!$C$25))</f>
        <v>0.4166666667</v>
      </c>
      <c r="R1149" s="15">
        <f t="shared" si="2"/>
        <v>0.375</v>
      </c>
      <c r="S1149" s="15">
        <f>IF(H1149&lt;&gt;"",EXP(-Formula!$C$28*(EOMONTH(H1149,0)-H1149)),EXP(-Formula!$C$28*(EOMONTH(D1149,0)-D1149)))</f>
        <v>0.4723665527</v>
      </c>
      <c r="T1149" s="15">
        <f t="shared" si="3"/>
        <v>0.3333333333</v>
      </c>
      <c r="U1149" s="15">
        <f t="shared" si="4"/>
        <v>0.05904581909</v>
      </c>
      <c r="V1149" s="16">
        <f>IF(AND(L1149="Among all respondents",NOT(OR(K1149="Online poll in Telegram channel",K1149="Website online poll",K1149="CAWI (Computer Assisted Web Interviewing)"))),1/(1-MIN(MAX(Formula!$C$33+(YEAR(D1149)-Formula!$C$34)/(Formula!$C$35-Formula!$C$34)*(Formula!$C$32-Formula!$C$33),Formula!$C$33),Formula!$C$32)),1)</f>
        <v>1</v>
      </c>
      <c r="W1149" s="17">
        <f t="shared" si="5"/>
        <v>9.5</v>
      </c>
    </row>
    <row r="1150" ht="15.75" customHeight="1">
      <c r="A1150" s="8" t="s">
        <v>1889</v>
      </c>
      <c r="B1150" s="7" t="s">
        <v>1882</v>
      </c>
      <c r="C1150" s="13" t="s">
        <v>1883</v>
      </c>
      <c r="D1150" s="7" t="s">
        <v>178</v>
      </c>
      <c r="E1150" s="8" t="s">
        <v>72</v>
      </c>
      <c r="F1150" s="8" t="s">
        <v>318</v>
      </c>
      <c r="G1150" s="7" t="s">
        <v>1884</v>
      </c>
      <c r="H1150" s="7" t="s">
        <v>1885</v>
      </c>
      <c r="I1150" s="8">
        <v>2002.0</v>
      </c>
      <c r="J1150" s="8">
        <v>2.4</v>
      </c>
      <c r="K1150" s="8" t="s">
        <v>321</v>
      </c>
      <c r="L1150" s="8" t="s">
        <v>322</v>
      </c>
      <c r="M1150" s="8" t="s">
        <v>828</v>
      </c>
      <c r="N1150" s="8">
        <v>8.7</v>
      </c>
      <c r="O1150" s="14">
        <f t="shared" si="1"/>
        <v>44440</v>
      </c>
      <c r="P1150" s="15">
        <f>IFERROR(VLOOKUP(K1150,Formula!$A$11:$B$20,2,FALSE),Formula!$C$26)</f>
        <v>0.9</v>
      </c>
      <c r="Q1150" s="15">
        <f>IF(AND(ISNUMBER(J1150),J1150&gt;0),1/J1150,IF(AND(ISNUMBER(I1150),I1150&gt;0),SQRT(MIN(I1150,Formula!$C$27))/Formula!$C$24,1/Formula!$C$25))</f>
        <v>0.4166666667</v>
      </c>
      <c r="R1150" s="15">
        <f t="shared" si="2"/>
        <v>0.375</v>
      </c>
      <c r="S1150" s="15">
        <f>IF(H1150&lt;&gt;"",EXP(-Formula!$C$28*(EOMONTH(H1150,0)-H1150)),EXP(-Formula!$C$28*(EOMONTH(D1150,0)-D1150)))</f>
        <v>0.4723665527</v>
      </c>
      <c r="T1150" s="15">
        <f t="shared" si="3"/>
        <v>0.3333333333</v>
      </c>
      <c r="U1150" s="15">
        <f t="shared" si="4"/>
        <v>0.05904581909</v>
      </c>
      <c r="V1150" s="16">
        <f>IF(AND(L1150="Among all respondents",NOT(OR(K1150="Online poll in Telegram channel",K1150="Website online poll",K1150="CAWI (Computer Assisted Web Interviewing)"))),1/(1-MIN(MAX(Formula!$C$33+(YEAR(D1150)-Formula!$C$34)/(Formula!$C$35-Formula!$C$34)*(Formula!$C$32-Formula!$C$33),Formula!$C$33),Formula!$C$32)),1)</f>
        <v>1</v>
      </c>
      <c r="W1150" s="17">
        <f t="shared" si="5"/>
        <v>8.7</v>
      </c>
    </row>
    <row r="1151" ht="15.75" customHeight="1">
      <c r="A1151" s="8" t="s">
        <v>1890</v>
      </c>
      <c r="B1151" s="7" t="s">
        <v>1882</v>
      </c>
      <c r="C1151" s="13" t="s">
        <v>1883</v>
      </c>
      <c r="D1151" s="7" t="s">
        <v>178</v>
      </c>
      <c r="E1151" s="8" t="s">
        <v>72</v>
      </c>
      <c r="F1151" s="8" t="s">
        <v>318</v>
      </c>
      <c r="G1151" s="7" t="s">
        <v>1884</v>
      </c>
      <c r="H1151" s="7" t="s">
        <v>1885</v>
      </c>
      <c r="I1151" s="8">
        <v>2002.0</v>
      </c>
      <c r="J1151" s="8">
        <v>2.4</v>
      </c>
      <c r="K1151" s="8" t="s">
        <v>321</v>
      </c>
      <c r="L1151" s="8" t="s">
        <v>322</v>
      </c>
      <c r="M1151" s="8" t="s">
        <v>1153</v>
      </c>
      <c r="N1151" s="8">
        <v>6.4</v>
      </c>
      <c r="O1151" s="14">
        <f t="shared" si="1"/>
        <v>44440</v>
      </c>
      <c r="P1151" s="15">
        <f>IFERROR(VLOOKUP(K1151,Formula!$A$11:$B$20,2,FALSE),Formula!$C$26)</f>
        <v>0.9</v>
      </c>
      <c r="Q1151" s="15">
        <f>IF(AND(ISNUMBER(J1151),J1151&gt;0),1/J1151,IF(AND(ISNUMBER(I1151),I1151&gt;0),SQRT(MIN(I1151,Formula!$C$27))/Formula!$C$24,1/Formula!$C$25))</f>
        <v>0.4166666667</v>
      </c>
      <c r="R1151" s="15">
        <f t="shared" si="2"/>
        <v>0.375</v>
      </c>
      <c r="S1151" s="15">
        <f>IF(H1151&lt;&gt;"",EXP(-Formula!$C$28*(EOMONTH(H1151,0)-H1151)),EXP(-Formula!$C$28*(EOMONTH(D1151,0)-D1151)))</f>
        <v>0.4723665527</v>
      </c>
      <c r="T1151" s="15">
        <f t="shared" si="3"/>
        <v>0.3333333333</v>
      </c>
      <c r="U1151" s="15">
        <f t="shared" si="4"/>
        <v>0.05904581909</v>
      </c>
      <c r="V1151" s="16">
        <f>IF(AND(L1151="Among all respondents",NOT(OR(K1151="Online poll in Telegram channel",K1151="Website online poll",K1151="CAWI (Computer Assisted Web Interviewing)"))),1/(1-MIN(MAX(Formula!$C$33+(YEAR(D1151)-Formula!$C$34)/(Formula!$C$35-Formula!$C$34)*(Formula!$C$32-Formula!$C$33),Formula!$C$33),Formula!$C$32)),1)</f>
        <v>1</v>
      </c>
      <c r="W1151" s="17">
        <f t="shared" si="5"/>
        <v>6.4</v>
      </c>
    </row>
    <row r="1152" ht="15.75" customHeight="1">
      <c r="A1152" s="8" t="s">
        <v>1891</v>
      </c>
      <c r="B1152" s="7" t="s">
        <v>1882</v>
      </c>
      <c r="C1152" s="13" t="s">
        <v>1883</v>
      </c>
      <c r="D1152" s="7" t="s">
        <v>178</v>
      </c>
      <c r="E1152" s="8" t="s">
        <v>72</v>
      </c>
      <c r="F1152" s="8" t="s">
        <v>318</v>
      </c>
      <c r="G1152" s="7" t="s">
        <v>1884</v>
      </c>
      <c r="H1152" s="7" t="s">
        <v>1885</v>
      </c>
      <c r="I1152" s="8">
        <v>2002.0</v>
      </c>
      <c r="J1152" s="8">
        <v>2.4</v>
      </c>
      <c r="K1152" s="8" t="s">
        <v>321</v>
      </c>
      <c r="L1152" s="8" t="s">
        <v>322</v>
      </c>
      <c r="M1152" s="8" t="s">
        <v>386</v>
      </c>
      <c r="N1152" s="8">
        <v>5.7</v>
      </c>
      <c r="O1152" s="14">
        <f t="shared" si="1"/>
        <v>44440</v>
      </c>
      <c r="P1152" s="15">
        <f>IFERROR(VLOOKUP(K1152,Formula!$A$11:$B$20,2,FALSE),Formula!$C$26)</f>
        <v>0.9</v>
      </c>
      <c r="Q1152" s="15">
        <f>IF(AND(ISNUMBER(J1152),J1152&gt;0),1/J1152,IF(AND(ISNUMBER(I1152),I1152&gt;0),SQRT(MIN(I1152,Formula!$C$27))/Formula!$C$24,1/Formula!$C$25))</f>
        <v>0.4166666667</v>
      </c>
      <c r="R1152" s="15">
        <f t="shared" si="2"/>
        <v>0.375</v>
      </c>
      <c r="S1152" s="15">
        <f>IF(H1152&lt;&gt;"",EXP(-Formula!$C$28*(EOMONTH(H1152,0)-H1152)),EXP(-Formula!$C$28*(EOMONTH(D1152,0)-D1152)))</f>
        <v>0.4723665527</v>
      </c>
      <c r="T1152" s="15">
        <f t="shared" si="3"/>
        <v>0.3333333333</v>
      </c>
      <c r="U1152" s="15">
        <f t="shared" si="4"/>
        <v>0.05904581909</v>
      </c>
      <c r="V1152" s="16">
        <f>IF(AND(L1152="Among all respondents",NOT(OR(K1152="Online poll in Telegram channel",K1152="Website online poll",K1152="CAWI (Computer Assisted Web Interviewing)"))),1/(1-MIN(MAX(Formula!$C$33+(YEAR(D1152)-Formula!$C$34)/(Formula!$C$35-Formula!$C$34)*(Formula!$C$32-Formula!$C$33),Formula!$C$33),Formula!$C$32)),1)</f>
        <v>1</v>
      </c>
      <c r="W1152" s="17">
        <f t="shared" si="5"/>
        <v>5.7</v>
      </c>
    </row>
    <row r="1153" ht="15.75" customHeight="1">
      <c r="A1153" s="8" t="s">
        <v>1892</v>
      </c>
      <c r="B1153" s="7" t="s">
        <v>1882</v>
      </c>
      <c r="C1153" s="13" t="s">
        <v>1883</v>
      </c>
      <c r="D1153" s="7" t="s">
        <v>178</v>
      </c>
      <c r="E1153" s="8" t="s">
        <v>72</v>
      </c>
      <c r="F1153" s="8" t="s">
        <v>318</v>
      </c>
      <c r="G1153" s="7" t="s">
        <v>1884</v>
      </c>
      <c r="H1153" s="7" t="s">
        <v>1885</v>
      </c>
      <c r="I1153" s="8">
        <v>2002.0</v>
      </c>
      <c r="J1153" s="8">
        <v>2.4</v>
      </c>
      <c r="K1153" s="8" t="s">
        <v>321</v>
      </c>
      <c r="L1153" s="8" t="s">
        <v>322</v>
      </c>
      <c r="M1153" s="8" t="s">
        <v>388</v>
      </c>
      <c r="N1153" s="8">
        <v>4.6</v>
      </c>
      <c r="O1153" s="14">
        <f t="shared" si="1"/>
        <v>44440</v>
      </c>
      <c r="P1153" s="15">
        <f>IFERROR(VLOOKUP(K1153,Formula!$A$11:$B$20,2,FALSE),Formula!$C$26)</f>
        <v>0.9</v>
      </c>
      <c r="Q1153" s="15">
        <f>IF(AND(ISNUMBER(J1153),J1153&gt;0),1/J1153,IF(AND(ISNUMBER(I1153),I1153&gt;0),SQRT(MIN(I1153,Formula!$C$27))/Formula!$C$24,1/Formula!$C$25))</f>
        <v>0.4166666667</v>
      </c>
      <c r="R1153" s="15">
        <f t="shared" si="2"/>
        <v>0.375</v>
      </c>
      <c r="S1153" s="15">
        <f>IF(H1153&lt;&gt;"",EXP(-Formula!$C$28*(EOMONTH(H1153,0)-H1153)),EXP(-Formula!$C$28*(EOMONTH(D1153,0)-D1153)))</f>
        <v>0.4723665527</v>
      </c>
      <c r="T1153" s="15">
        <f t="shared" si="3"/>
        <v>0.3333333333</v>
      </c>
      <c r="U1153" s="15">
        <f t="shared" si="4"/>
        <v>0.05904581909</v>
      </c>
      <c r="V1153" s="16">
        <f>IF(AND(L1153="Among all respondents",NOT(OR(K1153="Online poll in Telegram channel",K1153="Website online poll",K1153="CAWI (Computer Assisted Web Interviewing)"))),1/(1-MIN(MAX(Formula!$C$33+(YEAR(D1153)-Formula!$C$34)/(Formula!$C$35-Formula!$C$34)*(Formula!$C$32-Formula!$C$33),Formula!$C$33),Formula!$C$32)),1)</f>
        <v>1</v>
      </c>
      <c r="W1153" s="17">
        <f t="shared" si="5"/>
        <v>4.6</v>
      </c>
    </row>
    <row r="1154" ht="15.75" customHeight="1">
      <c r="A1154" s="8" t="s">
        <v>1893</v>
      </c>
      <c r="B1154" s="7" t="s">
        <v>1882</v>
      </c>
      <c r="C1154" s="13" t="s">
        <v>1883</v>
      </c>
      <c r="D1154" s="7" t="s">
        <v>178</v>
      </c>
      <c r="E1154" s="8" t="s">
        <v>72</v>
      </c>
      <c r="F1154" s="8" t="s">
        <v>318</v>
      </c>
      <c r="G1154" s="7" t="s">
        <v>1884</v>
      </c>
      <c r="H1154" s="7" t="s">
        <v>1885</v>
      </c>
      <c r="I1154" s="8">
        <v>2002.0</v>
      </c>
      <c r="J1154" s="8">
        <v>2.4</v>
      </c>
      <c r="K1154" s="8" t="s">
        <v>321</v>
      </c>
      <c r="L1154" s="8" t="s">
        <v>322</v>
      </c>
      <c r="M1154" s="8" t="s">
        <v>345</v>
      </c>
      <c r="N1154" s="8">
        <v>0.8</v>
      </c>
      <c r="O1154" s="14">
        <f t="shared" si="1"/>
        <v>44440</v>
      </c>
      <c r="P1154" s="15">
        <f>IFERROR(VLOOKUP(K1154,Formula!$A$11:$B$20,2,FALSE),Formula!$C$26)</f>
        <v>0.9</v>
      </c>
      <c r="Q1154" s="15">
        <f>IF(AND(ISNUMBER(J1154),J1154&gt;0),1/J1154,IF(AND(ISNUMBER(I1154),I1154&gt;0),SQRT(MIN(I1154,Formula!$C$27))/Formula!$C$24,1/Formula!$C$25))</f>
        <v>0.4166666667</v>
      </c>
      <c r="R1154" s="15">
        <f t="shared" si="2"/>
        <v>0.375</v>
      </c>
      <c r="S1154" s="15">
        <f>IF(H1154&lt;&gt;"",EXP(-Formula!$C$28*(EOMONTH(H1154,0)-H1154)),EXP(-Formula!$C$28*(EOMONTH(D1154,0)-D1154)))</f>
        <v>0.4723665527</v>
      </c>
      <c r="T1154" s="15">
        <f t="shared" si="3"/>
        <v>0.3333333333</v>
      </c>
      <c r="U1154" s="15">
        <f t="shared" si="4"/>
        <v>0.05904581909</v>
      </c>
      <c r="V1154" s="16">
        <f>IF(AND(L1154="Among all respondents",NOT(OR(K1154="Online poll in Telegram channel",K1154="Website online poll",K1154="CAWI (Computer Assisted Web Interviewing)"))),1/(1-MIN(MAX(Formula!$C$33+(YEAR(D1154)-Formula!$C$34)/(Formula!$C$35-Formula!$C$34)*(Formula!$C$32-Formula!$C$33),Formula!$C$33),Formula!$C$32)),1)</f>
        <v>1</v>
      </c>
      <c r="W1154" s="17">
        <f t="shared" si="5"/>
        <v>0.8</v>
      </c>
    </row>
    <row r="1155" ht="15.75" customHeight="1">
      <c r="A1155" s="8" t="s">
        <v>1894</v>
      </c>
      <c r="B1155" s="7" t="s">
        <v>1895</v>
      </c>
      <c r="C1155" s="13" t="s">
        <v>1896</v>
      </c>
      <c r="D1155" s="7" t="s">
        <v>179</v>
      </c>
      <c r="E1155" s="8" t="s">
        <v>20</v>
      </c>
      <c r="F1155" s="8" t="s">
        <v>318</v>
      </c>
      <c r="G1155" s="7" t="s">
        <v>1897</v>
      </c>
      <c r="H1155" s="7" t="s">
        <v>1898</v>
      </c>
      <c r="I1155" s="8">
        <v>1200.0</v>
      </c>
      <c r="J1155" s="8">
        <v>2.9</v>
      </c>
      <c r="K1155" s="8" t="s">
        <v>321</v>
      </c>
      <c r="L1155" s="8" t="s">
        <v>322</v>
      </c>
      <c r="M1155" s="8" t="s">
        <v>323</v>
      </c>
      <c r="N1155" s="8">
        <v>27.5</v>
      </c>
      <c r="O1155" s="14">
        <f t="shared" si="1"/>
        <v>44440</v>
      </c>
      <c r="P1155" s="15">
        <f>IFERROR(VLOOKUP(K1155,Formula!$A$11:$B$20,2,FALSE),Formula!$C$26)</f>
        <v>0.9</v>
      </c>
      <c r="Q1155" s="15">
        <f>IF(AND(ISNUMBER(J1155),J1155&gt;0),1/J1155,IF(AND(ISNUMBER(I1155),I1155&gt;0),SQRT(MIN(I1155,Formula!$C$27))/Formula!$C$24,1/Formula!$C$25))</f>
        <v>0.3448275862</v>
      </c>
      <c r="R1155" s="15">
        <f t="shared" si="2"/>
        <v>0.3103448276</v>
      </c>
      <c r="S1155" s="15">
        <f>IF(H1155&lt;&gt;"",EXP(-Formula!$C$28*(EOMONTH(H1155,0)-H1155)),EXP(-Formula!$C$28*(EOMONTH(D1155,0)-D1155)))</f>
        <v>0.2865047969</v>
      </c>
      <c r="T1155" s="15">
        <f t="shared" si="3"/>
        <v>0.2886751346</v>
      </c>
      <c r="U1155" s="15">
        <f t="shared" si="4"/>
        <v>0.02566763094</v>
      </c>
      <c r="V1155" s="16">
        <f>IF(AND(L1155="Among all respondents",NOT(OR(K1155="Online poll in Telegram channel",K1155="Website online poll",K1155="CAWI (Computer Assisted Web Interviewing)"))),1/(1-MIN(MAX(Formula!$C$33+(YEAR(D1155)-Formula!$C$34)/(Formula!$C$35-Formula!$C$34)*(Formula!$C$32-Formula!$C$33),Formula!$C$33),Formula!$C$32)),1)</f>
        <v>1</v>
      </c>
      <c r="W1155" s="17">
        <f t="shared" si="5"/>
        <v>27.5</v>
      </c>
    </row>
    <row r="1156" ht="15.75" customHeight="1">
      <c r="A1156" s="8" t="s">
        <v>1899</v>
      </c>
      <c r="B1156" s="7" t="s">
        <v>1895</v>
      </c>
      <c r="C1156" s="13" t="s">
        <v>1896</v>
      </c>
      <c r="D1156" s="7" t="s">
        <v>179</v>
      </c>
      <c r="E1156" s="8" t="s">
        <v>20</v>
      </c>
      <c r="F1156" s="8" t="s">
        <v>318</v>
      </c>
      <c r="G1156" s="7" t="s">
        <v>1897</v>
      </c>
      <c r="H1156" s="7" t="s">
        <v>1898</v>
      </c>
      <c r="I1156" s="8">
        <v>1200.0</v>
      </c>
      <c r="J1156" s="8">
        <v>2.9</v>
      </c>
      <c r="K1156" s="8" t="s">
        <v>321</v>
      </c>
      <c r="L1156" s="8" t="s">
        <v>322</v>
      </c>
      <c r="M1156" s="8" t="s">
        <v>329</v>
      </c>
      <c r="N1156" s="8">
        <v>14.3</v>
      </c>
      <c r="O1156" s="14">
        <f t="shared" si="1"/>
        <v>44440</v>
      </c>
      <c r="P1156" s="15">
        <f>IFERROR(VLOOKUP(K1156,Formula!$A$11:$B$20,2,FALSE),Formula!$C$26)</f>
        <v>0.9</v>
      </c>
      <c r="Q1156" s="15">
        <f>IF(AND(ISNUMBER(J1156),J1156&gt;0),1/J1156,IF(AND(ISNUMBER(I1156),I1156&gt;0),SQRT(MIN(I1156,Formula!$C$27))/Formula!$C$24,1/Formula!$C$25))</f>
        <v>0.3448275862</v>
      </c>
      <c r="R1156" s="15">
        <f t="shared" si="2"/>
        <v>0.3103448276</v>
      </c>
      <c r="S1156" s="15">
        <f>IF(H1156&lt;&gt;"",EXP(-Formula!$C$28*(EOMONTH(H1156,0)-H1156)),EXP(-Formula!$C$28*(EOMONTH(D1156,0)-D1156)))</f>
        <v>0.2865047969</v>
      </c>
      <c r="T1156" s="15">
        <f t="shared" si="3"/>
        <v>0.2886751346</v>
      </c>
      <c r="U1156" s="15">
        <f t="shared" si="4"/>
        <v>0.02566763094</v>
      </c>
      <c r="V1156" s="16">
        <f>IF(AND(L1156="Among all respondents",NOT(OR(K1156="Online poll in Telegram channel",K1156="Website online poll",K1156="CAWI (Computer Assisted Web Interviewing)"))),1/(1-MIN(MAX(Formula!$C$33+(YEAR(D1156)-Formula!$C$34)/(Formula!$C$35-Formula!$C$34)*(Formula!$C$32-Formula!$C$33),Formula!$C$33),Formula!$C$32)),1)</f>
        <v>1</v>
      </c>
      <c r="W1156" s="17">
        <f t="shared" si="5"/>
        <v>14.3</v>
      </c>
    </row>
    <row r="1157" ht="15.75" customHeight="1">
      <c r="A1157" s="8" t="s">
        <v>1900</v>
      </c>
      <c r="B1157" s="7" t="s">
        <v>1895</v>
      </c>
      <c r="C1157" s="13" t="s">
        <v>1896</v>
      </c>
      <c r="D1157" s="7" t="s">
        <v>179</v>
      </c>
      <c r="E1157" s="8" t="s">
        <v>20</v>
      </c>
      <c r="F1157" s="8" t="s">
        <v>318</v>
      </c>
      <c r="G1157" s="7" t="s">
        <v>1897</v>
      </c>
      <c r="H1157" s="7" t="s">
        <v>1898</v>
      </c>
      <c r="I1157" s="8">
        <v>1200.0</v>
      </c>
      <c r="J1157" s="8">
        <v>2.9</v>
      </c>
      <c r="K1157" s="8" t="s">
        <v>321</v>
      </c>
      <c r="L1157" s="8" t="s">
        <v>322</v>
      </c>
      <c r="M1157" s="8" t="s">
        <v>365</v>
      </c>
      <c r="N1157" s="8">
        <v>10.9</v>
      </c>
      <c r="O1157" s="14">
        <f t="shared" si="1"/>
        <v>44440</v>
      </c>
      <c r="P1157" s="15">
        <f>IFERROR(VLOOKUP(K1157,Formula!$A$11:$B$20,2,FALSE),Formula!$C$26)</f>
        <v>0.9</v>
      </c>
      <c r="Q1157" s="15">
        <f>IF(AND(ISNUMBER(J1157),J1157&gt;0),1/J1157,IF(AND(ISNUMBER(I1157),I1157&gt;0),SQRT(MIN(I1157,Formula!$C$27))/Formula!$C$24,1/Formula!$C$25))</f>
        <v>0.3448275862</v>
      </c>
      <c r="R1157" s="15">
        <f t="shared" si="2"/>
        <v>0.3103448276</v>
      </c>
      <c r="S1157" s="15">
        <f>IF(H1157&lt;&gt;"",EXP(-Formula!$C$28*(EOMONTH(H1157,0)-H1157)),EXP(-Formula!$C$28*(EOMONTH(D1157,0)-D1157)))</f>
        <v>0.2865047969</v>
      </c>
      <c r="T1157" s="15">
        <f t="shared" si="3"/>
        <v>0.2886751346</v>
      </c>
      <c r="U1157" s="15">
        <f t="shared" si="4"/>
        <v>0.02566763094</v>
      </c>
      <c r="V1157" s="16">
        <f>IF(AND(L1157="Among all respondents",NOT(OR(K1157="Online poll in Telegram channel",K1157="Website online poll",K1157="CAWI (Computer Assisted Web Interviewing)"))),1/(1-MIN(MAX(Formula!$C$33+(YEAR(D1157)-Formula!$C$34)/(Formula!$C$35-Formula!$C$34)*(Formula!$C$32-Formula!$C$33),Formula!$C$33),Formula!$C$32)),1)</f>
        <v>1</v>
      </c>
      <c r="W1157" s="17">
        <f t="shared" si="5"/>
        <v>10.9</v>
      </c>
    </row>
    <row r="1158" ht="15.75" customHeight="1">
      <c r="A1158" s="8" t="s">
        <v>1901</v>
      </c>
      <c r="B1158" s="7" t="s">
        <v>1895</v>
      </c>
      <c r="C1158" s="13" t="s">
        <v>1896</v>
      </c>
      <c r="D1158" s="7" t="s">
        <v>179</v>
      </c>
      <c r="E1158" s="8" t="s">
        <v>20</v>
      </c>
      <c r="F1158" s="8" t="s">
        <v>318</v>
      </c>
      <c r="G1158" s="7" t="s">
        <v>1897</v>
      </c>
      <c r="H1158" s="7" t="s">
        <v>1898</v>
      </c>
      <c r="I1158" s="8">
        <v>1200.0</v>
      </c>
      <c r="J1158" s="8">
        <v>2.9</v>
      </c>
      <c r="K1158" s="8" t="s">
        <v>321</v>
      </c>
      <c r="L1158" s="8" t="s">
        <v>322</v>
      </c>
      <c r="M1158" s="8" t="s">
        <v>337</v>
      </c>
      <c r="N1158" s="8">
        <v>10.3</v>
      </c>
      <c r="O1158" s="14">
        <f t="shared" si="1"/>
        <v>44440</v>
      </c>
      <c r="P1158" s="15">
        <f>IFERROR(VLOOKUP(K1158,Formula!$A$11:$B$20,2,FALSE),Formula!$C$26)</f>
        <v>0.9</v>
      </c>
      <c r="Q1158" s="15">
        <f>IF(AND(ISNUMBER(J1158),J1158&gt;0),1/J1158,IF(AND(ISNUMBER(I1158),I1158&gt;0),SQRT(MIN(I1158,Formula!$C$27))/Formula!$C$24,1/Formula!$C$25))</f>
        <v>0.3448275862</v>
      </c>
      <c r="R1158" s="15">
        <f t="shared" si="2"/>
        <v>0.3103448276</v>
      </c>
      <c r="S1158" s="15">
        <f>IF(H1158&lt;&gt;"",EXP(-Formula!$C$28*(EOMONTH(H1158,0)-H1158)),EXP(-Formula!$C$28*(EOMONTH(D1158,0)-D1158)))</f>
        <v>0.2865047969</v>
      </c>
      <c r="T1158" s="15">
        <f t="shared" si="3"/>
        <v>0.2886751346</v>
      </c>
      <c r="U1158" s="15">
        <f t="shared" si="4"/>
        <v>0.02566763094</v>
      </c>
      <c r="V1158" s="16">
        <f>IF(AND(L1158="Among all respondents",NOT(OR(K1158="Online poll in Telegram channel",K1158="Website online poll",K1158="CAWI (Computer Assisted Web Interviewing)"))),1/(1-MIN(MAX(Formula!$C$33+(YEAR(D1158)-Formula!$C$34)/(Formula!$C$35-Formula!$C$34)*(Formula!$C$32-Formula!$C$33),Formula!$C$33),Formula!$C$32)),1)</f>
        <v>1</v>
      </c>
      <c r="W1158" s="17">
        <f t="shared" si="5"/>
        <v>10.3</v>
      </c>
    </row>
    <row r="1159" ht="15.75" customHeight="1">
      <c r="A1159" s="8" t="s">
        <v>1902</v>
      </c>
      <c r="B1159" s="7" t="s">
        <v>1895</v>
      </c>
      <c r="C1159" s="13" t="s">
        <v>1896</v>
      </c>
      <c r="D1159" s="7" t="s">
        <v>179</v>
      </c>
      <c r="E1159" s="8" t="s">
        <v>20</v>
      </c>
      <c r="F1159" s="8" t="s">
        <v>318</v>
      </c>
      <c r="G1159" s="7" t="s">
        <v>1897</v>
      </c>
      <c r="H1159" s="7" t="s">
        <v>1898</v>
      </c>
      <c r="I1159" s="8">
        <v>1200.0</v>
      </c>
      <c r="J1159" s="8">
        <v>2.9</v>
      </c>
      <c r="K1159" s="8" t="s">
        <v>321</v>
      </c>
      <c r="L1159" s="8" t="s">
        <v>322</v>
      </c>
      <c r="M1159" s="8" t="s">
        <v>828</v>
      </c>
      <c r="N1159" s="8">
        <v>5.9</v>
      </c>
      <c r="O1159" s="14">
        <f t="shared" si="1"/>
        <v>44440</v>
      </c>
      <c r="P1159" s="15">
        <f>IFERROR(VLOOKUP(K1159,Formula!$A$11:$B$20,2,FALSE),Formula!$C$26)</f>
        <v>0.9</v>
      </c>
      <c r="Q1159" s="15">
        <f>IF(AND(ISNUMBER(J1159),J1159&gt;0),1/J1159,IF(AND(ISNUMBER(I1159),I1159&gt;0),SQRT(MIN(I1159,Formula!$C$27))/Formula!$C$24,1/Formula!$C$25))</f>
        <v>0.3448275862</v>
      </c>
      <c r="R1159" s="15">
        <f t="shared" si="2"/>
        <v>0.3103448276</v>
      </c>
      <c r="S1159" s="15">
        <f>IF(H1159&lt;&gt;"",EXP(-Formula!$C$28*(EOMONTH(H1159,0)-H1159)),EXP(-Formula!$C$28*(EOMONTH(D1159,0)-D1159)))</f>
        <v>0.2865047969</v>
      </c>
      <c r="T1159" s="15">
        <f t="shared" si="3"/>
        <v>0.2886751346</v>
      </c>
      <c r="U1159" s="15">
        <f t="shared" si="4"/>
        <v>0.02566763094</v>
      </c>
      <c r="V1159" s="16">
        <f>IF(AND(L1159="Among all respondents",NOT(OR(K1159="Online poll in Telegram channel",K1159="Website online poll",K1159="CAWI (Computer Assisted Web Interviewing)"))),1/(1-MIN(MAX(Formula!$C$33+(YEAR(D1159)-Formula!$C$34)/(Formula!$C$35-Formula!$C$34)*(Formula!$C$32-Formula!$C$33),Formula!$C$33),Formula!$C$32)),1)</f>
        <v>1</v>
      </c>
      <c r="W1159" s="17">
        <f t="shared" si="5"/>
        <v>5.9</v>
      </c>
    </row>
    <row r="1160" ht="15.75" customHeight="1">
      <c r="A1160" s="8" t="s">
        <v>1903</v>
      </c>
      <c r="B1160" s="7" t="s">
        <v>1895</v>
      </c>
      <c r="C1160" s="13" t="s">
        <v>1896</v>
      </c>
      <c r="D1160" s="7" t="s">
        <v>179</v>
      </c>
      <c r="E1160" s="8" t="s">
        <v>20</v>
      </c>
      <c r="F1160" s="8" t="s">
        <v>318</v>
      </c>
      <c r="G1160" s="7" t="s">
        <v>1897</v>
      </c>
      <c r="H1160" s="7" t="s">
        <v>1898</v>
      </c>
      <c r="I1160" s="8">
        <v>1200.0</v>
      </c>
      <c r="J1160" s="8">
        <v>2.9</v>
      </c>
      <c r="K1160" s="8" t="s">
        <v>321</v>
      </c>
      <c r="L1160" s="8" t="s">
        <v>322</v>
      </c>
      <c r="M1160" s="8" t="s">
        <v>1153</v>
      </c>
      <c r="N1160" s="8">
        <v>5.8</v>
      </c>
      <c r="O1160" s="14">
        <f t="shared" si="1"/>
        <v>44440</v>
      </c>
      <c r="P1160" s="15">
        <f>IFERROR(VLOOKUP(K1160,Formula!$A$11:$B$20,2,FALSE),Formula!$C$26)</f>
        <v>0.9</v>
      </c>
      <c r="Q1160" s="15">
        <f>IF(AND(ISNUMBER(J1160),J1160&gt;0),1/J1160,IF(AND(ISNUMBER(I1160),I1160&gt;0),SQRT(MIN(I1160,Formula!$C$27))/Formula!$C$24,1/Formula!$C$25))</f>
        <v>0.3448275862</v>
      </c>
      <c r="R1160" s="15">
        <f t="shared" si="2"/>
        <v>0.3103448276</v>
      </c>
      <c r="S1160" s="15">
        <f>IF(H1160&lt;&gt;"",EXP(-Formula!$C$28*(EOMONTH(H1160,0)-H1160)),EXP(-Formula!$C$28*(EOMONTH(D1160,0)-D1160)))</f>
        <v>0.2865047969</v>
      </c>
      <c r="T1160" s="15">
        <f t="shared" si="3"/>
        <v>0.2886751346</v>
      </c>
      <c r="U1160" s="15">
        <f t="shared" si="4"/>
        <v>0.02566763094</v>
      </c>
      <c r="V1160" s="16">
        <f>IF(AND(L1160="Among all respondents",NOT(OR(K1160="Online poll in Telegram channel",K1160="Website online poll",K1160="CAWI (Computer Assisted Web Interviewing)"))),1/(1-MIN(MAX(Formula!$C$33+(YEAR(D1160)-Formula!$C$34)/(Formula!$C$35-Formula!$C$34)*(Formula!$C$32-Formula!$C$33),Formula!$C$33),Formula!$C$32)),1)</f>
        <v>1</v>
      </c>
      <c r="W1160" s="17">
        <f t="shared" si="5"/>
        <v>5.8</v>
      </c>
    </row>
    <row r="1161" ht="15.75" customHeight="1">
      <c r="A1161" s="8" t="s">
        <v>1904</v>
      </c>
      <c r="B1161" s="7" t="s">
        <v>1895</v>
      </c>
      <c r="C1161" s="13" t="s">
        <v>1896</v>
      </c>
      <c r="D1161" s="7" t="s">
        <v>179</v>
      </c>
      <c r="E1161" s="8" t="s">
        <v>20</v>
      </c>
      <c r="F1161" s="8" t="s">
        <v>318</v>
      </c>
      <c r="G1161" s="7" t="s">
        <v>1897</v>
      </c>
      <c r="H1161" s="7" t="s">
        <v>1898</v>
      </c>
      <c r="I1161" s="8">
        <v>1200.0</v>
      </c>
      <c r="J1161" s="8">
        <v>2.9</v>
      </c>
      <c r="K1161" s="8" t="s">
        <v>321</v>
      </c>
      <c r="L1161" s="8" t="s">
        <v>322</v>
      </c>
      <c r="M1161" s="8" t="s">
        <v>386</v>
      </c>
      <c r="N1161" s="8">
        <v>5.3</v>
      </c>
      <c r="O1161" s="14">
        <f t="shared" si="1"/>
        <v>44440</v>
      </c>
      <c r="P1161" s="15">
        <f>IFERROR(VLOOKUP(K1161,Formula!$A$11:$B$20,2,FALSE),Formula!$C$26)</f>
        <v>0.9</v>
      </c>
      <c r="Q1161" s="15">
        <f>IF(AND(ISNUMBER(J1161),J1161&gt;0),1/J1161,IF(AND(ISNUMBER(I1161),I1161&gt;0),SQRT(MIN(I1161,Formula!$C$27))/Formula!$C$24,1/Formula!$C$25))</f>
        <v>0.3448275862</v>
      </c>
      <c r="R1161" s="15">
        <f t="shared" si="2"/>
        <v>0.3103448276</v>
      </c>
      <c r="S1161" s="15">
        <f>IF(H1161&lt;&gt;"",EXP(-Formula!$C$28*(EOMONTH(H1161,0)-H1161)),EXP(-Formula!$C$28*(EOMONTH(D1161,0)-D1161)))</f>
        <v>0.2865047969</v>
      </c>
      <c r="T1161" s="15">
        <f t="shared" si="3"/>
        <v>0.2886751346</v>
      </c>
      <c r="U1161" s="15">
        <f t="shared" si="4"/>
        <v>0.02566763094</v>
      </c>
      <c r="V1161" s="16">
        <f>IF(AND(L1161="Among all respondents",NOT(OR(K1161="Online poll in Telegram channel",K1161="Website online poll",K1161="CAWI (Computer Assisted Web Interviewing)"))),1/(1-MIN(MAX(Formula!$C$33+(YEAR(D1161)-Formula!$C$34)/(Formula!$C$35-Formula!$C$34)*(Formula!$C$32-Formula!$C$33),Formula!$C$33),Formula!$C$32)),1)</f>
        <v>1</v>
      </c>
      <c r="W1161" s="17">
        <f t="shared" si="5"/>
        <v>5.3</v>
      </c>
    </row>
    <row r="1162" ht="15.75" customHeight="1">
      <c r="A1162" s="8" t="s">
        <v>1905</v>
      </c>
      <c r="B1162" s="7" t="s">
        <v>1895</v>
      </c>
      <c r="C1162" s="13" t="s">
        <v>1896</v>
      </c>
      <c r="D1162" s="7" t="s">
        <v>179</v>
      </c>
      <c r="E1162" s="8" t="s">
        <v>20</v>
      </c>
      <c r="F1162" s="8" t="s">
        <v>318</v>
      </c>
      <c r="G1162" s="7" t="s">
        <v>1897</v>
      </c>
      <c r="H1162" s="7" t="s">
        <v>1898</v>
      </c>
      <c r="I1162" s="8">
        <v>1200.0</v>
      </c>
      <c r="J1162" s="8">
        <v>2.9</v>
      </c>
      <c r="K1162" s="8" t="s">
        <v>321</v>
      </c>
      <c r="L1162" s="8" t="s">
        <v>322</v>
      </c>
      <c r="M1162" s="8" t="s">
        <v>333</v>
      </c>
      <c r="N1162" s="8">
        <v>5.0</v>
      </c>
      <c r="O1162" s="14">
        <f t="shared" si="1"/>
        <v>44440</v>
      </c>
      <c r="P1162" s="15">
        <f>IFERROR(VLOOKUP(K1162,Formula!$A$11:$B$20,2,FALSE),Formula!$C$26)</f>
        <v>0.9</v>
      </c>
      <c r="Q1162" s="15">
        <f>IF(AND(ISNUMBER(J1162),J1162&gt;0),1/J1162,IF(AND(ISNUMBER(I1162),I1162&gt;0),SQRT(MIN(I1162,Formula!$C$27))/Formula!$C$24,1/Formula!$C$25))</f>
        <v>0.3448275862</v>
      </c>
      <c r="R1162" s="15">
        <f t="shared" si="2"/>
        <v>0.3103448276</v>
      </c>
      <c r="S1162" s="15">
        <f>IF(H1162&lt;&gt;"",EXP(-Formula!$C$28*(EOMONTH(H1162,0)-H1162)),EXP(-Formula!$C$28*(EOMONTH(D1162,0)-D1162)))</f>
        <v>0.2865047969</v>
      </c>
      <c r="T1162" s="15">
        <f t="shared" si="3"/>
        <v>0.2886751346</v>
      </c>
      <c r="U1162" s="15">
        <f t="shared" si="4"/>
        <v>0.02566763094</v>
      </c>
      <c r="V1162" s="16">
        <f>IF(AND(L1162="Among all respondents",NOT(OR(K1162="Online poll in Telegram channel",K1162="Website online poll",K1162="CAWI (Computer Assisted Web Interviewing)"))),1/(1-MIN(MAX(Formula!$C$33+(YEAR(D1162)-Formula!$C$34)/(Formula!$C$35-Formula!$C$34)*(Formula!$C$32-Formula!$C$33),Formula!$C$33),Formula!$C$32)),1)</f>
        <v>1</v>
      </c>
      <c r="W1162" s="17">
        <f t="shared" si="5"/>
        <v>5</v>
      </c>
    </row>
    <row r="1163" ht="15.75" customHeight="1">
      <c r="A1163" s="8" t="s">
        <v>1906</v>
      </c>
      <c r="B1163" s="7" t="s">
        <v>1895</v>
      </c>
      <c r="C1163" s="13" t="s">
        <v>1896</v>
      </c>
      <c r="D1163" s="7" t="s">
        <v>179</v>
      </c>
      <c r="E1163" s="8" t="s">
        <v>20</v>
      </c>
      <c r="F1163" s="8" t="s">
        <v>318</v>
      </c>
      <c r="G1163" s="7" t="s">
        <v>1897</v>
      </c>
      <c r="H1163" s="7" t="s">
        <v>1898</v>
      </c>
      <c r="I1163" s="8">
        <v>1200.0</v>
      </c>
      <c r="J1163" s="8">
        <v>2.9</v>
      </c>
      <c r="K1163" s="8" t="s">
        <v>321</v>
      </c>
      <c r="L1163" s="8" t="s">
        <v>322</v>
      </c>
      <c r="M1163" s="8" t="s">
        <v>343</v>
      </c>
      <c r="N1163" s="8">
        <v>3.0</v>
      </c>
      <c r="O1163" s="14">
        <f t="shared" si="1"/>
        <v>44440</v>
      </c>
      <c r="P1163" s="15">
        <f>IFERROR(VLOOKUP(K1163,Formula!$A$11:$B$20,2,FALSE),Formula!$C$26)</f>
        <v>0.9</v>
      </c>
      <c r="Q1163" s="15">
        <f>IF(AND(ISNUMBER(J1163),J1163&gt;0),1/J1163,IF(AND(ISNUMBER(I1163),I1163&gt;0),SQRT(MIN(I1163,Formula!$C$27))/Formula!$C$24,1/Formula!$C$25))</f>
        <v>0.3448275862</v>
      </c>
      <c r="R1163" s="15">
        <f t="shared" si="2"/>
        <v>0.3103448276</v>
      </c>
      <c r="S1163" s="15">
        <f>IF(H1163&lt;&gt;"",EXP(-Formula!$C$28*(EOMONTH(H1163,0)-H1163)),EXP(-Formula!$C$28*(EOMONTH(D1163,0)-D1163)))</f>
        <v>0.2865047969</v>
      </c>
      <c r="T1163" s="15">
        <f t="shared" si="3"/>
        <v>0.2886751346</v>
      </c>
      <c r="U1163" s="15">
        <f t="shared" si="4"/>
        <v>0.02566763094</v>
      </c>
      <c r="V1163" s="16">
        <f>IF(AND(L1163="Among all respondents",NOT(OR(K1163="Online poll in Telegram channel",K1163="Website online poll",K1163="CAWI (Computer Assisted Web Interviewing)"))),1/(1-MIN(MAX(Formula!$C$33+(YEAR(D1163)-Formula!$C$34)/(Formula!$C$35-Formula!$C$34)*(Formula!$C$32-Formula!$C$33),Formula!$C$33),Formula!$C$32)),1)</f>
        <v>1</v>
      </c>
      <c r="W1163" s="17">
        <f t="shared" si="5"/>
        <v>3</v>
      </c>
    </row>
    <row r="1164" ht="15.75" customHeight="1">
      <c r="A1164" s="8" t="s">
        <v>1907</v>
      </c>
      <c r="B1164" s="7" t="s">
        <v>1895</v>
      </c>
      <c r="C1164" s="13" t="s">
        <v>1896</v>
      </c>
      <c r="D1164" s="7" t="s">
        <v>179</v>
      </c>
      <c r="E1164" s="8" t="s">
        <v>20</v>
      </c>
      <c r="F1164" s="8" t="s">
        <v>318</v>
      </c>
      <c r="G1164" s="7" t="s">
        <v>1897</v>
      </c>
      <c r="H1164" s="7" t="s">
        <v>1898</v>
      </c>
      <c r="I1164" s="8">
        <v>1200.0</v>
      </c>
      <c r="J1164" s="8">
        <v>2.9</v>
      </c>
      <c r="K1164" s="8" t="s">
        <v>321</v>
      </c>
      <c r="L1164" s="8" t="s">
        <v>322</v>
      </c>
      <c r="M1164" s="8" t="s">
        <v>388</v>
      </c>
      <c r="N1164" s="8">
        <v>2.4</v>
      </c>
      <c r="O1164" s="14">
        <f t="shared" si="1"/>
        <v>44440</v>
      </c>
      <c r="P1164" s="15">
        <f>IFERROR(VLOOKUP(K1164,Formula!$A$11:$B$20,2,FALSE),Formula!$C$26)</f>
        <v>0.9</v>
      </c>
      <c r="Q1164" s="15">
        <f>IF(AND(ISNUMBER(J1164),J1164&gt;0),1/J1164,IF(AND(ISNUMBER(I1164),I1164&gt;0),SQRT(MIN(I1164,Formula!$C$27))/Formula!$C$24,1/Formula!$C$25))</f>
        <v>0.3448275862</v>
      </c>
      <c r="R1164" s="15">
        <f t="shared" si="2"/>
        <v>0.3103448276</v>
      </c>
      <c r="S1164" s="15">
        <f>IF(H1164&lt;&gt;"",EXP(-Formula!$C$28*(EOMONTH(H1164,0)-H1164)),EXP(-Formula!$C$28*(EOMONTH(D1164,0)-D1164)))</f>
        <v>0.2865047969</v>
      </c>
      <c r="T1164" s="15">
        <f t="shared" si="3"/>
        <v>0.2886751346</v>
      </c>
      <c r="U1164" s="15">
        <f t="shared" si="4"/>
        <v>0.02566763094</v>
      </c>
      <c r="V1164" s="16">
        <f>IF(AND(L1164="Among all respondents",NOT(OR(K1164="Online poll in Telegram channel",K1164="Website online poll",K1164="CAWI (Computer Assisted Web Interviewing)"))),1/(1-MIN(MAX(Formula!$C$33+(YEAR(D1164)-Formula!$C$34)/(Formula!$C$35-Formula!$C$34)*(Formula!$C$32-Formula!$C$33),Formula!$C$33),Formula!$C$32)),1)</f>
        <v>1</v>
      </c>
      <c r="W1164" s="17">
        <f t="shared" si="5"/>
        <v>2.4</v>
      </c>
    </row>
    <row r="1165" ht="15.75" customHeight="1">
      <c r="A1165" s="8" t="s">
        <v>1908</v>
      </c>
      <c r="B1165" s="7" t="s">
        <v>1895</v>
      </c>
      <c r="C1165" s="13" t="s">
        <v>1896</v>
      </c>
      <c r="D1165" s="7" t="s">
        <v>179</v>
      </c>
      <c r="E1165" s="8" t="s">
        <v>20</v>
      </c>
      <c r="F1165" s="8" t="s">
        <v>318</v>
      </c>
      <c r="G1165" s="7" t="s">
        <v>1897</v>
      </c>
      <c r="H1165" s="7" t="s">
        <v>1898</v>
      </c>
      <c r="I1165" s="8">
        <v>1200.0</v>
      </c>
      <c r="J1165" s="8">
        <v>2.9</v>
      </c>
      <c r="K1165" s="8" t="s">
        <v>321</v>
      </c>
      <c r="L1165" s="8" t="s">
        <v>322</v>
      </c>
      <c r="M1165" s="8" t="s">
        <v>1909</v>
      </c>
      <c r="N1165" s="8">
        <v>1.1</v>
      </c>
      <c r="O1165" s="14">
        <f t="shared" si="1"/>
        <v>44440</v>
      </c>
      <c r="P1165" s="15">
        <f>IFERROR(VLOOKUP(K1165,Formula!$A$11:$B$20,2,FALSE),Formula!$C$26)</f>
        <v>0.9</v>
      </c>
      <c r="Q1165" s="15">
        <f>IF(AND(ISNUMBER(J1165),J1165&gt;0),1/J1165,IF(AND(ISNUMBER(I1165),I1165&gt;0),SQRT(MIN(I1165,Formula!$C$27))/Formula!$C$24,1/Formula!$C$25))</f>
        <v>0.3448275862</v>
      </c>
      <c r="R1165" s="15">
        <f t="shared" si="2"/>
        <v>0.3103448276</v>
      </c>
      <c r="S1165" s="15">
        <f>IF(H1165&lt;&gt;"",EXP(-Formula!$C$28*(EOMONTH(H1165,0)-H1165)),EXP(-Formula!$C$28*(EOMONTH(D1165,0)-D1165)))</f>
        <v>0.2865047969</v>
      </c>
      <c r="T1165" s="15">
        <f t="shared" si="3"/>
        <v>0.2886751346</v>
      </c>
      <c r="U1165" s="15">
        <f t="shared" si="4"/>
        <v>0.02566763094</v>
      </c>
      <c r="V1165" s="16">
        <f>IF(AND(L1165="Among all respondents",NOT(OR(K1165="Online poll in Telegram channel",K1165="Website online poll",K1165="CAWI (Computer Assisted Web Interviewing)"))),1/(1-MIN(MAX(Formula!$C$33+(YEAR(D1165)-Formula!$C$34)/(Formula!$C$35-Formula!$C$34)*(Formula!$C$32-Formula!$C$33),Formula!$C$33),Formula!$C$32)),1)</f>
        <v>1</v>
      </c>
      <c r="W1165" s="17">
        <f t="shared" si="5"/>
        <v>1.1</v>
      </c>
    </row>
    <row r="1166" ht="15.75" customHeight="1">
      <c r="A1166" s="8" t="s">
        <v>1910</v>
      </c>
      <c r="B1166" s="7" t="s">
        <v>1895</v>
      </c>
      <c r="C1166" s="13" t="s">
        <v>1896</v>
      </c>
      <c r="D1166" s="7" t="s">
        <v>179</v>
      </c>
      <c r="E1166" s="8" t="s">
        <v>20</v>
      </c>
      <c r="F1166" s="8" t="s">
        <v>318</v>
      </c>
      <c r="G1166" s="7" t="s">
        <v>1897</v>
      </c>
      <c r="H1166" s="7" t="s">
        <v>1898</v>
      </c>
      <c r="I1166" s="8">
        <v>1200.0</v>
      </c>
      <c r="J1166" s="8">
        <v>2.9</v>
      </c>
      <c r="K1166" s="8" t="s">
        <v>321</v>
      </c>
      <c r="L1166" s="8" t="s">
        <v>322</v>
      </c>
      <c r="M1166" s="8" t="s">
        <v>740</v>
      </c>
      <c r="N1166" s="8">
        <v>0.7</v>
      </c>
      <c r="O1166" s="14">
        <f t="shared" si="1"/>
        <v>44440</v>
      </c>
      <c r="P1166" s="15">
        <f>IFERROR(VLOOKUP(K1166,Formula!$A$11:$B$20,2,FALSE),Formula!$C$26)</f>
        <v>0.9</v>
      </c>
      <c r="Q1166" s="15">
        <f>IF(AND(ISNUMBER(J1166),J1166&gt;0),1/J1166,IF(AND(ISNUMBER(I1166),I1166&gt;0),SQRT(MIN(I1166,Formula!$C$27))/Formula!$C$24,1/Formula!$C$25))</f>
        <v>0.3448275862</v>
      </c>
      <c r="R1166" s="15">
        <f t="shared" si="2"/>
        <v>0.3103448276</v>
      </c>
      <c r="S1166" s="15">
        <f>IF(H1166&lt;&gt;"",EXP(-Formula!$C$28*(EOMONTH(H1166,0)-H1166)),EXP(-Formula!$C$28*(EOMONTH(D1166,0)-D1166)))</f>
        <v>0.2865047969</v>
      </c>
      <c r="T1166" s="15">
        <f t="shared" si="3"/>
        <v>0.2886751346</v>
      </c>
      <c r="U1166" s="15">
        <f t="shared" si="4"/>
        <v>0.02566763094</v>
      </c>
      <c r="V1166" s="16">
        <f>IF(AND(L1166="Among all respondents",NOT(OR(K1166="Online poll in Telegram channel",K1166="Website online poll",K1166="CAWI (Computer Assisted Web Interviewing)"))),1/(1-MIN(MAX(Formula!$C$33+(YEAR(D1166)-Formula!$C$34)/(Formula!$C$35-Formula!$C$34)*(Formula!$C$32-Formula!$C$33),Formula!$C$33),Formula!$C$32)),1)</f>
        <v>1</v>
      </c>
      <c r="W1166" s="17">
        <f t="shared" si="5"/>
        <v>0.7</v>
      </c>
    </row>
    <row r="1167" ht="15.75" customHeight="1">
      <c r="A1167" s="8" t="s">
        <v>1911</v>
      </c>
      <c r="B1167" s="7" t="s">
        <v>1912</v>
      </c>
      <c r="C1167" s="13" t="s">
        <v>1913</v>
      </c>
      <c r="D1167" s="7" t="s">
        <v>180</v>
      </c>
      <c r="E1167" s="8" t="s">
        <v>40</v>
      </c>
      <c r="F1167" s="8" t="s">
        <v>318</v>
      </c>
      <c r="G1167" s="7" t="s">
        <v>1914</v>
      </c>
      <c r="H1167" s="7" t="s">
        <v>1897</v>
      </c>
      <c r="I1167" s="8">
        <v>2500.0</v>
      </c>
      <c r="J1167" s="8">
        <v>2.0</v>
      </c>
      <c r="K1167" s="8" t="s">
        <v>321</v>
      </c>
      <c r="L1167" s="8" t="s">
        <v>322</v>
      </c>
      <c r="M1167" s="8" t="s">
        <v>323</v>
      </c>
      <c r="N1167" s="8">
        <v>31.1</v>
      </c>
      <c r="O1167" s="14">
        <f t="shared" si="1"/>
        <v>44440</v>
      </c>
      <c r="P1167" s="15">
        <f>IFERROR(VLOOKUP(K1167,Formula!$A$11:$B$20,2,FALSE),Formula!$C$26)</f>
        <v>0.9</v>
      </c>
      <c r="Q1167" s="15">
        <f>IF(AND(ISNUMBER(J1167),J1167&gt;0),1/J1167,IF(AND(ISNUMBER(I1167),I1167&gt;0),SQRT(MIN(I1167,Formula!$C$27))/Formula!$C$24,1/Formula!$C$25))</f>
        <v>0.5</v>
      </c>
      <c r="R1167" s="15">
        <f t="shared" si="2"/>
        <v>0.45</v>
      </c>
      <c r="S1167" s="15">
        <f>IF(H1167&lt;&gt;"",EXP(-Formula!$C$28*(EOMONTH(H1167,0)-H1167)),EXP(-Formula!$C$28*(EOMONTH(D1167,0)-D1167)))</f>
        <v>0.272531793</v>
      </c>
      <c r="T1167" s="15">
        <f t="shared" si="3"/>
        <v>0.2886751346</v>
      </c>
      <c r="U1167" s="15">
        <f t="shared" si="4"/>
        <v>0.03540291842</v>
      </c>
      <c r="V1167" s="16">
        <f>IF(AND(L1167="Among all respondents",NOT(OR(K1167="Online poll in Telegram channel",K1167="Website online poll",K1167="CAWI (Computer Assisted Web Interviewing)"))),1/(1-MIN(MAX(Formula!$C$33+(YEAR(D1167)-Formula!$C$34)/(Formula!$C$35-Formula!$C$34)*(Formula!$C$32-Formula!$C$33),Formula!$C$33),Formula!$C$32)),1)</f>
        <v>1</v>
      </c>
      <c r="W1167" s="17">
        <f t="shared" si="5"/>
        <v>31.1</v>
      </c>
    </row>
    <row r="1168" ht="15.75" customHeight="1">
      <c r="A1168" s="8" t="s">
        <v>1915</v>
      </c>
      <c r="B1168" s="7" t="s">
        <v>1912</v>
      </c>
      <c r="C1168" s="13" t="s">
        <v>1913</v>
      </c>
      <c r="D1168" s="7" t="s">
        <v>180</v>
      </c>
      <c r="E1168" s="8" t="s">
        <v>40</v>
      </c>
      <c r="F1168" s="8" t="s">
        <v>318</v>
      </c>
      <c r="G1168" s="7" t="s">
        <v>1914</v>
      </c>
      <c r="H1168" s="7" t="s">
        <v>1897</v>
      </c>
      <c r="I1168" s="8">
        <v>2500.0</v>
      </c>
      <c r="J1168" s="8">
        <v>2.0</v>
      </c>
      <c r="K1168" s="8" t="s">
        <v>321</v>
      </c>
      <c r="L1168" s="8" t="s">
        <v>322</v>
      </c>
      <c r="M1168" s="8" t="s">
        <v>329</v>
      </c>
      <c r="N1168" s="8">
        <v>13.3</v>
      </c>
      <c r="O1168" s="14">
        <f t="shared" si="1"/>
        <v>44440</v>
      </c>
      <c r="P1168" s="15">
        <f>IFERROR(VLOOKUP(K1168,Formula!$A$11:$B$20,2,FALSE),Formula!$C$26)</f>
        <v>0.9</v>
      </c>
      <c r="Q1168" s="15">
        <f>IF(AND(ISNUMBER(J1168),J1168&gt;0),1/J1168,IF(AND(ISNUMBER(I1168),I1168&gt;0),SQRT(MIN(I1168,Formula!$C$27))/Formula!$C$24,1/Formula!$C$25))</f>
        <v>0.5</v>
      </c>
      <c r="R1168" s="15">
        <f t="shared" si="2"/>
        <v>0.45</v>
      </c>
      <c r="S1168" s="15">
        <f>IF(H1168&lt;&gt;"",EXP(-Formula!$C$28*(EOMONTH(H1168,0)-H1168)),EXP(-Formula!$C$28*(EOMONTH(D1168,0)-D1168)))</f>
        <v>0.272531793</v>
      </c>
      <c r="T1168" s="15">
        <f t="shared" si="3"/>
        <v>0.2886751346</v>
      </c>
      <c r="U1168" s="15">
        <f t="shared" si="4"/>
        <v>0.03540291842</v>
      </c>
      <c r="V1168" s="16">
        <f>IF(AND(L1168="Among all respondents",NOT(OR(K1168="Online poll in Telegram channel",K1168="Website online poll",K1168="CAWI (Computer Assisted Web Interviewing)"))),1/(1-MIN(MAX(Formula!$C$33+(YEAR(D1168)-Formula!$C$34)/(Formula!$C$35-Formula!$C$34)*(Formula!$C$32-Formula!$C$33),Formula!$C$33),Formula!$C$32)),1)</f>
        <v>1</v>
      </c>
      <c r="W1168" s="17">
        <f t="shared" si="5"/>
        <v>13.3</v>
      </c>
    </row>
    <row r="1169" ht="15.75" customHeight="1">
      <c r="A1169" s="8" t="s">
        <v>1916</v>
      </c>
      <c r="B1169" s="7" t="s">
        <v>1912</v>
      </c>
      <c r="C1169" s="13" t="s">
        <v>1913</v>
      </c>
      <c r="D1169" s="7" t="s">
        <v>180</v>
      </c>
      <c r="E1169" s="8" t="s">
        <v>40</v>
      </c>
      <c r="F1169" s="8" t="s">
        <v>318</v>
      </c>
      <c r="G1169" s="7" t="s">
        <v>1914</v>
      </c>
      <c r="H1169" s="7" t="s">
        <v>1897</v>
      </c>
      <c r="I1169" s="8">
        <v>2500.0</v>
      </c>
      <c r="J1169" s="8">
        <v>2.0</v>
      </c>
      <c r="K1169" s="8" t="s">
        <v>321</v>
      </c>
      <c r="L1169" s="8" t="s">
        <v>322</v>
      </c>
      <c r="M1169" s="8" t="s">
        <v>365</v>
      </c>
      <c r="N1169" s="8">
        <v>10.9</v>
      </c>
      <c r="O1169" s="14">
        <f t="shared" si="1"/>
        <v>44440</v>
      </c>
      <c r="P1169" s="15">
        <f>IFERROR(VLOOKUP(K1169,Formula!$A$11:$B$20,2,FALSE),Formula!$C$26)</f>
        <v>0.9</v>
      </c>
      <c r="Q1169" s="15">
        <f>IF(AND(ISNUMBER(J1169),J1169&gt;0),1/J1169,IF(AND(ISNUMBER(I1169),I1169&gt;0),SQRT(MIN(I1169,Formula!$C$27))/Formula!$C$24,1/Formula!$C$25))</f>
        <v>0.5</v>
      </c>
      <c r="R1169" s="15">
        <f t="shared" si="2"/>
        <v>0.45</v>
      </c>
      <c r="S1169" s="15">
        <f>IF(H1169&lt;&gt;"",EXP(-Formula!$C$28*(EOMONTH(H1169,0)-H1169)),EXP(-Formula!$C$28*(EOMONTH(D1169,0)-D1169)))</f>
        <v>0.272531793</v>
      </c>
      <c r="T1169" s="15">
        <f t="shared" si="3"/>
        <v>0.2886751346</v>
      </c>
      <c r="U1169" s="15">
        <f t="shared" si="4"/>
        <v>0.03540291842</v>
      </c>
      <c r="V1169" s="16">
        <f>IF(AND(L1169="Among all respondents",NOT(OR(K1169="Online poll in Telegram channel",K1169="Website online poll",K1169="CAWI (Computer Assisted Web Interviewing)"))),1/(1-MIN(MAX(Formula!$C$33+(YEAR(D1169)-Formula!$C$34)/(Formula!$C$35-Formula!$C$34)*(Formula!$C$32-Formula!$C$33),Formula!$C$33),Formula!$C$32)),1)</f>
        <v>1</v>
      </c>
      <c r="W1169" s="17">
        <f t="shared" si="5"/>
        <v>10.9</v>
      </c>
    </row>
    <row r="1170" ht="15.75" customHeight="1">
      <c r="A1170" s="8" t="s">
        <v>1917</v>
      </c>
      <c r="B1170" s="7" t="s">
        <v>1912</v>
      </c>
      <c r="C1170" s="13" t="s">
        <v>1913</v>
      </c>
      <c r="D1170" s="7" t="s">
        <v>180</v>
      </c>
      <c r="E1170" s="8" t="s">
        <v>40</v>
      </c>
      <c r="F1170" s="8" t="s">
        <v>318</v>
      </c>
      <c r="G1170" s="7" t="s">
        <v>1914</v>
      </c>
      <c r="H1170" s="7" t="s">
        <v>1897</v>
      </c>
      <c r="I1170" s="8">
        <v>2500.0</v>
      </c>
      <c r="J1170" s="8">
        <v>2.0</v>
      </c>
      <c r="K1170" s="8" t="s">
        <v>321</v>
      </c>
      <c r="L1170" s="8" t="s">
        <v>322</v>
      </c>
      <c r="M1170" s="8" t="s">
        <v>337</v>
      </c>
      <c r="N1170" s="8">
        <v>9.2</v>
      </c>
      <c r="O1170" s="14">
        <f t="shared" si="1"/>
        <v>44440</v>
      </c>
      <c r="P1170" s="15">
        <f>IFERROR(VLOOKUP(K1170,Formula!$A$11:$B$20,2,FALSE),Formula!$C$26)</f>
        <v>0.9</v>
      </c>
      <c r="Q1170" s="15">
        <f>IF(AND(ISNUMBER(J1170),J1170&gt;0),1/J1170,IF(AND(ISNUMBER(I1170),I1170&gt;0),SQRT(MIN(I1170,Formula!$C$27))/Formula!$C$24,1/Formula!$C$25))</f>
        <v>0.5</v>
      </c>
      <c r="R1170" s="15">
        <f t="shared" si="2"/>
        <v>0.45</v>
      </c>
      <c r="S1170" s="15">
        <f>IF(H1170&lt;&gt;"",EXP(-Formula!$C$28*(EOMONTH(H1170,0)-H1170)),EXP(-Formula!$C$28*(EOMONTH(D1170,0)-D1170)))</f>
        <v>0.272531793</v>
      </c>
      <c r="T1170" s="15">
        <f t="shared" si="3"/>
        <v>0.2886751346</v>
      </c>
      <c r="U1170" s="15">
        <f t="shared" si="4"/>
        <v>0.03540291842</v>
      </c>
      <c r="V1170" s="16">
        <f>IF(AND(L1170="Among all respondents",NOT(OR(K1170="Online poll in Telegram channel",K1170="Website online poll",K1170="CAWI (Computer Assisted Web Interviewing)"))),1/(1-MIN(MAX(Formula!$C$33+(YEAR(D1170)-Formula!$C$34)/(Formula!$C$35-Formula!$C$34)*(Formula!$C$32-Formula!$C$33),Formula!$C$33),Formula!$C$32)),1)</f>
        <v>1</v>
      </c>
      <c r="W1170" s="17">
        <f t="shared" si="5"/>
        <v>9.2</v>
      </c>
    </row>
    <row r="1171" ht="15.75" customHeight="1">
      <c r="A1171" s="8" t="s">
        <v>1918</v>
      </c>
      <c r="B1171" s="7" t="s">
        <v>1912</v>
      </c>
      <c r="C1171" s="13" t="s">
        <v>1913</v>
      </c>
      <c r="D1171" s="7" t="s">
        <v>180</v>
      </c>
      <c r="E1171" s="8" t="s">
        <v>40</v>
      </c>
      <c r="F1171" s="8" t="s">
        <v>318</v>
      </c>
      <c r="G1171" s="7" t="s">
        <v>1914</v>
      </c>
      <c r="H1171" s="7" t="s">
        <v>1897</v>
      </c>
      <c r="I1171" s="8">
        <v>2500.0</v>
      </c>
      <c r="J1171" s="8">
        <v>2.0</v>
      </c>
      <c r="K1171" s="8" t="s">
        <v>321</v>
      </c>
      <c r="L1171" s="8" t="s">
        <v>322</v>
      </c>
      <c r="M1171" s="8" t="s">
        <v>828</v>
      </c>
      <c r="N1171" s="8">
        <v>6.1</v>
      </c>
      <c r="O1171" s="14">
        <f t="shared" si="1"/>
        <v>44440</v>
      </c>
      <c r="P1171" s="15">
        <f>IFERROR(VLOOKUP(K1171,Formula!$A$11:$B$20,2,FALSE),Formula!$C$26)</f>
        <v>0.9</v>
      </c>
      <c r="Q1171" s="15">
        <f>IF(AND(ISNUMBER(J1171),J1171&gt;0),1/J1171,IF(AND(ISNUMBER(I1171),I1171&gt;0),SQRT(MIN(I1171,Formula!$C$27))/Formula!$C$24,1/Formula!$C$25))</f>
        <v>0.5</v>
      </c>
      <c r="R1171" s="15">
        <f t="shared" si="2"/>
        <v>0.45</v>
      </c>
      <c r="S1171" s="15">
        <f>IF(H1171&lt;&gt;"",EXP(-Formula!$C$28*(EOMONTH(H1171,0)-H1171)),EXP(-Formula!$C$28*(EOMONTH(D1171,0)-D1171)))</f>
        <v>0.272531793</v>
      </c>
      <c r="T1171" s="15">
        <f t="shared" si="3"/>
        <v>0.2886751346</v>
      </c>
      <c r="U1171" s="15">
        <f t="shared" si="4"/>
        <v>0.03540291842</v>
      </c>
      <c r="V1171" s="16">
        <f>IF(AND(L1171="Among all respondents",NOT(OR(K1171="Online poll in Telegram channel",K1171="Website online poll",K1171="CAWI (Computer Assisted Web Interviewing)"))),1/(1-MIN(MAX(Formula!$C$33+(YEAR(D1171)-Formula!$C$34)/(Formula!$C$35-Formula!$C$34)*(Formula!$C$32-Formula!$C$33),Formula!$C$33),Formula!$C$32)),1)</f>
        <v>1</v>
      </c>
      <c r="W1171" s="17">
        <f t="shared" si="5"/>
        <v>6.1</v>
      </c>
    </row>
    <row r="1172" ht="15.75" customHeight="1">
      <c r="A1172" s="8" t="s">
        <v>1919</v>
      </c>
      <c r="B1172" s="7" t="s">
        <v>1912</v>
      </c>
      <c r="C1172" s="13" t="s">
        <v>1913</v>
      </c>
      <c r="D1172" s="7" t="s">
        <v>180</v>
      </c>
      <c r="E1172" s="8" t="s">
        <v>40</v>
      </c>
      <c r="F1172" s="8" t="s">
        <v>318</v>
      </c>
      <c r="G1172" s="7" t="s">
        <v>1914</v>
      </c>
      <c r="H1172" s="7" t="s">
        <v>1897</v>
      </c>
      <c r="I1172" s="8">
        <v>2500.0</v>
      </c>
      <c r="J1172" s="8">
        <v>2.0</v>
      </c>
      <c r="K1172" s="8" t="s">
        <v>321</v>
      </c>
      <c r="L1172" s="8" t="s">
        <v>322</v>
      </c>
      <c r="M1172" s="8" t="s">
        <v>386</v>
      </c>
      <c r="N1172" s="8">
        <v>5.7</v>
      </c>
      <c r="O1172" s="14">
        <f t="shared" si="1"/>
        <v>44440</v>
      </c>
      <c r="P1172" s="15">
        <f>IFERROR(VLOOKUP(K1172,Formula!$A$11:$B$20,2,FALSE),Formula!$C$26)</f>
        <v>0.9</v>
      </c>
      <c r="Q1172" s="15">
        <f>IF(AND(ISNUMBER(J1172),J1172&gt;0),1/J1172,IF(AND(ISNUMBER(I1172),I1172&gt;0),SQRT(MIN(I1172,Formula!$C$27))/Formula!$C$24,1/Formula!$C$25))</f>
        <v>0.5</v>
      </c>
      <c r="R1172" s="15">
        <f t="shared" si="2"/>
        <v>0.45</v>
      </c>
      <c r="S1172" s="15">
        <f>IF(H1172&lt;&gt;"",EXP(-Formula!$C$28*(EOMONTH(H1172,0)-H1172)),EXP(-Formula!$C$28*(EOMONTH(D1172,0)-D1172)))</f>
        <v>0.272531793</v>
      </c>
      <c r="T1172" s="15">
        <f t="shared" si="3"/>
        <v>0.2886751346</v>
      </c>
      <c r="U1172" s="15">
        <f t="shared" si="4"/>
        <v>0.03540291842</v>
      </c>
      <c r="V1172" s="16">
        <f>IF(AND(L1172="Among all respondents",NOT(OR(K1172="Online poll in Telegram channel",K1172="Website online poll",K1172="CAWI (Computer Assisted Web Interviewing)"))),1/(1-MIN(MAX(Formula!$C$33+(YEAR(D1172)-Formula!$C$34)/(Formula!$C$35-Formula!$C$34)*(Formula!$C$32-Formula!$C$33),Formula!$C$33),Formula!$C$32)),1)</f>
        <v>1</v>
      </c>
      <c r="W1172" s="17">
        <f t="shared" si="5"/>
        <v>5.7</v>
      </c>
    </row>
    <row r="1173" ht="15.75" customHeight="1">
      <c r="A1173" s="8" t="s">
        <v>1920</v>
      </c>
      <c r="B1173" s="7" t="s">
        <v>1912</v>
      </c>
      <c r="C1173" s="13" t="s">
        <v>1913</v>
      </c>
      <c r="D1173" s="7" t="s">
        <v>180</v>
      </c>
      <c r="E1173" s="8" t="s">
        <v>40</v>
      </c>
      <c r="F1173" s="8" t="s">
        <v>318</v>
      </c>
      <c r="G1173" s="7" t="s">
        <v>1914</v>
      </c>
      <c r="H1173" s="7" t="s">
        <v>1897</v>
      </c>
      <c r="I1173" s="8">
        <v>2500.0</v>
      </c>
      <c r="J1173" s="8">
        <v>2.0</v>
      </c>
      <c r="K1173" s="8" t="s">
        <v>321</v>
      </c>
      <c r="L1173" s="8" t="s">
        <v>322</v>
      </c>
      <c r="M1173" s="8" t="s">
        <v>1153</v>
      </c>
      <c r="N1173" s="8">
        <v>5.7</v>
      </c>
      <c r="O1173" s="14">
        <f t="shared" si="1"/>
        <v>44440</v>
      </c>
      <c r="P1173" s="15">
        <f>IFERROR(VLOOKUP(K1173,Formula!$A$11:$B$20,2,FALSE),Formula!$C$26)</f>
        <v>0.9</v>
      </c>
      <c r="Q1173" s="15">
        <f>IF(AND(ISNUMBER(J1173),J1173&gt;0),1/J1173,IF(AND(ISNUMBER(I1173),I1173&gt;0),SQRT(MIN(I1173,Formula!$C$27))/Formula!$C$24,1/Formula!$C$25))</f>
        <v>0.5</v>
      </c>
      <c r="R1173" s="15">
        <f t="shared" si="2"/>
        <v>0.45</v>
      </c>
      <c r="S1173" s="15">
        <f>IF(H1173&lt;&gt;"",EXP(-Formula!$C$28*(EOMONTH(H1173,0)-H1173)),EXP(-Formula!$C$28*(EOMONTH(D1173,0)-D1173)))</f>
        <v>0.272531793</v>
      </c>
      <c r="T1173" s="15">
        <f t="shared" si="3"/>
        <v>0.2886751346</v>
      </c>
      <c r="U1173" s="15">
        <f t="shared" si="4"/>
        <v>0.03540291842</v>
      </c>
      <c r="V1173" s="16">
        <f>IF(AND(L1173="Among all respondents",NOT(OR(K1173="Online poll in Telegram channel",K1173="Website online poll",K1173="CAWI (Computer Assisted Web Interviewing)"))),1/(1-MIN(MAX(Formula!$C$33+(YEAR(D1173)-Formula!$C$34)/(Formula!$C$35-Formula!$C$34)*(Formula!$C$32-Formula!$C$33),Formula!$C$33),Formula!$C$32)),1)</f>
        <v>1</v>
      </c>
      <c r="W1173" s="17">
        <f t="shared" si="5"/>
        <v>5.7</v>
      </c>
    </row>
    <row r="1174" ht="15.75" customHeight="1">
      <c r="A1174" s="8" t="s">
        <v>1921</v>
      </c>
      <c r="B1174" s="7" t="s">
        <v>1912</v>
      </c>
      <c r="C1174" s="13" t="s">
        <v>1913</v>
      </c>
      <c r="D1174" s="7" t="s">
        <v>180</v>
      </c>
      <c r="E1174" s="8" t="s">
        <v>40</v>
      </c>
      <c r="F1174" s="8" t="s">
        <v>318</v>
      </c>
      <c r="G1174" s="7" t="s">
        <v>1914</v>
      </c>
      <c r="H1174" s="7" t="s">
        <v>1897</v>
      </c>
      <c r="I1174" s="8">
        <v>2500.0</v>
      </c>
      <c r="J1174" s="8">
        <v>2.0</v>
      </c>
      <c r="K1174" s="8" t="s">
        <v>321</v>
      </c>
      <c r="L1174" s="8" t="s">
        <v>322</v>
      </c>
      <c r="M1174" s="8" t="s">
        <v>388</v>
      </c>
      <c r="N1174" s="8">
        <v>4.1</v>
      </c>
      <c r="O1174" s="14">
        <f t="shared" si="1"/>
        <v>44440</v>
      </c>
      <c r="P1174" s="15">
        <f>IFERROR(VLOOKUP(K1174,Formula!$A$11:$B$20,2,FALSE),Formula!$C$26)</f>
        <v>0.9</v>
      </c>
      <c r="Q1174" s="15">
        <f>IF(AND(ISNUMBER(J1174),J1174&gt;0),1/J1174,IF(AND(ISNUMBER(I1174),I1174&gt;0),SQRT(MIN(I1174,Formula!$C$27))/Formula!$C$24,1/Formula!$C$25))</f>
        <v>0.5</v>
      </c>
      <c r="R1174" s="15">
        <f t="shared" si="2"/>
        <v>0.45</v>
      </c>
      <c r="S1174" s="15">
        <f>IF(H1174&lt;&gt;"",EXP(-Formula!$C$28*(EOMONTH(H1174,0)-H1174)),EXP(-Formula!$C$28*(EOMONTH(D1174,0)-D1174)))</f>
        <v>0.272531793</v>
      </c>
      <c r="T1174" s="15">
        <f t="shared" si="3"/>
        <v>0.2886751346</v>
      </c>
      <c r="U1174" s="15">
        <f t="shared" si="4"/>
        <v>0.03540291842</v>
      </c>
      <c r="V1174" s="16">
        <f>IF(AND(L1174="Among all respondents",NOT(OR(K1174="Online poll in Telegram channel",K1174="Website online poll",K1174="CAWI (Computer Assisted Web Interviewing)"))),1/(1-MIN(MAX(Formula!$C$33+(YEAR(D1174)-Formula!$C$34)/(Formula!$C$35-Formula!$C$34)*(Formula!$C$32-Formula!$C$33),Formula!$C$33),Formula!$C$32)),1)</f>
        <v>1</v>
      </c>
      <c r="W1174" s="17">
        <f t="shared" si="5"/>
        <v>4.1</v>
      </c>
    </row>
    <row r="1175" ht="15.75" customHeight="1">
      <c r="A1175" s="8" t="s">
        <v>1922</v>
      </c>
      <c r="B1175" s="7" t="s">
        <v>1912</v>
      </c>
      <c r="C1175" s="13" t="s">
        <v>1913</v>
      </c>
      <c r="D1175" s="7" t="s">
        <v>180</v>
      </c>
      <c r="E1175" s="8" t="s">
        <v>40</v>
      </c>
      <c r="F1175" s="8" t="s">
        <v>318</v>
      </c>
      <c r="G1175" s="7" t="s">
        <v>1914</v>
      </c>
      <c r="H1175" s="7" t="s">
        <v>1897</v>
      </c>
      <c r="I1175" s="8">
        <v>2500.0</v>
      </c>
      <c r="J1175" s="8">
        <v>2.0</v>
      </c>
      <c r="K1175" s="8" t="s">
        <v>321</v>
      </c>
      <c r="L1175" s="8" t="s">
        <v>322</v>
      </c>
      <c r="M1175" s="8" t="s">
        <v>333</v>
      </c>
      <c r="N1175" s="8">
        <v>3.7</v>
      </c>
      <c r="O1175" s="14">
        <f t="shared" si="1"/>
        <v>44440</v>
      </c>
      <c r="P1175" s="15">
        <f>IFERROR(VLOOKUP(K1175,Formula!$A$11:$B$20,2,FALSE),Formula!$C$26)</f>
        <v>0.9</v>
      </c>
      <c r="Q1175" s="15">
        <f>IF(AND(ISNUMBER(J1175),J1175&gt;0),1/J1175,IF(AND(ISNUMBER(I1175),I1175&gt;0),SQRT(MIN(I1175,Formula!$C$27))/Formula!$C$24,1/Formula!$C$25))</f>
        <v>0.5</v>
      </c>
      <c r="R1175" s="15">
        <f t="shared" si="2"/>
        <v>0.45</v>
      </c>
      <c r="S1175" s="15">
        <f>IF(H1175&lt;&gt;"",EXP(-Formula!$C$28*(EOMONTH(H1175,0)-H1175)),EXP(-Formula!$C$28*(EOMONTH(D1175,0)-D1175)))</f>
        <v>0.272531793</v>
      </c>
      <c r="T1175" s="15">
        <f t="shared" si="3"/>
        <v>0.2886751346</v>
      </c>
      <c r="U1175" s="15">
        <f t="shared" si="4"/>
        <v>0.03540291842</v>
      </c>
      <c r="V1175" s="16">
        <f>IF(AND(L1175="Among all respondents",NOT(OR(K1175="Online poll in Telegram channel",K1175="Website online poll",K1175="CAWI (Computer Assisted Web Interviewing)"))),1/(1-MIN(MAX(Formula!$C$33+(YEAR(D1175)-Formula!$C$34)/(Formula!$C$35-Formula!$C$34)*(Formula!$C$32-Formula!$C$33),Formula!$C$33),Formula!$C$32)),1)</f>
        <v>1</v>
      </c>
      <c r="W1175" s="17">
        <f t="shared" si="5"/>
        <v>3.7</v>
      </c>
    </row>
    <row r="1176" ht="15.75" customHeight="1">
      <c r="A1176" s="8" t="s">
        <v>1923</v>
      </c>
      <c r="B1176" s="7" t="s">
        <v>1912</v>
      </c>
      <c r="C1176" s="13" t="s">
        <v>1913</v>
      </c>
      <c r="D1176" s="7" t="s">
        <v>180</v>
      </c>
      <c r="E1176" s="8" t="s">
        <v>40</v>
      </c>
      <c r="F1176" s="8" t="s">
        <v>318</v>
      </c>
      <c r="G1176" s="7" t="s">
        <v>1914</v>
      </c>
      <c r="H1176" s="7" t="s">
        <v>1897</v>
      </c>
      <c r="I1176" s="8">
        <v>2500.0</v>
      </c>
      <c r="J1176" s="8">
        <v>2.0</v>
      </c>
      <c r="K1176" s="8" t="s">
        <v>321</v>
      </c>
      <c r="L1176" s="8" t="s">
        <v>322</v>
      </c>
      <c r="M1176" s="8" t="s">
        <v>743</v>
      </c>
      <c r="N1176" s="8">
        <v>3.1</v>
      </c>
      <c r="O1176" s="14">
        <f t="shared" si="1"/>
        <v>44440</v>
      </c>
      <c r="P1176" s="15">
        <f>IFERROR(VLOOKUP(K1176,Formula!$A$11:$B$20,2,FALSE),Formula!$C$26)</f>
        <v>0.9</v>
      </c>
      <c r="Q1176" s="15">
        <f>IF(AND(ISNUMBER(J1176),J1176&gt;0),1/J1176,IF(AND(ISNUMBER(I1176),I1176&gt;0),SQRT(MIN(I1176,Formula!$C$27))/Formula!$C$24,1/Formula!$C$25))</f>
        <v>0.5</v>
      </c>
      <c r="R1176" s="15">
        <f t="shared" si="2"/>
        <v>0.45</v>
      </c>
      <c r="S1176" s="15">
        <f>IF(H1176&lt;&gt;"",EXP(-Formula!$C$28*(EOMONTH(H1176,0)-H1176)),EXP(-Formula!$C$28*(EOMONTH(D1176,0)-D1176)))</f>
        <v>0.272531793</v>
      </c>
      <c r="T1176" s="15">
        <f t="shared" si="3"/>
        <v>0.2886751346</v>
      </c>
      <c r="U1176" s="15">
        <f t="shared" si="4"/>
        <v>0.03540291842</v>
      </c>
      <c r="V1176" s="16">
        <f>IF(AND(L1176="Among all respondents",NOT(OR(K1176="Online poll in Telegram channel",K1176="Website online poll",K1176="CAWI (Computer Assisted Web Interviewing)"))),1/(1-MIN(MAX(Formula!$C$33+(YEAR(D1176)-Formula!$C$34)/(Formula!$C$35-Formula!$C$34)*(Formula!$C$32-Formula!$C$33),Formula!$C$33),Formula!$C$32)),1)</f>
        <v>1</v>
      </c>
      <c r="W1176" s="17">
        <f t="shared" si="5"/>
        <v>3.1</v>
      </c>
    </row>
    <row r="1177" ht="15.75" customHeight="1">
      <c r="A1177" s="8" t="s">
        <v>1924</v>
      </c>
      <c r="B1177" s="7" t="s">
        <v>1912</v>
      </c>
      <c r="C1177" s="13" t="s">
        <v>1913</v>
      </c>
      <c r="D1177" s="7" t="s">
        <v>180</v>
      </c>
      <c r="E1177" s="8" t="s">
        <v>40</v>
      </c>
      <c r="F1177" s="8" t="s">
        <v>318</v>
      </c>
      <c r="G1177" s="7" t="s">
        <v>1914</v>
      </c>
      <c r="H1177" s="7" t="s">
        <v>1897</v>
      </c>
      <c r="I1177" s="8">
        <v>2500.0</v>
      </c>
      <c r="J1177" s="8">
        <v>2.0</v>
      </c>
      <c r="K1177" s="8" t="s">
        <v>321</v>
      </c>
      <c r="L1177" s="8" t="s">
        <v>322</v>
      </c>
      <c r="M1177" s="8" t="s">
        <v>740</v>
      </c>
      <c r="N1177" s="8">
        <v>1.4</v>
      </c>
      <c r="O1177" s="14">
        <f t="shared" si="1"/>
        <v>44440</v>
      </c>
      <c r="P1177" s="15">
        <f>IFERROR(VLOOKUP(K1177,Formula!$A$11:$B$20,2,FALSE),Formula!$C$26)</f>
        <v>0.9</v>
      </c>
      <c r="Q1177" s="15">
        <f>IF(AND(ISNUMBER(J1177),J1177&gt;0),1/J1177,IF(AND(ISNUMBER(I1177),I1177&gt;0),SQRT(MIN(I1177,Formula!$C$27))/Formula!$C$24,1/Formula!$C$25))</f>
        <v>0.5</v>
      </c>
      <c r="R1177" s="15">
        <f t="shared" si="2"/>
        <v>0.45</v>
      </c>
      <c r="S1177" s="15">
        <f>IF(H1177&lt;&gt;"",EXP(-Formula!$C$28*(EOMONTH(H1177,0)-H1177)),EXP(-Formula!$C$28*(EOMONTH(D1177,0)-D1177)))</f>
        <v>0.272531793</v>
      </c>
      <c r="T1177" s="15">
        <f t="shared" si="3"/>
        <v>0.2886751346</v>
      </c>
      <c r="U1177" s="15">
        <f t="shared" si="4"/>
        <v>0.03540291842</v>
      </c>
      <c r="V1177" s="16">
        <f>IF(AND(L1177="Among all respondents",NOT(OR(K1177="Online poll in Telegram channel",K1177="Website online poll",K1177="CAWI (Computer Assisted Web Interviewing)"))),1/(1-MIN(MAX(Formula!$C$33+(YEAR(D1177)-Formula!$C$34)/(Formula!$C$35-Formula!$C$34)*(Formula!$C$32-Formula!$C$33),Formula!$C$33),Formula!$C$32)),1)</f>
        <v>1</v>
      </c>
      <c r="W1177" s="17">
        <f t="shared" si="5"/>
        <v>1.4</v>
      </c>
    </row>
    <row r="1178" ht="15.75" customHeight="1">
      <c r="A1178" s="8" t="s">
        <v>1925</v>
      </c>
      <c r="B1178" s="7" t="s">
        <v>1912</v>
      </c>
      <c r="C1178" s="13" t="s">
        <v>1913</v>
      </c>
      <c r="D1178" s="7" t="s">
        <v>180</v>
      </c>
      <c r="E1178" s="8" t="s">
        <v>40</v>
      </c>
      <c r="F1178" s="8" t="s">
        <v>318</v>
      </c>
      <c r="G1178" s="7" t="s">
        <v>1914</v>
      </c>
      <c r="H1178" s="7" t="s">
        <v>1897</v>
      </c>
      <c r="I1178" s="8">
        <v>2500.0</v>
      </c>
      <c r="J1178" s="8">
        <v>2.0</v>
      </c>
      <c r="K1178" s="8" t="s">
        <v>321</v>
      </c>
      <c r="L1178" s="8" t="s">
        <v>322</v>
      </c>
      <c r="M1178" s="8" t="s">
        <v>1171</v>
      </c>
      <c r="N1178" s="8">
        <v>0.2</v>
      </c>
      <c r="O1178" s="14">
        <f t="shared" si="1"/>
        <v>44440</v>
      </c>
      <c r="P1178" s="15">
        <f>IFERROR(VLOOKUP(K1178,Formula!$A$11:$B$20,2,FALSE),Formula!$C$26)</f>
        <v>0.9</v>
      </c>
      <c r="Q1178" s="15">
        <f>IF(AND(ISNUMBER(J1178),J1178&gt;0),1/J1178,IF(AND(ISNUMBER(I1178),I1178&gt;0),SQRT(MIN(I1178,Formula!$C$27))/Formula!$C$24,1/Formula!$C$25))</f>
        <v>0.5</v>
      </c>
      <c r="R1178" s="15">
        <f t="shared" si="2"/>
        <v>0.45</v>
      </c>
      <c r="S1178" s="15">
        <f>IF(H1178&lt;&gt;"",EXP(-Formula!$C$28*(EOMONTH(H1178,0)-H1178)),EXP(-Formula!$C$28*(EOMONTH(D1178,0)-D1178)))</f>
        <v>0.272531793</v>
      </c>
      <c r="T1178" s="15">
        <f t="shared" si="3"/>
        <v>0.2886751346</v>
      </c>
      <c r="U1178" s="15">
        <f t="shared" si="4"/>
        <v>0.03540291842</v>
      </c>
      <c r="V1178" s="16">
        <f>IF(AND(L1178="Among all respondents",NOT(OR(K1178="Online poll in Telegram channel",K1178="Website online poll",K1178="CAWI (Computer Assisted Web Interviewing)"))),1/(1-MIN(MAX(Formula!$C$33+(YEAR(D1178)-Formula!$C$34)/(Formula!$C$35-Formula!$C$34)*(Formula!$C$32-Formula!$C$33),Formula!$C$33),Formula!$C$32)),1)</f>
        <v>1</v>
      </c>
      <c r="W1178" s="17">
        <f t="shared" si="5"/>
        <v>0.2</v>
      </c>
    </row>
    <row r="1179" ht="15.75" customHeight="1">
      <c r="A1179" s="8" t="s">
        <v>1926</v>
      </c>
      <c r="B1179" s="7" t="s">
        <v>1927</v>
      </c>
      <c r="C1179" s="13" t="s">
        <v>1928</v>
      </c>
      <c r="D1179" s="7" t="s">
        <v>181</v>
      </c>
      <c r="E1179" s="8" t="s">
        <v>158</v>
      </c>
      <c r="F1179" s="8" t="s">
        <v>318</v>
      </c>
      <c r="G1179" s="7" t="s">
        <v>1929</v>
      </c>
      <c r="H1179" s="7" t="s">
        <v>1930</v>
      </c>
      <c r="I1179" s="8">
        <v>1425.0</v>
      </c>
      <c r="J1179" s="8">
        <v>3.5</v>
      </c>
      <c r="K1179" s="8" t="s">
        <v>1931</v>
      </c>
      <c r="L1179" s="8" t="s">
        <v>322</v>
      </c>
      <c r="M1179" s="8" t="s">
        <v>323</v>
      </c>
      <c r="N1179" s="8">
        <v>25.1</v>
      </c>
      <c r="O1179" s="14">
        <f t="shared" si="1"/>
        <v>44409</v>
      </c>
      <c r="P1179" s="15">
        <f>IFERROR(VLOOKUP(K1179,Formula!$A$11:$B$20,2,FALSE),Formula!$C$26)</f>
        <v>0.7</v>
      </c>
      <c r="Q1179" s="15">
        <f>IF(AND(ISNUMBER(J1179),J1179&gt;0),1/J1179,IF(AND(ISNUMBER(I1179),I1179&gt;0),SQRT(MIN(I1179,Formula!$C$27))/Formula!$C$24,1/Formula!$C$25))</f>
        <v>0.2857142857</v>
      </c>
      <c r="R1179" s="15">
        <f t="shared" si="2"/>
        <v>0.2</v>
      </c>
      <c r="S1179" s="15">
        <f>IF(H1179&lt;&gt;"",EXP(-Formula!$C$28*(EOMONTH(H1179,0)-H1179)),EXP(-Formula!$C$28*(EOMONTH(D1179,0)-D1179)))</f>
        <v>0.3867410235</v>
      </c>
      <c r="T1179" s="15">
        <f t="shared" si="3"/>
        <v>0.2773500981</v>
      </c>
      <c r="U1179" s="15">
        <f t="shared" si="4"/>
        <v>0.02145253216</v>
      </c>
      <c r="V1179" s="16">
        <f>IF(AND(L1179="Among all respondents",NOT(OR(K1179="Online poll in Telegram channel",K1179="Website online poll",K1179="CAWI (Computer Assisted Web Interviewing)"))),1/(1-MIN(MAX(Formula!$C$33+(YEAR(D1179)-Formula!$C$34)/(Formula!$C$35-Formula!$C$34)*(Formula!$C$32-Formula!$C$33),Formula!$C$33),Formula!$C$32)),1)</f>
        <v>1</v>
      </c>
      <c r="W1179" s="17">
        <f t="shared" si="5"/>
        <v>25.1</v>
      </c>
    </row>
    <row r="1180" ht="15.75" customHeight="1">
      <c r="A1180" s="8" t="s">
        <v>1932</v>
      </c>
      <c r="B1180" s="7" t="s">
        <v>1927</v>
      </c>
      <c r="C1180" s="13" t="s">
        <v>1928</v>
      </c>
      <c r="D1180" s="7" t="s">
        <v>181</v>
      </c>
      <c r="E1180" s="8" t="s">
        <v>158</v>
      </c>
      <c r="F1180" s="8" t="s">
        <v>318</v>
      </c>
      <c r="G1180" s="7" t="s">
        <v>1929</v>
      </c>
      <c r="H1180" s="7" t="s">
        <v>1930</v>
      </c>
      <c r="I1180" s="8">
        <v>1425.0</v>
      </c>
      <c r="J1180" s="8">
        <v>3.5</v>
      </c>
      <c r="K1180" s="8" t="s">
        <v>1931</v>
      </c>
      <c r="L1180" s="8" t="s">
        <v>322</v>
      </c>
      <c r="M1180" s="8" t="s">
        <v>365</v>
      </c>
      <c r="N1180" s="8">
        <v>16.1</v>
      </c>
      <c r="O1180" s="14">
        <f t="shared" si="1"/>
        <v>44409</v>
      </c>
      <c r="P1180" s="15">
        <f>IFERROR(VLOOKUP(K1180,Formula!$A$11:$B$20,2,FALSE),Formula!$C$26)</f>
        <v>0.7</v>
      </c>
      <c r="Q1180" s="15">
        <f>IF(AND(ISNUMBER(J1180),J1180&gt;0),1/J1180,IF(AND(ISNUMBER(I1180),I1180&gt;0),SQRT(MIN(I1180,Formula!$C$27))/Formula!$C$24,1/Formula!$C$25))</f>
        <v>0.2857142857</v>
      </c>
      <c r="R1180" s="15">
        <f t="shared" si="2"/>
        <v>0.2</v>
      </c>
      <c r="S1180" s="15">
        <f>IF(H1180&lt;&gt;"",EXP(-Formula!$C$28*(EOMONTH(H1180,0)-H1180)),EXP(-Formula!$C$28*(EOMONTH(D1180,0)-D1180)))</f>
        <v>0.3867410235</v>
      </c>
      <c r="T1180" s="15">
        <f t="shared" si="3"/>
        <v>0.2773500981</v>
      </c>
      <c r="U1180" s="15">
        <f t="shared" si="4"/>
        <v>0.02145253216</v>
      </c>
      <c r="V1180" s="16">
        <f>IF(AND(L1180="Among all respondents",NOT(OR(K1180="Online poll in Telegram channel",K1180="Website online poll",K1180="CAWI (Computer Assisted Web Interviewing)"))),1/(1-MIN(MAX(Formula!$C$33+(YEAR(D1180)-Formula!$C$34)/(Formula!$C$35-Formula!$C$34)*(Formula!$C$32-Formula!$C$33),Formula!$C$33),Formula!$C$32)),1)</f>
        <v>1</v>
      </c>
      <c r="W1180" s="17">
        <f t="shared" si="5"/>
        <v>16.1</v>
      </c>
    </row>
    <row r="1181" ht="15.75" customHeight="1">
      <c r="A1181" s="8" t="s">
        <v>1933</v>
      </c>
      <c r="B1181" s="7" t="s">
        <v>1927</v>
      </c>
      <c r="C1181" s="13" t="s">
        <v>1928</v>
      </c>
      <c r="D1181" s="7" t="s">
        <v>181</v>
      </c>
      <c r="E1181" s="8" t="s">
        <v>158</v>
      </c>
      <c r="F1181" s="8" t="s">
        <v>318</v>
      </c>
      <c r="G1181" s="7" t="s">
        <v>1929</v>
      </c>
      <c r="H1181" s="7" t="s">
        <v>1930</v>
      </c>
      <c r="I1181" s="8">
        <v>1425.0</v>
      </c>
      <c r="J1181" s="8">
        <v>3.5</v>
      </c>
      <c r="K1181" s="8" t="s">
        <v>1931</v>
      </c>
      <c r="L1181" s="8" t="s">
        <v>322</v>
      </c>
      <c r="M1181" s="8" t="s">
        <v>329</v>
      </c>
      <c r="N1181" s="8">
        <v>15.8</v>
      </c>
      <c r="O1181" s="14">
        <f t="shared" si="1"/>
        <v>44409</v>
      </c>
      <c r="P1181" s="15">
        <f>IFERROR(VLOOKUP(K1181,Formula!$A$11:$B$20,2,FALSE),Formula!$C$26)</f>
        <v>0.7</v>
      </c>
      <c r="Q1181" s="15">
        <f>IF(AND(ISNUMBER(J1181),J1181&gt;0),1/J1181,IF(AND(ISNUMBER(I1181),I1181&gt;0),SQRT(MIN(I1181,Formula!$C$27))/Formula!$C$24,1/Formula!$C$25))</f>
        <v>0.2857142857</v>
      </c>
      <c r="R1181" s="15">
        <f t="shared" si="2"/>
        <v>0.2</v>
      </c>
      <c r="S1181" s="15">
        <f>IF(H1181&lt;&gt;"",EXP(-Formula!$C$28*(EOMONTH(H1181,0)-H1181)),EXP(-Formula!$C$28*(EOMONTH(D1181,0)-D1181)))</f>
        <v>0.3867410235</v>
      </c>
      <c r="T1181" s="15">
        <f t="shared" si="3"/>
        <v>0.2773500981</v>
      </c>
      <c r="U1181" s="15">
        <f t="shared" si="4"/>
        <v>0.02145253216</v>
      </c>
      <c r="V1181" s="16">
        <f>IF(AND(L1181="Among all respondents",NOT(OR(K1181="Online poll in Telegram channel",K1181="Website online poll",K1181="CAWI (Computer Assisted Web Interviewing)"))),1/(1-MIN(MAX(Formula!$C$33+(YEAR(D1181)-Formula!$C$34)/(Formula!$C$35-Formula!$C$34)*(Formula!$C$32-Formula!$C$33),Formula!$C$33),Formula!$C$32)),1)</f>
        <v>1</v>
      </c>
      <c r="W1181" s="17">
        <f t="shared" si="5"/>
        <v>15.8</v>
      </c>
    </row>
    <row r="1182" ht="15.75" customHeight="1">
      <c r="A1182" s="8" t="s">
        <v>1934</v>
      </c>
      <c r="B1182" s="7" t="s">
        <v>1927</v>
      </c>
      <c r="C1182" s="13" t="s">
        <v>1928</v>
      </c>
      <c r="D1182" s="7" t="s">
        <v>181</v>
      </c>
      <c r="E1182" s="8" t="s">
        <v>158</v>
      </c>
      <c r="F1182" s="8" t="s">
        <v>318</v>
      </c>
      <c r="G1182" s="7" t="s">
        <v>1929</v>
      </c>
      <c r="H1182" s="7" t="s">
        <v>1930</v>
      </c>
      <c r="I1182" s="8">
        <v>1425.0</v>
      </c>
      <c r="J1182" s="8">
        <v>3.5</v>
      </c>
      <c r="K1182" s="8" t="s">
        <v>1931</v>
      </c>
      <c r="L1182" s="8" t="s">
        <v>322</v>
      </c>
      <c r="M1182" s="8" t="s">
        <v>337</v>
      </c>
      <c r="N1182" s="8">
        <v>14.6</v>
      </c>
      <c r="O1182" s="14">
        <f t="shared" si="1"/>
        <v>44409</v>
      </c>
      <c r="P1182" s="15">
        <f>IFERROR(VLOOKUP(K1182,Formula!$A$11:$B$20,2,FALSE),Formula!$C$26)</f>
        <v>0.7</v>
      </c>
      <c r="Q1182" s="15">
        <f>IF(AND(ISNUMBER(J1182),J1182&gt;0),1/J1182,IF(AND(ISNUMBER(I1182),I1182&gt;0),SQRT(MIN(I1182,Formula!$C$27))/Formula!$C$24,1/Formula!$C$25))</f>
        <v>0.2857142857</v>
      </c>
      <c r="R1182" s="15">
        <f t="shared" si="2"/>
        <v>0.2</v>
      </c>
      <c r="S1182" s="15">
        <f>IF(H1182&lt;&gt;"",EXP(-Formula!$C$28*(EOMONTH(H1182,0)-H1182)),EXP(-Formula!$C$28*(EOMONTH(D1182,0)-D1182)))</f>
        <v>0.3867410235</v>
      </c>
      <c r="T1182" s="15">
        <f t="shared" si="3"/>
        <v>0.2773500981</v>
      </c>
      <c r="U1182" s="15">
        <f t="shared" si="4"/>
        <v>0.02145253216</v>
      </c>
      <c r="V1182" s="16">
        <f>IF(AND(L1182="Among all respondents",NOT(OR(K1182="Online poll in Telegram channel",K1182="Website online poll",K1182="CAWI (Computer Assisted Web Interviewing)"))),1/(1-MIN(MAX(Formula!$C$33+(YEAR(D1182)-Formula!$C$34)/(Formula!$C$35-Formula!$C$34)*(Formula!$C$32-Formula!$C$33),Formula!$C$33),Formula!$C$32)),1)</f>
        <v>1</v>
      </c>
      <c r="W1182" s="17">
        <f t="shared" si="5"/>
        <v>14.6</v>
      </c>
    </row>
    <row r="1183" ht="15.75" customHeight="1">
      <c r="A1183" s="8" t="s">
        <v>1935</v>
      </c>
      <c r="B1183" s="7" t="s">
        <v>1927</v>
      </c>
      <c r="C1183" s="13" t="s">
        <v>1928</v>
      </c>
      <c r="D1183" s="7" t="s">
        <v>181</v>
      </c>
      <c r="E1183" s="8" t="s">
        <v>158</v>
      </c>
      <c r="F1183" s="8" t="s">
        <v>318</v>
      </c>
      <c r="G1183" s="7" t="s">
        <v>1929</v>
      </c>
      <c r="H1183" s="7" t="s">
        <v>1930</v>
      </c>
      <c r="I1183" s="8">
        <v>1425.0</v>
      </c>
      <c r="J1183" s="8">
        <v>3.5</v>
      </c>
      <c r="K1183" s="8" t="s">
        <v>1931</v>
      </c>
      <c r="L1183" s="8" t="s">
        <v>322</v>
      </c>
      <c r="M1183" s="8" t="s">
        <v>828</v>
      </c>
      <c r="N1183" s="8">
        <v>6.5</v>
      </c>
      <c r="O1183" s="14">
        <f t="shared" si="1"/>
        <v>44409</v>
      </c>
      <c r="P1183" s="15">
        <f>IFERROR(VLOOKUP(K1183,Formula!$A$11:$B$20,2,FALSE),Formula!$C$26)</f>
        <v>0.7</v>
      </c>
      <c r="Q1183" s="15">
        <f>IF(AND(ISNUMBER(J1183),J1183&gt;0),1/J1183,IF(AND(ISNUMBER(I1183),I1183&gt;0),SQRT(MIN(I1183,Formula!$C$27))/Formula!$C$24,1/Formula!$C$25))</f>
        <v>0.2857142857</v>
      </c>
      <c r="R1183" s="15">
        <f t="shared" si="2"/>
        <v>0.2</v>
      </c>
      <c r="S1183" s="15">
        <f>IF(H1183&lt;&gt;"",EXP(-Formula!$C$28*(EOMONTH(H1183,0)-H1183)),EXP(-Formula!$C$28*(EOMONTH(D1183,0)-D1183)))</f>
        <v>0.3867410235</v>
      </c>
      <c r="T1183" s="15">
        <f t="shared" si="3"/>
        <v>0.2773500981</v>
      </c>
      <c r="U1183" s="15">
        <f t="shared" si="4"/>
        <v>0.02145253216</v>
      </c>
      <c r="V1183" s="16">
        <f>IF(AND(L1183="Among all respondents",NOT(OR(K1183="Online poll in Telegram channel",K1183="Website online poll",K1183="CAWI (Computer Assisted Web Interviewing)"))),1/(1-MIN(MAX(Formula!$C$33+(YEAR(D1183)-Formula!$C$34)/(Formula!$C$35-Formula!$C$34)*(Formula!$C$32-Formula!$C$33),Formula!$C$33),Formula!$C$32)),1)</f>
        <v>1</v>
      </c>
      <c r="W1183" s="17">
        <f t="shared" si="5"/>
        <v>6.5</v>
      </c>
    </row>
    <row r="1184" ht="15.75" customHeight="1">
      <c r="A1184" s="8" t="s">
        <v>1936</v>
      </c>
      <c r="B1184" s="7" t="s">
        <v>1927</v>
      </c>
      <c r="C1184" s="13" t="s">
        <v>1928</v>
      </c>
      <c r="D1184" s="7" t="s">
        <v>181</v>
      </c>
      <c r="E1184" s="8" t="s">
        <v>158</v>
      </c>
      <c r="F1184" s="8" t="s">
        <v>318</v>
      </c>
      <c r="G1184" s="7" t="s">
        <v>1929</v>
      </c>
      <c r="H1184" s="7" t="s">
        <v>1930</v>
      </c>
      <c r="I1184" s="8">
        <v>1425.0</v>
      </c>
      <c r="J1184" s="8">
        <v>3.5</v>
      </c>
      <c r="K1184" s="8" t="s">
        <v>1931</v>
      </c>
      <c r="L1184" s="8" t="s">
        <v>322</v>
      </c>
      <c r="M1184" s="8" t="s">
        <v>1153</v>
      </c>
      <c r="N1184" s="8">
        <v>4.7</v>
      </c>
      <c r="O1184" s="14">
        <f t="shared" si="1"/>
        <v>44409</v>
      </c>
      <c r="P1184" s="15">
        <f>IFERROR(VLOOKUP(K1184,Formula!$A$11:$B$20,2,FALSE),Formula!$C$26)</f>
        <v>0.7</v>
      </c>
      <c r="Q1184" s="15">
        <f>IF(AND(ISNUMBER(J1184),J1184&gt;0),1/J1184,IF(AND(ISNUMBER(I1184),I1184&gt;0),SQRT(MIN(I1184,Formula!$C$27))/Formula!$C$24,1/Formula!$C$25))</f>
        <v>0.2857142857</v>
      </c>
      <c r="R1184" s="15">
        <f t="shared" si="2"/>
        <v>0.2</v>
      </c>
      <c r="S1184" s="15">
        <f>IF(H1184&lt;&gt;"",EXP(-Formula!$C$28*(EOMONTH(H1184,0)-H1184)),EXP(-Formula!$C$28*(EOMONTH(D1184,0)-D1184)))</f>
        <v>0.3867410235</v>
      </c>
      <c r="T1184" s="15">
        <f t="shared" si="3"/>
        <v>0.2773500981</v>
      </c>
      <c r="U1184" s="15">
        <f t="shared" si="4"/>
        <v>0.02145253216</v>
      </c>
      <c r="V1184" s="16">
        <f>IF(AND(L1184="Among all respondents",NOT(OR(K1184="Online poll in Telegram channel",K1184="Website online poll",K1184="CAWI (Computer Assisted Web Interviewing)"))),1/(1-MIN(MAX(Formula!$C$33+(YEAR(D1184)-Formula!$C$34)/(Formula!$C$35-Formula!$C$34)*(Formula!$C$32-Formula!$C$33),Formula!$C$33),Formula!$C$32)),1)</f>
        <v>1</v>
      </c>
      <c r="W1184" s="17">
        <f t="shared" si="5"/>
        <v>4.7</v>
      </c>
    </row>
    <row r="1185" ht="15.75" customHeight="1">
      <c r="A1185" s="8" t="s">
        <v>1937</v>
      </c>
      <c r="B1185" s="7" t="s">
        <v>1927</v>
      </c>
      <c r="C1185" s="13" t="s">
        <v>1928</v>
      </c>
      <c r="D1185" s="7" t="s">
        <v>181</v>
      </c>
      <c r="E1185" s="8" t="s">
        <v>158</v>
      </c>
      <c r="F1185" s="8" t="s">
        <v>318</v>
      </c>
      <c r="G1185" s="7" t="s">
        <v>1929</v>
      </c>
      <c r="H1185" s="7" t="s">
        <v>1930</v>
      </c>
      <c r="I1185" s="8">
        <v>1425.0</v>
      </c>
      <c r="J1185" s="8">
        <v>3.5</v>
      </c>
      <c r="K1185" s="8" t="s">
        <v>1931</v>
      </c>
      <c r="L1185" s="8" t="s">
        <v>322</v>
      </c>
      <c r="M1185" s="8" t="s">
        <v>386</v>
      </c>
      <c r="N1185" s="8">
        <v>4.4</v>
      </c>
      <c r="O1185" s="14">
        <f t="shared" si="1"/>
        <v>44409</v>
      </c>
      <c r="P1185" s="15">
        <f>IFERROR(VLOOKUP(K1185,Formula!$A$11:$B$20,2,FALSE),Formula!$C$26)</f>
        <v>0.7</v>
      </c>
      <c r="Q1185" s="15">
        <f>IF(AND(ISNUMBER(J1185),J1185&gt;0),1/J1185,IF(AND(ISNUMBER(I1185),I1185&gt;0),SQRT(MIN(I1185,Formula!$C$27))/Formula!$C$24,1/Formula!$C$25))</f>
        <v>0.2857142857</v>
      </c>
      <c r="R1185" s="15">
        <f t="shared" si="2"/>
        <v>0.2</v>
      </c>
      <c r="S1185" s="15">
        <f>IF(H1185&lt;&gt;"",EXP(-Formula!$C$28*(EOMONTH(H1185,0)-H1185)),EXP(-Formula!$C$28*(EOMONTH(D1185,0)-D1185)))</f>
        <v>0.3867410235</v>
      </c>
      <c r="T1185" s="15">
        <f t="shared" si="3"/>
        <v>0.2773500981</v>
      </c>
      <c r="U1185" s="15">
        <f t="shared" si="4"/>
        <v>0.02145253216</v>
      </c>
      <c r="V1185" s="16">
        <f>IF(AND(L1185="Among all respondents",NOT(OR(K1185="Online poll in Telegram channel",K1185="Website online poll",K1185="CAWI (Computer Assisted Web Interviewing)"))),1/(1-MIN(MAX(Formula!$C$33+(YEAR(D1185)-Formula!$C$34)/(Formula!$C$35-Formula!$C$34)*(Formula!$C$32-Formula!$C$33),Formula!$C$33),Formula!$C$32)),1)</f>
        <v>1</v>
      </c>
      <c r="W1185" s="17">
        <f t="shared" si="5"/>
        <v>4.4</v>
      </c>
    </row>
    <row r="1186" ht="15.75" customHeight="1">
      <c r="A1186" s="8" t="s">
        <v>1938</v>
      </c>
      <c r="B1186" s="7" t="s">
        <v>1927</v>
      </c>
      <c r="C1186" s="13" t="s">
        <v>1928</v>
      </c>
      <c r="D1186" s="7" t="s">
        <v>181</v>
      </c>
      <c r="E1186" s="8" t="s">
        <v>158</v>
      </c>
      <c r="F1186" s="8" t="s">
        <v>318</v>
      </c>
      <c r="G1186" s="7" t="s">
        <v>1929</v>
      </c>
      <c r="H1186" s="7" t="s">
        <v>1930</v>
      </c>
      <c r="I1186" s="8">
        <v>1425.0</v>
      </c>
      <c r="J1186" s="8">
        <v>3.5</v>
      </c>
      <c r="K1186" s="8" t="s">
        <v>1931</v>
      </c>
      <c r="L1186" s="8" t="s">
        <v>322</v>
      </c>
      <c r="M1186" s="8" t="s">
        <v>333</v>
      </c>
      <c r="N1186" s="8">
        <v>3.5</v>
      </c>
      <c r="O1186" s="14">
        <f t="shared" si="1"/>
        <v>44409</v>
      </c>
      <c r="P1186" s="15">
        <f>IFERROR(VLOOKUP(K1186,Formula!$A$11:$B$20,2,FALSE),Formula!$C$26)</f>
        <v>0.7</v>
      </c>
      <c r="Q1186" s="15">
        <f>IF(AND(ISNUMBER(J1186),J1186&gt;0),1/J1186,IF(AND(ISNUMBER(I1186),I1186&gt;0),SQRT(MIN(I1186,Formula!$C$27))/Formula!$C$24,1/Formula!$C$25))</f>
        <v>0.2857142857</v>
      </c>
      <c r="R1186" s="15">
        <f t="shared" si="2"/>
        <v>0.2</v>
      </c>
      <c r="S1186" s="15">
        <f>IF(H1186&lt;&gt;"",EXP(-Formula!$C$28*(EOMONTH(H1186,0)-H1186)),EXP(-Formula!$C$28*(EOMONTH(D1186,0)-D1186)))</f>
        <v>0.3867410235</v>
      </c>
      <c r="T1186" s="15">
        <f t="shared" si="3"/>
        <v>0.2773500981</v>
      </c>
      <c r="U1186" s="15">
        <f t="shared" si="4"/>
        <v>0.02145253216</v>
      </c>
      <c r="V1186" s="16">
        <f>IF(AND(L1186="Among all respondents",NOT(OR(K1186="Online poll in Telegram channel",K1186="Website online poll",K1186="CAWI (Computer Assisted Web Interviewing)"))),1/(1-MIN(MAX(Formula!$C$33+(YEAR(D1186)-Formula!$C$34)/(Formula!$C$35-Formula!$C$34)*(Formula!$C$32-Formula!$C$33),Formula!$C$33),Formula!$C$32)),1)</f>
        <v>1</v>
      </c>
      <c r="W1186" s="17">
        <f t="shared" si="5"/>
        <v>3.5</v>
      </c>
    </row>
    <row r="1187" ht="15.75" customHeight="1">
      <c r="A1187" s="8" t="s">
        <v>1939</v>
      </c>
      <c r="B1187" s="7" t="s">
        <v>1927</v>
      </c>
      <c r="C1187" s="13" t="s">
        <v>1928</v>
      </c>
      <c r="D1187" s="7" t="s">
        <v>181</v>
      </c>
      <c r="E1187" s="8" t="s">
        <v>158</v>
      </c>
      <c r="F1187" s="8" t="s">
        <v>318</v>
      </c>
      <c r="G1187" s="7" t="s">
        <v>1929</v>
      </c>
      <c r="H1187" s="7" t="s">
        <v>1930</v>
      </c>
      <c r="I1187" s="8">
        <v>1425.0</v>
      </c>
      <c r="J1187" s="8">
        <v>3.5</v>
      </c>
      <c r="K1187" s="8" t="s">
        <v>1931</v>
      </c>
      <c r="L1187" s="8" t="s">
        <v>322</v>
      </c>
      <c r="M1187" s="8" t="s">
        <v>388</v>
      </c>
      <c r="N1187" s="8">
        <v>3.0</v>
      </c>
      <c r="O1187" s="14">
        <f t="shared" si="1"/>
        <v>44409</v>
      </c>
      <c r="P1187" s="15">
        <f>IFERROR(VLOOKUP(K1187,Formula!$A$11:$B$20,2,FALSE),Formula!$C$26)</f>
        <v>0.7</v>
      </c>
      <c r="Q1187" s="15">
        <f>IF(AND(ISNUMBER(J1187),J1187&gt;0),1/J1187,IF(AND(ISNUMBER(I1187),I1187&gt;0),SQRT(MIN(I1187,Formula!$C$27))/Formula!$C$24,1/Formula!$C$25))</f>
        <v>0.2857142857</v>
      </c>
      <c r="R1187" s="15">
        <f t="shared" si="2"/>
        <v>0.2</v>
      </c>
      <c r="S1187" s="15">
        <f>IF(H1187&lt;&gt;"",EXP(-Formula!$C$28*(EOMONTH(H1187,0)-H1187)),EXP(-Formula!$C$28*(EOMONTH(D1187,0)-D1187)))</f>
        <v>0.3867410235</v>
      </c>
      <c r="T1187" s="15">
        <f t="shared" si="3"/>
        <v>0.2773500981</v>
      </c>
      <c r="U1187" s="15">
        <f t="shared" si="4"/>
        <v>0.02145253216</v>
      </c>
      <c r="V1187" s="16">
        <f>IF(AND(L1187="Among all respondents",NOT(OR(K1187="Online poll in Telegram channel",K1187="Website online poll",K1187="CAWI (Computer Assisted Web Interviewing)"))),1/(1-MIN(MAX(Formula!$C$33+(YEAR(D1187)-Formula!$C$34)/(Formula!$C$35-Formula!$C$34)*(Formula!$C$32-Formula!$C$33),Formula!$C$33),Formula!$C$32)),1)</f>
        <v>1</v>
      </c>
      <c r="W1187" s="17">
        <f t="shared" si="5"/>
        <v>3</v>
      </c>
    </row>
    <row r="1188" ht="15.75" customHeight="1">
      <c r="A1188" s="8" t="s">
        <v>1940</v>
      </c>
      <c r="B1188" s="7" t="s">
        <v>1927</v>
      </c>
      <c r="C1188" s="13" t="s">
        <v>1928</v>
      </c>
      <c r="D1188" s="7" t="s">
        <v>181</v>
      </c>
      <c r="E1188" s="8" t="s">
        <v>158</v>
      </c>
      <c r="F1188" s="8" t="s">
        <v>318</v>
      </c>
      <c r="G1188" s="7" t="s">
        <v>1929</v>
      </c>
      <c r="H1188" s="7" t="s">
        <v>1930</v>
      </c>
      <c r="I1188" s="8">
        <v>1425.0</v>
      </c>
      <c r="J1188" s="8">
        <v>3.5</v>
      </c>
      <c r="K1188" s="8" t="s">
        <v>1931</v>
      </c>
      <c r="L1188" s="8" t="s">
        <v>322</v>
      </c>
      <c r="M1188" s="8" t="s">
        <v>343</v>
      </c>
      <c r="N1188" s="8">
        <v>1.6</v>
      </c>
      <c r="O1188" s="14">
        <f t="shared" si="1"/>
        <v>44409</v>
      </c>
      <c r="P1188" s="15">
        <f>IFERROR(VLOOKUP(K1188,Formula!$A$11:$B$20,2,FALSE),Formula!$C$26)</f>
        <v>0.7</v>
      </c>
      <c r="Q1188" s="15">
        <f>IF(AND(ISNUMBER(J1188),J1188&gt;0),1/J1188,IF(AND(ISNUMBER(I1188),I1188&gt;0),SQRT(MIN(I1188,Formula!$C$27))/Formula!$C$24,1/Formula!$C$25))</f>
        <v>0.2857142857</v>
      </c>
      <c r="R1188" s="15">
        <f t="shared" si="2"/>
        <v>0.2</v>
      </c>
      <c r="S1188" s="15">
        <f>IF(H1188&lt;&gt;"",EXP(-Formula!$C$28*(EOMONTH(H1188,0)-H1188)),EXP(-Formula!$C$28*(EOMONTH(D1188,0)-D1188)))</f>
        <v>0.3867410235</v>
      </c>
      <c r="T1188" s="15">
        <f t="shared" si="3"/>
        <v>0.2773500981</v>
      </c>
      <c r="U1188" s="15">
        <f t="shared" si="4"/>
        <v>0.02145253216</v>
      </c>
      <c r="V1188" s="16">
        <f>IF(AND(L1188="Among all respondents",NOT(OR(K1188="Online poll in Telegram channel",K1188="Website online poll",K1188="CAWI (Computer Assisted Web Interviewing)"))),1/(1-MIN(MAX(Formula!$C$33+(YEAR(D1188)-Formula!$C$34)/(Formula!$C$35-Formula!$C$34)*(Formula!$C$32-Formula!$C$33),Formula!$C$33),Formula!$C$32)),1)</f>
        <v>1</v>
      </c>
      <c r="W1188" s="17">
        <f t="shared" si="5"/>
        <v>1.6</v>
      </c>
    </row>
    <row r="1189" ht="15.75" customHeight="1">
      <c r="A1189" s="8" t="s">
        <v>1941</v>
      </c>
      <c r="B1189" s="7" t="s">
        <v>1927</v>
      </c>
      <c r="C1189" s="13" t="s">
        <v>1928</v>
      </c>
      <c r="D1189" s="7" t="s">
        <v>181</v>
      </c>
      <c r="E1189" s="8" t="s">
        <v>158</v>
      </c>
      <c r="F1189" s="8" t="s">
        <v>318</v>
      </c>
      <c r="G1189" s="7" t="s">
        <v>1929</v>
      </c>
      <c r="H1189" s="7" t="s">
        <v>1930</v>
      </c>
      <c r="I1189" s="8">
        <v>1425.0</v>
      </c>
      <c r="J1189" s="8">
        <v>3.5</v>
      </c>
      <c r="K1189" s="8" t="s">
        <v>1931</v>
      </c>
      <c r="L1189" s="8" t="s">
        <v>322</v>
      </c>
      <c r="M1189" s="8" t="s">
        <v>740</v>
      </c>
      <c r="N1189" s="8">
        <v>1.1</v>
      </c>
      <c r="O1189" s="14">
        <f t="shared" si="1"/>
        <v>44409</v>
      </c>
      <c r="P1189" s="15">
        <f>IFERROR(VLOOKUP(K1189,Formula!$A$11:$B$20,2,FALSE),Formula!$C$26)</f>
        <v>0.7</v>
      </c>
      <c r="Q1189" s="15">
        <f>IF(AND(ISNUMBER(J1189),J1189&gt;0),1/J1189,IF(AND(ISNUMBER(I1189),I1189&gt;0),SQRT(MIN(I1189,Formula!$C$27))/Formula!$C$24,1/Formula!$C$25))</f>
        <v>0.2857142857</v>
      </c>
      <c r="R1189" s="15">
        <f t="shared" si="2"/>
        <v>0.2</v>
      </c>
      <c r="S1189" s="15">
        <f>IF(H1189&lt;&gt;"",EXP(-Formula!$C$28*(EOMONTH(H1189,0)-H1189)),EXP(-Formula!$C$28*(EOMONTH(D1189,0)-D1189)))</f>
        <v>0.3867410235</v>
      </c>
      <c r="T1189" s="15">
        <f t="shared" si="3"/>
        <v>0.2773500981</v>
      </c>
      <c r="U1189" s="15">
        <f t="shared" si="4"/>
        <v>0.02145253216</v>
      </c>
      <c r="V1189" s="16">
        <f>IF(AND(L1189="Among all respondents",NOT(OR(K1189="Online poll in Telegram channel",K1189="Website online poll",K1189="CAWI (Computer Assisted Web Interviewing)"))),1/(1-MIN(MAX(Formula!$C$33+(YEAR(D1189)-Formula!$C$34)/(Formula!$C$35-Formula!$C$34)*(Formula!$C$32-Formula!$C$33),Formula!$C$33),Formula!$C$32)),1)</f>
        <v>1</v>
      </c>
      <c r="W1189" s="17">
        <f t="shared" si="5"/>
        <v>1.1</v>
      </c>
    </row>
    <row r="1190" ht="15.75" customHeight="1">
      <c r="A1190" s="8" t="s">
        <v>1942</v>
      </c>
      <c r="B1190" s="7" t="s">
        <v>1927</v>
      </c>
      <c r="C1190" s="13" t="s">
        <v>1928</v>
      </c>
      <c r="D1190" s="7" t="s">
        <v>181</v>
      </c>
      <c r="E1190" s="8" t="s">
        <v>158</v>
      </c>
      <c r="F1190" s="8" t="s">
        <v>318</v>
      </c>
      <c r="G1190" s="7" t="s">
        <v>1929</v>
      </c>
      <c r="H1190" s="7" t="s">
        <v>1930</v>
      </c>
      <c r="I1190" s="8">
        <v>1425.0</v>
      </c>
      <c r="J1190" s="8">
        <v>3.5</v>
      </c>
      <c r="K1190" s="8" t="s">
        <v>1931</v>
      </c>
      <c r="L1190" s="8" t="s">
        <v>322</v>
      </c>
      <c r="M1190" s="8" t="s">
        <v>1661</v>
      </c>
      <c r="N1190" s="8">
        <v>0.4</v>
      </c>
      <c r="O1190" s="14">
        <f t="shared" si="1"/>
        <v>44409</v>
      </c>
      <c r="P1190" s="15">
        <f>IFERROR(VLOOKUP(K1190,Formula!$A$11:$B$20,2,FALSE),Formula!$C$26)</f>
        <v>0.7</v>
      </c>
      <c r="Q1190" s="15">
        <f>IF(AND(ISNUMBER(J1190),J1190&gt;0),1/J1190,IF(AND(ISNUMBER(I1190),I1190&gt;0),SQRT(MIN(I1190,Formula!$C$27))/Formula!$C$24,1/Formula!$C$25))</f>
        <v>0.2857142857</v>
      </c>
      <c r="R1190" s="15">
        <f t="shared" si="2"/>
        <v>0.2</v>
      </c>
      <c r="S1190" s="15">
        <f>IF(H1190&lt;&gt;"",EXP(-Formula!$C$28*(EOMONTH(H1190,0)-H1190)),EXP(-Formula!$C$28*(EOMONTH(D1190,0)-D1190)))</f>
        <v>0.3867410235</v>
      </c>
      <c r="T1190" s="15">
        <f t="shared" si="3"/>
        <v>0.2773500981</v>
      </c>
      <c r="U1190" s="15">
        <f t="shared" si="4"/>
        <v>0.02145253216</v>
      </c>
      <c r="V1190" s="16">
        <f>IF(AND(L1190="Among all respondents",NOT(OR(K1190="Online poll in Telegram channel",K1190="Website online poll",K1190="CAWI (Computer Assisted Web Interviewing)"))),1/(1-MIN(MAX(Formula!$C$33+(YEAR(D1190)-Formula!$C$34)/(Formula!$C$35-Formula!$C$34)*(Formula!$C$32-Formula!$C$33),Formula!$C$33),Formula!$C$32)),1)</f>
        <v>1</v>
      </c>
      <c r="W1190" s="17">
        <f t="shared" si="5"/>
        <v>0.4</v>
      </c>
    </row>
    <row r="1191" ht="15.75" customHeight="1">
      <c r="A1191" s="8" t="s">
        <v>1943</v>
      </c>
      <c r="B1191" s="7" t="s">
        <v>1927</v>
      </c>
      <c r="C1191" s="13" t="s">
        <v>1928</v>
      </c>
      <c r="D1191" s="7" t="s">
        <v>181</v>
      </c>
      <c r="E1191" s="8" t="s">
        <v>158</v>
      </c>
      <c r="F1191" s="8" t="s">
        <v>318</v>
      </c>
      <c r="G1191" s="7" t="s">
        <v>1929</v>
      </c>
      <c r="H1191" s="7" t="s">
        <v>1930</v>
      </c>
      <c r="I1191" s="8">
        <v>1425.0</v>
      </c>
      <c r="J1191" s="8">
        <v>3.5</v>
      </c>
      <c r="K1191" s="8" t="s">
        <v>1931</v>
      </c>
      <c r="L1191" s="8" t="s">
        <v>322</v>
      </c>
      <c r="M1191" s="8" t="s">
        <v>1663</v>
      </c>
      <c r="N1191" s="8">
        <v>0.3</v>
      </c>
      <c r="O1191" s="14">
        <f t="shared" si="1"/>
        <v>44409</v>
      </c>
      <c r="P1191" s="15">
        <f>IFERROR(VLOOKUP(K1191,Formula!$A$11:$B$20,2,FALSE),Formula!$C$26)</f>
        <v>0.7</v>
      </c>
      <c r="Q1191" s="15">
        <f>IF(AND(ISNUMBER(J1191),J1191&gt;0),1/J1191,IF(AND(ISNUMBER(I1191),I1191&gt;0),SQRT(MIN(I1191,Formula!$C$27))/Formula!$C$24,1/Formula!$C$25))</f>
        <v>0.2857142857</v>
      </c>
      <c r="R1191" s="15">
        <f t="shared" si="2"/>
        <v>0.2</v>
      </c>
      <c r="S1191" s="15">
        <f>IF(H1191&lt;&gt;"",EXP(-Formula!$C$28*(EOMONTH(H1191,0)-H1191)),EXP(-Formula!$C$28*(EOMONTH(D1191,0)-D1191)))</f>
        <v>0.3867410235</v>
      </c>
      <c r="T1191" s="15">
        <f t="shared" si="3"/>
        <v>0.2773500981</v>
      </c>
      <c r="U1191" s="15">
        <f t="shared" si="4"/>
        <v>0.02145253216</v>
      </c>
      <c r="V1191" s="16">
        <f>IF(AND(L1191="Among all respondents",NOT(OR(K1191="Online poll in Telegram channel",K1191="Website online poll",K1191="CAWI (Computer Assisted Web Interviewing)"))),1/(1-MIN(MAX(Formula!$C$33+(YEAR(D1191)-Formula!$C$34)/(Formula!$C$35-Formula!$C$34)*(Formula!$C$32-Formula!$C$33),Formula!$C$33),Formula!$C$32)),1)</f>
        <v>1</v>
      </c>
      <c r="W1191" s="17">
        <f t="shared" si="5"/>
        <v>0.3</v>
      </c>
    </row>
    <row r="1192" ht="15.75" customHeight="1">
      <c r="A1192" s="8" t="s">
        <v>1944</v>
      </c>
      <c r="B1192" s="7" t="s">
        <v>1945</v>
      </c>
      <c r="C1192" s="13" t="s">
        <v>1946</v>
      </c>
      <c r="D1192" s="7" t="s">
        <v>183</v>
      </c>
      <c r="E1192" s="8" t="s">
        <v>150</v>
      </c>
      <c r="F1192" s="8" t="s">
        <v>318</v>
      </c>
      <c r="G1192" s="7" t="s">
        <v>1947</v>
      </c>
      <c r="H1192" s="7" t="s">
        <v>184</v>
      </c>
      <c r="I1192" s="8">
        <v>1206.0</v>
      </c>
      <c r="J1192" s="8">
        <v>3.0</v>
      </c>
      <c r="K1192" s="8" t="s">
        <v>583</v>
      </c>
      <c r="L1192" s="8" t="s">
        <v>322</v>
      </c>
      <c r="M1192" s="8" t="s">
        <v>323</v>
      </c>
      <c r="N1192" s="8">
        <v>27.7</v>
      </c>
      <c r="O1192" s="14">
        <f t="shared" si="1"/>
        <v>44409</v>
      </c>
      <c r="P1192" s="15">
        <f>IFERROR(VLOOKUP(K1192,Formula!$A$11:$B$20,2,FALSE),Formula!$C$26)</f>
        <v>0.95</v>
      </c>
      <c r="Q1192" s="15">
        <f>IF(AND(ISNUMBER(J1192),J1192&gt;0),1/J1192,IF(AND(ISNUMBER(I1192),I1192&gt;0),SQRT(MIN(I1192,Formula!$C$27))/Formula!$C$24,1/Formula!$C$25))</f>
        <v>0.3333333333</v>
      </c>
      <c r="R1192" s="15">
        <f t="shared" si="2"/>
        <v>0.3166666667</v>
      </c>
      <c r="S1192" s="15">
        <f>IF(H1192&lt;&gt;"",EXP(-Formula!$C$28*(EOMONTH(H1192,0)-H1192)),EXP(-Formula!$C$28*(EOMONTH(D1192,0)-D1192)))</f>
        <v>0.3499377491</v>
      </c>
      <c r="T1192" s="15">
        <f t="shared" si="3"/>
        <v>0.4082482905</v>
      </c>
      <c r="U1192" s="15">
        <f t="shared" si="4"/>
        <v>0.04523947115</v>
      </c>
      <c r="V1192" s="16">
        <f>IF(AND(L1192="Among all respondents",NOT(OR(K1192="Online poll in Telegram channel",K1192="Website online poll",K1192="CAWI (Computer Assisted Web Interviewing)"))),1/(1-MIN(MAX(Formula!$C$33+(YEAR(D1192)-Formula!$C$34)/(Formula!$C$35-Formula!$C$34)*(Formula!$C$32-Formula!$C$33),Formula!$C$33),Formula!$C$32)),1)</f>
        <v>1</v>
      </c>
      <c r="W1192" s="17">
        <f t="shared" si="5"/>
        <v>27.7</v>
      </c>
    </row>
    <row r="1193" ht="15.75" customHeight="1">
      <c r="A1193" s="8" t="s">
        <v>1948</v>
      </c>
      <c r="B1193" s="7" t="s">
        <v>1945</v>
      </c>
      <c r="C1193" s="13" t="s">
        <v>1946</v>
      </c>
      <c r="D1193" s="7" t="s">
        <v>183</v>
      </c>
      <c r="E1193" s="8" t="s">
        <v>150</v>
      </c>
      <c r="F1193" s="8" t="s">
        <v>318</v>
      </c>
      <c r="G1193" s="7" t="s">
        <v>1947</v>
      </c>
      <c r="H1193" s="7" t="s">
        <v>184</v>
      </c>
      <c r="I1193" s="8">
        <v>1206.0</v>
      </c>
      <c r="J1193" s="8">
        <v>3.0</v>
      </c>
      <c r="K1193" s="8" t="s">
        <v>583</v>
      </c>
      <c r="L1193" s="8" t="s">
        <v>322</v>
      </c>
      <c r="M1193" s="8" t="s">
        <v>365</v>
      </c>
      <c r="N1193" s="8">
        <v>17.9</v>
      </c>
      <c r="O1193" s="14">
        <f t="shared" si="1"/>
        <v>44409</v>
      </c>
      <c r="P1193" s="15">
        <f>IFERROR(VLOOKUP(K1193,Formula!$A$11:$B$20,2,FALSE),Formula!$C$26)</f>
        <v>0.95</v>
      </c>
      <c r="Q1193" s="15">
        <f>IF(AND(ISNUMBER(J1193),J1193&gt;0),1/J1193,IF(AND(ISNUMBER(I1193),I1193&gt;0),SQRT(MIN(I1193,Formula!$C$27))/Formula!$C$24,1/Formula!$C$25))</f>
        <v>0.3333333333</v>
      </c>
      <c r="R1193" s="15">
        <f t="shared" si="2"/>
        <v>0.3166666667</v>
      </c>
      <c r="S1193" s="15">
        <f>IF(H1193&lt;&gt;"",EXP(-Formula!$C$28*(EOMONTH(H1193,0)-H1193)),EXP(-Formula!$C$28*(EOMONTH(D1193,0)-D1193)))</f>
        <v>0.3499377491</v>
      </c>
      <c r="T1193" s="15">
        <f t="shared" si="3"/>
        <v>0.4082482905</v>
      </c>
      <c r="U1193" s="15">
        <f t="shared" si="4"/>
        <v>0.04523947115</v>
      </c>
      <c r="V1193" s="16">
        <f>IF(AND(L1193="Among all respondents",NOT(OR(K1193="Online poll in Telegram channel",K1193="Website online poll",K1193="CAWI (Computer Assisted Web Interviewing)"))),1/(1-MIN(MAX(Formula!$C$33+(YEAR(D1193)-Formula!$C$34)/(Formula!$C$35-Formula!$C$34)*(Formula!$C$32-Formula!$C$33),Formula!$C$33),Formula!$C$32)),1)</f>
        <v>1</v>
      </c>
      <c r="W1193" s="17">
        <f t="shared" si="5"/>
        <v>17.9</v>
      </c>
    </row>
    <row r="1194" ht="15.75" customHeight="1">
      <c r="A1194" s="8" t="s">
        <v>1949</v>
      </c>
      <c r="B1194" s="7" t="s">
        <v>1945</v>
      </c>
      <c r="C1194" s="13" t="s">
        <v>1946</v>
      </c>
      <c r="D1194" s="7" t="s">
        <v>183</v>
      </c>
      <c r="E1194" s="8" t="s">
        <v>150</v>
      </c>
      <c r="F1194" s="8" t="s">
        <v>318</v>
      </c>
      <c r="G1194" s="7" t="s">
        <v>1947</v>
      </c>
      <c r="H1194" s="7" t="s">
        <v>184</v>
      </c>
      <c r="I1194" s="8">
        <v>1206.0</v>
      </c>
      <c r="J1194" s="8">
        <v>3.0</v>
      </c>
      <c r="K1194" s="8" t="s">
        <v>583</v>
      </c>
      <c r="L1194" s="8" t="s">
        <v>322</v>
      </c>
      <c r="M1194" s="8" t="s">
        <v>329</v>
      </c>
      <c r="N1194" s="8">
        <v>15.6</v>
      </c>
      <c r="O1194" s="14">
        <f t="shared" si="1"/>
        <v>44409</v>
      </c>
      <c r="P1194" s="15">
        <f>IFERROR(VLOOKUP(K1194,Formula!$A$11:$B$20,2,FALSE),Formula!$C$26)</f>
        <v>0.95</v>
      </c>
      <c r="Q1194" s="15">
        <f>IF(AND(ISNUMBER(J1194),J1194&gt;0),1/J1194,IF(AND(ISNUMBER(I1194),I1194&gt;0),SQRT(MIN(I1194,Formula!$C$27))/Formula!$C$24,1/Formula!$C$25))</f>
        <v>0.3333333333</v>
      </c>
      <c r="R1194" s="15">
        <f t="shared" si="2"/>
        <v>0.3166666667</v>
      </c>
      <c r="S1194" s="15">
        <f>IF(H1194&lt;&gt;"",EXP(-Formula!$C$28*(EOMONTH(H1194,0)-H1194)),EXP(-Formula!$C$28*(EOMONTH(D1194,0)-D1194)))</f>
        <v>0.3499377491</v>
      </c>
      <c r="T1194" s="15">
        <f t="shared" si="3"/>
        <v>0.4082482905</v>
      </c>
      <c r="U1194" s="15">
        <f t="shared" si="4"/>
        <v>0.04523947115</v>
      </c>
      <c r="V1194" s="16">
        <f>IF(AND(L1194="Among all respondents",NOT(OR(K1194="Online poll in Telegram channel",K1194="Website online poll",K1194="CAWI (Computer Assisted Web Interviewing)"))),1/(1-MIN(MAX(Formula!$C$33+(YEAR(D1194)-Formula!$C$34)/(Formula!$C$35-Formula!$C$34)*(Formula!$C$32-Formula!$C$33),Formula!$C$33),Formula!$C$32)),1)</f>
        <v>1</v>
      </c>
      <c r="W1194" s="17">
        <f t="shared" si="5"/>
        <v>15.6</v>
      </c>
    </row>
    <row r="1195" ht="15.75" customHeight="1">
      <c r="A1195" s="8" t="s">
        <v>1950</v>
      </c>
      <c r="B1195" s="7" t="s">
        <v>1945</v>
      </c>
      <c r="C1195" s="13" t="s">
        <v>1946</v>
      </c>
      <c r="D1195" s="7" t="s">
        <v>183</v>
      </c>
      <c r="E1195" s="8" t="s">
        <v>150</v>
      </c>
      <c r="F1195" s="8" t="s">
        <v>318</v>
      </c>
      <c r="G1195" s="7" t="s">
        <v>1947</v>
      </c>
      <c r="H1195" s="7" t="s">
        <v>184</v>
      </c>
      <c r="I1195" s="8">
        <v>1206.0</v>
      </c>
      <c r="J1195" s="8">
        <v>3.0</v>
      </c>
      <c r="K1195" s="8" t="s">
        <v>583</v>
      </c>
      <c r="L1195" s="8" t="s">
        <v>322</v>
      </c>
      <c r="M1195" s="8" t="s">
        <v>337</v>
      </c>
      <c r="N1195" s="8">
        <v>12.1</v>
      </c>
      <c r="O1195" s="14">
        <f t="shared" si="1"/>
        <v>44409</v>
      </c>
      <c r="P1195" s="15">
        <f>IFERROR(VLOOKUP(K1195,Formula!$A$11:$B$20,2,FALSE),Formula!$C$26)</f>
        <v>0.95</v>
      </c>
      <c r="Q1195" s="15">
        <f>IF(AND(ISNUMBER(J1195),J1195&gt;0),1/J1195,IF(AND(ISNUMBER(I1195),I1195&gt;0),SQRT(MIN(I1195,Formula!$C$27))/Formula!$C$24,1/Formula!$C$25))</f>
        <v>0.3333333333</v>
      </c>
      <c r="R1195" s="15">
        <f t="shared" si="2"/>
        <v>0.3166666667</v>
      </c>
      <c r="S1195" s="15">
        <f>IF(H1195&lt;&gt;"",EXP(-Formula!$C$28*(EOMONTH(H1195,0)-H1195)),EXP(-Formula!$C$28*(EOMONTH(D1195,0)-D1195)))</f>
        <v>0.3499377491</v>
      </c>
      <c r="T1195" s="15">
        <f t="shared" si="3"/>
        <v>0.4082482905</v>
      </c>
      <c r="U1195" s="15">
        <f t="shared" si="4"/>
        <v>0.04523947115</v>
      </c>
      <c r="V1195" s="16">
        <f>IF(AND(L1195="Among all respondents",NOT(OR(K1195="Online poll in Telegram channel",K1195="Website online poll",K1195="CAWI (Computer Assisted Web Interviewing)"))),1/(1-MIN(MAX(Formula!$C$33+(YEAR(D1195)-Formula!$C$34)/(Formula!$C$35-Formula!$C$34)*(Formula!$C$32-Formula!$C$33),Formula!$C$33),Formula!$C$32)),1)</f>
        <v>1</v>
      </c>
      <c r="W1195" s="17">
        <f t="shared" si="5"/>
        <v>12.1</v>
      </c>
    </row>
    <row r="1196" ht="15.75" customHeight="1">
      <c r="A1196" s="8" t="s">
        <v>1951</v>
      </c>
      <c r="B1196" s="7" t="s">
        <v>1945</v>
      </c>
      <c r="C1196" s="13" t="s">
        <v>1946</v>
      </c>
      <c r="D1196" s="7" t="s">
        <v>183</v>
      </c>
      <c r="E1196" s="8" t="s">
        <v>150</v>
      </c>
      <c r="F1196" s="8" t="s">
        <v>318</v>
      </c>
      <c r="G1196" s="7" t="s">
        <v>1947</v>
      </c>
      <c r="H1196" s="7" t="s">
        <v>184</v>
      </c>
      <c r="I1196" s="8">
        <v>1206.0</v>
      </c>
      <c r="J1196" s="8">
        <v>3.0</v>
      </c>
      <c r="K1196" s="8" t="s">
        <v>583</v>
      </c>
      <c r="L1196" s="8" t="s">
        <v>322</v>
      </c>
      <c r="M1196" s="8" t="s">
        <v>828</v>
      </c>
      <c r="N1196" s="8">
        <v>7.4</v>
      </c>
      <c r="O1196" s="14">
        <f t="shared" si="1"/>
        <v>44409</v>
      </c>
      <c r="P1196" s="15">
        <f>IFERROR(VLOOKUP(K1196,Formula!$A$11:$B$20,2,FALSE),Formula!$C$26)</f>
        <v>0.95</v>
      </c>
      <c r="Q1196" s="15">
        <f>IF(AND(ISNUMBER(J1196),J1196&gt;0),1/J1196,IF(AND(ISNUMBER(I1196),I1196&gt;0),SQRT(MIN(I1196,Formula!$C$27))/Formula!$C$24,1/Formula!$C$25))</f>
        <v>0.3333333333</v>
      </c>
      <c r="R1196" s="15">
        <f t="shared" si="2"/>
        <v>0.3166666667</v>
      </c>
      <c r="S1196" s="15">
        <f>IF(H1196&lt;&gt;"",EXP(-Formula!$C$28*(EOMONTH(H1196,0)-H1196)),EXP(-Formula!$C$28*(EOMONTH(D1196,0)-D1196)))</f>
        <v>0.3499377491</v>
      </c>
      <c r="T1196" s="15">
        <f t="shared" si="3"/>
        <v>0.4082482905</v>
      </c>
      <c r="U1196" s="15">
        <f t="shared" si="4"/>
        <v>0.04523947115</v>
      </c>
      <c r="V1196" s="16">
        <f>IF(AND(L1196="Among all respondents",NOT(OR(K1196="Online poll in Telegram channel",K1196="Website online poll",K1196="CAWI (Computer Assisted Web Interviewing)"))),1/(1-MIN(MAX(Formula!$C$33+(YEAR(D1196)-Formula!$C$34)/(Formula!$C$35-Formula!$C$34)*(Formula!$C$32-Formula!$C$33),Formula!$C$33),Formula!$C$32)),1)</f>
        <v>1</v>
      </c>
      <c r="W1196" s="17">
        <f t="shared" si="5"/>
        <v>7.4</v>
      </c>
    </row>
    <row r="1197" ht="15.75" customHeight="1">
      <c r="A1197" s="8" t="s">
        <v>1952</v>
      </c>
      <c r="B1197" s="7" t="s">
        <v>1945</v>
      </c>
      <c r="C1197" s="13" t="s">
        <v>1946</v>
      </c>
      <c r="D1197" s="7" t="s">
        <v>183</v>
      </c>
      <c r="E1197" s="8" t="s">
        <v>150</v>
      </c>
      <c r="F1197" s="8" t="s">
        <v>318</v>
      </c>
      <c r="G1197" s="7" t="s">
        <v>1947</v>
      </c>
      <c r="H1197" s="7" t="s">
        <v>184</v>
      </c>
      <c r="I1197" s="8">
        <v>1206.0</v>
      </c>
      <c r="J1197" s="8">
        <v>3.0</v>
      </c>
      <c r="K1197" s="8" t="s">
        <v>583</v>
      </c>
      <c r="L1197" s="8" t="s">
        <v>322</v>
      </c>
      <c r="M1197" s="8" t="s">
        <v>386</v>
      </c>
      <c r="N1197" s="8">
        <v>5.6</v>
      </c>
      <c r="O1197" s="14">
        <f t="shared" si="1"/>
        <v>44409</v>
      </c>
      <c r="P1197" s="15">
        <f>IFERROR(VLOOKUP(K1197,Formula!$A$11:$B$20,2,FALSE),Formula!$C$26)</f>
        <v>0.95</v>
      </c>
      <c r="Q1197" s="15">
        <f>IF(AND(ISNUMBER(J1197),J1197&gt;0),1/J1197,IF(AND(ISNUMBER(I1197),I1197&gt;0),SQRT(MIN(I1197,Formula!$C$27))/Formula!$C$24,1/Formula!$C$25))</f>
        <v>0.3333333333</v>
      </c>
      <c r="R1197" s="15">
        <f t="shared" si="2"/>
        <v>0.3166666667</v>
      </c>
      <c r="S1197" s="15">
        <f>IF(H1197&lt;&gt;"",EXP(-Formula!$C$28*(EOMONTH(H1197,0)-H1197)),EXP(-Formula!$C$28*(EOMONTH(D1197,0)-D1197)))</f>
        <v>0.3499377491</v>
      </c>
      <c r="T1197" s="15">
        <f t="shared" si="3"/>
        <v>0.4082482905</v>
      </c>
      <c r="U1197" s="15">
        <f t="shared" si="4"/>
        <v>0.04523947115</v>
      </c>
      <c r="V1197" s="16">
        <f>IF(AND(L1197="Among all respondents",NOT(OR(K1197="Online poll in Telegram channel",K1197="Website online poll",K1197="CAWI (Computer Assisted Web Interviewing)"))),1/(1-MIN(MAX(Formula!$C$33+(YEAR(D1197)-Formula!$C$34)/(Formula!$C$35-Formula!$C$34)*(Formula!$C$32-Formula!$C$33),Formula!$C$33),Formula!$C$32)),1)</f>
        <v>1</v>
      </c>
      <c r="W1197" s="17">
        <f t="shared" si="5"/>
        <v>5.6</v>
      </c>
    </row>
    <row r="1198" ht="15.75" customHeight="1">
      <c r="A1198" s="8" t="s">
        <v>1953</v>
      </c>
      <c r="B1198" s="7" t="s">
        <v>1954</v>
      </c>
      <c r="C1198" s="13" t="s">
        <v>1955</v>
      </c>
      <c r="D1198" s="7" t="s">
        <v>187</v>
      </c>
      <c r="E1198" s="8" t="s">
        <v>40</v>
      </c>
      <c r="F1198" s="8" t="s">
        <v>318</v>
      </c>
      <c r="G1198" s="7" t="s">
        <v>190</v>
      </c>
      <c r="H1198" s="7" t="s">
        <v>185</v>
      </c>
      <c r="I1198" s="8">
        <v>20000.0</v>
      </c>
      <c r="J1198" s="8">
        <v>1.0</v>
      </c>
      <c r="K1198" s="8" t="s">
        <v>321</v>
      </c>
      <c r="L1198" s="8" t="s">
        <v>322</v>
      </c>
      <c r="M1198" s="8" t="s">
        <v>323</v>
      </c>
      <c r="N1198" s="8">
        <v>27.2</v>
      </c>
      <c r="O1198" s="14">
        <f t="shared" si="1"/>
        <v>44409</v>
      </c>
      <c r="P1198" s="15">
        <f>IFERROR(VLOOKUP(K1198,Formula!$A$11:$B$20,2,FALSE),Formula!$C$26)</f>
        <v>0.9</v>
      </c>
      <c r="Q1198" s="15">
        <f>IF(AND(ISNUMBER(J1198),J1198&gt;0),1/J1198,IF(AND(ISNUMBER(I1198),I1198&gt;0),SQRT(MIN(I1198,Formula!$C$27))/Formula!$C$24,1/Formula!$C$25))</f>
        <v>1</v>
      </c>
      <c r="R1198" s="15">
        <f t="shared" si="2"/>
        <v>0.9</v>
      </c>
      <c r="S1198" s="15">
        <f>IF(H1198&lt;&gt;"",EXP(-Formula!$C$28*(EOMONTH(H1198,0)-H1198)),EXP(-Formula!$C$28*(EOMONTH(D1198,0)-D1198)))</f>
        <v>0.3328710837</v>
      </c>
      <c r="T1198" s="15">
        <f t="shared" si="3"/>
        <v>0.2886751346</v>
      </c>
      <c r="U1198" s="15">
        <f t="shared" si="4"/>
        <v>0.0864824444</v>
      </c>
      <c r="V1198" s="16">
        <f>IF(AND(L1198="Among all respondents",NOT(OR(K1198="Online poll in Telegram channel",K1198="Website online poll",K1198="CAWI (Computer Assisted Web Interviewing)"))),1/(1-MIN(MAX(Formula!$C$33+(YEAR(D1198)-Formula!$C$34)/(Formula!$C$35-Formula!$C$34)*(Formula!$C$32-Formula!$C$33),Formula!$C$33),Formula!$C$32)),1)</f>
        <v>1</v>
      </c>
      <c r="W1198" s="17">
        <f t="shared" si="5"/>
        <v>27.2</v>
      </c>
    </row>
    <row r="1199" ht="15.75" customHeight="1">
      <c r="A1199" s="8" t="s">
        <v>1956</v>
      </c>
      <c r="B1199" s="7" t="s">
        <v>1954</v>
      </c>
      <c r="C1199" s="13" t="s">
        <v>1955</v>
      </c>
      <c r="D1199" s="7" t="s">
        <v>187</v>
      </c>
      <c r="E1199" s="8" t="s">
        <v>40</v>
      </c>
      <c r="F1199" s="8" t="s">
        <v>318</v>
      </c>
      <c r="G1199" s="7" t="s">
        <v>190</v>
      </c>
      <c r="H1199" s="7" t="s">
        <v>185</v>
      </c>
      <c r="I1199" s="8">
        <v>20000.0</v>
      </c>
      <c r="J1199" s="8">
        <v>1.0</v>
      </c>
      <c r="K1199" s="8" t="s">
        <v>321</v>
      </c>
      <c r="L1199" s="8" t="s">
        <v>322</v>
      </c>
      <c r="M1199" s="8" t="s">
        <v>329</v>
      </c>
      <c r="N1199" s="8">
        <v>14.9</v>
      </c>
      <c r="O1199" s="14">
        <f t="shared" si="1"/>
        <v>44409</v>
      </c>
      <c r="P1199" s="15">
        <f>IFERROR(VLOOKUP(K1199,Formula!$A$11:$B$20,2,FALSE),Formula!$C$26)</f>
        <v>0.9</v>
      </c>
      <c r="Q1199" s="15">
        <f>IF(AND(ISNUMBER(J1199),J1199&gt;0),1/J1199,IF(AND(ISNUMBER(I1199),I1199&gt;0),SQRT(MIN(I1199,Formula!$C$27))/Formula!$C$24,1/Formula!$C$25))</f>
        <v>1</v>
      </c>
      <c r="R1199" s="15">
        <f t="shared" si="2"/>
        <v>0.9</v>
      </c>
      <c r="S1199" s="15">
        <f>IF(H1199&lt;&gt;"",EXP(-Formula!$C$28*(EOMONTH(H1199,0)-H1199)),EXP(-Formula!$C$28*(EOMONTH(D1199,0)-D1199)))</f>
        <v>0.3328710837</v>
      </c>
      <c r="T1199" s="15">
        <f t="shared" si="3"/>
        <v>0.2886751346</v>
      </c>
      <c r="U1199" s="15">
        <f t="shared" si="4"/>
        <v>0.0864824444</v>
      </c>
      <c r="V1199" s="16">
        <f>IF(AND(L1199="Among all respondents",NOT(OR(K1199="Online poll in Telegram channel",K1199="Website online poll",K1199="CAWI (Computer Assisted Web Interviewing)"))),1/(1-MIN(MAX(Formula!$C$33+(YEAR(D1199)-Formula!$C$34)/(Formula!$C$35-Formula!$C$34)*(Formula!$C$32-Formula!$C$33),Formula!$C$33),Formula!$C$32)),1)</f>
        <v>1</v>
      </c>
      <c r="W1199" s="17">
        <f t="shared" si="5"/>
        <v>14.9</v>
      </c>
    </row>
    <row r="1200" ht="15.75" customHeight="1">
      <c r="A1200" s="8" t="s">
        <v>1957</v>
      </c>
      <c r="B1200" s="7" t="s">
        <v>1954</v>
      </c>
      <c r="C1200" s="13" t="s">
        <v>1955</v>
      </c>
      <c r="D1200" s="7" t="s">
        <v>187</v>
      </c>
      <c r="E1200" s="8" t="s">
        <v>40</v>
      </c>
      <c r="F1200" s="8" t="s">
        <v>318</v>
      </c>
      <c r="G1200" s="7" t="s">
        <v>190</v>
      </c>
      <c r="H1200" s="7" t="s">
        <v>185</v>
      </c>
      <c r="I1200" s="8">
        <v>20000.0</v>
      </c>
      <c r="J1200" s="8">
        <v>1.0</v>
      </c>
      <c r="K1200" s="8" t="s">
        <v>321</v>
      </c>
      <c r="L1200" s="8" t="s">
        <v>322</v>
      </c>
      <c r="M1200" s="8" t="s">
        <v>365</v>
      </c>
      <c r="N1200" s="8">
        <v>10.5</v>
      </c>
      <c r="O1200" s="14">
        <f t="shared" si="1"/>
        <v>44409</v>
      </c>
      <c r="P1200" s="15">
        <f>IFERROR(VLOOKUP(K1200,Formula!$A$11:$B$20,2,FALSE),Formula!$C$26)</f>
        <v>0.9</v>
      </c>
      <c r="Q1200" s="15">
        <f>IF(AND(ISNUMBER(J1200),J1200&gt;0),1/J1200,IF(AND(ISNUMBER(I1200),I1200&gt;0),SQRT(MIN(I1200,Formula!$C$27))/Formula!$C$24,1/Formula!$C$25))</f>
        <v>1</v>
      </c>
      <c r="R1200" s="15">
        <f t="shared" si="2"/>
        <v>0.9</v>
      </c>
      <c r="S1200" s="15">
        <f>IF(H1200&lt;&gt;"",EXP(-Formula!$C$28*(EOMONTH(H1200,0)-H1200)),EXP(-Formula!$C$28*(EOMONTH(D1200,0)-D1200)))</f>
        <v>0.3328710837</v>
      </c>
      <c r="T1200" s="15">
        <f t="shared" si="3"/>
        <v>0.2886751346</v>
      </c>
      <c r="U1200" s="15">
        <f t="shared" si="4"/>
        <v>0.0864824444</v>
      </c>
      <c r="V1200" s="16">
        <f>IF(AND(L1200="Among all respondents",NOT(OR(K1200="Online poll in Telegram channel",K1200="Website online poll",K1200="CAWI (Computer Assisted Web Interviewing)"))),1/(1-MIN(MAX(Formula!$C$33+(YEAR(D1200)-Formula!$C$34)/(Formula!$C$35-Formula!$C$34)*(Formula!$C$32-Formula!$C$33),Formula!$C$33),Formula!$C$32)),1)</f>
        <v>1</v>
      </c>
      <c r="W1200" s="17">
        <f t="shared" si="5"/>
        <v>10.5</v>
      </c>
    </row>
    <row r="1201" ht="15.75" customHeight="1">
      <c r="A1201" s="8" t="s">
        <v>1958</v>
      </c>
      <c r="B1201" s="7" t="s">
        <v>1954</v>
      </c>
      <c r="C1201" s="13" t="s">
        <v>1955</v>
      </c>
      <c r="D1201" s="7" t="s">
        <v>187</v>
      </c>
      <c r="E1201" s="8" t="s">
        <v>40</v>
      </c>
      <c r="F1201" s="8" t="s">
        <v>318</v>
      </c>
      <c r="G1201" s="7" t="s">
        <v>190</v>
      </c>
      <c r="H1201" s="7" t="s">
        <v>185</v>
      </c>
      <c r="I1201" s="8">
        <v>20000.0</v>
      </c>
      <c r="J1201" s="8">
        <v>1.0</v>
      </c>
      <c r="K1201" s="8" t="s">
        <v>321</v>
      </c>
      <c r="L1201" s="8" t="s">
        <v>322</v>
      </c>
      <c r="M1201" s="8" t="s">
        <v>337</v>
      </c>
      <c r="N1201" s="8">
        <v>9.7</v>
      </c>
      <c r="O1201" s="14">
        <f t="shared" si="1"/>
        <v>44409</v>
      </c>
      <c r="P1201" s="15">
        <f>IFERROR(VLOOKUP(K1201,Formula!$A$11:$B$20,2,FALSE),Formula!$C$26)</f>
        <v>0.9</v>
      </c>
      <c r="Q1201" s="15">
        <f>IF(AND(ISNUMBER(J1201),J1201&gt;0),1/J1201,IF(AND(ISNUMBER(I1201),I1201&gt;0),SQRT(MIN(I1201,Formula!$C$27))/Formula!$C$24,1/Formula!$C$25))</f>
        <v>1</v>
      </c>
      <c r="R1201" s="15">
        <f t="shared" si="2"/>
        <v>0.9</v>
      </c>
      <c r="S1201" s="15">
        <f>IF(H1201&lt;&gt;"",EXP(-Formula!$C$28*(EOMONTH(H1201,0)-H1201)),EXP(-Formula!$C$28*(EOMONTH(D1201,0)-D1201)))</f>
        <v>0.3328710837</v>
      </c>
      <c r="T1201" s="15">
        <f t="shared" si="3"/>
        <v>0.2886751346</v>
      </c>
      <c r="U1201" s="15">
        <f t="shared" si="4"/>
        <v>0.0864824444</v>
      </c>
      <c r="V1201" s="16">
        <f>IF(AND(L1201="Among all respondents",NOT(OR(K1201="Online poll in Telegram channel",K1201="Website online poll",K1201="CAWI (Computer Assisted Web Interviewing)"))),1/(1-MIN(MAX(Formula!$C$33+(YEAR(D1201)-Formula!$C$34)/(Formula!$C$35-Formula!$C$34)*(Formula!$C$32-Formula!$C$33),Formula!$C$33),Formula!$C$32)),1)</f>
        <v>1</v>
      </c>
      <c r="W1201" s="17">
        <f t="shared" si="5"/>
        <v>9.7</v>
      </c>
    </row>
    <row r="1202" ht="15.75" customHeight="1">
      <c r="A1202" s="8" t="s">
        <v>1959</v>
      </c>
      <c r="B1202" s="7" t="s">
        <v>1954</v>
      </c>
      <c r="C1202" s="13" t="s">
        <v>1955</v>
      </c>
      <c r="D1202" s="7" t="s">
        <v>187</v>
      </c>
      <c r="E1202" s="8" t="s">
        <v>40</v>
      </c>
      <c r="F1202" s="8" t="s">
        <v>318</v>
      </c>
      <c r="G1202" s="7" t="s">
        <v>190</v>
      </c>
      <c r="H1202" s="7" t="s">
        <v>185</v>
      </c>
      <c r="I1202" s="8">
        <v>20000.0</v>
      </c>
      <c r="J1202" s="8">
        <v>1.0</v>
      </c>
      <c r="K1202" s="8" t="s">
        <v>321</v>
      </c>
      <c r="L1202" s="8" t="s">
        <v>322</v>
      </c>
      <c r="M1202" s="8" t="s">
        <v>828</v>
      </c>
      <c r="N1202" s="8">
        <v>6.6</v>
      </c>
      <c r="O1202" s="14">
        <f t="shared" si="1"/>
        <v>44409</v>
      </c>
      <c r="P1202" s="15">
        <f>IFERROR(VLOOKUP(K1202,Formula!$A$11:$B$20,2,FALSE),Formula!$C$26)</f>
        <v>0.9</v>
      </c>
      <c r="Q1202" s="15">
        <f>IF(AND(ISNUMBER(J1202),J1202&gt;0),1/J1202,IF(AND(ISNUMBER(I1202),I1202&gt;0),SQRT(MIN(I1202,Formula!$C$27))/Formula!$C$24,1/Formula!$C$25))</f>
        <v>1</v>
      </c>
      <c r="R1202" s="15">
        <f t="shared" si="2"/>
        <v>0.9</v>
      </c>
      <c r="S1202" s="15">
        <f>IF(H1202&lt;&gt;"",EXP(-Formula!$C$28*(EOMONTH(H1202,0)-H1202)),EXP(-Formula!$C$28*(EOMONTH(D1202,0)-D1202)))</f>
        <v>0.3328710837</v>
      </c>
      <c r="T1202" s="15">
        <f t="shared" si="3"/>
        <v>0.2886751346</v>
      </c>
      <c r="U1202" s="15">
        <f t="shared" si="4"/>
        <v>0.0864824444</v>
      </c>
      <c r="V1202" s="16">
        <f>IF(AND(L1202="Among all respondents",NOT(OR(K1202="Online poll in Telegram channel",K1202="Website online poll",K1202="CAWI (Computer Assisted Web Interviewing)"))),1/(1-MIN(MAX(Formula!$C$33+(YEAR(D1202)-Formula!$C$34)/(Formula!$C$35-Formula!$C$34)*(Formula!$C$32-Formula!$C$33),Formula!$C$33),Formula!$C$32)),1)</f>
        <v>1</v>
      </c>
      <c r="W1202" s="17">
        <f t="shared" si="5"/>
        <v>6.6</v>
      </c>
    </row>
    <row r="1203" ht="15.75" customHeight="1">
      <c r="A1203" s="8" t="s">
        <v>1960</v>
      </c>
      <c r="B1203" s="7" t="s">
        <v>1954</v>
      </c>
      <c r="C1203" s="13" t="s">
        <v>1955</v>
      </c>
      <c r="D1203" s="7" t="s">
        <v>187</v>
      </c>
      <c r="E1203" s="8" t="s">
        <v>40</v>
      </c>
      <c r="F1203" s="8" t="s">
        <v>318</v>
      </c>
      <c r="G1203" s="7" t="s">
        <v>190</v>
      </c>
      <c r="H1203" s="7" t="s">
        <v>185</v>
      </c>
      <c r="I1203" s="8">
        <v>20000.0</v>
      </c>
      <c r="J1203" s="8">
        <v>1.0</v>
      </c>
      <c r="K1203" s="8" t="s">
        <v>321</v>
      </c>
      <c r="L1203" s="8" t="s">
        <v>322</v>
      </c>
      <c r="M1203" s="8" t="s">
        <v>1153</v>
      </c>
      <c r="N1203" s="8">
        <v>5.6</v>
      </c>
      <c r="O1203" s="14">
        <f t="shared" si="1"/>
        <v>44409</v>
      </c>
      <c r="P1203" s="15">
        <f>IFERROR(VLOOKUP(K1203,Formula!$A$11:$B$20,2,FALSE),Formula!$C$26)</f>
        <v>0.9</v>
      </c>
      <c r="Q1203" s="15">
        <f>IF(AND(ISNUMBER(J1203),J1203&gt;0),1/J1203,IF(AND(ISNUMBER(I1203),I1203&gt;0),SQRT(MIN(I1203,Formula!$C$27))/Formula!$C$24,1/Formula!$C$25))</f>
        <v>1</v>
      </c>
      <c r="R1203" s="15">
        <f t="shared" si="2"/>
        <v>0.9</v>
      </c>
      <c r="S1203" s="15">
        <f>IF(H1203&lt;&gt;"",EXP(-Formula!$C$28*(EOMONTH(H1203,0)-H1203)),EXP(-Formula!$C$28*(EOMONTH(D1203,0)-D1203)))</f>
        <v>0.3328710837</v>
      </c>
      <c r="T1203" s="15">
        <f t="shared" si="3"/>
        <v>0.2886751346</v>
      </c>
      <c r="U1203" s="15">
        <f t="shared" si="4"/>
        <v>0.0864824444</v>
      </c>
      <c r="V1203" s="16">
        <f>IF(AND(L1203="Among all respondents",NOT(OR(K1203="Online poll in Telegram channel",K1203="Website online poll",K1203="CAWI (Computer Assisted Web Interviewing)"))),1/(1-MIN(MAX(Formula!$C$33+(YEAR(D1203)-Formula!$C$34)/(Formula!$C$35-Formula!$C$34)*(Formula!$C$32-Formula!$C$33),Formula!$C$33),Formula!$C$32)),1)</f>
        <v>1</v>
      </c>
      <c r="W1203" s="17">
        <f t="shared" si="5"/>
        <v>5.6</v>
      </c>
    </row>
    <row r="1204" ht="15.75" customHeight="1">
      <c r="A1204" s="8" t="s">
        <v>1961</v>
      </c>
      <c r="B1204" s="7" t="s">
        <v>1954</v>
      </c>
      <c r="C1204" s="13" t="s">
        <v>1955</v>
      </c>
      <c r="D1204" s="7" t="s">
        <v>187</v>
      </c>
      <c r="E1204" s="8" t="s">
        <v>40</v>
      </c>
      <c r="F1204" s="8" t="s">
        <v>318</v>
      </c>
      <c r="G1204" s="7" t="s">
        <v>190</v>
      </c>
      <c r="H1204" s="7" t="s">
        <v>185</v>
      </c>
      <c r="I1204" s="8">
        <v>20000.0</v>
      </c>
      <c r="J1204" s="8">
        <v>1.0</v>
      </c>
      <c r="K1204" s="8" t="s">
        <v>321</v>
      </c>
      <c r="L1204" s="8" t="s">
        <v>322</v>
      </c>
      <c r="M1204" s="8" t="s">
        <v>386</v>
      </c>
      <c r="N1204" s="8">
        <v>5.1</v>
      </c>
      <c r="O1204" s="14">
        <f t="shared" si="1"/>
        <v>44409</v>
      </c>
      <c r="P1204" s="15">
        <f>IFERROR(VLOOKUP(K1204,Formula!$A$11:$B$20,2,FALSE),Formula!$C$26)</f>
        <v>0.9</v>
      </c>
      <c r="Q1204" s="15">
        <f>IF(AND(ISNUMBER(J1204),J1204&gt;0),1/J1204,IF(AND(ISNUMBER(I1204),I1204&gt;0),SQRT(MIN(I1204,Formula!$C$27))/Formula!$C$24,1/Formula!$C$25))</f>
        <v>1</v>
      </c>
      <c r="R1204" s="15">
        <f t="shared" si="2"/>
        <v>0.9</v>
      </c>
      <c r="S1204" s="15">
        <f>IF(H1204&lt;&gt;"",EXP(-Formula!$C$28*(EOMONTH(H1204,0)-H1204)),EXP(-Formula!$C$28*(EOMONTH(D1204,0)-D1204)))</f>
        <v>0.3328710837</v>
      </c>
      <c r="T1204" s="15">
        <f t="shared" si="3"/>
        <v>0.2886751346</v>
      </c>
      <c r="U1204" s="15">
        <f t="shared" si="4"/>
        <v>0.0864824444</v>
      </c>
      <c r="V1204" s="16">
        <f>IF(AND(L1204="Among all respondents",NOT(OR(K1204="Online poll in Telegram channel",K1204="Website online poll",K1204="CAWI (Computer Assisted Web Interviewing)"))),1/(1-MIN(MAX(Formula!$C$33+(YEAR(D1204)-Formula!$C$34)/(Formula!$C$35-Formula!$C$34)*(Formula!$C$32-Formula!$C$33),Formula!$C$33),Formula!$C$32)),1)</f>
        <v>1</v>
      </c>
      <c r="W1204" s="17">
        <f t="shared" si="5"/>
        <v>5.1</v>
      </c>
    </row>
    <row r="1205" ht="15.75" customHeight="1">
      <c r="A1205" s="8" t="s">
        <v>1962</v>
      </c>
      <c r="B1205" s="7" t="s">
        <v>1954</v>
      </c>
      <c r="C1205" s="13" t="s">
        <v>1955</v>
      </c>
      <c r="D1205" s="7" t="s">
        <v>187</v>
      </c>
      <c r="E1205" s="8" t="s">
        <v>40</v>
      </c>
      <c r="F1205" s="8" t="s">
        <v>318</v>
      </c>
      <c r="G1205" s="7" t="s">
        <v>190</v>
      </c>
      <c r="H1205" s="7" t="s">
        <v>185</v>
      </c>
      <c r="I1205" s="8">
        <v>20000.0</v>
      </c>
      <c r="J1205" s="8">
        <v>1.0</v>
      </c>
      <c r="K1205" s="8" t="s">
        <v>321</v>
      </c>
      <c r="L1205" s="8" t="s">
        <v>322</v>
      </c>
      <c r="M1205" s="8" t="s">
        <v>388</v>
      </c>
      <c r="N1205" s="8">
        <v>3.8</v>
      </c>
      <c r="O1205" s="14">
        <f t="shared" si="1"/>
        <v>44409</v>
      </c>
      <c r="P1205" s="15">
        <f>IFERROR(VLOOKUP(K1205,Formula!$A$11:$B$20,2,FALSE),Formula!$C$26)</f>
        <v>0.9</v>
      </c>
      <c r="Q1205" s="15">
        <f>IF(AND(ISNUMBER(J1205),J1205&gt;0),1/J1205,IF(AND(ISNUMBER(I1205),I1205&gt;0),SQRT(MIN(I1205,Formula!$C$27))/Formula!$C$24,1/Formula!$C$25))</f>
        <v>1</v>
      </c>
      <c r="R1205" s="15">
        <f t="shared" si="2"/>
        <v>0.9</v>
      </c>
      <c r="S1205" s="15">
        <f>IF(H1205&lt;&gt;"",EXP(-Formula!$C$28*(EOMONTH(H1205,0)-H1205)),EXP(-Formula!$C$28*(EOMONTH(D1205,0)-D1205)))</f>
        <v>0.3328710837</v>
      </c>
      <c r="T1205" s="15">
        <f t="shared" si="3"/>
        <v>0.2886751346</v>
      </c>
      <c r="U1205" s="15">
        <f t="shared" si="4"/>
        <v>0.0864824444</v>
      </c>
      <c r="V1205" s="16">
        <f>IF(AND(L1205="Among all respondents",NOT(OR(K1205="Online poll in Telegram channel",K1205="Website online poll",K1205="CAWI (Computer Assisted Web Interviewing)"))),1/(1-MIN(MAX(Formula!$C$33+(YEAR(D1205)-Formula!$C$34)/(Formula!$C$35-Formula!$C$34)*(Formula!$C$32-Formula!$C$33),Formula!$C$33),Formula!$C$32)),1)</f>
        <v>1</v>
      </c>
      <c r="W1205" s="17">
        <f t="shared" si="5"/>
        <v>3.8</v>
      </c>
    </row>
    <row r="1206" ht="15.75" customHeight="1">
      <c r="A1206" s="8" t="s">
        <v>1963</v>
      </c>
      <c r="B1206" s="7" t="s">
        <v>1954</v>
      </c>
      <c r="C1206" s="13" t="s">
        <v>1955</v>
      </c>
      <c r="D1206" s="7" t="s">
        <v>187</v>
      </c>
      <c r="E1206" s="8" t="s">
        <v>40</v>
      </c>
      <c r="F1206" s="8" t="s">
        <v>318</v>
      </c>
      <c r="G1206" s="7" t="s">
        <v>190</v>
      </c>
      <c r="H1206" s="7" t="s">
        <v>185</v>
      </c>
      <c r="I1206" s="8">
        <v>20000.0</v>
      </c>
      <c r="J1206" s="8">
        <v>1.0</v>
      </c>
      <c r="K1206" s="8" t="s">
        <v>321</v>
      </c>
      <c r="L1206" s="8" t="s">
        <v>322</v>
      </c>
      <c r="M1206" s="8" t="s">
        <v>333</v>
      </c>
      <c r="N1206" s="8">
        <v>3.0</v>
      </c>
      <c r="O1206" s="14">
        <f t="shared" si="1"/>
        <v>44409</v>
      </c>
      <c r="P1206" s="15">
        <f>IFERROR(VLOOKUP(K1206,Formula!$A$11:$B$20,2,FALSE),Formula!$C$26)</f>
        <v>0.9</v>
      </c>
      <c r="Q1206" s="15">
        <f>IF(AND(ISNUMBER(J1206),J1206&gt;0),1/J1206,IF(AND(ISNUMBER(I1206),I1206&gt;0),SQRT(MIN(I1206,Formula!$C$27))/Formula!$C$24,1/Formula!$C$25))</f>
        <v>1</v>
      </c>
      <c r="R1206" s="15">
        <f t="shared" si="2"/>
        <v>0.9</v>
      </c>
      <c r="S1206" s="15">
        <f>IF(H1206&lt;&gt;"",EXP(-Formula!$C$28*(EOMONTH(H1206,0)-H1206)),EXP(-Formula!$C$28*(EOMONTH(D1206,0)-D1206)))</f>
        <v>0.3328710837</v>
      </c>
      <c r="T1206" s="15">
        <f t="shared" si="3"/>
        <v>0.2886751346</v>
      </c>
      <c r="U1206" s="15">
        <f t="shared" si="4"/>
        <v>0.0864824444</v>
      </c>
      <c r="V1206" s="16">
        <f>IF(AND(L1206="Among all respondents",NOT(OR(K1206="Online poll in Telegram channel",K1206="Website online poll",K1206="CAWI (Computer Assisted Web Interviewing)"))),1/(1-MIN(MAX(Formula!$C$33+(YEAR(D1206)-Formula!$C$34)/(Formula!$C$35-Formula!$C$34)*(Formula!$C$32-Formula!$C$33),Formula!$C$33),Formula!$C$32)),1)</f>
        <v>1</v>
      </c>
      <c r="W1206" s="17">
        <f t="shared" si="5"/>
        <v>3</v>
      </c>
    </row>
    <row r="1207" ht="15.75" customHeight="1">
      <c r="A1207" s="8" t="s">
        <v>1964</v>
      </c>
      <c r="B1207" s="7" t="s">
        <v>1954</v>
      </c>
      <c r="C1207" s="13" t="s">
        <v>1955</v>
      </c>
      <c r="D1207" s="7" t="s">
        <v>187</v>
      </c>
      <c r="E1207" s="8" t="s">
        <v>40</v>
      </c>
      <c r="F1207" s="8" t="s">
        <v>318</v>
      </c>
      <c r="G1207" s="7" t="s">
        <v>190</v>
      </c>
      <c r="H1207" s="7" t="s">
        <v>185</v>
      </c>
      <c r="I1207" s="8">
        <v>20000.0</v>
      </c>
      <c r="J1207" s="8">
        <v>1.0</v>
      </c>
      <c r="K1207" s="8" t="s">
        <v>321</v>
      </c>
      <c r="L1207" s="8" t="s">
        <v>322</v>
      </c>
      <c r="M1207" s="8" t="s">
        <v>836</v>
      </c>
      <c r="N1207" s="8">
        <v>2.7</v>
      </c>
      <c r="O1207" s="14">
        <f t="shared" si="1"/>
        <v>44409</v>
      </c>
      <c r="P1207" s="15">
        <f>IFERROR(VLOOKUP(K1207,Formula!$A$11:$B$20,2,FALSE),Formula!$C$26)</f>
        <v>0.9</v>
      </c>
      <c r="Q1207" s="15">
        <f>IF(AND(ISNUMBER(J1207),J1207&gt;0),1/J1207,IF(AND(ISNUMBER(I1207),I1207&gt;0),SQRT(MIN(I1207,Formula!$C$27))/Formula!$C$24,1/Formula!$C$25))</f>
        <v>1</v>
      </c>
      <c r="R1207" s="15">
        <f t="shared" si="2"/>
        <v>0.9</v>
      </c>
      <c r="S1207" s="15">
        <f>IF(H1207&lt;&gt;"",EXP(-Formula!$C$28*(EOMONTH(H1207,0)-H1207)),EXP(-Formula!$C$28*(EOMONTH(D1207,0)-D1207)))</f>
        <v>0.3328710837</v>
      </c>
      <c r="T1207" s="15">
        <f t="shared" si="3"/>
        <v>0.2886751346</v>
      </c>
      <c r="U1207" s="15">
        <f t="shared" si="4"/>
        <v>0.0864824444</v>
      </c>
      <c r="V1207" s="16">
        <f>IF(AND(L1207="Among all respondents",NOT(OR(K1207="Online poll in Telegram channel",K1207="Website online poll",K1207="CAWI (Computer Assisted Web Interviewing)"))),1/(1-MIN(MAX(Formula!$C$33+(YEAR(D1207)-Formula!$C$34)/(Formula!$C$35-Formula!$C$34)*(Formula!$C$32-Formula!$C$33),Formula!$C$33),Formula!$C$32)),1)</f>
        <v>1</v>
      </c>
      <c r="W1207" s="17">
        <f t="shared" si="5"/>
        <v>2.7</v>
      </c>
    </row>
    <row r="1208" ht="15.75" customHeight="1">
      <c r="A1208" s="8" t="s">
        <v>1965</v>
      </c>
      <c r="B1208" s="7" t="s">
        <v>1954</v>
      </c>
      <c r="C1208" s="13" t="s">
        <v>1955</v>
      </c>
      <c r="D1208" s="7" t="s">
        <v>187</v>
      </c>
      <c r="E1208" s="8" t="s">
        <v>40</v>
      </c>
      <c r="F1208" s="8" t="s">
        <v>318</v>
      </c>
      <c r="G1208" s="7" t="s">
        <v>190</v>
      </c>
      <c r="H1208" s="7" t="s">
        <v>185</v>
      </c>
      <c r="I1208" s="8">
        <v>20000.0</v>
      </c>
      <c r="J1208" s="8">
        <v>1.0</v>
      </c>
      <c r="K1208" s="8" t="s">
        <v>321</v>
      </c>
      <c r="L1208" s="8" t="s">
        <v>322</v>
      </c>
      <c r="M1208" s="8" t="s">
        <v>740</v>
      </c>
      <c r="N1208" s="8">
        <v>2.1</v>
      </c>
      <c r="O1208" s="14">
        <f t="shared" si="1"/>
        <v>44409</v>
      </c>
      <c r="P1208" s="15">
        <f>IFERROR(VLOOKUP(K1208,Formula!$A$11:$B$20,2,FALSE),Formula!$C$26)</f>
        <v>0.9</v>
      </c>
      <c r="Q1208" s="15">
        <f>IF(AND(ISNUMBER(J1208),J1208&gt;0),1/J1208,IF(AND(ISNUMBER(I1208),I1208&gt;0),SQRT(MIN(I1208,Formula!$C$27))/Formula!$C$24,1/Formula!$C$25))</f>
        <v>1</v>
      </c>
      <c r="R1208" s="15">
        <f t="shared" si="2"/>
        <v>0.9</v>
      </c>
      <c r="S1208" s="15">
        <f>IF(H1208&lt;&gt;"",EXP(-Formula!$C$28*(EOMONTH(H1208,0)-H1208)),EXP(-Formula!$C$28*(EOMONTH(D1208,0)-D1208)))</f>
        <v>0.3328710837</v>
      </c>
      <c r="T1208" s="15">
        <f t="shared" si="3"/>
        <v>0.2886751346</v>
      </c>
      <c r="U1208" s="15">
        <f t="shared" si="4"/>
        <v>0.0864824444</v>
      </c>
      <c r="V1208" s="16">
        <f>IF(AND(L1208="Among all respondents",NOT(OR(K1208="Online poll in Telegram channel",K1208="Website online poll",K1208="CAWI (Computer Assisted Web Interviewing)"))),1/(1-MIN(MAX(Formula!$C$33+(YEAR(D1208)-Formula!$C$34)/(Formula!$C$35-Formula!$C$34)*(Formula!$C$32-Formula!$C$33),Formula!$C$33),Formula!$C$32)),1)</f>
        <v>1</v>
      </c>
      <c r="W1208" s="17">
        <f t="shared" si="5"/>
        <v>2.1</v>
      </c>
    </row>
    <row r="1209" ht="15.75" customHeight="1">
      <c r="A1209" s="8" t="s">
        <v>1966</v>
      </c>
      <c r="B1209" s="7" t="s">
        <v>1954</v>
      </c>
      <c r="C1209" s="13" t="s">
        <v>1955</v>
      </c>
      <c r="D1209" s="7" t="s">
        <v>187</v>
      </c>
      <c r="E1209" s="8" t="s">
        <v>40</v>
      </c>
      <c r="F1209" s="8" t="s">
        <v>318</v>
      </c>
      <c r="G1209" s="7" t="s">
        <v>190</v>
      </c>
      <c r="H1209" s="7" t="s">
        <v>185</v>
      </c>
      <c r="I1209" s="8">
        <v>20000.0</v>
      </c>
      <c r="J1209" s="8">
        <v>1.0</v>
      </c>
      <c r="K1209" s="8" t="s">
        <v>321</v>
      </c>
      <c r="L1209" s="8" t="s">
        <v>322</v>
      </c>
      <c r="M1209" s="8" t="s">
        <v>343</v>
      </c>
      <c r="N1209" s="8">
        <v>1.6</v>
      </c>
      <c r="O1209" s="14">
        <f t="shared" si="1"/>
        <v>44409</v>
      </c>
      <c r="P1209" s="15">
        <f>IFERROR(VLOOKUP(K1209,Formula!$A$11:$B$20,2,FALSE),Formula!$C$26)</f>
        <v>0.9</v>
      </c>
      <c r="Q1209" s="15">
        <f>IF(AND(ISNUMBER(J1209),J1209&gt;0),1/J1209,IF(AND(ISNUMBER(I1209),I1209&gt;0),SQRT(MIN(I1209,Formula!$C$27))/Formula!$C$24,1/Formula!$C$25))</f>
        <v>1</v>
      </c>
      <c r="R1209" s="15">
        <f t="shared" si="2"/>
        <v>0.9</v>
      </c>
      <c r="S1209" s="15">
        <f>IF(H1209&lt;&gt;"",EXP(-Formula!$C$28*(EOMONTH(H1209,0)-H1209)),EXP(-Formula!$C$28*(EOMONTH(D1209,0)-D1209)))</f>
        <v>0.3328710837</v>
      </c>
      <c r="T1209" s="15">
        <f t="shared" si="3"/>
        <v>0.2886751346</v>
      </c>
      <c r="U1209" s="15">
        <f t="shared" si="4"/>
        <v>0.0864824444</v>
      </c>
      <c r="V1209" s="16">
        <f>IF(AND(L1209="Among all respondents",NOT(OR(K1209="Online poll in Telegram channel",K1209="Website online poll",K1209="CAWI (Computer Assisted Web Interviewing)"))),1/(1-MIN(MAX(Formula!$C$33+(YEAR(D1209)-Formula!$C$34)/(Formula!$C$35-Formula!$C$34)*(Formula!$C$32-Formula!$C$33),Formula!$C$33),Formula!$C$32)),1)</f>
        <v>1</v>
      </c>
      <c r="W1209" s="17">
        <f t="shared" si="5"/>
        <v>1.6</v>
      </c>
    </row>
    <row r="1210" ht="15.75" customHeight="1">
      <c r="A1210" s="8" t="s">
        <v>1967</v>
      </c>
      <c r="B1210" s="7" t="s">
        <v>1968</v>
      </c>
      <c r="C1210" s="13" t="s">
        <v>1969</v>
      </c>
      <c r="D1210" s="7" t="s">
        <v>188</v>
      </c>
      <c r="E1210" s="8" t="s">
        <v>172</v>
      </c>
      <c r="F1210" s="8" t="s">
        <v>318</v>
      </c>
      <c r="G1210" s="7" t="s">
        <v>191</v>
      </c>
      <c r="H1210" s="7" t="s">
        <v>182</v>
      </c>
      <c r="I1210" s="8">
        <v>5000.0</v>
      </c>
      <c r="J1210" s="8">
        <v>1.4</v>
      </c>
      <c r="K1210" s="8" t="s">
        <v>583</v>
      </c>
      <c r="L1210" s="8" t="s">
        <v>322</v>
      </c>
      <c r="M1210" s="8" t="s">
        <v>323</v>
      </c>
      <c r="N1210" s="8">
        <v>29.7</v>
      </c>
      <c r="O1210" s="14">
        <f t="shared" si="1"/>
        <v>44409</v>
      </c>
      <c r="P1210" s="15">
        <f>IFERROR(VLOOKUP(K1210,Formula!$A$11:$B$20,2,FALSE),Formula!$C$26)</f>
        <v>0.95</v>
      </c>
      <c r="Q1210" s="15">
        <f>IF(AND(ISNUMBER(J1210),J1210&gt;0),1/J1210,IF(AND(ISNUMBER(I1210),I1210&gt;0),SQRT(MIN(I1210,Formula!$C$27))/Formula!$C$24,1/Formula!$C$25))</f>
        <v>0.7142857143</v>
      </c>
      <c r="R1210" s="15">
        <f t="shared" si="2"/>
        <v>0.6785714286</v>
      </c>
      <c r="S1210" s="15">
        <f>IF(H1210&lt;&gt;"",EXP(-Formula!$C$28*(EOMONTH(H1210,0)-H1210)),EXP(-Formula!$C$28*(EOMONTH(D1210,0)-D1210)))</f>
        <v>0.2231301601</v>
      </c>
      <c r="T1210" s="15">
        <f t="shared" si="3"/>
        <v>0.3015113446</v>
      </c>
      <c r="U1210" s="15">
        <f t="shared" si="4"/>
        <v>0.04565175777</v>
      </c>
      <c r="V1210" s="16">
        <f>IF(AND(L1210="Among all respondents",NOT(OR(K1210="Online poll in Telegram channel",K1210="Website online poll",K1210="CAWI (Computer Assisted Web Interviewing)"))),1/(1-MIN(MAX(Formula!$C$33+(YEAR(D1210)-Formula!$C$34)/(Formula!$C$35-Formula!$C$34)*(Formula!$C$32-Formula!$C$33),Formula!$C$33),Formula!$C$32)),1)</f>
        <v>1</v>
      </c>
      <c r="W1210" s="17">
        <f t="shared" si="5"/>
        <v>29.7</v>
      </c>
    </row>
    <row r="1211" ht="15.75" customHeight="1">
      <c r="A1211" s="8" t="s">
        <v>1970</v>
      </c>
      <c r="B1211" s="7" t="s">
        <v>1968</v>
      </c>
      <c r="C1211" s="13" t="s">
        <v>1969</v>
      </c>
      <c r="D1211" s="7" t="s">
        <v>188</v>
      </c>
      <c r="E1211" s="8" t="s">
        <v>172</v>
      </c>
      <c r="F1211" s="8" t="s">
        <v>318</v>
      </c>
      <c r="G1211" s="7" t="s">
        <v>191</v>
      </c>
      <c r="H1211" s="7" t="s">
        <v>182</v>
      </c>
      <c r="I1211" s="8">
        <v>5000.0</v>
      </c>
      <c r="J1211" s="8">
        <v>1.4</v>
      </c>
      <c r="K1211" s="8" t="s">
        <v>583</v>
      </c>
      <c r="L1211" s="8" t="s">
        <v>322</v>
      </c>
      <c r="M1211" s="8" t="s">
        <v>329</v>
      </c>
      <c r="N1211" s="8">
        <v>16.2</v>
      </c>
      <c r="O1211" s="14">
        <f t="shared" si="1"/>
        <v>44409</v>
      </c>
      <c r="P1211" s="15">
        <f>IFERROR(VLOOKUP(K1211,Formula!$A$11:$B$20,2,FALSE),Formula!$C$26)</f>
        <v>0.95</v>
      </c>
      <c r="Q1211" s="15">
        <f>IF(AND(ISNUMBER(J1211),J1211&gt;0),1/J1211,IF(AND(ISNUMBER(I1211),I1211&gt;0),SQRT(MIN(I1211,Formula!$C$27))/Formula!$C$24,1/Formula!$C$25))</f>
        <v>0.7142857143</v>
      </c>
      <c r="R1211" s="15">
        <f t="shared" si="2"/>
        <v>0.6785714286</v>
      </c>
      <c r="S1211" s="15">
        <f>IF(H1211&lt;&gt;"",EXP(-Formula!$C$28*(EOMONTH(H1211,0)-H1211)),EXP(-Formula!$C$28*(EOMONTH(D1211,0)-D1211)))</f>
        <v>0.2231301601</v>
      </c>
      <c r="T1211" s="15">
        <f t="shared" si="3"/>
        <v>0.3015113446</v>
      </c>
      <c r="U1211" s="15">
        <f t="shared" si="4"/>
        <v>0.04565175777</v>
      </c>
      <c r="V1211" s="16">
        <f>IF(AND(L1211="Among all respondents",NOT(OR(K1211="Online poll in Telegram channel",K1211="Website online poll",K1211="CAWI (Computer Assisted Web Interviewing)"))),1/(1-MIN(MAX(Formula!$C$33+(YEAR(D1211)-Formula!$C$34)/(Formula!$C$35-Formula!$C$34)*(Formula!$C$32-Formula!$C$33),Formula!$C$33),Formula!$C$32)),1)</f>
        <v>1</v>
      </c>
      <c r="W1211" s="17">
        <f t="shared" si="5"/>
        <v>16.2</v>
      </c>
    </row>
    <row r="1212" ht="15.75" customHeight="1">
      <c r="A1212" s="8" t="s">
        <v>1971</v>
      </c>
      <c r="B1212" s="7" t="s">
        <v>1968</v>
      </c>
      <c r="C1212" s="13" t="s">
        <v>1969</v>
      </c>
      <c r="D1212" s="7" t="s">
        <v>188</v>
      </c>
      <c r="E1212" s="8" t="s">
        <v>172</v>
      </c>
      <c r="F1212" s="8" t="s">
        <v>318</v>
      </c>
      <c r="G1212" s="7" t="s">
        <v>191</v>
      </c>
      <c r="H1212" s="7" t="s">
        <v>182</v>
      </c>
      <c r="I1212" s="8">
        <v>5000.0</v>
      </c>
      <c r="J1212" s="8">
        <v>1.4</v>
      </c>
      <c r="K1212" s="8" t="s">
        <v>583</v>
      </c>
      <c r="L1212" s="8" t="s">
        <v>322</v>
      </c>
      <c r="M1212" s="8" t="s">
        <v>337</v>
      </c>
      <c r="N1212" s="8">
        <v>11.2</v>
      </c>
      <c r="O1212" s="14">
        <f t="shared" si="1"/>
        <v>44409</v>
      </c>
      <c r="P1212" s="15">
        <f>IFERROR(VLOOKUP(K1212,Formula!$A$11:$B$20,2,FALSE),Formula!$C$26)</f>
        <v>0.95</v>
      </c>
      <c r="Q1212" s="15">
        <f>IF(AND(ISNUMBER(J1212),J1212&gt;0),1/J1212,IF(AND(ISNUMBER(I1212),I1212&gt;0),SQRT(MIN(I1212,Formula!$C$27))/Formula!$C$24,1/Formula!$C$25))</f>
        <v>0.7142857143</v>
      </c>
      <c r="R1212" s="15">
        <f t="shared" si="2"/>
        <v>0.6785714286</v>
      </c>
      <c r="S1212" s="15">
        <f>IF(H1212&lt;&gt;"",EXP(-Formula!$C$28*(EOMONTH(H1212,0)-H1212)),EXP(-Formula!$C$28*(EOMONTH(D1212,0)-D1212)))</f>
        <v>0.2231301601</v>
      </c>
      <c r="T1212" s="15">
        <f t="shared" si="3"/>
        <v>0.3015113446</v>
      </c>
      <c r="U1212" s="15">
        <f t="shared" si="4"/>
        <v>0.04565175777</v>
      </c>
      <c r="V1212" s="16">
        <f>IF(AND(L1212="Among all respondents",NOT(OR(K1212="Online poll in Telegram channel",K1212="Website online poll",K1212="CAWI (Computer Assisted Web Interviewing)"))),1/(1-MIN(MAX(Formula!$C$33+(YEAR(D1212)-Formula!$C$34)/(Formula!$C$35-Formula!$C$34)*(Formula!$C$32-Formula!$C$33),Formula!$C$33),Formula!$C$32)),1)</f>
        <v>1</v>
      </c>
      <c r="W1212" s="17">
        <f t="shared" si="5"/>
        <v>11.2</v>
      </c>
    </row>
    <row r="1213" ht="15.75" customHeight="1">
      <c r="A1213" s="8" t="s">
        <v>1972</v>
      </c>
      <c r="B1213" s="7" t="s">
        <v>1968</v>
      </c>
      <c r="C1213" s="13" t="s">
        <v>1969</v>
      </c>
      <c r="D1213" s="7" t="s">
        <v>188</v>
      </c>
      <c r="E1213" s="8" t="s">
        <v>172</v>
      </c>
      <c r="F1213" s="8" t="s">
        <v>318</v>
      </c>
      <c r="G1213" s="7" t="s">
        <v>191</v>
      </c>
      <c r="H1213" s="7" t="s">
        <v>182</v>
      </c>
      <c r="I1213" s="8">
        <v>5000.0</v>
      </c>
      <c r="J1213" s="8">
        <v>1.4</v>
      </c>
      <c r="K1213" s="8" t="s">
        <v>583</v>
      </c>
      <c r="L1213" s="8" t="s">
        <v>322</v>
      </c>
      <c r="M1213" s="8" t="s">
        <v>365</v>
      </c>
      <c r="N1213" s="8">
        <v>10.3</v>
      </c>
      <c r="O1213" s="14">
        <f t="shared" si="1"/>
        <v>44409</v>
      </c>
      <c r="P1213" s="15">
        <f>IFERROR(VLOOKUP(K1213,Formula!$A$11:$B$20,2,FALSE),Formula!$C$26)</f>
        <v>0.95</v>
      </c>
      <c r="Q1213" s="15">
        <f>IF(AND(ISNUMBER(J1213),J1213&gt;0),1/J1213,IF(AND(ISNUMBER(I1213),I1213&gt;0),SQRT(MIN(I1213,Formula!$C$27))/Formula!$C$24,1/Formula!$C$25))</f>
        <v>0.7142857143</v>
      </c>
      <c r="R1213" s="15">
        <f t="shared" si="2"/>
        <v>0.6785714286</v>
      </c>
      <c r="S1213" s="15">
        <f>IF(H1213&lt;&gt;"",EXP(-Formula!$C$28*(EOMONTH(H1213,0)-H1213)),EXP(-Formula!$C$28*(EOMONTH(D1213,0)-D1213)))</f>
        <v>0.2231301601</v>
      </c>
      <c r="T1213" s="15">
        <f t="shared" si="3"/>
        <v>0.3015113446</v>
      </c>
      <c r="U1213" s="15">
        <f t="shared" si="4"/>
        <v>0.04565175777</v>
      </c>
      <c r="V1213" s="16">
        <f>IF(AND(L1213="Among all respondents",NOT(OR(K1213="Online poll in Telegram channel",K1213="Website online poll",K1213="CAWI (Computer Assisted Web Interviewing)"))),1/(1-MIN(MAX(Formula!$C$33+(YEAR(D1213)-Formula!$C$34)/(Formula!$C$35-Formula!$C$34)*(Formula!$C$32-Formula!$C$33),Formula!$C$33),Formula!$C$32)),1)</f>
        <v>1</v>
      </c>
      <c r="W1213" s="17">
        <f t="shared" si="5"/>
        <v>10.3</v>
      </c>
    </row>
    <row r="1214" ht="15.75" customHeight="1">
      <c r="A1214" s="8" t="s">
        <v>1973</v>
      </c>
      <c r="B1214" s="7" t="s">
        <v>1968</v>
      </c>
      <c r="C1214" s="13" t="s">
        <v>1969</v>
      </c>
      <c r="D1214" s="7" t="s">
        <v>188</v>
      </c>
      <c r="E1214" s="8" t="s">
        <v>172</v>
      </c>
      <c r="F1214" s="8" t="s">
        <v>318</v>
      </c>
      <c r="G1214" s="7" t="s">
        <v>191</v>
      </c>
      <c r="H1214" s="7" t="s">
        <v>182</v>
      </c>
      <c r="I1214" s="8">
        <v>5000.0</v>
      </c>
      <c r="J1214" s="8">
        <v>1.4</v>
      </c>
      <c r="K1214" s="8" t="s">
        <v>583</v>
      </c>
      <c r="L1214" s="8" t="s">
        <v>322</v>
      </c>
      <c r="M1214" s="8" t="s">
        <v>828</v>
      </c>
      <c r="N1214" s="8">
        <v>6.7</v>
      </c>
      <c r="O1214" s="14">
        <f t="shared" si="1"/>
        <v>44409</v>
      </c>
      <c r="P1214" s="15">
        <f>IFERROR(VLOOKUP(K1214,Formula!$A$11:$B$20,2,FALSE),Formula!$C$26)</f>
        <v>0.95</v>
      </c>
      <c r="Q1214" s="15">
        <f>IF(AND(ISNUMBER(J1214),J1214&gt;0),1/J1214,IF(AND(ISNUMBER(I1214),I1214&gt;0),SQRT(MIN(I1214,Formula!$C$27))/Formula!$C$24,1/Formula!$C$25))</f>
        <v>0.7142857143</v>
      </c>
      <c r="R1214" s="15">
        <f t="shared" si="2"/>
        <v>0.6785714286</v>
      </c>
      <c r="S1214" s="15">
        <f>IF(H1214&lt;&gt;"",EXP(-Formula!$C$28*(EOMONTH(H1214,0)-H1214)),EXP(-Formula!$C$28*(EOMONTH(D1214,0)-D1214)))</f>
        <v>0.2231301601</v>
      </c>
      <c r="T1214" s="15">
        <f t="shared" si="3"/>
        <v>0.3015113446</v>
      </c>
      <c r="U1214" s="15">
        <f t="shared" si="4"/>
        <v>0.04565175777</v>
      </c>
      <c r="V1214" s="16">
        <f>IF(AND(L1214="Among all respondents",NOT(OR(K1214="Online poll in Telegram channel",K1214="Website online poll",K1214="CAWI (Computer Assisted Web Interviewing)"))),1/(1-MIN(MAX(Formula!$C$33+(YEAR(D1214)-Formula!$C$34)/(Formula!$C$35-Formula!$C$34)*(Formula!$C$32-Formula!$C$33),Formula!$C$33),Formula!$C$32)),1)</f>
        <v>1</v>
      </c>
      <c r="W1214" s="17">
        <f t="shared" si="5"/>
        <v>6.7</v>
      </c>
    </row>
    <row r="1215" ht="15.75" customHeight="1">
      <c r="A1215" s="8" t="s">
        <v>1974</v>
      </c>
      <c r="B1215" s="7" t="s">
        <v>1968</v>
      </c>
      <c r="C1215" s="13" t="s">
        <v>1969</v>
      </c>
      <c r="D1215" s="7" t="s">
        <v>188</v>
      </c>
      <c r="E1215" s="8" t="s">
        <v>172</v>
      </c>
      <c r="F1215" s="8" t="s">
        <v>318</v>
      </c>
      <c r="G1215" s="7" t="s">
        <v>191</v>
      </c>
      <c r="H1215" s="7" t="s">
        <v>182</v>
      </c>
      <c r="I1215" s="8">
        <v>5000.0</v>
      </c>
      <c r="J1215" s="8">
        <v>1.4</v>
      </c>
      <c r="K1215" s="8" t="s">
        <v>583</v>
      </c>
      <c r="L1215" s="8" t="s">
        <v>322</v>
      </c>
      <c r="M1215" s="8" t="s">
        <v>386</v>
      </c>
      <c r="N1215" s="8">
        <v>5.6</v>
      </c>
      <c r="O1215" s="14">
        <f t="shared" si="1"/>
        <v>44409</v>
      </c>
      <c r="P1215" s="15">
        <f>IFERROR(VLOOKUP(K1215,Formula!$A$11:$B$20,2,FALSE),Formula!$C$26)</f>
        <v>0.95</v>
      </c>
      <c r="Q1215" s="15">
        <f>IF(AND(ISNUMBER(J1215),J1215&gt;0),1/J1215,IF(AND(ISNUMBER(I1215),I1215&gt;0),SQRT(MIN(I1215,Formula!$C$27))/Formula!$C$24,1/Formula!$C$25))</f>
        <v>0.7142857143</v>
      </c>
      <c r="R1215" s="15">
        <f t="shared" si="2"/>
        <v>0.6785714286</v>
      </c>
      <c r="S1215" s="15">
        <f>IF(H1215&lt;&gt;"",EXP(-Formula!$C$28*(EOMONTH(H1215,0)-H1215)),EXP(-Formula!$C$28*(EOMONTH(D1215,0)-D1215)))</f>
        <v>0.2231301601</v>
      </c>
      <c r="T1215" s="15">
        <f t="shared" si="3"/>
        <v>0.3015113446</v>
      </c>
      <c r="U1215" s="15">
        <f t="shared" si="4"/>
        <v>0.04565175777</v>
      </c>
      <c r="V1215" s="16">
        <f>IF(AND(L1215="Among all respondents",NOT(OR(K1215="Online poll in Telegram channel",K1215="Website online poll",K1215="CAWI (Computer Assisted Web Interviewing)"))),1/(1-MIN(MAX(Formula!$C$33+(YEAR(D1215)-Formula!$C$34)/(Formula!$C$35-Formula!$C$34)*(Formula!$C$32-Formula!$C$33),Formula!$C$33),Formula!$C$32)),1)</f>
        <v>1</v>
      </c>
      <c r="W1215" s="17">
        <f t="shared" si="5"/>
        <v>5.6</v>
      </c>
    </row>
    <row r="1216" ht="15.75" customHeight="1">
      <c r="A1216" s="8" t="s">
        <v>1975</v>
      </c>
      <c r="B1216" s="7" t="s">
        <v>1968</v>
      </c>
      <c r="C1216" s="13" t="s">
        <v>1969</v>
      </c>
      <c r="D1216" s="7" t="s">
        <v>188</v>
      </c>
      <c r="E1216" s="8" t="s">
        <v>172</v>
      </c>
      <c r="F1216" s="8" t="s">
        <v>318</v>
      </c>
      <c r="G1216" s="7" t="s">
        <v>191</v>
      </c>
      <c r="H1216" s="7" t="s">
        <v>182</v>
      </c>
      <c r="I1216" s="8">
        <v>5000.0</v>
      </c>
      <c r="J1216" s="8">
        <v>1.4</v>
      </c>
      <c r="K1216" s="8" t="s">
        <v>583</v>
      </c>
      <c r="L1216" s="8" t="s">
        <v>322</v>
      </c>
      <c r="M1216" s="8" t="s">
        <v>1153</v>
      </c>
      <c r="N1216" s="8">
        <v>5.5</v>
      </c>
      <c r="O1216" s="14">
        <f t="shared" si="1"/>
        <v>44409</v>
      </c>
      <c r="P1216" s="15">
        <f>IFERROR(VLOOKUP(K1216,Formula!$A$11:$B$20,2,FALSE),Formula!$C$26)</f>
        <v>0.95</v>
      </c>
      <c r="Q1216" s="15">
        <f>IF(AND(ISNUMBER(J1216),J1216&gt;0),1/J1216,IF(AND(ISNUMBER(I1216),I1216&gt;0),SQRT(MIN(I1216,Formula!$C$27))/Formula!$C$24,1/Formula!$C$25))</f>
        <v>0.7142857143</v>
      </c>
      <c r="R1216" s="15">
        <f t="shared" si="2"/>
        <v>0.6785714286</v>
      </c>
      <c r="S1216" s="15">
        <f>IF(H1216&lt;&gt;"",EXP(-Formula!$C$28*(EOMONTH(H1216,0)-H1216)),EXP(-Formula!$C$28*(EOMONTH(D1216,0)-D1216)))</f>
        <v>0.2231301601</v>
      </c>
      <c r="T1216" s="15">
        <f t="shared" si="3"/>
        <v>0.3015113446</v>
      </c>
      <c r="U1216" s="15">
        <f t="shared" si="4"/>
        <v>0.04565175777</v>
      </c>
      <c r="V1216" s="16">
        <f>IF(AND(L1216="Among all respondents",NOT(OR(K1216="Online poll in Telegram channel",K1216="Website online poll",K1216="CAWI (Computer Assisted Web Interviewing)"))),1/(1-MIN(MAX(Formula!$C$33+(YEAR(D1216)-Formula!$C$34)/(Formula!$C$35-Formula!$C$34)*(Formula!$C$32-Formula!$C$33),Formula!$C$33),Formula!$C$32)),1)</f>
        <v>1</v>
      </c>
      <c r="W1216" s="17">
        <f t="shared" si="5"/>
        <v>5.5</v>
      </c>
    </row>
    <row r="1217" ht="15.75" customHeight="1">
      <c r="A1217" s="8" t="s">
        <v>1976</v>
      </c>
      <c r="B1217" s="7" t="s">
        <v>1968</v>
      </c>
      <c r="C1217" s="13" t="s">
        <v>1969</v>
      </c>
      <c r="D1217" s="7" t="s">
        <v>188</v>
      </c>
      <c r="E1217" s="8" t="s">
        <v>172</v>
      </c>
      <c r="F1217" s="8" t="s">
        <v>318</v>
      </c>
      <c r="G1217" s="7" t="s">
        <v>191</v>
      </c>
      <c r="H1217" s="7" t="s">
        <v>182</v>
      </c>
      <c r="I1217" s="8">
        <v>5000.0</v>
      </c>
      <c r="J1217" s="8">
        <v>1.4</v>
      </c>
      <c r="K1217" s="8" t="s">
        <v>583</v>
      </c>
      <c r="L1217" s="8" t="s">
        <v>322</v>
      </c>
      <c r="M1217" s="8" t="s">
        <v>333</v>
      </c>
      <c r="N1217" s="8">
        <v>3.0</v>
      </c>
      <c r="O1217" s="14">
        <f t="shared" si="1"/>
        <v>44409</v>
      </c>
      <c r="P1217" s="15">
        <f>IFERROR(VLOOKUP(K1217,Formula!$A$11:$B$20,2,FALSE),Formula!$C$26)</f>
        <v>0.95</v>
      </c>
      <c r="Q1217" s="15">
        <f>IF(AND(ISNUMBER(J1217),J1217&gt;0),1/J1217,IF(AND(ISNUMBER(I1217),I1217&gt;0),SQRT(MIN(I1217,Formula!$C$27))/Formula!$C$24,1/Formula!$C$25))</f>
        <v>0.7142857143</v>
      </c>
      <c r="R1217" s="15">
        <f t="shared" si="2"/>
        <v>0.6785714286</v>
      </c>
      <c r="S1217" s="15">
        <f>IF(H1217&lt;&gt;"",EXP(-Formula!$C$28*(EOMONTH(H1217,0)-H1217)),EXP(-Formula!$C$28*(EOMONTH(D1217,0)-D1217)))</f>
        <v>0.2231301601</v>
      </c>
      <c r="T1217" s="15">
        <f t="shared" si="3"/>
        <v>0.3015113446</v>
      </c>
      <c r="U1217" s="15">
        <f t="shared" si="4"/>
        <v>0.04565175777</v>
      </c>
      <c r="V1217" s="16">
        <f>IF(AND(L1217="Among all respondents",NOT(OR(K1217="Online poll in Telegram channel",K1217="Website online poll",K1217="CAWI (Computer Assisted Web Interviewing)"))),1/(1-MIN(MAX(Formula!$C$33+(YEAR(D1217)-Formula!$C$34)/(Formula!$C$35-Formula!$C$34)*(Formula!$C$32-Formula!$C$33),Formula!$C$33),Formula!$C$32)),1)</f>
        <v>1</v>
      </c>
      <c r="W1217" s="17">
        <f t="shared" si="5"/>
        <v>3</v>
      </c>
    </row>
    <row r="1218" ht="15.75" customHeight="1">
      <c r="A1218" s="8" t="s">
        <v>1977</v>
      </c>
      <c r="B1218" s="7" t="s">
        <v>1968</v>
      </c>
      <c r="C1218" s="13" t="s">
        <v>1969</v>
      </c>
      <c r="D1218" s="7" t="s">
        <v>188</v>
      </c>
      <c r="E1218" s="8" t="s">
        <v>172</v>
      </c>
      <c r="F1218" s="8" t="s">
        <v>318</v>
      </c>
      <c r="G1218" s="7" t="s">
        <v>191</v>
      </c>
      <c r="H1218" s="7" t="s">
        <v>182</v>
      </c>
      <c r="I1218" s="8">
        <v>5000.0</v>
      </c>
      <c r="J1218" s="8">
        <v>1.4</v>
      </c>
      <c r="K1218" s="8" t="s">
        <v>583</v>
      </c>
      <c r="L1218" s="8" t="s">
        <v>322</v>
      </c>
      <c r="M1218" s="8" t="s">
        <v>1334</v>
      </c>
      <c r="N1218" s="8">
        <v>2.6</v>
      </c>
      <c r="O1218" s="14">
        <f t="shared" si="1"/>
        <v>44409</v>
      </c>
      <c r="P1218" s="15">
        <f>IFERROR(VLOOKUP(K1218,Formula!$A$11:$B$20,2,FALSE),Formula!$C$26)</f>
        <v>0.95</v>
      </c>
      <c r="Q1218" s="15">
        <f>IF(AND(ISNUMBER(J1218),J1218&gt;0),1/J1218,IF(AND(ISNUMBER(I1218),I1218&gt;0),SQRT(MIN(I1218,Formula!$C$27))/Formula!$C$24,1/Formula!$C$25))</f>
        <v>0.7142857143</v>
      </c>
      <c r="R1218" s="15">
        <f t="shared" si="2"/>
        <v>0.6785714286</v>
      </c>
      <c r="S1218" s="15">
        <f>IF(H1218&lt;&gt;"",EXP(-Formula!$C$28*(EOMONTH(H1218,0)-H1218)),EXP(-Formula!$C$28*(EOMONTH(D1218,0)-D1218)))</f>
        <v>0.2231301601</v>
      </c>
      <c r="T1218" s="15">
        <f t="shared" si="3"/>
        <v>0.3015113446</v>
      </c>
      <c r="U1218" s="15">
        <f t="shared" si="4"/>
        <v>0.04565175777</v>
      </c>
      <c r="V1218" s="16">
        <f>IF(AND(L1218="Among all respondents",NOT(OR(K1218="Online poll in Telegram channel",K1218="Website online poll",K1218="CAWI (Computer Assisted Web Interviewing)"))),1/(1-MIN(MAX(Formula!$C$33+(YEAR(D1218)-Formula!$C$34)/(Formula!$C$35-Formula!$C$34)*(Formula!$C$32-Formula!$C$33),Formula!$C$33),Formula!$C$32)),1)</f>
        <v>1</v>
      </c>
      <c r="W1218" s="17">
        <f t="shared" si="5"/>
        <v>2.6</v>
      </c>
    </row>
    <row r="1219" ht="15.75" customHeight="1">
      <c r="A1219" s="8" t="s">
        <v>1978</v>
      </c>
      <c r="B1219" s="7" t="s">
        <v>1968</v>
      </c>
      <c r="C1219" s="13" t="s">
        <v>1969</v>
      </c>
      <c r="D1219" s="7" t="s">
        <v>188</v>
      </c>
      <c r="E1219" s="8" t="s">
        <v>172</v>
      </c>
      <c r="F1219" s="8" t="s">
        <v>318</v>
      </c>
      <c r="G1219" s="7" t="s">
        <v>191</v>
      </c>
      <c r="H1219" s="7" t="s">
        <v>182</v>
      </c>
      <c r="I1219" s="8">
        <v>5000.0</v>
      </c>
      <c r="J1219" s="8">
        <v>1.4</v>
      </c>
      <c r="K1219" s="8" t="s">
        <v>583</v>
      </c>
      <c r="L1219" s="8" t="s">
        <v>322</v>
      </c>
      <c r="M1219" s="8" t="s">
        <v>1539</v>
      </c>
      <c r="N1219" s="8">
        <v>2.5</v>
      </c>
      <c r="O1219" s="14">
        <f t="shared" si="1"/>
        <v>44409</v>
      </c>
      <c r="P1219" s="15">
        <f>IFERROR(VLOOKUP(K1219,Formula!$A$11:$B$20,2,FALSE),Formula!$C$26)</f>
        <v>0.95</v>
      </c>
      <c r="Q1219" s="15">
        <f>IF(AND(ISNUMBER(J1219),J1219&gt;0),1/J1219,IF(AND(ISNUMBER(I1219),I1219&gt;0),SQRT(MIN(I1219,Formula!$C$27))/Formula!$C$24,1/Formula!$C$25))</f>
        <v>0.7142857143</v>
      </c>
      <c r="R1219" s="15">
        <f t="shared" si="2"/>
        <v>0.6785714286</v>
      </c>
      <c r="S1219" s="15">
        <f>IF(H1219&lt;&gt;"",EXP(-Formula!$C$28*(EOMONTH(H1219,0)-H1219)),EXP(-Formula!$C$28*(EOMONTH(D1219,0)-D1219)))</f>
        <v>0.2231301601</v>
      </c>
      <c r="T1219" s="15">
        <f t="shared" si="3"/>
        <v>0.3015113446</v>
      </c>
      <c r="U1219" s="15">
        <f t="shared" si="4"/>
        <v>0.04565175777</v>
      </c>
      <c r="V1219" s="16">
        <f>IF(AND(L1219="Among all respondents",NOT(OR(K1219="Online poll in Telegram channel",K1219="Website online poll",K1219="CAWI (Computer Assisted Web Interviewing)"))),1/(1-MIN(MAX(Formula!$C$33+(YEAR(D1219)-Formula!$C$34)/(Formula!$C$35-Formula!$C$34)*(Formula!$C$32-Formula!$C$33),Formula!$C$33),Formula!$C$32)),1)</f>
        <v>1</v>
      </c>
      <c r="W1219" s="17">
        <f t="shared" si="5"/>
        <v>2.5</v>
      </c>
    </row>
    <row r="1220" ht="15.75" customHeight="1">
      <c r="A1220" s="8" t="s">
        <v>1979</v>
      </c>
      <c r="B1220" s="7" t="s">
        <v>1968</v>
      </c>
      <c r="C1220" s="13" t="s">
        <v>1969</v>
      </c>
      <c r="D1220" s="7" t="s">
        <v>188</v>
      </c>
      <c r="E1220" s="8" t="s">
        <v>172</v>
      </c>
      <c r="F1220" s="8" t="s">
        <v>318</v>
      </c>
      <c r="G1220" s="7" t="s">
        <v>191</v>
      </c>
      <c r="H1220" s="7" t="s">
        <v>182</v>
      </c>
      <c r="I1220" s="8">
        <v>5000.0</v>
      </c>
      <c r="J1220" s="8">
        <v>1.4</v>
      </c>
      <c r="K1220" s="8" t="s">
        <v>583</v>
      </c>
      <c r="L1220" s="8" t="s">
        <v>322</v>
      </c>
      <c r="M1220" s="8" t="s">
        <v>343</v>
      </c>
      <c r="N1220" s="8">
        <v>2.4</v>
      </c>
      <c r="O1220" s="14">
        <f t="shared" si="1"/>
        <v>44409</v>
      </c>
      <c r="P1220" s="15">
        <f>IFERROR(VLOOKUP(K1220,Formula!$A$11:$B$20,2,FALSE),Formula!$C$26)</f>
        <v>0.95</v>
      </c>
      <c r="Q1220" s="15">
        <f>IF(AND(ISNUMBER(J1220),J1220&gt;0),1/J1220,IF(AND(ISNUMBER(I1220),I1220&gt;0),SQRT(MIN(I1220,Formula!$C$27))/Formula!$C$24,1/Formula!$C$25))</f>
        <v>0.7142857143</v>
      </c>
      <c r="R1220" s="15">
        <f t="shared" si="2"/>
        <v>0.6785714286</v>
      </c>
      <c r="S1220" s="15">
        <f>IF(H1220&lt;&gt;"",EXP(-Formula!$C$28*(EOMONTH(H1220,0)-H1220)),EXP(-Formula!$C$28*(EOMONTH(D1220,0)-D1220)))</f>
        <v>0.2231301601</v>
      </c>
      <c r="T1220" s="15">
        <f t="shared" si="3"/>
        <v>0.3015113446</v>
      </c>
      <c r="U1220" s="15">
        <f t="shared" si="4"/>
        <v>0.04565175777</v>
      </c>
      <c r="V1220" s="16">
        <f>IF(AND(L1220="Among all respondents",NOT(OR(K1220="Online poll in Telegram channel",K1220="Website online poll",K1220="CAWI (Computer Assisted Web Interviewing)"))),1/(1-MIN(MAX(Formula!$C$33+(YEAR(D1220)-Formula!$C$34)/(Formula!$C$35-Formula!$C$34)*(Formula!$C$32-Formula!$C$33),Formula!$C$33),Formula!$C$32)),1)</f>
        <v>1</v>
      </c>
      <c r="W1220" s="17">
        <f t="shared" si="5"/>
        <v>2.4</v>
      </c>
    </row>
    <row r="1221" ht="15.75" customHeight="1">
      <c r="A1221" s="8" t="s">
        <v>1980</v>
      </c>
      <c r="B1221" s="7" t="s">
        <v>1981</v>
      </c>
      <c r="C1221" s="13" t="s">
        <v>1982</v>
      </c>
      <c r="D1221" s="7" t="s">
        <v>184</v>
      </c>
      <c r="E1221" s="8" t="s">
        <v>106</v>
      </c>
      <c r="F1221" s="8" t="s">
        <v>318</v>
      </c>
      <c r="G1221" s="7" t="s">
        <v>1983</v>
      </c>
      <c r="H1221" s="7" t="s">
        <v>1984</v>
      </c>
      <c r="I1221" s="8">
        <v>2019.0</v>
      </c>
      <c r="J1221" s="8">
        <v>2.3</v>
      </c>
      <c r="K1221" s="8" t="s">
        <v>583</v>
      </c>
      <c r="L1221" s="8" t="s">
        <v>322</v>
      </c>
      <c r="M1221" s="8" t="s">
        <v>323</v>
      </c>
      <c r="N1221" s="8">
        <v>28.8</v>
      </c>
      <c r="O1221" s="14">
        <f t="shared" si="1"/>
        <v>44409</v>
      </c>
      <c r="P1221" s="15">
        <f>IFERROR(VLOOKUP(K1221,Formula!$A$11:$B$20,2,FALSE),Formula!$C$26)</f>
        <v>0.95</v>
      </c>
      <c r="Q1221" s="15">
        <f>IF(AND(ISNUMBER(J1221),J1221&gt;0),1/J1221,IF(AND(ISNUMBER(I1221),I1221&gt;0),SQRT(MIN(I1221,Formula!$C$27))/Formula!$C$24,1/Formula!$C$25))</f>
        <v>0.4347826087</v>
      </c>
      <c r="R1221" s="15">
        <f t="shared" si="2"/>
        <v>0.4130434783</v>
      </c>
      <c r="S1221" s="15">
        <f>IF(H1221&lt;&gt;"",EXP(-Formula!$C$28*(EOMONTH(H1221,0)-H1221)),EXP(-Formula!$C$28*(EOMONTH(D1221,0)-D1221)))</f>
        <v>0.2592402606</v>
      </c>
      <c r="T1221" s="15">
        <f t="shared" si="3"/>
        <v>0.2886751346</v>
      </c>
      <c r="U1221" s="15">
        <f t="shared" si="4"/>
        <v>0.03091061143</v>
      </c>
      <c r="V1221" s="16">
        <f>IF(AND(L1221="Among all respondents",NOT(OR(K1221="Online poll in Telegram channel",K1221="Website online poll",K1221="CAWI (Computer Assisted Web Interviewing)"))),1/(1-MIN(MAX(Formula!$C$33+(YEAR(D1221)-Formula!$C$34)/(Formula!$C$35-Formula!$C$34)*(Formula!$C$32-Formula!$C$33),Formula!$C$33),Formula!$C$32)),1)</f>
        <v>1</v>
      </c>
      <c r="W1221" s="17">
        <f t="shared" si="5"/>
        <v>28.8</v>
      </c>
    </row>
    <row r="1222" ht="15.75" customHeight="1">
      <c r="A1222" s="8" t="s">
        <v>1985</v>
      </c>
      <c r="B1222" s="7" t="s">
        <v>1981</v>
      </c>
      <c r="C1222" s="13" t="s">
        <v>1982</v>
      </c>
      <c r="D1222" s="7" t="s">
        <v>184</v>
      </c>
      <c r="E1222" s="8" t="s">
        <v>106</v>
      </c>
      <c r="F1222" s="8" t="s">
        <v>318</v>
      </c>
      <c r="G1222" s="7" t="s">
        <v>1983</v>
      </c>
      <c r="H1222" s="7" t="s">
        <v>1984</v>
      </c>
      <c r="I1222" s="8">
        <v>2019.0</v>
      </c>
      <c r="J1222" s="8">
        <v>2.3</v>
      </c>
      <c r="K1222" s="8" t="s">
        <v>583</v>
      </c>
      <c r="L1222" s="8" t="s">
        <v>322</v>
      </c>
      <c r="M1222" s="8" t="s">
        <v>329</v>
      </c>
      <c r="N1222" s="8">
        <v>15.9</v>
      </c>
      <c r="O1222" s="14">
        <f t="shared" si="1"/>
        <v>44409</v>
      </c>
      <c r="P1222" s="15">
        <f>IFERROR(VLOOKUP(K1222,Formula!$A$11:$B$20,2,FALSE),Formula!$C$26)</f>
        <v>0.95</v>
      </c>
      <c r="Q1222" s="15">
        <f>IF(AND(ISNUMBER(J1222),J1222&gt;0),1/J1222,IF(AND(ISNUMBER(I1222),I1222&gt;0),SQRT(MIN(I1222,Formula!$C$27))/Formula!$C$24,1/Formula!$C$25))</f>
        <v>0.4347826087</v>
      </c>
      <c r="R1222" s="15">
        <f t="shared" si="2"/>
        <v>0.4130434783</v>
      </c>
      <c r="S1222" s="15">
        <f>IF(H1222&lt;&gt;"",EXP(-Formula!$C$28*(EOMONTH(H1222,0)-H1222)),EXP(-Formula!$C$28*(EOMONTH(D1222,0)-D1222)))</f>
        <v>0.2592402606</v>
      </c>
      <c r="T1222" s="15">
        <f t="shared" si="3"/>
        <v>0.2886751346</v>
      </c>
      <c r="U1222" s="15">
        <f t="shared" si="4"/>
        <v>0.03091061143</v>
      </c>
      <c r="V1222" s="16">
        <f>IF(AND(L1222="Among all respondents",NOT(OR(K1222="Online poll in Telegram channel",K1222="Website online poll",K1222="CAWI (Computer Assisted Web Interviewing)"))),1/(1-MIN(MAX(Formula!$C$33+(YEAR(D1222)-Formula!$C$34)/(Formula!$C$35-Formula!$C$34)*(Formula!$C$32-Formula!$C$33),Formula!$C$33),Formula!$C$32)),1)</f>
        <v>1</v>
      </c>
      <c r="W1222" s="17">
        <f t="shared" si="5"/>
        <v>15.9</v>
      </c>
    </row>
    <row r="1223" ht="15.75" customHeight="1">
      <c r="A1223" s="8" t="s">
        <v>1986</v>
      </c>
      <c r="B1223" s="7" t="s">
        <v>1981</v>
      </c>
      <c r="C1223" s="13" t="s">
        <v>1982</v>
      </c>
      <c r="D1223" s="7" t="s">
        <v>184</v>
      </c>
      <c r="E1223" s="8" t="s">
        <v>106</v>
      </c>
      <c r="F1223" s="8" t="s">
        <v>318</v>
      </c>
      <c r="G1223" s="7" t="s">
        <v>1983</v>
      </c>
      <c r="H1223" s="7" t="s">
        <v>1984</v>
      </c>
      <c r="I1223" s="8">
        <v>2019.0</v>
      </c>
      <c r="J1223" s="8">
        <v>2.3</v>
      </c>
      <c r="K1223" s="8" t="s">
        <v>583</v>
      </c>
      <c r="L1223" s="8" t="s">
        <v>322</v>
      </c>
      <c r="M1223" s="8" t="s">
        <v>365</v>
      </c>
      <c r="N1223" s="8">
        <v>14.6</v>
      </c>
      <c r="O1223" s="14">
        <f t="shared" si="1"/>
        <v>44409</v>
      </c>
      <c r="P1223" s="15">
        <f>IFERROR(VLOOKUP(K1223,Formula!$A$11:$B$20,2,FALSE),Formula!$C$26)</f>
        <v>0.95</v>
      </c>
      <c r="Q1223" s="15">
        <f>IF(AND(ISNUMBER(J1223),J1223&gt;0),1/J1223,IF(AND(ISNUMBER(I1223),I1223&gt;0),SQRT(MIN(I1223,Formula!$C$27))/Formula!$C$24,1/Formula!$C$25))</f>
        <v>0.4347826087</v>
      </c>
      <c r="R1223" s="15">
        <f t="shared" si="2"/>
        <v>0.4130434783</v>
      </c>
      <c r="S1223" s="15">
        <f>IF(H1223&lt;&gt;"",EXP(-Formula!$C$28*(EOMONTH(H1223,0)-H1223)),EXP(-Formula!$C$28*(EOMONTH(D1223,0)-D1223)))</f>
        <v>0.2592402606</v>
      </c>
      <c r="T1223" s="15">
        <f t="shared" si="3"/>
        <v>0.2886751346</v>
      </c>
      <c r="U1223" s="15">
        <f t="shared" si="4"/>
        <v>0.03091061143</v>
      </c>
      <c r="V1223" s="16">
        <f>IF(AND(L1223="Among all respondents",NOT(OR(K1223="Online poll in Telegram channel",K1223="Website online poll",K1223="CAWI (Computer Assisted Web Interviewing)"))),1/(1-MIN(MAX(Formula!$C$33+(YEAR(D1223)-Formula!$C$34)/(Formula!$C$35-Formula!$C$34)*(Formula!$C$32-Formula!$C$33),Formula!$C$33),Formula!$C$32)),1)</f>
        <v>1</v>
      </c>
      <c r="W1223" s="17">
        <f t="shared" si="5"/>
        <v>14.6</v>
      </c>
    </row>
    <row r="1224" ht="15.75" customHeight="1">
      <c r="A1224" s="8" t="s">
        <v>1987</v>
      </c>
      <c r="B1224" s="7" t="s">
        <v>1981</v>
      </c>
      <c r="C1224" s="13" t="s">
        <v>1982</v>
      </c>
      <c r="D1224" s="7" t="s">
        <v>184</v>
      </c>
      <c r="E1224" s="8" t="s">
        <v>106</v>
      </c>
      <c r="F1224" s="8" t="s">
        <v>318</v>
      </c>
      <c r="G1224" s="7" t="s">
        <v>1983</v>
      </c>
      <c r="H1224" s="7" t="s">
        <v>1984</v>
      </c>
      <c r="I1224" s="8">
        <v>2019.0</v>
      </c>
      <c r="J1224" s="8">
        <v>2.3</v>
      </c>
      <c r="K1224" s="8" t="s">
        <v>583</v>
      </c>
      <c r="L1224" s="8" t="s">
        <v>322</v>
      </c>
      <c r="M1224" s="8" t="s">
        <v>337</v>
      </c>
      <c r="N1224" s="8">
        <v>10.9</v>
      </c>
      <c r="O1224" s="14">
        <f t="shared" si="1"/>
        <v>44409</v>
      </c>
      <c r="P1224" s="15">
        <f>IFERROR(VLOOKUP(K1224,Formula!$A$11:$B$20,2,FALSE),Formula!$C$26)</f>
        <v>0.95</v>
      </c>
      <c r="Q1224" s="15">
        <f>IF(AND(ISNUMBER(J1224),J1224&gt;0),1/J1224,IF(AND(ISNUMBER(I1224),I1224&gt;0),SQRT(MIN(I1224,Formula!$C$27))/Formula!$C$24,1/Formula!$C$25))</f>
        <v>0.4347826087</v>
      </c>
      <c r="R1224" s="15">
        <f t="shared" si="2"/>
        <v>0.4130434783</v>
      </c>
      <c r="S1224" s="15">
        <f>IF(H1224&lt;&gt;"",EXP(-Formula!$C$28*(EOMONTH(H1224,0)-H1224)),EXP(-Formula!$C$28*(EOMONTH(D1224,0)-D1224)))</f>
        <v>0.2592402606</v>
      </c>
      <c r="T1224" s="15">
        <f t="shared" si="3"/>
        <v>0.2886751346</v>
      </c>
      <c r="U1224" s="15">
        <f t="shared" si="4"/>
        <v>0.03091061143</v>
      </c>
      <c r="V1224" s="16">
        <f>IF(AND(L1224="Among all respondents",NOT(OR(K1224="Online poll in Telegram channel",K1224="Website online poll",K1224="CAWI (Computer Assisted Web Interviewing)"))),1/(1-MIN(MAX(Formula!$C$33+(YEAR(D1224)-Formula!$C$34)/(Formula!$C$35-Formula!$C$34)*(Formula!$C$32-Formula!$C$33),Formula!$C$33),Formula!$C$32)),1)</f>
        <v>1</v>
      </c>
      <c r="W1224" s="17">
        <f t="shared" si="5"/>
        <v>10.9</v>
      </c>
    </row>
    <row r="1225" ht="15.75" customHeight="1">
      <c r="A1225" s="8" t="s">
        <v>1988</v>
      </c>
      <c r="B1225" s="7" t="s">
        <v>1981</v>
      </c>
      <c r="C1225" s="13" t="s">
        <v>1982</v>
      </c>
      <c r="D1225" s="7" t="s">
        <v>184</v>
      </c>
      <c r="E1225" s="8" t="s">
        <v>106</v>
      </c>
      <c r="F1225" s="8" t="s">
        <v>318</v>
      </c>
      <c r="G1225" s="7" t="s">
        <v>1983</v>
      </c>
      <c r="H1225" s="7" t="s">
        <v>1984</v>
      </c>
      <c r="I1225" s="8">
        <v>2019.0</v>
      </c>
      <c r="J1225" s="8">
        <v>2.3</v>
      </c>
      <c r="K1225" s="8" t="s">
        <v>583</v>
      </c>
      <c r="L1225" s="8" t="s">
        <v>322</v>
      </c>
      <c r="M1225" s="8" t="s">
        <v>828</v>
      </c>
      <c r="N1225" s="8">
        <v>5.9</v>
      </c>
      <c r="O1225" s="14">
        <f t="shared" si="1"/>
        <v>44409</v>
      </c>
      <c r="P1225" s="15">
        <f>IFERROR(VLOOKUP(K1225,Formula!$A$11:$B$20,2,FALSE),Formula!$C$26)</f>
        <v>0.95</v>
      </c>
      <c r="Q1225" s="15">
        <f>IF(AND(ISNUMBER(J1225),J1225&gt;0),1/J1225,IF(AND(ISNUMBER(I1225),I1225&gt;0),SQRT(MIN(I1225,Formula!$C$27))/Formula!$C$24,1/Formula!$C$25))</f>
        <v>0.4347826087</v>
      </c>
      <c r="R1225" s="15">
        <f t="shared" si="2"/>
        <v>0.4130434783</v>
      </c>
      <c r="S1225" s="15">
        <f>IF(H1225&lt;&gt;"",EXP(-Formula!$C$28*(EOMONTH(H1225,0)-H1225)),EXP(-Formula!$C$28*(EOMONTH(D1225,0)-D1225)))</f>
        <v>0.2592402606</v>
      </c>
      <c r="T1225" s="15">
        <f t="shared" si="3"/>
        <v>0.2886751346</v>
      </c>
      <c r="U1225" s="15">
        <f t="shared" si="4"/>
        <v>0.03091061143</v>
      </c>
      <c r="V1225" s="16">
        <f>IF(AND(L1225="Among all respondents",NOT(OR(K1225="Online poll in Telegram channel",K1225="Website online poll",K1225="CAWI (Computer Assisted Web Interviewing)"))),1/(1-MIN(MAX(Formula!$C$33+(YEAR(D1225)-Formula!$C$34)/(Formula!$C$35-Formula!$C$34)*(Formula!$C$32-Formula!$C$33),Formula!$C$33),Formula!$C$32)),1)</f>
        <v>1</v>
      </c>
      <c r="W1225" s="17">
        <f t="shared" si="5"/>
        <v>5.9</v>
      </c>
    </row>
    <row r="1226" ht="15.75" customHeight="1">
      <c r="A1226" s="8" t="s">
        <v>1989</v>
      </c>
      <c r="B1226" s="7" t="s">
        <v>1981</v>
      </c>
      <c r="C1226" s="13" t="s">
        <v>1982</v>
      </c>
      <c r="D1226" s="7" t="s">
        <v>184</v>
      </c>
      <c r="E1226" s="8" t="s">
        <v>106</v>
      </c>
      <c r="F1226" s="8" t="s">
        <v>318</v>
      </c>
      <c r="G1226" s="7" t="s">
        <v>1983</v>
      </c>
      <c r="H1226" s="7" t="s">
        <v>1984</v>
      </c>
      <c r="I1226" s="8">
        <v>2019.0</v>
      </c>
      <c r="J1226" s="8">
        <v>2.3</v>
      </c>
      <c r="K1226" s="8" t="s">
        <v>583</v>
      </c>
      <c r="L1226" s="8" t="s">
        <v>322</v>
      </c>
      <c r="M1226" s="8" t="s">
        <v>388</v>
      </c>
      <c r="N1226" s="8">
        <v>2.8</v>
      </c>
      <c r="O1226" s="14">
        <f t="shared" si="1"/>
        <v>44409</v>
      </c>
      <c r="P1226" s="15">
        <f>IFERROR(VLOOKUP(K1226,Formula!$A$11:$B$20,2,FALSE),Formula!$C$26)</f>
        <v>0.95</v>
      </c>
      <c r="Q1226" s="15">
        <f>IF(AND(ISNUMBER(J1226),J1226&gt;0),1/J1226,IF(AND(ISNUMBER(I1226),I1226&gt;0),SQRT(MIN(I1226,Formula!$C$27))/Formula!$C$24,1/Formula!$C$25))</f>
        <v>0.4347826087</v>
      </c>
      <c r="R1226" s="15">
        <f t="shared" si="2"/>
        <v>0.4130434783</v>
      </c>
      <c r="S1226" s="15">
        <f>IF(H1226&lt;&gt;"",EXP(-Formula!$C$28*(EOMONTH(H1226,0)-H1226)),EXP(-Formula!$C$28*(EOMONTH(D1226,0)-D1226)))</f>
        <v>0.2592402606</v>
      </c>
      <c r="T1226" s="15">
        <f t="shared" si="3"/>
        <v>0.2886751346</v>
      </c>
      <c r="U1226" s="15">
        <f t="shared" si="4"/>
        <v>0.03091061143</v>
      </c>
      <c r="V1226" s="16">
        <f>IF(AND(L1226="Among all respondents",NOT(OR(K1226="Online poll in Telegram channel",K1226="Website online poll",K1226="CAWI (Computer Assisted Web Interviewing)"))),1/(1-MIN(MAX(Formula!$C$33+(YEAR(D1226)-Formula!$C$34)/(Formula!$C$35-Formula!$C$34)*(Formula!$C$32-Formula!$C$33),Formula!$C$33),Formula!$C$32)),1)</f>
        <v>1</v>
      </c>
      <c r="W1226" s="17">
        <f t="shared" si="5"/>
        <v>2.8</v>
      </c>
    </row>
    <row r="1227" ht="15.75" customHeight="1">
      <c r="A1227" s="8" t="s">
        <v>1990</v>
      </c>
      <c r="B1227" s="7" t="s">
        <v>1981</v>
      </c>
      <c r="C1227" s="13" t="s">
        <v>1982</v>
      </c>
      <c r="D1227" s="7" t="s">
        <v>184</v>
      </c>
      <c r="E1227" s="8" t="s">
        <v>106</v>
      </c>
      <c r="F1227" s="8" t="s">
        <v>318</v>
      </c>
      <c r="G1227" s="7" t="s">
        <v>1983</v>
      </c>
      <c r="H1227" s="7" t="s">
        <v>1984</v>
      </c>
      <c r="I1227" s="8">
        <v>2019.0</v>
      </c>
      <c r="J1227" s="8">
        <v>2.3</v>
      </c>
      <c r="K1227" s="8" t="s">
        <v>583</v>
      </c>
      <c r="L1227" s="8" t="s">
        <v>322</v>
      </c>
      <c r="M1227" s="8" t="s">
        <v>386</v>
      </c>
      <c r="N1227" s="8">
        <v>2.7</v>
      </c>
      <c r="O1227" s="14">
        <f t="shared" si="1"/>
        <v>44409</v>
      </c>
      <c r="P1227" s="15">
        <f>IFERROR(VLOOKUP(K1227,Formula!$A$11:$B$20,2,FALSE),Formula!$C$26)</f>
        <v>0.95</v>
      </c>
      <c r="Q1227" s="15">
        <f>IF(AND(ISNUMBER(J1227),J1227&gt;0),1/J1227,IF(AND(ISNUMBER(I1227),I1227&gt;0),SQRT(MIN(I1227,Formula!$C$27))/Formula!$C$24,1/Formula!$C$25))</f>
        <v>0.4347826087</v>
      </c>
      <c r="R1227" s="15">
        <f t="shared" si="2"/>
        <v>0.4130434783</v>
      </c>
      <c r="S1227" s="15">
        <f>IF(H1227&lt;&gt;"",EXP(-Formula!$C$28*(EOMONTH(H1227,0)-H1227)),EXP(-Formula!$C$28*(EOMONTH(D1227,0)-D1227)))</f>
        <v>0.2592402606</v>
      </c>
      <c r="T1227" s="15">
        <f t="shared" si="3"/>
        <v>0.2886751346</v>
      </c>
      <c r="U1227" s="15">
        <f t="shared" si="4"/>
        <v>0.03091061143</v>
      </c>
      <c r="V1227" s="16">
        <f>IF(AND(L1227="Among all respondents",NOT(OR(K1227="Online poll in Telegram channel",K1227="Website online poll",K1227="CAWI (Computer Assisted Web Interviewing)"))),1/(1-MIN(MAX(Formula!$C$33+(YEAR(D1227)-Formula!$C$34)/(Formula!$C$35-Formula!$C$34)*(Formula!$C$32-Formula!$C$33),Formula!$C$33),Formula!$C$32)),1)</f>
        <v>1</v>
      </c>
      <c r="W1227" s="17">
        <f t="shared" si="5"/>
        <v>2.7</v>
      </c>
    </row>
    <row r="1228" ht="15.75" customHeight="1">
      <c r="A1228" s="8" t="s">
        <v>1991</v>
      </c>
      <c r="B1228" s="7" t="s">
        <v>1981</v>
      </c>
      <c r="C1228" s="13" t="s">
        <v>1982</v>
      </c>
      <c r="D1228" s="7" t="s">
        <v>184</v>
      </c>
      <c r="E1228" s="8" t="s">
        <v>106</v>
      </c>
      <c r="F1228" s="8" t="s">
        <v>318</v>
      </c>
      <c r="G1228" s="7" t="s">
        <v>1983</v>
      </c>
      <c r="H1228" s="7" t="s">
        <v>1984</v>
      </c>
      <c r="I1228" s="8">
        <v>2019.0</v>
      </c>
      <c r="J1228" s="8">
        <v>2.3</v>
      </c>
      <c r="K1228" s="8" t="s">
        <v>583</v>
      </c>
      <c r="L1228" s="8" t="s">
        <v>322</v>
      </c>
      <c r="M1228" s="8" t="s">
        <v>1398</v>
      </c>
      <c r="N1228" s="8">
        <v>2.6</v>
      </c>
      <c r="O1228" s="14">
        <f t="shared" si="1"/>
        <v>44409</v>
      </c>
      <c r="P1228" s="15">
        <f>IFERROR(VLOOKUP(K1228,Formula!$A$11:$B$20,2,FALSE),Formula!$C$26)</f>
        <v>0.95</v>
      </c>
      <c r="Q1228" s="15">
        <f>IF(AND(ISNUMBER(J1228),J1228&gt;0),1/J1228,IF(AND(ISNUMBER(I1228),I1228&gt;0),SQRT(MIN(I1228,Formula!$C$27))/Formula!$C$24,1/Formula!$C$25))</f>
        <v>0.4347826087</v>
      </c>
      <c r="R1228" s="15">
        <f t="shared" si="2"/>
        <v>0.4130434783</v>
      </c>
      <c r="S1228" s="15">
        <f>IF(H1228&lt;&gt;"",EXP(-Formula!$C$28*(EOMONTH(H1228,0)-H1228)),EXP(-Formula!$C$28*(EOMONTH(D1228,0)-D1228)))</f>
        <v>0.2592402606</v>
      </c>
      <c r="T1228" s="15">
        <f t="shared" si="3"/>
        <v>0.2886751346</v>
      </c>
      <c r="U1228" s="15">
        <f t="shared" si="4"/>
        <v>0.03091061143</v>
      </c>
      <c r="V1228" s="16">
        <f>IF(AND(L1228="Among all respondents",NOT(OR(K1228="Online poll in Telegram channel",K1228="Website online poll",K1228="CAWI (Computer Assisted Web Interviewing)"))),1/(1-MIN(MAX(Formula!$C$33+(YEAR(D1228)-Formula!$C$34)/(Formula!$C$35-Formula!$C$34)*(Formula!$C$32-Formula!$C$33),Formula!$C$33),Formula!$C$32)),1)</f>
        <v>1</v>
      </c>
      <c r="W1228" s="17">
        <f t="shared" si="5"/>
        <v>2.6</v>
      </c>
    </row>
    <row r="1229" ht="15.75" customHeight="1">
      <c r="A1229" s="8" t="s">
        <v>1992</v>
      </c>
      <c r="B1229" s="7" t="s">
        <v>1981</v>
      </c>
      <c r="C1229" s="13" t="s">
        <v>1982</v>
      </c>
      <c r="D1229" s="7" t="s">
        <v>184</v>
      </c>
      <c r="E1229" s="8" t="s">
        <v>106</v>
      </c>
      <c r="F1229" s="8" t="s">
        <v>318</v>
      </c>
      <c r="G1229" s="7" t="s">
        <v>1983</v>
      </c>
      <c r="H1229" s="7" t="s">
        <v>1984</v>
      </c>
      <c r="I1229" s="8">
        <v>2019.0</v>
      </c>
      <c r="J1229" s="8">
        <v>2.3</v>
      </c>
      <c r="K1229" s="8" t="s">
        <v>583</v>
      </c>
      <c r="L1229" s="8" t="s">
        <v>322</v>
      </c>
      <c r="M1229" s="8" t="s">
        <v>333</v>
      </c>
      <c r="N1229" s="8">
        <v>2.3</v>
      </c>
      <c r="O1229" s="14">
        <f t="shared" si="1"/>
        <v>44409</v>
      </c>
      <c r="P1229" s="15">
        <f>IFERROR(VLOOKUP(K1229,Formula!$A$11:$B$20,2,FALSE),Formula!$C$26)</f>
        <v>0.95</v>
      </c>
      <c r="Q1229" s="15">
        <f>IF(AND(ISNUMBER(J1229),J1229&gt;0),1/J1229,IF(AND(ISNUMBER(I1229),I1229&gt;0),SQRT(MIN(I1229,Formula!$C$27))/Formula!$C$24,1/Formula!$C$25))</f>
        <v>0.4347826087</v>
      </c>
      <c r="R1229" s="15">
        <f t="shared" si="2"/>
        <v>0.4130434783</v>
      </c>
      <c r="S1229" s="15">
        <f>IF(H1229&lt;&gt;"",EXP(-Formula!$C$28*(EOMONTH(H1229,0)-H1229)),EXP(-Formula!$C$28*(EOMONTH(D1229,0)-D1229)))</f>
        <v>0.2592402606</v>
      </c>
      <c r="T1229" s="15">
        <f t="shared" si="3"/>
        <v>0.2886751346</v>
      </c>
      <c r="U1229" s="15">
        <f t="shared" si="4"/>
        <v>0.03091061143</v>
      </c>
      <c r="V1229" s="16">
        <f>IF(AND(L1229="Among all respondents",NOT(OR(K1229="Online poll in Telegram channel",K1229="Website online poll",K1229="CAWI (Computer Assisted Web Interviewing)"))),1/(1-MIN(MAX(Formula!$C$33+(YEAR(D1229)-Formula!$C$34)/(Formula!$C$35-Formula!$C$34)*(Formula!$C$32-Formula!$C$33),Formula!$C$33),Formula!$C$32)),1)</f>
        <v>1</v>
      </c>
      <c r="W1229" s="17">
        <f t="shared" si="5"/>
        <v>2.3</v>
      </c>
    </row>
    <row r="1230" ht="15.75" customHeight="1">
      <c r="A1230" s="8" t="s">
        <v>1993</v>
      </c>
      <c r="B1230" s="7" t="s">
        <v>1981</v>
      </c>
      <c r="C1230" s="13" t="s">
        <v>1982</v>
      </c>
      <c r="D1230" s="7" t="s">
        <v>184</v>
      </c>
      <c r="E1230" s="8" t="s">
        <v>106</v>
      </c>
      <c r="F1230" s="8" t="s">
        <v>318</v>
      </c>
      <c r="G1230" s="7" t="s">
        <v>1983</v>
      </c>
      <c r="H1230" s="7" t="s">
        <v>1984</v>
      </c>
      <c r="I1230" s="8">
        <v>2019.0</v>
      </c>
      <c r="J1230" s="8">
        <v>2.3</v>
      </c>
      <c r="K1230" s="8" t="s">
        <v>583</v>
      </c>
      <c r="L1230" s="8" t="s">
        <v>322</v>
      </c>
      <c r="M1230" s="8" t="s">
        <v>838</v>
      </c>
      <c r="N1230" s="8">
        <v>1.7</v>
      </c>
      <c r="O1230" s="14">
        <f t="shared" si="1"/>
        <v>44409</v>
      </c>
      <c r="P1230" s="15">
        <f>IFERROR(VLOOKUP(K1230,Formula!$A$11:$B$20,2,FALSE),Formula!$C$26)</f>
        <v>0.95</v>
      </c>
      <c r="Q1230" s="15">
        <f>IF(AND(ISNUMBER(J1230),J1230&gt;0),1/J1230,IF(AND(ISNUMBER(I1230),I1230&gt;0),SQRT(MIN(I1230,Formula!$C$27))/Formula!$C$24,1/Formula!$C$25))</f>
        <v>0.4347826087</v>
      </c>
      <c r="R1230" s="15">
        <f t="shared" si="2"/>
        <v>0.4130434783</v>
      </c>
      <c r="S1230" s="15">
        <f>IF(H1230&lt;&gt;"",EXP(-Formula!$C$28*(EOMONTH(H1230,0)-H1230)),EXP(-Formula!$C$28*(EOMONTH(D1230,0)-D1230)))</f>
        <v>0.2592402606</v>
      </c>
      <c r="T1230" s="15">
        <f t="shared" si="3"/>
        <v>0.2886751346</v>
      </c>
      <c r="U1230" s="15">
        <f t="shared" si="4"/>
        <v>0.03091061143</v>
      </c>
      <c r="V1230" s="16">
        <f>IF(AND(L1230="Among all respondents",NOT(OR(K1230="Online poll in Telegram channel",K1230="Website online poll",K1230="CAWI (Computer Assisted Web Interviewing)"))),1/(1-MIN(MAX(Formula!$C$33+(YEAR(D1230)-Formula!$C$34)/(Formula!$C$35-Formula!$C$34)*(Formula!$C$32-Formula!$C$33),Formula!$C$33),Formula!$C$32)),1)</f>
        <v>1</v>
      </c>
      <c r="W1230" s="17">
        <f t="shared" si="5"/>
        <v>1.7</v>
      </c>
    </row>
    <row r="1231" ht="15.75" customHeight="1">
      <c r="A1231" s="8" t="s">
        <v>1994</v>
      </c>
      <c r="B1231" s="7" t="s">
        <v>1981</v>
      </c>
      <c r="C1231" s="13" t="s">
        <v>1982</v>
      </c>
      <c r="D1231" s="7" t="s">
        <v>184</v>
      </c>
      <c r="E1231" s="8" t="s">
        <v>106</v>
      </c>
      <c r="F1231" s="8" t="s">
        <v>318</v>
      </c>
      <c r="G1231" s="7" t="s">
        <v>1983</v>
      </c>
      <c r="H1231" s="7" t="s">
        <v>1984</v>
      </c>
      <c r="I1231" s="8">
        <v>2019.0</v>
      </c>
      <c r="J1231" s="8">
        <v>2.3</v>
      </c>
      <c r="K1231" s="8" t="s">
        <v>583</v>
      </c>
      <c r="L1231" s="8" t="s">
        <v>322</v>
      </c>
      <c r="M1231" s="8" t="s">
        <v>343</v>
      </c>
      <c r="N1231" s="8">
        <v>0.9</v>
      </c>
      <c r="O1231" s="14">
        <f t="shared" si="1"/>
        <v>44409</v>
      </c>
      <c r="P1231" s="15">
        <f>IFERROR(VLOOKUP(K1231,Formula!$A$11:$B$20,2,FALSE),Formula!$C$26)</f>
        <v>0.95</v>
      </c>
      <c r="Q1231" s="15">
        <f>IF(AND(ISNUMBER(J1231),J1231&gt;0),1/J1231,IF(AND(ISNUMBER(I1231),I1231&gt;0),SQRT(MIN(I1231,Formula!$C$27))/Formula!$C$24,1/Formula!$C$25))</f>
        <v>0.4347826087</v>
      </c>
      <c r="R1231" s="15">
        <f t="shared" si="2"/>
        <v>0.4130434783</v>
      </c>
      <c r="S1231" s="15">
        <f>IF(H1231&lt;&gt;"",EXP(-Formula!$C$28*(EOMONTH(H1231,0)-H1231)),EXP(-Formula!$C$28*(EOMONTH(D1231,0)-D1231)))</f>
        <v>0.2592402606</v>
      </c>
      <c r="T1231" s="15">
        <f t="shared" si="3"/>
        <v>0.2886751346</v>
      </c>
      <c r="U1231" s="15">
        <f t="shared" si="4"/>
        <v>0.03091061143</v>
      </c>
      <c r="V1231" s="16">
        <f>IF(AND(L1231="Among all respondents",NOT(OR(K1231="Online poll in Telegram channel",K1231="Website online poll",K1231="CAWI (Computer Assisted Web Interviewing)"))),1/(1-MIN(MAX(Formula!$C$33+(YEAR(D1231)-Formula!$C$34)/(Formula!$C$35-Formula!$C$34)*(Formula!$C$32-Formula!$C$33),Formula!$C$33),Formula!$C$32)),1)</f>
        <v>1</v>
      </c>
      <c r="W1231" s="17">
        <f t="shared" si="5"/>
        <v>0.9</v>
      </c>
    </row>
    <row r="1232" ht="15.75" customHeight="1">
      <c r="A1232" s="8" t="s">
        <v>1995</v>
      </c>
      <c r="B1232" s="7" t="s">
        <v>1981</v>
      </c>
      <c r="C1232" s="13" t="s">
        <v>1982</v>
      </c>
      <c r="D1232" s="7" t="s">
        <v>184</v>
      </c>
      <c r="E1232" s="8" t="s">
        <v>106</v>
      </c>
      <c r="F1232" s="8" t="s">
        <v>318</v>
      </c>
      <c r="G1232" s="7" t="s">
        <v>1983</v>
      </c>
      <c r="H1232" s="7" t="s">
        <v>1984</v>
      </c>
      <c r="I1232" s="8">
        <v>2019.0</v>
      </c>
      <c r="J1232" s="8">
        <v>2.3</v>
      </c>
      <c r="K1232" s="8" t="s">
        <v>583</v>
      </c>
      <c r="L1232" s="8" t="s">
        <v>322</v>
      </c>
      <c r="M1232" s="8" t="s">
        <v>345</v>
      </c>
      <c r="N1232" s="8">
        <v>0.9</v>
      </c>
      <c r="O1232" s="14">
        <f t="shared" si="1"/>
        <v>44409</v>
      </c>
      <c r="P1232" s="15">
        <f>IFERROR(VLOOKUP(K1232,Formula!$A$11:$B$20,2,FALSE),Formula!$C$26)</f>
        <v>0.95</v>
      </c>
      <c r="Q1232" s="15">
        <f>IF(AND(ISNUMBER(J1232),J1232&gt;0),1/J1232,IF(AND(ISNUMBER(I1232),I1232&gt;0),SQRT(MIN(I1232,Formula!$C$27))/Formula!$C$24,1/Formula!$C$25))</f>
        <v>0.4347826087</v>
      </c>
      <c r="R1232" s="15">
        <f t="shared" si="2"/>
        <v>0.4130434783</v>
      </c>
      <c r="S1232" s="15">
        <f>IF(H1232&lt;&gt;"",EXP(-Formula!$C$28*(EOMONTH(H1232,0)-H1232)),EXP(-Formula!$C$28*(EOMONTH(D1232,0)-D1232)))</f>
        <v>0.2592402606</v>
      </c>
      <c r="T1232" s="15">
        <f t="shared" si="3"/>
        <v>0.2886751346</v>
      </c>
      <c r="U1232" s="15">
        <f t="shared" si="4"/>
        <v>0.03091061143</v>
      </c>
      <c r="V1232" s="16">
        <f>IF(AND(L1232="Among all respondents",NOT(OR(K1232="Online poll in Telegram channel",K1232="Website online poll",K1232="CAWI (Computer Assisted Web Interviewing)"))),1/(1-MIN(MAX(Formula!$C$33+(YEAR(D1232)-Formula!$C$34)/(Formula!$C$35-Formula!$C$34)*(Formula!$C$32-Formula!$C$33),Formula!$C$33),Formula!$C$32)),1)</f>
        <v>1</v>
      </c>
      <c r="W1232" s="17">
        <f t="shared" si="5"/>
        <v>0.9</v>
      </c>
    </row>
    <row r="1233" ht="15.75" customHeight="1">
      <c r="A1233" s="8" t="s">
        <v>1996</v>
      </c>
      <c r="B1233" s="7" t="s">
        <v>1997</v>
      </c>
      <c r="C1233" s="13" t="s">
        <v>1998</v>
      </c>
      <c r="D1233" s="7" t="s">
        <v>185</v>
      </c>
      <c r="E1233" s="8" t="s">
        <v>17</v>
      </c>
      <c r="F1233" s="8" t="s">
        <v>318</v>
      </c>
      <c r="G1233" s="7" t="s">
        <v>1983</v>
      </c>
      <c r="H1233" s="7" t="s">
        <v>1999</v>
      </c>
      <c r="I1233" s="8">
        <v>2000.0</v>
      </c>
      <c r="K1233" s="8" t="s">
        <v>321</v>
      </c>
      <c r="L1233" s="8" t="s">
        <v>373</v>
      </c>
      <c r="M1233" s="8" t="s">
        <v>323</v>
      </c>
      <c r="N1233" s="8">
        <v>19.5</v>
      </c>
      <c r="O1233" s="14">
        <f t="shared" si="1"/>
        <v>44409</v>
      </c>
      <c r="P1233" s="15">
        <f>IFERROR(VLOOKUP(K1233,Formula!$A$11:$B$20,2,FALSE),Formula!$C$26)</f>
        <v>0.9</v>
      </c>
      <c r="Q1233" s="15">
        <f>IF(AND(ISNUMBER(J1233),J1233&gt;0),1/J1233,IF(AND(ISNUMBER(I1233),I1233&gt;0),SQRT(MIN(I1233,Formula!$C$27))/Formula!$C$24,1/Formula!$C$25))</f>
        <v>0.4563404036</v>
      </c>
      <c r="R1233" s="15">
        <f t="shared" si="2"/>
        <v>0.4107063632</v>
      </c>
      <c r="S1233" s="15">
        <f>IF(H1233&lt;&gt;"",EXP(-Formula!$C$28*(EOMONTH(H1233,0)-H1233)),EXP(-Formula!$C$28*(EOMONTH(D1233,0)-D1233)))</f>
        <v>0.2465969639</v>
      </c>
      <c r="T1233" s="15">
        <f t="shared" si="3"/>
        <v>0.2672612419</v>
      </c>
      <c r="U1233" s="15">
        <f t="shared" si="4"/>
        <v>0.02706793588</v>
      </c>
      <c r="V1233" s="16">
        <f>IF(AND(L1233="Among all respondents",NOT(OR(K1233="Online poll in Telegram channel",K1233="Website online poll",K1233="CAWI (Computer Assisted Web Interviewing)"))),1/(1-MIN(MAX(Formula!$C$33+(YEAR(D1233)-Formula!$C$34)/(Formula!$C$35-Formula!$C$34)*(Formula!$C$32-Formula!$C$33),Formula!$C$33),Formula!$C$32)),1)</f>
        <v>1.052631579</v>
      </c>
      <c r="W1233" s="17">
        <f t="shared" si="5"/>
        <v>20.52631579</v>
      </c>
    </row>
    <row r="1234" ht="15.75" customHeight="1">
      <c r="A1234" s="8" t="s">
        <v>2000</v>
      </c>
      <c r="B1234" s="7" t="s">
        <v>1997</v>
      </c>
      <c r="C1234" s="13" t="s">
        <v>1998</v>
      </c>
      <c r="D1234" s="7" t="s">
        <v>185</v>
      </c>
      <c r="E1234" s="8" t="s">
        <v>17</v>
      </c>
      <c r="F1234" s="8" t="s">
        <v>318</v>
      </c>
      <c r="G1234" s="7" t="s">
        <v>1983</v>
      </c>
      <c r="H1234" s="7" t="s">
        <v>1999</v>
      </c>
      <c r="I1234" s="8">
        <v>2000.0</v>
      </c>
      <c r="K1234" s="8" t="s">
        <v>321</v>
      </c>
      <c r="L1234" s="8" t="s">
        <v>373</v>
      </c>
      <c r="M1234" s="8" t="s">
        <v>329</v>
      </c>
      <c r="N1234" s="8">
        <v>14.3</v>
      </c>
      <c r="O1234" s="14">
        <f t="shared" si="1"/>
        <v>44409</v>
      </c>
      <c r="P1234" s="15">
        <f>IFERROR(VLOOKUP(K1234,Formula!$A$11:$B$20,2,FALSE),Formula!$C$26)</f>
        <v>0.9</v>
      </c>
      <c r="Q1234" s="15">
        <f>IF(AND(ISNUMBER(J1234),J1234&gt;0),1/J1234,IF(AND(ISNUMBER(I1234),I1234&gt;0),SQRT(MIN(I1234,Formula!$C$27))/Formula!$C$24,1/Formula!$C$25))</f>
        <v>0.4563404036</v>
      </c>
      <c r="R1234" s="15">
        <f t="shared" si="2"/>
        <v>0.4107063632</v>
      </c>
      <c r="S1234" s="15">
        <f>IF(H1234&lt;&gt;"",EXP(-Formula!$C$28*(EOMONTH(H1234,0)-H1234)),EXP(-Formula!$C$28*(EOMONTH(D1234,0)-D1234)))</f>
        <v>0.2465969639</v>
      </c>
      <c r="T1234" s="15">
        <f t="shared" si="3"/>
        <v>0.2672612419</v>
      </c>
      <c r="U1234" s="15">
        <f t="shared" si="4"/>
        <v>0.02706793588</v>
      </c>
      <c r="V1234" s="16">
        <f>IF(AND(L1234="Among all respondents",NOT(OR(K1234="Online poll in Telegram channel",K1234="Website online poll",K1234="CAWI (Computer Assisted Web Interviewing)"))),1/(1-MIN(MAX(Formula!$C$33+(YEAR(D1234)-Formula!$C$34)/(Formula!$C$35-Formula!$C$34)*(Formula!$C$32-Formula!$C$33),Formula!$C$33),Formula!$C$32)),1)</f>
        <v>1.052631579</v>
      </c>
      <c r="W1234" s="17">
        <f t="shared" si="5"/>
        <v>15.05263158</v>
      </c>
    </row>
    <row r="1235" ht="15.75" customHeight="1">
      <c r="A1235" s="8" t="s">
        <v>2001</v>
      </c>
      <c r="B1235" s="7" t="s">
        <v>1997</v>
      </c>
      <c r="C1235" s="13" t="s">
        <v>1998</v>
      </c>
      <c r="D1235" s="7" t="s">
        <v>185</v>
      </c>
      <c r="E1235" s="8" t="s">
        <v>17</v>
      </c>
      <c r="F1235" s="8" t="s">
        <v>318</v>
      </c>
      <c r="G1235" s="7" t="s">
        <v>1983</v>
      </c>
      <c r="H1235" s="7" t="s">
        <v>1999</v>
      </c>
      <c r="I1235" s="8">
        <v>2000.0</v>
      </c>
      <c r="K1235" s="8" t="s">
        <v>321</v>
      </c>
      <c r="L1235" s="8" t="s">
        <v>373</v>
      </c>
      <c r="M1235" s="8" t="s">
        <v>337</v>
      </c>
      <c r="N1235" s="8">
        <v>6.7</v>
      </c>
      <c r="O1235" s="14">
        <f t="shared" si="1"/>
        <v>44409</v>
      </c>
      <c r="P1235" s="15">
        <f>IFERROR(VLOOKUP(K1235,Formula!$A$11:$B$20,2,FALSE),Formula!$C$26)</f>
        <v>0.9</v>
      </c>
      <c r="Q1235" s="15">
        <f>IF(AND(ISNUMBER(J1235),J1235&gt;0),1/J1235,IF(AND(ISNUMBER(I1235),I1235&gt;0),SQRT(MIN(I1235,Formula!$C$27))/Formula!$C$24,1/Formula!$C$25))</f>
        <v>0.4563404036</v>
      </c>
      <c r="R1235" s="15">
        <f t="shared" si="2"/>
        <v>0.4107063632</v>
      </c>
      <c r="S1235" s="15">
        <f>IF(H1235&lt;&gt;"",EXP(-Formula!$C$28*(EOMONTH(H1235,0)-H1235)),EXP(-Formula!$C$28*(EOMONTH(D1235,0)-D1235)))</f>
        <v>0.2465969639</v>
      </c>
      <c r="T1235" s="15">
        <f t="shared" si="3"/>
        <v>0.2672612419</v>
      </c>
      <c r="U1235" s="15">
        <f t="shared" si="4"/>
        <v>0.02706793588</v>
      </c>
      <c r="V1235" s="16">
        <f>IF(AND(L1235="Among all respondents",NOT(OR(K1235="Online poll in Telegram channel",K1235="Website online poll",K1235="CAWI (Computer Assisted Web Interviewing)"))),1/(1-MIN(MAX(Formula!$C$33+(YEAR(D1235)-Formula!$C$34)/(Formula!$C$35-Formula!$C$34)*(Formula!$C$32-Formula!$C$33),Formula!$C$33),Formula!$C$32)),1)</f>
        <v>1.052631579</v>
      </c>
      <c r="W1235" s="17">
        <f t="shared" si="5"/>
        <v>7.052631579</v>
      </c>
    </row>
    <row r="1236" ht="15.75" customHeight="1">
      <c r="A1236" s="8" t="s">
        <v>2002</v>
      </c>
      <c r="B1236" s="7" t="s">
        <v>1997</v>
      </c>
      <c r="C1236" s="13" t="s">
        <v>1998</v>
      </c>
      <c r="D1236" s="7" t="s">
        <v>185</v>
      </c>
      <c r="E1236" s="8" t="s">
        <v>17</v>
      </c>
      <c r="F1236" s="8" t="s">
        <v>318</v>
      </c>
      <c r="G1236" s="7" t="s">
        <v>1983</v>
      </c>
      <c r="H1236" s="7" t="s">
        <v>1999</v>
      </c>
      <c r="I1236" s="8">
        <v>2000.0</v>
      </c>
      <c r="K1236" s="8" t="s">
        <v>321</v>
      </c>
      <c r="L1236" s="8" t="s">
        <v>373</v>
      </c>
      <c r="M1236" s="8" t="s">
        <v>828</v>
      </c>
      <c r="N1236" s="8">
        <v>6.7</v>
      </c>
      <c r="O1236" s="14">
        <f t="shared" si="1"/>
        <v>44409</v>
      </c>
      <c r="P1236" s="15">
        <f>IFERROR(VLOOKUP(K1236,Formula!$A$11:$B$20,2,FALSE),Formula!$C$26)</f>
        <v>0.9</v>
      </c>
      <c r="Q1236" s="15">
        <f>IF(AND(ISNUMBER(J1236),J1236&gt;0),1/J1236,IF(AND(ISNUMBER(I1236),I1236&gt;0),SQRT(MIN(I1236,Formula!$C$27))/Formula!$C$24,1/Formula!$C$25))</f>
        <v>0.4563404036</v>
      </c>
      <c r="R1236" s="15">
        <f t="shared" si="2"/>
        <v>0.4107063632</v>
      </c>
      <c r="S1236" s="15">
        <f>IF(H1236&lt;&gt;"",EXP(-Formula!$C$28*(EOMONTH(H1236,0)-H1236)),EXP(-Formula!$C$28*(EOMONTH(D1236,0)-D1236)))</f>
        <v>0.2465969639</v>
      </c>
      <c r="T1236" s="15">
        <f t="shared" si="3"/>
        <v>0.2672612419</v>
      </c>
      <c r="U1236" s="15">
        <f t="shared" si="4"/>
        <v>0.02706793588</v>
      </c>
      <c r="V1236" s="16">
        <f>IF(AND(L1236="Among all respondents",NOT(OR(K1236="Online poll in Telegram channel",K1236="Website online poll",K1236="CAWI (Computer Assisted Web Interviewing)"))),1/(1-MIN(MAX(Formula!$C$33+(YEAR(D1236)-Formula!$C$34)/(Formula!$C$35-Formula!$C$34)*(Formula!$C$32-Formula!$C$33),Formula!$C$33),Formula!$C$32)),1)</f>
        <v>1.052631579</v>
      </c>
      <c r="W1236" s="17">
        <f t="shared" si="5"/>
        <v>7.052631579</v>
      </c>
    </row>
    <row r="1237" ht="15.75" customHeight="1">
      <c r="A1237" s="8" t="s">
        <v>2003</v>
      </c>
      <c r="B1237" s="7" t="s">
        <v>1997</v>
      </c>
      <c r="C1237" s="13" t="s">
        <v>1998</v>
      </c>
      <c r="D1237" s="7" t="s">
        <v>185</v>
      </c>
      <c r="E1237" s="8" t="s">
        <v>17</v>
      </c>
      <c r="F1237" s="8" t="s">
        <v>318</v>
      </c>
      <c r="G1237" s="7" t="s">
        <v>1983</v>
      </c>
      <c r="H1237" s="7" t="s">
        <v>1999</v>
      </c>
      <c r="I1237" s="8">
        <v>2000.0</v>
      </c>
      <c r="K1237" s="8" t="s">
        <v>321</v>
      </c>
      <c r="L1237" s="8" t="s">
        <v>373</v>
      </c>
      <c r="M1237" s="8" t="s">
        <v>365</v>
      </c>
      <c r="N1237" s="8">
        <v>6.7</v>
      </c>
      <c r="O1237" s="14">
        <f t="shared" si="1"/>
        <v>44409</v>
      </c>
      <c r="P1237" s="15">
        <f>IFERROR(VLOOKUP(K1237,Formula!$A$11:$B$20,2,FALSE),Formula!$C$26)</f>
        <v>0.9</v>
      </c>
      <c r="Q1237" s="15">
        <f>IF(AND(ISNUMBER(J1237),J1237&gt;0),1/J1237,IF(AND(ISNUMBER(I1237),I1237&gt;0),SQRT(MIN(I1237,Formula!$C$27))/Formula!$C$24,1/Formula!$C$25))</f>
        <v>0.4563404036</v>
      </c>
      <c r="R1237" s="15">
        <f t="shared" si="2"/>
        <v>0.4107063632</v>
      </c>
      <c r="S1237" s="15">
        <f>IF(H1237&lt;&gt;"",EXP(-Formula!$C$28*(EOMONTH(H1237,0)-H1237)),EXP(-Formula!$C$28*(EOMONTH(D1237,0)-D1237)))</f>
        <v>0.2465969639</v>
      </c>
      <c r="T1237" s="15">
        <f t="shared" si="3"/>
        <v>0.2672612419</v>
      </c>
      <c r="U1237" s="15">
        <f t="shared" si="4"/>
        <v>0.02706793588</v>
      </c>
      <c r="V1237" s="16">
        <f>IF(AND(L1237="Among all respondents",NOT(OR(K1237="Online poll in Telegram channel",K1237="Website online poll",K1237="CAWI (Computer Assisted Web Interviewing)"))),1/(1-MIN(MAX(Formula!$C$33+(YEAR(D1237)-Formula!$C$34)/(Formula!$C$35-Formula!$C$34)*(Formula!$C$32-Formula!$C$33),Formula!$C$33),Formula!$C$32)),1)</f>
        <v>1.052631579</v>
      </c>
      <c r="W1237" s="17">
        <f t="shared" si="5"/>
        <v>7.052631579</v>
      </c>
    </row>
    <row r="1238" ht="15.75" customHeight="1">
      <c r="A1238" s="8" t="s">
        <v>2004</v>
      </c>
      <c r="B1238" s="7" t="s">
        <v>1997</v>
      </c>
      <c r="C1238" s="13" t="s">
        <v>1998</v>
      </c>
      <c r="D1238" s="7" t="s">
        <v>185</v>
      </c>
      <c r="E1238" s="8" t="s">
        <v>17</v>
      </c>
      <c r="F1238" s="8" t="s">
        <v>318</v>
      </c>
      <c r="G1238" s="7" t="s">
        <v>1983</v>
      </c>
      <c r="H1238" s="7" t="s">
        <v>1999</v>
      </c>
      <c r="I1238" s="8">
        <v>2000.0</v>
      </c>
      <c r="K1238" s="8" t="s">
        <v>321</v>
      </c>
      <c r="L1238" s="8" t="s">
        <v>373</v>
      </c>
      <c r="M1238" s="8" t="s">
        <v>386</v>
      </c>
      <c r="N1238" s="8">
        <v>4.2</v>
      </c>
      <c r="O1238" s="14">
        <f t="shared" si="1"/>
        <v>44409</v>
      </c>
      <c r="P1238" s="15">
        <f>IFERROR(VLOOKUP(K1238,Formula!$A$11:$B$20,2,FALSE),Formula!$C$26)</f>
        <v>0.9</v>
      </c>
      <c r="Q1238" s="15">
        <f>IF(AND(ISNUMBER(J1238),J1238&gt;0),1/J1238,IF(AND(ISNUMBER(I1238),I1238&gt;0),SQRT(MIN(I1238,Formula!$C$27))/Formula!$C$24,1/Formula!$C$25))</f>
        <v>0.4563404036</v>
      </c>
      <c r="R1238" s="15">
        <f t="shared" si="2"/>
        <v>0.4107063632</v>
      </c>
      <c r="S1238" s="15">
        <f>IF(H1238&lt;&gt;"",EXP(-Formula!$C$28*(EOMONTH(H1238,0)-H1238)),EXP(-Formula!$C$28*(EOMONTH(D1238,0)-D1238)))</f>
        <v>0.2465969639</v>
      </c>
      <c r="T1238" s="15">
        <f t="shared" si="3"/>
        <v>0.2672612419</v>
      </c>
      <c r="U1238" s="15">
        <f t="shared" si="4"/>
        <v>0.02706793588</v>
      </c>
      <c r="V1238" s="16">
        <f>IF(AND(L1238="Among all respondents",NOT(OR(K1238="Online poll in Telegram channel",K1238="Website online poll",K1238="CAWI (Computer Assisted Web Interviewing)"))),1/(1-MIN(MAX(Formula!$C$33+(YEAR(D1238)-Formula!$C$34)/(Formula!$C$35-Formula!$C$34)*(Formula!$C$32-Formula!$C$33),Formula!$C$33),Formula!$C$32)),1)</f>
        <v>1.052631579</v>
      </c>
      <c r="W1238" s="17">
        <f t="shared" si="5"/>
        <v>4.421052632</v>
      </c>
    </row>
    <row r="1239" ht="15.75" customHeight="1">
      <c r="A1239" s="8" t="s">
        <v>2005</v>
      </c>
      <c r="B1239" s="7" t="s">
        <v>1997</v>
      </c>
      <c r="C1239" s="13" t="s">
        <v>1998</v>
      </c>
      <c r="D1239" s="7" t="s">
        <v>185</v>
      </c>
      <c r="E1239" s="8" t="s">
        <v>17</v>
      </c>
      <c r="F1239" s="8" t="s">
        <v>318</v>
      </c>
      <c r="G1239" s="7" t="s">
        <v>1983</v>
      </c>
      <c r="H1239" s="7" t="s">
        <v>1999</v>
      </c>
      <c r="I1239" s="8">
        <v>2000.0</v>
      </c>
      <c r="K1239" s="8" t="s">
        <v>321</v>
      </c>
      <c r="L1239" s="8" t="s">
        <v>373</v>
      </c>
      <c r="M1239" s="8" t="s">
        <v>1153</v>
      </c>
      <c r="N1239" s="8">
        <v>3.9</v>
      </c>
      <c r="O1239" s="14">
        <f t="shared" si="1"/>
        <v>44409</v>
      </c>
      <c r="P1239" s="15">
        <f>IFERROR(VLOOKUP(K1239,Formula!$A$11:$B$20,2,FALSE),Formula!$C$26)</f>
        <v>0.9</v>
      </c>
      <c r="Q1239" s="15">
        <f>IF(AND(ISNUMBER(J1239),J1239&gt;0),1/J1239,IF(AND(ISNUMBER(I1239),I1239&gt;0),SQRT(MIN(I1239,Formula!$C$27))/Formula!$C$24,1/Formula!$C$25))</f>
        <v>0.4563404036</v>
      </c>
      <c r="R1239" s="15">
        <f t="shared" si="2"/>
        <v>0.4107063632</v>
      </c>
      <c r="S1239" s="15">
        <f>IF(H1239&lt;&gt;"",EXP(-Formula!$C$28*(EOMONTH(H1239,0)-H1239)),EXP(-Formula!$C$28*(EOMONTH(D1239,0)-D1239)))</f>
        <v>0.2465969639</v>
      </c>
      <c r="T1239" s="15">
        <f t="shared" si="3"/>
        <v>0.2672612419</v>
      </c>
      <c r="U1239" s="15">
        <f t="shared" si="4"/>
        <v>0.02706793588</v>
      </c>
      <c r="V1239" s="16">
        <f>IF(AND(L1239="Among all respondents",NOT(OR(K1239="Online poll in Telegram channel",K1239="Website online poll",K1239="CAWI (Computer Assisted Web Interviewing)"))),1/(1-MIN(MAX(Formula!$C$33+(YEAR(D1239)-Formula!$C$34)/(Formula!$C$35-Formula!$C$34)*(Formula!$C$32-Formula!$C$33),Formula!$C$33),Formula!$C$32)),1)</f>
        <v>1.052631579</v>
      </c>
      <c r="W1239" s="17">
        <f t="shared" si="5"/>
        <v>4.105263158</v>
      </c>
    </row>
    <row r="1240" ht="15.75" customHeight="1">
      <c r="A1240" s="8" t="s">
        <v>2006</v>
      </c>
      <c r="B1240" s="7" t="s">
        <v>1997</v>
      </c>
      <c r="C1240" s="13" t="s">
        <v>1998</v>
      </c>
      <c r="D1240" s="7" t="s">
        <v>185</v>
      </c>
      <c r="E1240" s="8" t="s">
        <v>17</v>
      </c>
      <c r="F1240" s="8" t="s">
        <v>318</v>
      </c>
      <c r="G1240" s="7" t="s">
        <v>1983</v>
      </c>
      <c r="H1240" s="7" t="s">
        <v>1999</v>
      </c>
      <c r="I1240" s="8">
        <v>2000.0</v>
      </c>
      <c r="K1240" s="8" t="s">
        <v>321</v>
      </c>
      <c r="L1240" s="8" t="s">
        <v>373</v>
      </c>
      <c r="M1240" s="8" t="s">
        <v>1334</v>
      </c>
      <c r="N1240" s="8">
        <v>3.1</v>
      </c>
      <c r="O1240" s="14">
        <f t="shared" si="1"/>
        <v>44409</v>
      </c>
      <c r="P1240" s="15">
        <f>IFERROR(VLOOKUP(K1240,Formula!$A$11:$B$20,2,FALSE),Formula!$C$26)</f>
        <v>0.9</v>
      </c>
      <c r="Q1240" s="15">
        <f>IF(AND(ISNUMBER(J1240),J1240&gt;0),1/J1240,IF(AND(ISNUMBER(I1240),I1240&gt;0),SQRT(MIN(I1240,Formula!$C$27))/Formula!$C$24,1/Formula!$C$25))</f>
        <v>0.4563404036</v>
      </c>
      <c r="R1240" s="15">
        <f t="shared" si="2"/>
        <v>0.4107063632</v>
      </c>
      <c r="S1240" s="15">
        <f>IF(H1240&lt;&gt;"",EXP(-Formula!$C$28*(EOMONTH(H1240,0)-H1240)),EXP(-Formula!$C$28*(EOMONTH(D1240,0)-D1240)))</f>
        <v>0.2465969639</v>
      </c>
      <c r="T1240" s="15">
        <f t="shared" si="3"/>
        <v>0.2672612419</v>
      </c>
      <c r="U1240" s="15">
        <f t="shared" si="4"/>
        <v>0.02706793588</v>
      </c>
      <c r="V1240" s="16">
        <f>IF(AND(L1240="Among all respondents",NOT(OR(K1240="Online poll in Telegram channel",K1240="Website online poll",K1240="CAWI (Computer Assisted Web Interviewing)"))),1/(1-MIN(MAX(Formula!$C$33+(YEAR(D1240)-Formula!$C$34)/(Formula!$C$35-Formula!$C$34)*(Formula!$C$32-Formula!$C$33),Formula!$C$33),Formula!$C$32)),1)</f>
        <v>1.052631579</v>
      </c>
      <c r="W1240" s="17">
        <f t="shared" si="5"/>
        <v>3.263157895</v>
      </c>
    </row>
    <row r="1241" ht="15.75" customHeight="1">
      <c r="A1241" s="8" t="s">
        <v>2007</v>
      </c>
      <c r="B1241" s="7" t="s">
        <v>1997</v>
      </c>
      <c r="C1241" s="13" t="s">
        <v>1998</v>
      </c>
      <c r="D1241" s="7" t="s">
        <v>185</v>
      </c>
      <c r="E1241" s="8" t="s">
        <v>17</v>
      </c>
      <c r="F1241" s="8" t="s">
        <v>318</v>
      </c>
      <c r="G1241" s="7" t="s">
        <v>1983</v>
      </c>
      <c r="H1241" s="7" t="s">
        <v>1999</v>
      </c>
      <c r="I1241" s="8">
        <v>2000.0</v>
      </c>
      <c r="K1241" s="8" t="s">
        <v>321</v>
      </c>
      <c r="L1241" s="8" t="s">
        <v>373</v>
      </c>
      <c r="M1241" s="8" t="s">
        <v>333</v>
      </c>
      <c r="N1241" s="8">
        <v>2.8</v>
      </c>
      <c r="O1241" s="14">
        <f t="shared" si="1"/>
        <v>44409</v>
      </c>
      <c r="P1241" s="15">
        <f>IFERROR(VLOOKUP(K1241,Formula!$A$11:$B$20,2,FALSE),Formula!$C$26)</f>
        <v>0.9</v>
      </c>
      <c r="Q1241" s="15">
        <f>IF(AND(ISNUMBER(J1241),J1241&gt;0),1/J1241,IF(AND(ISNUMBER(I1241),I1241&gt;0),SQRT(MIN(I1241,Formula!$C$27))/Formula!$C$24,1/Formula!$C$25))</f>
        <v>0.4563404036</v>
      </c>
      <c r="R1241" s="15">
        <f t="shared" si="2"/>
        <v>0.4107063632</v>
      </c>
      <c r="S1241" s="15">
        <f>IF(H1241&lt;&gt;"",EXP(-Formula!$C$28*(EOMONTH(H1241,0)-H1241)),EXP(-Formula!$C$28*(EOMONTH(D1241,0)-D1241)))</f>
        <v>0.2465969639</v>
      </c>
      <c r="T1241" s="15">
        <f t="shared" si="3"/>
        <v>0.2672612419</v>
      </c>
      <c r="U1241" s="15">
        <f t="shared" si="4"/>
        <v>0.02706793588</v>
      </c>
      <c r="V1241" s="16">
        <f>IF(AND(L1241="Among all respondents",NOT(OR(K1241="Online poll in Telegram channel",K1241="Website online poll",K1241="CAWI (Computer Assisted Web Interviewing)"))),1/(1-MIN(MAX(Formula!$C$33+(YEAR(D1241)-Formula!$C$34)/(Formula!$C$35-Formula!$C$34)*(Formula!$C$32-Formula!$C$33),Formula!$C$33),Formula!$C$32)),1)</f>
        <v>1.052631579</v>
      </c>
      <c r="W1241" s="17">
        <f t="shared" si="5"/>
        <v>2.947368421</v>
      </c>
    </row>
    <row r="1242" ht="15.75" customHeight="1">
      <c r="A1242" s="8" t="s">
        <v>2008</v>
      </c>
      <c r="B1242" s="7" t="s">
        <v>1997</v>
      </c>
      <c r="C1242" s="13" t="s">
        <v>1998</v>
      </c>
      <c r="D1242" s="7" t="s">
        <v>185</v>
      </c>
      <c r="E1242" s="8" t="s">
        <v>17</v>
      </c>
      <c r="F1242" s="8" t="s">
        <v>318</v>
      </c>
      <c r="G1242" s="7" t="s">
        <v>1983</v>
      </c>
      <c r="H1242" s="7" t="s">
        <v>1999</v>
      </c>
      <c r="I1242" s="8">
        <v>2000.0</v>
      </c>
      <c r="K1242" s="8" t="s">
        <v>321</v>
      </c>
      <c r="L1242" s="8" t="s">
        <v>373</v>
      </c>
      <c r="M1242" s="8" t="s">
        <v>388</v>
      </c>
      <c r="N1242" s="8">
        <v>1.2</v>
      </c>
      <c r="O1242" s="14">
        <f t="shared" si="1"/>
        <v>44409</v>
      </c>
      <c r="P1242" s="15">
        <f>IFERROR(VLOOKUP(K1242,Formula!$A$11:$B$20,2,FALSE),Formula!$C$26)</f>
        <v>0.9</v>
      </c>
      <c r="Q1242" s="15">
        <f>IF(AND(ISNUMBER(J1242),J1242&gt;0),1/J1242,IF(AND(ISNUMBER(I1242),I1242&gt;0),SQRT(MIN(I1242,Formula!$C$27))/Formula!$C$24,1/Formula!$C$25))</f>
        <v>0.4563404036</v>
      </c>
      <c r="R1242" s="15">
        <f t="shared" si="2"/>
        <v>0.4107063632</v>
      </c>
      <c r="S1242" s="15">
        <f>IF(H1242&lt;&gt;"",EXP(-Formula!$C$28*(EOMONTH(H1242,0)-H1242)),EXP(-Formula!$C$28*(EOMONTH(D1242,0)-D1242)))</f>
        <v>0.2465969639</v>
      </c>
      <c r="T1242" s="15">
        <f t="shared" si="3"/>
        <v>0.2672612419</v>
      </c>
      <c r="U1242" s="15">
        <f t="shared" si="4"/>
        <v>0.02706793588</v>
      </c>
      <c r="V1242" s="16">
        <f>IF(AND(L1242="Among all respondents",NOT(OR(K1242="Online poll in Telegram channel",K1242="Website online poll",K1242="CAWI (Computer Assisted Web Interviewing)"))),1/(1-MIN(MAX(Formula!$C$33+(YEAR(D1242)-Formula!$C$34)/(Formula!$C$35-Formula!$C$34)*(Formula!$C$32-Formula!$C$33),Formula!$C$33),Formula!$C$32)),1)</f>
        <v>1.052631579</v>
      </c>
      <c r="W1242" s="17">
        <f t="shared" si="5"/>
        <v>1.263157895</v>
      </c>
    </row>
    <row r="1243" ht="15.75" customHeight="1">
      <c r="A1243" s="8" t="s">
        <v>2009</v>
      </c>
      <c r="B1243" s="7" t="s">
        <v>1997</v>
      </c>
      <c r="C1243" s="13" t="s">
        <v>1998</v>
      </c>
      <c r="D1243" s="7" t="s">
        <v>185</v>
      </c>
      <c r="E1243" s="8" t="s">
        <v>17</v>
      </c>
      <c r="F1243" s="8" t="s">
        <v>318</v>
      </c>
      <c r="G1243" s="7" t="s">
        <v>1983</v>
      </c>
      <c r="H1243" s="7" t="s">
        <v>1999</v>
      </c>
      <c r="I1243" s="8">
        <v>2000.0</v>
      </c>
      <c r="K1243" s="8" t="s">
        <v>321</v>
      </c>
      <c r="L1243" s="8" t="s">
        <v>373</v>
      </c>
      <c r="M1243" s="8" t="s">
        <v>343</v>
      </c>
      <c r="N1243" s="8">
        <v>1.2</v>
      </c>
      <c r="O1243" s="14">
        <f t="shared" si="1"/>
        <v>44409</v>
      </c>
      <c r="P1243" s="15">
        <f>IFERROR(VLOOKUP(K1243,Formula!$A$11:$B$20,2,FALSE),Formula!$C$26)</f>
        <v>0.9</v>
      </c>
      <c r="Q1243" s="15">
        <f>IF(AND(ISNUMBER(J1243),J1243&gt;0),1/J1243,IF(AND(ISNUMBER(I1243),I1243&gt;0),SQRT(MIN(I1243,Formula!$C$27))/Formula!$C$24,1/Formula!$C$25))</f>
        <v>0.4563404036</v>
      </c>
      <c r="R1243" s="15">
        <f t="shared" si="2"/>
        <v>0.4107063632</v>
      </c>
      <c r="S1243" s="15">
        <f>IF(H1243&lt;&gt;"",EXP(-Formula!$C$28*(EOMONTH(H1243,0)-H1243)),EXP(-Formula!$C$28*(EOMONTH(D1243,0)-D1243)))</f>
        <v>0.2465969639</v>
      </c>
      <c r="T1243" s="15">
        <f t="shared" si="3"/>
        <v>0.2672612419</v>
      </c>
      <c r="U1243" s="15">
        <f t="shared" si="4"/>
        <v>0.02706793588</v>
      </c>
      <c r="V1243" s="16">
        <f>IF(AND(L1243="Among all respondents",NOT(OR(K1243="Online poll in Telegram channel",K1243="Website online poll",K1243="CAWI (Computer Assisted Web Interviewing)"))),1/(1-MIN(MAX(Formula!$C$33+(YEAR(D1243)-Formula!$C$34)/(Formula!$C$35-Formula!$C$34)*(Formula!$C$32-Formula!$C$33),Formula!$C$33),Formula!$C$32)),1)</f>
        <v>1.052631579</v>
      </c>
      <c r="W1243" s="17">
        <f t="shared" si="5"/>
        <v>1.263157895</v>
      </c>
    </row>
    <row r="1244" ht="15.75" customHeight="1">
      <c r="A1244" s="8" t="s">
        <v>2010</v>
      </c>
      <c r="B1244" s="7" t="s">
        <v>1997</v>
      </c>
      <c r="C1244" s="13" t="s">
        <v>1998</v>
      </c>
      <c r="D1244" s="7" t="s">
        <v>185</v>
      </c>
      <c r="E1244" s="8" t="s">
        <v>17</v>
      </c>
      <c r="F1244" s="8" t="s">
        <v>318</v>
      </c>
      <c r="G1244" s="7" t="s">
        <v>1983</v>
      </c>
      <c r="H1244" s="7" t="s">
        <v>1999</v>
      </c>
      <c r="I1244" s="8">
        <v>2000.0</v>
      </c>
      <c r="K1244" s="8" t="s">
        <v>321</v>
      </c>
      <c r="L1244" s="8" t="s">
        <v>373</v>
      </c>
      <c r="M1244" s="8" t="s">
        <v>740</v>
      </c>
      <c r="N1244" s="8">
        <v>1.0</v>
      </c>
      <c r="O1244" s="14">
        <f t="shared" si="1"/>
        <v>44409</v>
      </c>
      <c r="P1244" s="15">
        <f>IFERROR(VLOOKUP(K1244,Formula!$A$11:$B$20,2,FALSE),Formula!$C$26)</f>
        <v>0.9</v>
      </c>
      <c r="Q1244" s="15">
        <f>IF(AND(ISNUMBER(J1244),J1244&gt;0),1/J1244,IF(AND(ISNUMBER(I1244),I1244&gt;0),SQRT(MIN(I1244,Formula!$C$27))/Formula!$C$24,1/Formula!$C$25))</f>
        <v>0.4563404036</v>
      </c>
      <c r="R1244" s="15">
        <f t="shared" si="2"/>
        <v>0.4107063632</v>
      </c>
      <c r="S1244" s="15">
        <f>IF(H1244&lt;&gt;"",EXP(-Formula!$C$28*(EOMONTH(H1244,0)-H1244)),EXP(-Formula!$C$28*(EOMONTH(D1244,0)-D1244)))</f>
        <v>0.2465969639</v>
      </c>
      <c r="T1244" s="15">
        <f t="shared" si="3"/>
        <v>0.2672612419</v>
      </c>
      <c r="U1244" s="15">
        <f t="shared" si="4"/>
        <v>0.02706793588</v>
      </c>
      <c r="V1244" s="16">
        <f>IF(AND(L1244="Among all respondents",NOT(OR(K1244="Online poll in Telegram channel",K1244="Website online poll",K1244="CAWI (Computer Assisted Web Interviewing)"))),1/(1-MIN(MAX(Formula!$C$33+(YEAR(D1244)-Formula!$C$34)/(Formula!$C$35-Formula!$C$34)*(Formula!$C$32-Formula!$C$33),Formula!$C$33),Formula!$C$32)),1)</f>
        <v>1.052631579</v>
      </c>
      <c r="W1244" s="17">
        <f t="shared" si="5"/>
        <v>1.052631579</v>
      </c>
    </row>
    <row r="1245" ht="15.75" customHeight="1">
      <c r="A1245" s="8" t="s">
        <v>2011</v>
      </c>
      <c r="B1245" s="7" t="s">
        <v>1997</v>
      </c>
      <c r="C1245" s="13" t="s">
        <v>1998</v>
      </c>
      <c r="D1245" s="7" t="s">
        <v>185</v>
      </c>
      <c r="E1245" s="8" t="s">
        <v>17</v>
      </c>
      <c r="F1245" s="8" t="s">
        <v>318</v>
      </c>
      <c r="G1245" s="7" t="s">
        <v>1983</v>
      </c>
      <c r="H1245" s="7" t="s">
        <v>1999</v>
      </c>
      <c r="I1245" s="8">
        <v>2000.0</v>
      </c>
      <c r="K1245" s="8" t="s">
        <v>321</v>
      </c>
      <c r="L1245" s="8" t="s">
        <v>373</v>
      </c>
      <c r="M1245" s="8" t="s">
        <v>858</v>
      </c>
      <c r="N1245" s="8">
        <v>1.0</v>
      </c>
      <c r="O1245" s="14">
        <f t="shared" si="1"/>
        <v>44409</v>
      </c>
      <c r="P1245" s="15">
        <f>IFERROR(VLOOKUP(K1245,Formula!$A$11:$B$20,2,FALSE),Formula!$C$26)</f>
        <v>0.9</v>
      </c>
      <c r="Q1245" s="15">
        <f>IF(AND(ISNUMBER(J1245),J1245&gt;0),1/J1245,IF(AND(ISNUMBER(I1245),I1245&gt;0),SQRT(MIN(I1245,Formula!$C$27))/Formula!$C$24,1/Formula!$C$25))</f>
        <v>0.4563404036</v>
      </c>
      <c r="R1245" s="15">
        <f t="shared" si="2"/>
        <v>0.4107063632</v>
      </c>
      <c r="S1245" s="15">
        <f>IF(H1245&lt;&gt;"",EXP(-Formula!$C$28*(EOMONTH(H1245,0)-H1245)),EXP(-Formula!$C$28*(EOMONTH(D1245,0)-D1245)))</f>
        <v>0.2465969639</v>
      </c>
      <c r="T1245" s="15">
        <f t="shared" si="3"/>
        <v>0.2672612419</v>
      </c>
      <c r="U1245" s="15">
        <f t="shared" si="4"/>
        <v>0.02706793588</v>
      </c>
      <c r="V1245" s="16">
        <f>IF(AND(L1245="Among all respondents",NOT(OR(K1245="Online poll in Telegram channel",K1245="Website online poll",K1245="CAWI (Computer Assisted Web Interviewing)"))),1/(1-MIN(MAX(Formula!$C$33+(YEAR(D1245)-Formula!$C$34)/(Formula!$C$35-Formula!$C$34)*(Formula!$C$32-Formula!$C$33),Formula!$C$33),Formula!$C$32)),1)</f>
        <v>1.052631579</v>
      </c>
      <c r="W1245" s="17">
        <f t="shared" si="5"/>
        <v>1.052631579</v>
      </c>
    </row>
    <row r="1246" ht="15.75" customHeight="1">
      <c r="A1246" s="8" t="s">
        <v>2012</v>
      </c>
      <c r="B1246" s="7" t="s">
        <v>1997</v>
      </c>
      <c r="C1246" s="13" t="s">
        <v>1998</v>
      </c>
      <c r="D1246" s="7" t="s">
        <v>185</v>
      </c>
      <c r="E1246" s="8" t="s">
        <v>17</v>
      </c>
      <c r="F1246" s="8" t="s">
        <v>318</v>
      </c>
      <c r="G1246" s="7" t="s">
        <v>1983</v>
      </c>
      <c r="H1246" s="7" t="s">
        <v>1999</v>
      </c>
      <c r="I1246" s="8">
        <v>2000.0</v>
      </c>
      <c r="K1246" s="8" t="s">
        <v>321</v>
      </c>
      <c r="L1246" s="8" t="s">
        <v>373</v>
      </c>
      <c r="M1246" s="8" t="s">
        <v>1452</v>
      </c>
      <c r="N1246" s="8">
        <v>0.7</v>
      </c>
      <c r="O1246" s="14">
        <f t="shared" si="1"/>
        <v>44409</v>
      </c>
      <c r="P1246" s="15">
        <f>IFERROR(VLOOKUP(K1246,Formula!$A$11:$B$20,2,FALSE),Formula!$C$26)</f>
        <v>0.9</v>
      </c>
      <c r="Q1246" s="15">
        <f>IF(AND(ISNUMBER(J1246),J1246&gt;0),1/J1246,IF(AND(ISNUMBER(I1246),I1246&gt;0),SQRT(MIN(I1246,Formula!$C$27))/Formula!$C$24,1/Formula!$C$25))</f>
        <v>0.4563404036</v>
      </c>
      <c r="R1246" s="15">
        <f t="shared" si="2"/>
        <v>0.4107063632</v>
      </c>
      <c r="S1246" s="15">
        <f>IF(H1246&lt;&gt;"",EXP(-Formula!$C$28*(EOMONTH(H1246,0)-H1246)),EXP(-Formula!$C$28*(EOMONTH(D1246,0)-D1246)))</f>
        <v>0.2465969639</v>
      </c>
      <c r="T1246" s="15">
        <f t="shared" si="3"/>
        <v>0.2672612419</v>
      </c>
      <c r="U1246" s="15">
        <f t="shared" si="4"/>
        <v>0.02706793588</v>
      </c>
      <c r="V1246" s="16">
        <f>IF(AND(L1246="Among all respondents",NOT(OR(K1246="Online poll in Telegram channel",K1246="Website online poll",K1246="CAWI (Computer Assisted Web Interviewing)"))),1/(1-MIN(MAX(Formula!$C$33+(YEAR(D1246)-Formula!$C$34)/(Formula!$C$35-Formula!$C$34)*(Formula!$C$32-Formula!$C$33),Formula!$C$33),Formula!$C$32)),1)</f>
        <v>1.052631579</v>
      </c>
      <c r="W1246" s="17">
        <f t="shared" si="5"/>
        <v>0.7368421053</v>
      </c>
    </row>
    <row r="1247" ht="15.75" customHeight="1">
      <c r="A1247" s="8" t="s">
        <v>2013</v>
      </c>
      <c r="B1247" s="7" t="s">
        <v>2014</v>
      </c>
      <c r="C1247" s="13" t="s">
        <v>2015</v>
      </c>
      <c r="D1247" s="7" t="s">
        <v>189</v>
      </c>
      <c r="E1247" s="8" t="s">
        <v>158</v>
      </c>
      <c r="F1247" s="8" t="s">
        <v>318</v>
      </c>
      <c r="G1247" s="7" t="s">
        <v>2016</v>
      </c>
      <c r="H1247" s="7" t="s">
        <v>2017</v>
      </c>
      <c r="I1247" s="8">
        <v>2032.0</v>
      </c>
      <c r="J1247" s="8">
        <v>3.0</v>
      </c>
      <c r="K1247" s="8" t="s">
        <v>583</v>
      </c>
      <c r="L1247" s="8" t="s">
        <v>322</v>
      </c>
      <c r="M1247" s="8" t="s">
        <v>323</v>
      </c>
      <c r="N1247" s="8">
        <v>25.7</v>
      </c>
      <c r="O1247" s="14">
        <f t="shared" si="1"/>
        <v>44378</v>
      </c>
      <c r="P1247" s="15">
        <f>IFERROR(VLOOKUP(K1247,Formula!$A$11:$B$20,2,FALSE),Formula!$C$26)</f>
        <v>0.95</v>
      </c>
      <c r="Q1247" s="15">
        <f>IF(AND(ISNUMBER(J1247),J1247&gt;0),1/J1247,IF(AND(ISNUMBER(I1247),I1247&gt;0),SQRT(MIN(I1247,Formula!$C$27))/Formula!$C$24,1/Formula!$C$25))</f>
        <v>0.3333333333</v>
      </c>
      <c r="R1247" s="15">
        <f t="shared" si="2"/>
        <v>0.3166666667</v>
      </c>
      <c r="S1247" s="15">
        <f>IF(H1247&lt;&gt;"",EXP(-Formula!$C$28*(EOMONTH(H1247,0)-H1247)),EXP(-Formula!$C$28*(EOMONTH(D1247,0)-D1247)))</f>
        <v>0.670320046</v>
      </c>
      <c r="T1247" s="15">
        <f t="shared" si="3"/>
        <v>0.1767766953</v>
      </c>
      <c r="U1247" s="15">
        <f t="shared" si="4"/>
        <v>0.03752403813</v>
      </c>
      <c r="V1247" s="16">
        <f>IF(AND(L1247="Among all respondents",NOT(OR(K1247="Online poll in Telegram channel",K1247="Website online poll",K1247="CAWI (Computer Assisted Web Interviewing)"))),1/(1-MIN(MAX(Formula!$C$33+(YEAR(D1247)-Formula!$C$34)/(Formula!$C$35-Formula!$C$34)*(Formula!$C$32-Formula!$C$33),Formula!$C$33),Formula!$C$32)),1)</f>
        <v>1</v>
      </c>
      <c r="W1247" s="17">
        <f t="shared" si="5"/>
        <v>25.7</v>
      </c>
    </row>
    <row r="1248" ht="15.75" customHeight="1">
      <c r="A1248" s="8" t="s">
        <v>2018</v>
      </c>
      <c r="B1248" s="7" t="s">
        <v>2014</v>
      </c>
      <c r="C1248" s="13" t="s">
        <v>2015</v>
      </c>
      <c r="D1248" s="7" t="s">
        <v>189</v>
      </c>
      <c r="E1248" s="8" t="s">
        <v>158</v>
      </c>
      <c r="F1248" s="8" t="s">
        <v>318</v>
      </c>
      <c r="G1248" s="7" t="s">
        <v>2016</v>
      </c>
      <c r="H1248" s="7" t="s">
        <v>2017</v>
      </c>
      <c r="I1248" s="8">
        <v>2032.0</v>
      </c>
      <c r="J1248" s="8">
        <v>3.0</v>
      </c>
      <c r="K1248" s="8" t="s">
        <v>583</v>
      </c>
      <c r="L1248" s="8" t="s">
        <v>322</v>
      </c>
      <c r="M1248" s="8" t="s">
        <v>329</v>
      </c>
      <c r="N1248" s="8">
        <v>16.4</v>
      </c>
      <c r="O1248" s="14">
        <f t="shared" si="1"/>
        <v>44378</v>
      </c>
      <c r="P1248" s="15">
        <f>IFERROR(VLOOKUP(K1248,Formula!$A$11:$B$20,2,FALSE),Formula!$C$26)</f>
        <v>0.95</v>
      </c>
      <c r="Q1248" s="15">
        <f>IF(AND(ISNUMBER(J1248),J1248&gt;0),1/J1248,IF(AND(ISNUMBER(I1248),I1248&gt;0),SQRT(MIN(I1248,Formula!$C$27))/Formula!$C$24,1/Formula!$C$25))</f>
        <v>0.3333333333</v>
      </c>
      <c r="R1248" s="15">
        <f t="shared" si="2"/>
        <v>0.3166666667</v>
      </c>
      <c r="S1248" s="15">
        <f>IF(H1248&lt;&gt;"",EXP(-Formula!$C$28*(EOMONTH(H1248,0)-H1248)),EXP(-Formula!$C$28*(EOMONTH(D1248,0)-D1248)))</f>
        <v>0.670320046</v>
      </c>
      <c r="T1248" s="15">
        <f t="shared" si="3"/>
        <v>0.1767766953</v>
      </c>
      <c r="U1248" s="15">
        <f t="shared" si="4"/>
        <v>0.03752403813</v>
      </c>
      <c r="V1248" s="16">
        <f>IF(AND(L1248="Among all respondents",NOT(OR(K1248="Online poll in Telegram channel",K1248="Website online poll",K1248="CAWI (Computer Assisted Web Interviewing)"))),1/(1-MIN(MAX(Formula!$C$33+(YEAR(D1248)-Formula!$C$34)/(Formula!$C$35-Formula!$C$34)*(Formula!$C$32-Formula!$C$33),Formula!$C$33),Formula!$C$32)),1)</f>
        <v>1</v>
      </c>
      <c r="W1248" s="17">
        <f t="shared" si="5"/>
        <v>16.4</v>
      </c>
    </row>
    <row r="1249" ht="15.75" customHeight="1">
      <c r="A1249" s="8" t="s">
        <v>2019</v>
      </c>
      <c r="B1249" s="7" t="s">
        <v>2014</v>
      </c>
      <c r="C1249" s="13" t="s">
        <v>2015</v>
      </c>
      <c r="D1249" s="7" t="s">
        <v>189</v>
      </c>
      <c r="E1249" s="8" t="s">
        <v>158</v>
      </c>
      <c r="F1249" s="8" t="s">
        <v>318</v>
      </c>
      <c r="G1249" s="7" t="s">
        <v>2016</v>
      </c>
      <c r="H1249" s="7" t="s">
        <v>2017</v>
      </c>
      <c r="I1249" s="8">
        <v>2032.0</v>
      </c>
      <c r="J1249" s="8">
        <v>3.0</v>
      </c>
      <c r="K1249" s="8" t="s">
        <v>583</v>
      </c>
      <c r="L1249" s="8" t="s">
        <v>322</v>
      </c>
      <c r="M1249" s="8" t="s">
        <v>365</v>
      </c>
      <c r="N1249" s="8">
        <v>15.8</v>
      </c>
      <c r="O1249" s="14">
        <f t="shared" si="1"/>
        <v>44378</v>
      </c>
      <c r="P1249" s="15">
        <f>IFERROR(VLOOKUP(K1249,Formula!$A$11:$B$20,2,FALSE),Formula!$C$26)</f>
        <v>0.95</v>
      </c>
      <c r="Q1249" s="15">
        <f>IF(AND(ISNUMBER(J1249),J1249&gt;0),1/J1249,IF(AND(ISNUMBER(I1249),I1249&gt;0),SQRT(MIN(I1249,Formula!$C$27))/Formula!$C$24,1/Formula!$C$25))</f>
        <v>0.3333333333</v>
      </c>
      <c r="R1249" s="15">
        <f t="shared" si="2"/>
        <v>0.3166666667</v>
      </c>
      <c r="S1249" s="15">
        <f>IF(H1249&lt;&gt;"",EXP(-Formula!$C$28*(EOMONTH(H1249,0)-H1249)),EXP(-Formula!$C$28*(EOMONTH(D1249,0)-D1249)))</f>
        <v>0.670320046</v>
      </c>
      <c r="T1249" s="15">
        <f t="shared" si="3"/>
        <v>0.1767766953</v>
      </c>
      <c r="U1249" s="15">
        <f t="shared" si="4"/>
        <v>0.03752403813</v>
      </c>
      <c r="V1249" s="16">
        <f>IF(AND(L1249="Among all respondents",NOT(OR(K1249="Online poll in Telegram channel",K1249="Website online poll",K1249="CAWI (Computer Assisted Web Interviewing)"))),1/(1-MIN(MAX(Formula!$C$33+(YEAR(D1249)-Formula!$C$34)/(Formula!$C$35-Formula!$C$34)*(Formula!$C$32-Formula!$C$33),Formula!$C$33),Formula!$C$32)),1)</f>
        <v>1</v>
      </c>
      <c r="W1249" s="17">
        <f t="shared" si="5"/>
        <v>15.8</v>
      </c>
    </row>
    <row r="1250" ht="15.75" customHeight="1">
      <c r="A1250" s="8" t="s">
        <v>2020</v>
      </c>
      <c r="B1250" s="7" t="s">
        <v>2014</v>
      </c>
      <c r="C1250" s="13" t="s">
        <v>2015</v>
      </c>
      <c r="D1250" s="7" t="s">
        <v>189</v>
      </c>
      <c r="E1250" s="8" t="s">
        <v>158</v>
      </c>
      <c r="F1250" s="8" t="s">
        <v>318</v>
      </c>
      <c r="G1250" s="7" t="s">
        <v>2016</v>
      </c>
      <c r="H1250" s="7" t="s">
        <v>2017</v>
      </c>
      <c r="I1250" s="8">
        <v>2032.0</v>
      </c>
      <c r="J1250" s="8">
        <v>3.0</v>
      </c>
      <c r="K1250" s="8" t="s">
        <v>583</v>
      </c>
      <c r="L1250" s="8" t="s">
        <v>322</v>
      </c>
      <c r="M1250" s="8" t="s">
        <v>337</v>
      </c>
      <c r="N1250" s="8">
        <v>13.6</v>
      </c>
      <c r="O1250" s="14">
        <f t="shared" si="1"/>
        <v>44378</v>
      </c>
      <c r="P1250" s="15">
        <f>IFERROR(VLOOKUP(K1250,Formula!$A$11:$B$20,2,FALSE),Formula!$C$26)</f>
        <v>0.95</v>
      </c>
      <c r="Q1250" s="15">
        <f>IF(AND(ISNUMBER(J1250),J1250&gt;0),1/J1250,IF(AND(ISNUMBER(I1250),I1250&gt;0),SQRT(MIN(I1250,Formula!$C$27))/Formula!$C$24,1/Formula!$C$25))</f>
        <v>0.3333333333</v>
      </c>
      <c r="R1250" s="15">
        <f t="shared" si="2"/>
        <v>0.3166666667</v>
      </c>
      <c r="S1250" s="15">
        <f>IF(H1250&lt;&gt;"",EXP(-Formula!$C$28*(EOMONTH(H1250,0)-H1250)),EXP(-Formula!$C$28*(EOMONTH(D1250,0)-D1250)))</f>
        <v>0.670320046</v>
      </c>
      <c r="T1250" s="15">
        <f t="shared" si="3"/>
        <v>0.1767766953</v>
      </c>
      <c r="U1250" s="15">
        <f t="shared" si="4"/>
        <v>0.03752403813</v>
      </c>
      <c r="V1250" s="16">
        <f>IF(AND(L1250="Among all respondents",NOT(OR(K1250="Online poll in Telegram channel",K1250="Website online poll",K1250="CAWI (Computer Assisted Web Interviewing)"))),1/(1-MIN(MAX(Formula!$C$33+(YEAR(D1250)-Formula!$C$34)/(Formula!$C$35-Formula!$C$34)*(Formula!$C$32-Formula!$C$33),Formula!$C$33),Formula!$C$32)),1)</f>
        <v>1</v>
      </c>
      <c r="W1250" s="17">
        <f t="shared" si="5"/>
        <v>13.6</v>
      </c>
    </row>
    <row r="1251" ht="15.75" customHeight="1">
      <c r="A1251" s="8" t="s">
        <v>2021</v>
      </c>
      <c r="B1251" s="7" t="s">
        <v>2014</v>
      </c>
      <c r="C1251" s="13" t="s">
        <v>2015</v>
      </c>
      <c r="D1251" s="7" t="s">
        <v>189</v>
      </c>
      <c r="E1251" s="8" t="s">
        <v>158</v>
      </c>
      <c r="F1251" s="8" t="s">
        <v>318</v>
      </c>
      <c r="G1251" s="7" t="s">
        <v>2016</v>
      </c>
      <c r="H1251" s="7" t="s">
        <v>2017</v>
      </c>
      <c r="I1251" s="8">
        <v>2032.0</v>
      </c>
      <c r="J1251" s="8">
        <v>3.0</v>
      </c>
      <c r="K1251" s="8" t="s">
        <v>583</v>
      </c>
      <c r="L1251" s="8" t="s">
        <v>322</v>
      </c>
      <c r="M1251" s="8" t="s">
        <v>828</v>
      </c>
      <c r="N1251" s="8">
        <v>6.4</v>
      </c>
      <c r="O1251" s="14">
        <f t="shared" si="1"/>
        <v>44378</v>
      </c>
      <c r="P1251" s="15">
        <f>IFERROR(VLOOKUP(K1251,Formula!$A$11:$B$20,2,FALSE),Formula!$C$26)</f>
        <v>0.95</v>
      </c>
      <c r="Q1251" s="15">
        <f>IF(AND(ISNUMBER(J1251),J1251&gt;0),1/J1251,IF(AND(ISNUMBER(I1251),I1251&gt;0),SQRT(MIN(I1251,Formula!$C$27))/Formula!$C$24,1/Formula!$C$25))</f>
        <v>0.3333333333</v>
      </c>
      <c r="R1251" s="15">
        <f t="shared" si="2"/>
        <v>0.3166666667</v>
      </c>
      <c r="S1251" s="15">
        <f>IF(H1251&lt;&gt;"",EXP(-Formula!$C$28*(EOMONTH(H1251,0)-H1251)),EXP(-Formula!$C$28*(EOMONTH(D1251,0)-D1251)))</f>
        <v>0.670320046</v>
      </c>
      <c r="T1251" s="15">
        <f t="shared" si="3"/>
        <v>0.1767766953</v>
      </c>
      <c r="U1251" s="15">
        <f t="shared" si="4"/>
        <v>0.03752403813</v>
      </c>
      <c r="V1251" s="16">
        <f>IF(AND(L1251="Among all respondents",NOT(OR(K1251="Online poll in Telegram channel",K1251="Website online poll",K1251="CAWI (Computer Assisted Web Interviewing)"))),1/(1-MIN(MAX(Formula!$C$33+(YEAR(D1251)-Formula!$C$34)/(Formula!$C$35-Formula!$C$34)*(Formula!$C$32-Formula!$C$33),Formula!$C$33),Formula!$C$32)),1)</f>
        <v>1</v>
      </c>
      <c r="W1251" s="17">
        <f t="shared" si="5"/>
        <v>6.4</v>
      </c>
    </row>
    <row r="1252" ht="15.75" customHeight="1">
      <c r="A1252" s="8" t="s">
        <v>2022</v>
      </c>
      <c r="B1252" s="7" t="s">
        <v>2014</v>
      </c>
      <c r="C1252" s="13" t="s">
        <v>2015</v>
      </c>
      <c r="D1252" s="7" t="s">
        <v>189</v>
      </c>
      <c r="E1252" s="8" t="s">
        <v>158</v>
      </c>
      <c r="F1252" s="8" t="s">
        <v>318</v>
      </c>
      <c r="G1252" s="7" t="s">
        <v>2016</v>
      </c>
      <c r="H1252" s="7" t="s">
        <v>2017</v>
      </c>
      <c r="I1252" s="8">
        <v>2032.0</v>
      </c>
      <c r="J1252" s="8">
        <v>3.0</v>
      </c>
      <c r="K1252" s="8" t="s">
        <v>583</v>
      </c>
      <c r="L1252" s="8" t="s">
        <v>322</v>
      </c>
      <c r="M1252" s="8" t="s">
        <v>1153</v>
      </c>
      <c r="N1252" s="8">
        <v>4.5</v>
      </c>
      <c r="O1252" s="14">
        <f t="shared" si="1"/>
        <v>44378</v>
      </c>
      <c r="P1252" s="15">
        <f>IFERROR(VLOOKUP(K1252,Formula!$A$11:$B$20,2,FALSE),Formula!$C$26)</f>
        <v>0.95</v>
      </c>
      <c r="Q1252" s="15">
        <f>IF(AND(ISNUMBER(J1252),J1252&gt;0),1/J1252,IF(AND(ISNUMBER(I1252),I1252&gt;0),SQRT(MIN(I1252,Formula!$C$27))/Formula!$C$24,1/Formula!$C$25))</f>
        <v>0.3333333333</v>
      </c>
      <c r="R1252" s="15">
        <f t="shared" si="2"/>
        <v>0.3166666667</v>
      </c>
      <c r="S1252" s="15">
        <f>IF(H1252&lt;&gt;"",EXP(-Formula!$C$28*(EOMONTH(H1252,0)-H1252)),EXP(-Formula!$C$28*(EOMONTH(D1252,0)-D1252)))</f>
        <v>0.670320046</v>
      </c>
      <c r="T1252" s="15">
        <f t="shared" si="3"/>
        <v>0.1767766953</v>
      </c>
      <c r="U1252" s="15">
        <f t="shared" si="4"/>
        <v>0.03752403813</v>
      </c>
      <c r="V1252" s="16">
        <f>IF(AND(L1252="Among all respondents",NOT(OR(K1252="Online poll in Telegram channel",K1252="Website online poll",K1252="CAWI (Computer Assisted Web Interviewing)"))),1/(1-MIN(MAX(Formula!$C$33+(YEAR(D1252)-Formula!$C$34)/(Formula!$C$35-Formula!$C$34)*(Formula!$C$32-Formula!$C$33),Formula!$C$33),Formula!$C$32)),1)</f>
        <v>1</v>
      </c>
      <c r="W1252" s="17">
        <f t="shared" si="5"/>
        <v>4.5</v>
      </c>
    </row>
    <row r="1253" ht="15.75" customHeight="1">
      <c r="A1253" s="8" t="s">
        <v>2023</v>
      </c>
      <c r="B1253" s="7" t="s">
        <v>2014</v>
      </c>
      <c r="C1253" s="13" t="s">
        <v>2015</v>
      </c>
      <c r="D1253" s="7" t="s">
        <v>189</v>
      </c>
      <c r="E1253" s="8" t="s">
        <v>158</v>
      </c>
      <c r="F1253" s="8" t="s">
        <v>318</v>
      </c>
      <c r="G1253" s="7" t="s">
        <v>2016</v>
      </c>
      <c r="H1253" s="7" t="s">
        <v>2017</v>
      </c>
      <c r="I1253" s="8">
        <v>2032.0</v>
      </c>
      <c r="J1253" s="8">
        <v>3.0</v>
      </c>
      <c r="K1253" s="8" t="s">
        <v>583</v>
      </c>
      <c r="L1253" s="8" t="s">
        <v>322</v>
      </c>
      <c r="M1253" s="8" t="s">
        <v>386</v>
      </c>
      <c r="N1253" s="8">
        <v>4.5</v>
      </c>
      <c r="O1253" s="14">
        <f t="shared" si="1"/>
        <v>44378</v>
      </c>
      <c r="P1253" s="15">
        <f>IFERROR(VLOOKUP(K1253,Formula!$A$11:$B$20,2,FALSE),Formula!$C$26)</f>
        <v>0.95</v>
      </c>
      <c r="Q1253" s="15">
        <f>IF(AND(ISNUMBER(J1253),J1253&gt;0),1/J1253,IF(AND(ISNUMBER(I1253),I1253&gt;0),SQRT(MIN(I1253,Formula!$C$27))/Formula!$C$24,1/Formula!$C$25))</f>
        <v>0.3333333333</v>
      </c>
      <c r="R1253" s="15">
        <f t="shared" si="2"/>
        <v>0.3166666667</v>
      </c>
      <c r="S1253" s="15">
        <f>IF(H1253&lt;&gt;"",EXP(-Formula!$C$28*(EOMONTH(H1253,0)-H1253)),EXP(-Formula!$C$28*(EOMONTH(D1253,0)-D1253)))</f>
        <v>0.670320046</v>
      </c>
      <c r="T1253" s="15">
        <f t="shared" si="3"/>
        <v>0.1767766953</v>
      </c>
      <c r="U1253" s="15">
        <f t="shared" si="4"/>
        <v>0.03752403813</v>
      </c>
      <c r="V1253" s="16">
        <f>IF(AND(L1253="Among all respondents",NOT(OR(K1253="Online poll in Telegram channel",K1253="Website online poll",K1253="CAWI (Computer Assisted Web Interviewing)"))),1/(1-MIN(MAX(Formula!$C$33+(YEAR(D1253)-Formula!$C$34)/(Formula!$C$35-Formula!$C$34)*(Formula!$C$32-Formula!$C$33),Formula!$C$33),Formula!$C$32)),1)</f>
        <v>1</v>
      </c>
      <c r="W1253" s="17">
        <f t="shared" si="5"/>
        <v>4.5</v>
      </c>
    </row>
    <row r="1254" ht="15.75" customHeight="1">
      <c r="A1254" s="8" t="s">
        <v>2024</v>
      </c>
      <c r="B1254" s="7" t="s">
        <v>2014</v>
      </c>
      <c r="C1254" s="13" t="s">
        <v>2015</v>
      </c>
      <c r="D1254" s="7" t="s">
        <v>189</v>
      </c>
      <c r="E1254" s="8" t="s">
        <v>158</v>
      </c>
      <c r="F1254" s="8" t="s">
        <v>318</v>
      </c>
      <c r="G1254" s="7" t="s">
        <v>2016</v>
      </c>
      <c r="H1254" s="7" t="s">
        <v>2017</v>
      </c>
      <c r="I1254" s="8">
        <v>2032.0</v>
      </c>
      <c r="J1254" s="8">
        <v>3.0</v>
      </c>
      <c r="K1254" s="8" t="s">
        <v>583</v>
      </c>
      <c r="L1254" s="8" t="s">
        <v>322</v>
      </c>
      <c r="M1254" s="8" t="s">
        <v>333</v>
      </c>
      <c r="N1254" s="8">
        <v>3.3</v>
      </c>
      <c r="O1254" s="14">
        <f t="shared" si="1"/>
        <v>44378</v>
      </c>
      <c r="P1254" s="15">
        <f>IFERROR(VLOOKUP(K1254,Formula!$A$11:$B$20,2,FALSE),Formula!$C$26)</f>
        <v>0.95</v>
      </c>
      <c r="Q1254" s="15">
        <f>IF(AND(ISNUMBER(J1254),J1254&gt;0),1/J1254,IF(AND(ISNUMBER(I1254),I1254&gt;0),SQRT(MIN(I1254,Formula!$C$27))/Formula!$C$24,1/Formula!$C$25))</f>
        <v>0.3333333333</v>
      </c>
      <c r="R1254" s="15">
        <f t="shared" si="2"/>
        <v>0.3166666667</v>
      </c>
      <c r="S1254" s="15">
        <f>IF(H1254&lt;&gt;"",EXP(-Formula!$C$28*(EOMONTH(H1254,0)-H1254)),EXP(-Formula!$C$28*(EOMONTH(D1254,0)-D1254)))</f>
        <v>0.670320046</v>
      </c>
      <c r="T1254" s="15">
        <f t="shared" si="3"/>
        <v>0.1767766953</v>
      </c>
      <c r="U1254" s="15">
        <f t="shared" si="4"/>
        <v>0.03752403813</v>
      </c>
      <c r="V1254" s="16">
        <f>IF(AND(L1254="Among all respondents",NOT(OR(K1254="Online poll in Telegram channel",K1254="Website online poll",K1254="CAWI (Computer Assisted Web Interviewing)"))),1/(1-MIN(MAX(Formula!$C$33+(YEAR(D1254)-Formula!$C$34)/(Formula!$C$35-Formula!$C$34)*(Formula!$C$32-Formula!$C$33),Formula!$C$33),Formula!$C$32)),1)</f>
        <v>1</v>
      </c>
      <c r="W1254" s="17">
        <f t="shared" si="5"/>
        <v>3.3</v>
      </c>
    </row>
    <row r="1255" ht="15.75" customHeight="1">
      <c r="A1255" s="8" t="s">
        <v>2025</v>
      </c>
      <c r="B1255" s="7" t="s">
        <v>2014</v>
      </c>
      <c r="C1255" s="13" t="s">
        <v>2015</v>
      </c>
      <c r="D1255" s="7" t="s">
        <v>189</v>
      </c>
      <c r="E1255" s="8" t="s">
        <v>158</v>
      </c>
      <c r="F1255" s="8" t="s">
        <v>318</v>
      </c>
      <c r="G1255" s="7" t="s">
        <v>2016</v>
      </c>
      <c r="H1255" s="7" t="s">
        <v>2017</v>
      </c>
      <c r="I1255" s="8">
        <v>2032.0</v>
      </c>
      <c r="J1255" s="8">
        <v>3.0</v>
      </c>
      <c r="K1255" s="8" t="s">
        <v>583</v>
      </c>
      <c r="L1255" s="8" t="s">
        <v>322</v>
      </c>
      <c r="M1255" s="8" t="s">
        <v>388</v>
      </c>
      <c r="N1255" s="8">
        <v>2.7</v>
      </c>
      <c r="O1255" s="14">
        <f t="shared" si="1"/>
        <v>44378</v>
      </c>
      <c r="P1255" s="15">
        <f>IFERROR(VLOOKUP(K1255,Formula!$A$11:$B$20,2,FALSE),Formula!$C$26)</f>
        <v>0.95</v>
      </c>
      <c r="Q1255" s="15">
        <f>IF(AND(ISNUMBER(J1255),J1255&gt;0),1/J1255,IF(AND(ISNUMBER(I1255),I1255&gt;0),SQRT(MIN(I1255,Formula!$C$27))/Formula!$C$24,1/Formula!$C$25))</f>
        <v>0.3333333333</v>
      </c>
      <c r="R1255" s="15">
        <f t="shared" si="2"/>
        <v>0.3166666667</v>
      </c>
      <c r="S1255" s="15">
        <f>IF(H1255&lt;&gt;"",EXP(-Formula!$C$28*(EOMONTH(H1255,0)-H1255)),EXP(-Formula!$C$28*(EOMONTH(D1255,0)-D1255)))</f>
        <v>0.670320046</v>
      </c>
      <c r="T1255" s="15">
        <f t="shared" si="3"/>
        <v>0.1767766953</v>
      </c>
      <c r="U1255" s="15">
        <f t="shared" si="4"/>
        <v>0.03752403813</v>
      </c>
      <c r="V1255" s="16">
        <f>IF(AND(L1255="Among all respondents",NOT(OR(K1255="Online poll in Telegram channel",K1255="Website online poll",K1255="CAWI (Computer Assisted Web Interviewing)"))),1/(1-MIN(MAX(Formula!$C$33+(YEAR(D1255)-Formula!$C$34)/(Formula!$C$35-Formula!$C$34)*(Formula!$C$32-Formula!$C$33),Formula!$C$33),Formula!$C$32)),1)</f>
        <v>1</v>
      </c>
      <c r="W1255" s="17">
        <f t="shared" si="5"/>
        <v>2.7</v>
      </c>
    </row>
    <row r="1256" ht="15.75" customHeight="1">
      <c r="A1256" s="8" t="s">
        <v>2026</v>
      </c>
      <c r="B1256" s="7" t="s">
        <v>2014</v>
      </c>
      <c r="C1256" s="13" t="s">
        <v>2015</v>
      </c>
      <c r="D1256" s="7" t="s">
        <v>189</v>
      </c>
      <c r="E1256" s="8" t="s">
        <v>158</v>
      </c>
      <c r="F1256" s="8" t="s">
        <v>318</v>
      </c>
      <c r="G1256" s="7" t="s">
        <v>2016</v>
      </c>
      <c r="H1256" s="7" t="s">
        <v>2017</v>
      </c>
      <c r="I1256" s="8">
        <v>2032.0</v>
      </c>
      <c r="J1256" s="8">
        <v>3.0</v>
      </c>
      <c r="K1256" s="8" t="s">
        <v>583</v>
      </c>
      <c r="L1256" s="8" t="s">
        <v>322</v>
      </c>
      <c r="M1256" s="8" t="s">
        <v>343</v>
      </c>
      <c r="N1256" s="8">
        <v>1.1</v>
      </c>
      <c r="O1256" s="14">
        <f t="shared" si="1"/>
        <v>44378</v>
      </c>
      <c r="P1256" s="15">
        <f>IFERROR(VLOOKUP(K1256,Formula!$A$11:$B$20,2,FALSE),Formula!$C$26)</f>
        <v>0.95</v>
      </c>
      <c r="Q1256" s="15">
        <f>IF(AND(ISNUMBER(J1256),J1256&gt;0),1/J1256,IF(AND(ISNUMBER(I1256),I1256&gt;0),SQRT(MIN(I1256,Formula!$C$27))/Formula!$C$24,1/Formula!$C$25))</f>
        <v>0.3333333333</v>
      </c>
      <c r="R1256" s="15">
        <f t="shared" si="2"/>
        <v>0.3166666667</v>
      </c>
      <c r="S1256" s="15">
        <f>IF(H1256&lt;&gt;"",EXP(-Formula!$C$28*(EOMONTH(H1256,0)-H1256)),EXP(-Formula!$C$28*(EOMONTH(D1256,0)-D1256)))</f>
        <v>0.670320046</v>
      </c>
      <c r="T1256" s="15">
        <f t="shared" si="3"/>
        <v>0.1767766953</v>
      </c>
      <c r="U1256" s="15">
        <f t="shared" si="4"/>
        <v>0.03752403813</v>
      </c>
      <c r="V1256" s="16">
        <f>IF(AND(L1256="Among all respondents",NOT(OR(K1256="Online poll in Telegram channel",K1256="Website online poll",K1256="CAWI (Computer Assisted Web Interviewing)"))),1/(1-MIN(MAX(Formula!$C$33+(YEAR(D1256)-Formula!$C$34)/(Formula!$C$35-Formula!$C$34)*(Formula!$C$32-Formula!$C$33),Formula!$C$33),Formula!$C$32)),1)</f>
        <v>1</v>
      </c>
      <c r="W1256" s="17">
        <f t="shared" si="5"/>
        <v>1.1</v>
      </c>
    </row>
    <row r="1257" ht="15.75" customHeight="1">
      <c r="A1257" s="8" t="s">
        <v>2027</v>
      </c>
      <c r="B1257" s="7" t="s">
        <v>2014</v>
      </c>
      <c r="C1257" s="13" t="s">
        <v>2015</v>
      </c>
      <c r="D1257" s="7" t="s">
        <v>189</v>
      </c>
      <c r="E1257" s="8" t="s">
        <v>158</v>
      </c>
      <c r="F1257" s="8" t="s">
        <v>318</v>
      </c>
      <c r="G1257" s="7" t="s">
        <v>2016</v>
      </c>
      <c r="H1257" s="7" t="s">
        <v>2017</v>
      </c>
      <c r="I1257" s="8">
        <v>2032.0</v>
      </c>
      <c r="J1257" s="8">
        <v>3.0</v>
      </c>
      <c r="K1257" s="8" t="s">
        <v>583</v>
      </c>
      <c r="L1257" s="8" t="s">
        <v>322</v>
      </c>
      <c r="M1257" s="8" t="s">
        <v>1663</v>
      </c>
      <c r="N1257" s="8">
        <v>0.3</v>
      </c>
      <c r="O1257" s="14">
        <f t="shared" si="1"/>
        <v>44378</v>
      </c>
      <c r="P1257" s="15">
        <f>IFERROR(VLOOKUP(K1257,Formula!$A$11:$B$20,2,FALSE),Formula!$C$26)</f>
        <v>0.95</v>
      </c>
      <c r="Q1257" s="15">
        <f>IF(AND(ISNUMBER(J1257),J1257&gt;0),1/J1257,IF(AND(ISNUMBER(I1257),I1257&gt;0),SQRT(MIN(I1257,Formula!$C$27))/Formula!$C$24,1/Formula!$C$25))</f>
        <v>0.3333333333</v>
      </c>
      <c r="R1257" s="15">
        <f t="shared" si="2"/>
        <v>0.3166666667</v>
      </c>
      <c r="S1257" s="15">
        <f>IF(H1257&lt;&gt;"",EXP(-Formula!$C$28*(EOMONTH(H1257,0)-H1257)),EXP(-Formula!$C$28*(EOMONTH(D1257,0)-D1257)))</f>
        <v>0.670320046</v>
      </c>
      <c r="T1257" s="15">
        <f t="shared" si="3"/>
        <v>0.1767766953</v>
      </c>
      <c r="U1257" s="15">
        <f t="shared" si="4"/>
        <v>0.03752403813</v>
      </c>
      <c r="V1257" s="16">
        <f>IF(AND(L1257="Among all respondents",NOT(OR(K1257="Online poll in Telegram channel",K1257="Website online poll",K1257="CAWI (Computer Assisted Web Interviewing)"))),1/(1-MIN(MAX(Formula!$C$33+(YEAR(D1257)-Formula!$C$34)/(Formula!$C$35-Formula!$C$34)*(Formula!$C$32-Formula!$C$33),Formula!$C$33),Formula!$C$32)),1)</f>
        <v>1</v>
      </c>
      <c r="W1257" s="17">
        <f t="shared" si="5"/>
        <v>0.3</v>
      </c>
    </row>
    <row r="1258" ht="15.75" customHeight="1">
      <c r="A1258" s="8" t="s">
        <v>2028</v>
      </c>
      <c r="B1258" s="7" t="s">
        <v>2029</v>
      </c>
      <c r="C1258" s="13" t="s">
        <v>2030</v>
      </c>
      <c r="D1258" s="7" t="s">
        <v>189</v>
      </c>
      <c r="E1258" s="8" t="s">
        <v>40</v>
      </c>
      <c r="F1258" s="8" t="s">
        <v>318</v>
      </c>
      <c r="G1258" s="7" t="s">
        <v>2017</v>
      </c>
      <c r="H1258" s="7" t="s">
        <v>2031</v>
      </c>
      <c r="I1258" s="8">
        <v>2500.0</v>
      </c>
      <c r="J1258" s="8">
        <v>2.0</v>
      </c>
      <c r="K1258" s="8" t="s">
        <v>321</v>
      </c>
      <c r="L1258" s="8" t="s">
        <v>322</v>
      </c>
      <c r="M1258" s="8" t="s">
        <v>323</v>
      </c>
      <c r="N1258" s="8">
        <v>27.7</v>
      </c>
      <c r="O1258" s="14">
        <f t="shared" si="1"/>
        <v>44378</v>
      </c>
      <c r="P1258" s="15">
        <f>IFERROR(VLOOKUP(K1258,Formula!$A$11:$B$20,2,FALSE),Formula!$C$26)</f>
        <v>0.9</v>
      </c>
      <c r="Q1258" s="15">
        <f>IF(AND(ISNUMBER(J1258),J1258&gt;0),1/J1258,IF(AND(ISNUMBER(I1258),I1258&gt;0),SQRT(MIN(I1258,Formula!$C$27))/Formula!$C$24,1/Formula!$C$25))</f>
        <v>0.5</v>
      </c>
      <c r="R1258" s="15">
        <f t="shared" si="2"/>
        <v>0.45</v>
      </c>
      <c r="S1258" s="15">
        <f>IF(H1258&lt;&gt;"",EXP(-Formula!$C$28*(EOMONTH(H1258,0)-H1258)),EXP(-Formula!$C$28*(EOMONTH(D1258,0)-D1258)))</f>
        <v>0.7408182207</v>
      </c>
      <c r="T1258" s="15">
        <f t="shared" si="3"/>
        <v>0.2085144141</v>
      </c>
      <c r="U1258" s="15">
        <f t="shared" si="4"/>
        <v>0.06951207474</v>
      </c>
      <c r="V1258" s="16">
        <f>IF(AND(L1258="Among all respondents",NOT(OR(K1258="Online poll in Telegram channel",K1258="Website online poll",K1258="CAWI (Computer Assisted Web Interviewing)"))),1/(1-MIN(MAX(Formula!$C$33+(YEAR(D1258)-Formula!$C$34)/(Formula!$C$35-Formula!$C$34)*(Formula!$C$32-Formula!$C$33),Formula!$C$33),Formula!$C$32)),1)</f>
        <v>1</v>
      </c>
      <c r="W1258" s="17">
        <f t="shared" si="5"/>
        <v>27.7</v>
      </c>
    </row>
    <row r="1259" ht="15.75" customHeight="1">
      <c r="A1259" s="8" t="s">
        <v>2032</v>
      </c>
      <c r="B1259" s="7" t="s">
        <v>2029</v>
      </c>
      <c r="C1259" s="13" t="s">
        <v>2030</v>
      </c>
      <c r="D1259" s="7" t="s">
        <v>189</v>
      </c>
      <c r="E1259" s="8" t="s">
        <v>40</v>
      </c>
      <c r="F1259" s="8" t="s">
        <v>318</v>
      </c>
      <c r="G1259" s="7" t="s">
        <v>2017</v>
      </c>
      <c r="H1259" s="7" t="s">
        <v>2031</v>
      </c>
      <c r="I1259" s="8">
        <v>2500.0</v>
      </c>
      <c r="J1259" s="8">
        <v>2.0</v>
      </c>
      <c r="K1259" s="8" t="s">
        <v>321</v>
      </c>
      <c r="L1259" s="8" t="s">
        <v>322</v>
      </c>
      <c r="M1259" s="8" t="s">
        <v>329</v>
      </c>
      <c r="N1259" s="8">
        <v>13.4</v>
      </c>
      <c r="O1259" s="14">
        <f t="shared" si="1"/>
        <v>44378</v>
      </c>
      <c r="P1259" s="15">
        <f>IFERROR(VLOOKUP(K1259,Formula!$A$11:$B$20,2,FALSE),Formula!$C$26)</f>
        <v>0.9</v>
      </c>
      <c r="Q1259" s="15">
        <f>IF(AND(ISNUMBER(J1259),J1259&gt;0),1/J1259,IF(AND(ISNUMBER(I1259),I1259&gt;0),SQRT(MIN(I1259,Formula!$C$27))/Formula!$C$24,1/Formula!$C$25))</f>
        <v>0.5</v>
      </c>
      <c r="R1259" s="15">
        <f t="shared" si="2"/>
        <v>0.45</v>
      </c>
      <c r="S1259" s="15">
        <f>IF(H1259&lt;&gt;"",EXP(-Formula!$C$28*(EOMONTH(H1259,0)-H1259)),EXP(-Formula!$C$28*(EOMONTH(D1259,0)-D1259)))</f>
        <v>0.7408182207</v>
      </c>
      <c r="T1259" s="15">
        <f t="shared" si="3"/>
        <v>0.2085144141</v>
      </c>
      <c r="U1259" s="15">
        <f t="shared" si="4"/>
        <v>0.06951207474</v>
      </c>
      <c r="V1259" s="16">
        <f>IF(AND(L1259="Among all respondents",NOT(OR(K1259="Online poll in Telegram channel",K1259="Website online poll",K1259="CAWI (Computer Assisted Web Interviewing)"))),1/(1-MIN(MAX(Formula!$C$33+(YEAR(D1259)-Formula!$C$34)/(Formula!$C$35-Formula!$C$34)*(Formula!$C$32-Formula!$C$33),Formula!$C$33),Formula!$C$32)),1)</f>
        <v>1</v>
      </c>
      <c r="W1259" s="17">
        <f t="shared" si="5"/>
        <v>13.4</v>
      </c>
    </row>
    <row r="1260" ht="15.75" customHeight="1">
      <c r="A1260" s="8" t="s">
        <v>2033</v>
      </c>
      <c r="B1260" s="7" t="s">
        <v>2029</v>
      </c>
      <c r="C1260" s="13" t="s">
        <v>2030</v>
      </c>
      <c r="D1260" s="7" t="s">
        <v>189</v>
      </c>
      <c r="E1260" s="8" t="s">
        <v>40</v>
      </c>
      <c r="F1260" s="8" t="s">
        <v>318</v>
      </c>
      <c r="G1260" s="7" t="s">
        <v>2017</v>
      </c>
      <c r="H1260" s="7" t="s">
        <v>2031</v>
      </c>
      <c r="I1260" s="8">
        <v>2500.0</v>
      </c>
      <c r="J1260" s="8">
        <v>2.0</v>
      </c>
      <c r="K1260" s="8" t="s">
        <v>321</v>
      </c>
      <c r="L1260" s="8" t="s">
        <v>322</v>
      </c>
      <c r="M1260" s="8" t="s">
        <v>337</v>
      </c>
      <c r="N1260" s="8">
        <v>11.4</v>
      </c>
      <c r="O1260" s="14">
        <f t="shared" si="1"/>
        <v>44378</v>
      </c>
      <c r="P1260" s="15">
        <f>IFERROR(VLOOKUP(K1260,Formula!$A$11:$B$20,2,FALSE),Formula!$C$26)</f>
        <v>0.9</v>
      </c>
      <c r="Q1260" s="15">
        <f>IF(AND(ISNUMBER(J1260),J1260&gt;0),1/J1260,IF(AND(ISNUMBER(I1260),I1260&gt;0),SQRT(MIN(I1260,Formula!$C$27))/Formula!$C$24,1/Formula!$C$25))</f>
        <v>0.5</v>
      </c>
      <c r="R1260" s="15">
        <f t="shared" si="2"/>
        <v>0.45</v>
      </c>
      <c r="S1260" s="15">
        <f>IF(H1260&lt;&gt;"",EXP(-Formula!$C$28*(EOMONTH(H1260,0)-H1260)),EXP(-Formula!$C$28*(EOMONTH(D1260,0)-D1260)))</f>
        <v>0.7408182207</v>
      </c>
      <c r="T1260" s="15">
        <f t="shared" si="3"/>
        <v>0.2085144141</v>
      </c>
      <c r="U1260" s="15">
        <f t="shared" si="4"/>
        <v>0.06951207474</v>
      </c>
      <c r="V1260" s="16">
        <f>IF(AND(L1260="Among all respondents",NOT(OR(K1260="Online poll in Telegram channel",K1260="Website online poll",K1260="CAWI (Computer Assisted Web Interviewing)"))),1/(1-MIN(MAX(Formula!$C$33+(YEAR(D1260)-Formula!$C$34)/(Formula!$C$35-Formula!$C$34)*(Formula!$C$32-Formula!$C$33),Formula!$C$33),Formula!$C$32)),1)</f>
        <v>1</v>
      </c>
      <c r="W1260" s="17">
        <f t="shared" si="5"/>
        <v>11.4</v>
      </c>
    </row>
    <row r="1261" ht="15.75" customHeight="1">
      <c r="A1261" s="8" t="s">
        <v>2034</v>
      </c>
      <c r="B1261" s="7" t="s">
        <v>2029</v>
      </c>
      <c r="C1261" s="13" t="s">
        <v>2030</v>
      </c>
      <c r="D1261" s="7" t="s">
        <v>189</v>
      </c>
      <c r="E1261" s="8" t="s">
        <v>40</v>
      </c>
      <c r="F1261" s="8" t="s">
        <v>318</v>
      </c>
      <c r="G1261" s="7" t="s">
        <v>2017</v>
      </c>
      <c r="H1261" s="7" t="s">
        <v>2031</v>
      </c>
      <c r="I1261" s="8">
        <v>2500.0</v>
      </c>
      <c r="J1261" s="8">
        <v>2.0</v>
      </c>
      <c r="K1261" s="8" t="s">
        <v>321</v>
      </c>
      <c r="L1261" s="8" t="s">
        <v>322</v>
      </c>
      <c r="M1261" s="8" t="s">
        <v>365</v>
      </c>
      <c r="N1261" s="8">
        <v>10.1</v>
      </c>
      <c r="O1261" s="14">
        <f t="shared" si="1"/>
        <v>44378</v>
      </c>
      <c r="P1261" s="15">
        <f>IFERROR(VLOOKUP(K1261,Formula!$A$11:$B$20,2,FALSE),Formula!$C$26)</f>
        <v>0.9</v>
      </c>
      <c r="Q1261" s="15">
        <f>IF(AND(ISNUMBER(J1261),J1261&gt;0),1/J1261,IF(AND(ISNUMBER(I1261),I1261&gt;0),SQRT(MIN(I1261,Formula!$C$27))/Formula!$C$24,1/Formula!$C$25))</f>
        <v>0.5</v>
      </c>
      <c r="R1261" s="15">
        <f t="shared" si="2"/>
        <v>0.45</v>
      </c>
      <c r="S1261" s="15">
        <f>IF(H1261&lt;&gt;"",EXP(-Formula!$C$28*(EOMONTH(H1261,0)-H1261)),EXP(-Formula!$C$28*(EOMONTH(D1261,0)-D1261)))</f>
        <v>0.7408182207</v>
      </c>
      <c r="T1261" s="15">
        <f t="shared" si="3"/>
        <v>0.2085144141</v>
      </c>
      <c r="U1261" s="15">
        <f t="shared" si="4"/>
        <v>0.06951207474</v>
      </c>
      <c r="V1261" s="16">
        <f>IF(AND(L1261="Among all respondents",NOT(OR(K1261="Online poll in Telegram channel",K1261="Website online poll",K1261="CAWI (Computer Assisted Web Interviewing)"))),1/(1-MIN(MAX(Formula!$C$33+(YEAR(D1261)-Formula!$C$34)/(Formula!$C$35-Formula!$C$34)*(Formula!$C$32-Formula!$C$33),Formula!$C$33),Formula!$C$32)),1)</f>
        <v>1</v>
      </c>
      <c r="W1261" s="17">
        <f t="shared" si="5"/>
        <v>10.1</v>
      </c>
    </row>
    <row r="1262" ht="15.75" customHeight="1">
      <c r="A1262" s="8" t="s">
        <v>2035</v>
      </c>
      <c r="B1262" s="7" t="s">
        <v>2029</v>
      </c>
      <c r="C1262" s="13" t="s">
        <v>2030</v>
      </c>
      <c r="D1262" s="7" t="s">
        <v>189</v>
      </c>
      <c r="E1262" s="8" t="s">
        <v>40</v>
      </c>
      <c r="F1262" s="8" t="s">
        <v>318</v>
      </c>
      <c r="G1262" s="7" t="s">
        <v>2017</v>
      </c>
      <c r="H1262" s="7" t="s">
        <v>2031</v>
      </c>
      <c r="I1262" s="8">
        <v>2500.0</v>
      </c>
      <c r="J1262" s="8">
        <v>2.0</v>
      </c>
      <c r="K1262" s="8" t="s">
        <v>321</v>
      </c>
      <c r="L1262" s="8" t="s">
        <v>322</v>
      </c>
      <c r="M1262" s="8" t="s">
        <v>828</v>
      </c>
      <c r="N1262" s="8">
        <v>7.8</v>
      </c>
      <c r="O1262" s="14">
        <f t="shared" si="1"/>
        <v>44378</v>
      </c>
      <c r="P1262" s="15">
        <f>IFERROR(VLOOKUP(K1262,Formula!$A$11:$B$20,2,FALSE),Formula!$C$26)</f>
        <v>0.9</v>
      </c>
      <c r="Q1262" s="15">
        <f>IF(AND(ISNUMBER(J1262),J1262&gt;0),1/J1262,IF(AND(ISNUMBER(I1262),I1262&gt;0),SQRT(MIN(I1262,Formula!$C$27))/Formula!$C$24,1/Formula!$C$25))</f>
        <v>0.5</v>
      </c>
      <c r="R1262" s="15">
        <f t="shared" si="2"/>
        <v>0.45</v>
      </c>
      <c r="S1262" s="15">
        <f>IF(H1262&lt;&gt;"",EXP(-Formula!$C$28*(EOMONTH(H1262,0)-H1262)),EXP(-Formula!$C$28*(EOMONTH(D1262,0)-D1262)))</f>
        <v>0.7408182207</v>
      </c>
      <c r="T1262" s="15">
        <f t="shared" si="3"/>
        <v>0.2085144141</v>
      </c>
      <c r="U1262" s="15">
        <f t="shared" si="4"/>
        <v>0.06951207474</v>
      </c>
      <c r="V1262" s="16">
        <f>IF(AND(L1262="Among all respondents",NOT(OR(K1262="Online poll in Telegram channel",K1262="Website online poll",K1262="CAWI (Computer Assisted Web Interviewing)"))),1/(1-MIN(MAX(Formula!$C$33+(YEAR(D1262)-Formula!$C$34)/(Formula!$C$35-Formula!$C$34)*(Formula!$C$32-Formula!$C$33),Formula!$C$33),Formula!$C$32)),1)</f>
        <v>1</v>
      </c>
      <c r="W1262" s="17">
        <f t="shared" si="5"/>
        <v>7.8</v>
      </c>
    </row>
    <row r="1263" ht="15.75" customHeight="1">
      <c r="A1263" s="8" t="s">
        <v>2036</v>
      </c>
      <c r="B1263" s="7" t="s">
        <v>2029</v>
      </c>
      <c r="C1263" s="13" t="s">
        <v>2030</v>
      </c>
      <c r="D1263" s="7" t="s">
        <v>189</v>
      </c>
      <c r="E1263" s="8" t="s">
        <v>40</v>
      </c>
      <c r="F1263" s="8" t="s">
        <v>318</v>
      </c>
      <c r="G1263" s="7" t="s">
        <v>2017</v>
      </c>
      <c r="H1263" s="7" t="s">
        <v>2031</v>
      </c>
      <c r="I1263" s="8">
        <v>2500.0</v>
      </c>
      <c r="J1263" s="8">
        <v>2.0</v>
      </c>
      <c r="K1263" s="8" t="s">
        <v>321</v>
      </c>
      <c r="L1263" s="8" t="s">
        <v>322</v>
      </c>
      <c r="M1263" s="8" t="s">
        <v>386</v>
      </c>
      <c r="N1263" s="8">
        <v>6.1</v>
      </c>
      <c r="O1263" s="14">
        <f t="shared" si="1"/>
        <v>44378</v>
      </c>
      <c r="P1263" s="15">
        <f>IFERROR(VLOOKUP(K1263,Formula!$A$11:$B$20,2,FALSE),Formula!$C$26)</f>
        <v>0.9</v>
      </c>
      <c r="Q1263" s="15">
        <f>IF(AND(ISNUMBER(J1263),J1263&gt;0),1/J1263,IF(AND(ISNUMBER(I1263),I1263&gt;0),SQRT(MIN(I1263,Formula!$C$27))/Formula!$C$24,1/Formula!$C$25))</f>
        <v>0.5</v>
      </c>
      <c r="R1263" s="15">
        <f t="shared" si="2"/>
        <v>0.45</v>
      </c>
      <c r="S1263" s="15">
        <f>IF(H1263&lt;&gt;"",EXP(-Formula!$C$28*(EOMONTH(H1263,0)-H1263)),EXP(-Formula!$C$28*(EOMONTH(D1263,0)-D1263)))</f>
        <v>0.7408182207</v>
      </c>
      <c r="T1263" s="15">
        <f t="shared" si="3"/>
        <v>0.2085144141</v>
      </c>
      <c r="U1263" s="15">
        <f t="shared" si="4"/>
        <v>0.06951207474</v>
      </c>
      <c r="V1263" s="16">
        <f>IF(AND(L1263="Among all respondents",NOT(OR(K1263="Online poll in Telegram channel",K1263="Website online poll",K1263="CAWI (Computer Assisted Web Interviewing)"))),1/(1-MIN(MAX(Formula!$C$33+(YEAR(D1263)-Formula!$C$34)/(Formula!$C$35-Formula!$C$34)*(Formula!$C$32-Formula!$C$33),Formula!$C$33),Formula!$C$32)),1)</f>
        <v>1</v>
      </c>
      <c r="W1263" s="17">
        <f t="shared" si="5"/>
        <v>6.1</v>
      </c>
    </row>
    <row r="1264" ht="15.75" customHeight="1">
      <c r="A1264" s="8" t="s">
        <v>2037</v>
      </c>
      <c r="B1264" s="7" t="s">
        <v>2029</v>
      </c>
      <c r="C1264" s="13" t="s">
        <v>2030</v>
      </c>
      <c r="D1264" s="7" t="s">
        <v>189</v>
      </c>
      <c r="E1264" s="8" t="s">
        <v>40</v>
      </c>
      <c r="F1264" s="8" t="s">
        <v>318</v>
      </c>
      <c r="G1264" s="7" t="s">
        <v>2017</v>
      </c>
      <c r="H1264" s="7" t="s">
        <v>2031</v>
      </c>
      <c r="I1264" s="8">
        <v>2500.0</v>
      </c>
      <c r="J1264" s="8">
        <v>2.0</v>
      </c>
      <c r="K1264" s="8" t="s">
        <v>321</v>
      </c>
      <c r="L1264" s="8" t="s">
        <v>322</v>
      </c>
      <c r="M1264" s="8" t="s">
        <v>1153</v>
      </c>
      <c r="N1264" s="8">
        <v>6.0</v>
      </c>
      <c r="O1264" s="14">
        <f t="shared" si="1"/>
        <v>44378</v>
      </c>
      <c r="P1264" s="15">
        <f>IFERROR(VLOOKUP(K1264,Formula!$A$11:$B$20,2,FALSE),Formula!$C$26)</f>
        <v>0.9</v>
      </c>
      <c r="Q1264" s="15">
        <f>IF(AND(ISNUMBER(J1264),J1264&gt;0),1/J1264,IF(AND(ISNUMBER(I1264),I1264&gt;0),SQRT(MIN(I1264,Formula!$C$27))/Formula!$C$24,1/Formula!$C$25))</f>
        <v>0.5</v>
      </c>
      <c r="R1264" s="15">
        <f t="shared" si="2"/>
        <v>0.45</v>
      </c>
      <c r="S1264" s="15">
        <f>IF(H1264&lt;&gt;"",EXP(-Formula!$C$28*(EOMONTH(H1264,0)-H1264)),EXP(-Formula!$C$28*(EOMONTH(D1264,0)-D1264)))</f>
        <v>0.7408182207</v>
      </c>
      <c r="T1264" s="15">
        <f t="shared" si="3"/>
        <v>0.2085144141</v>
      </c>
      <c r="U1264" s="15">
        <f t="shared" si="4"/>
        <v>0.06951207474</v>
      </c>
      <c r="V1264" s="16">
        <f>IF(AND(L1264="Among all respondents",NOT(OR(K1264="Online poll in Telegram channel",K1264="Website online poll",K1264="CAWI (Computer Assisted Web Interviewing)"))),1/(1-MIN(MAX(Formula!$C$33+(YEAR(D1264)-Formula!$C$34)/(Formula!$C$35-Formula!$C$34)*(Formula!$C$32-Formula!$C$33),Formula!$C$33),Formula!$C$32)),1)</f>
        <v>1</v>
      </c>
      <c r="W1264" s="17">
        <f t="shared" si="5"/>
        <v>6</v>
      </c>
    </row>
    <row r="1265" ht="15.75" customHeight="1">
      <c r="A1265" s="8" t="s">
        <v>2038</v>
      </c>
      <c r="B1265" s="7" t="s">
        <v>2029</v>
      </c>
      <c r="C1265" s="13" t="s">
        <v>2030</v>
      </c>
      <c r="D1265" s="7" t="s">
        <v>189</v>
      </c>
      <c r="E1265" s="8" t="s">
        <v>40</v>
      </c>
      <c r="F1265" s="8" t="s">
        <v>318</v>
      </c>
      <c r="G1265" s="7" t="s">
        <v>2017</v>
      </c>
      <c r="H1265" s="7" t="s">
        <v>2031</v>
      </c>
      <c r="I1265" s="8">
        <v>2500.0</v>
      </c>
      <c r="J1265" s="8">
        <v>2.0</v>
      </c>
      <c r="K1265" s="8" t="s">
        <v>321</v>
      </c>
      <c r="L1265" s="8" t="s">
        <v>322</v>
      </c>
      <c r="M1265" s="8" t="s">
        <v>333</v>
      </c>
      <c r="N1265" s="8">
        <v>4.1</v>
      </c>
      <c r="O1265" s="14">
        <f t="shared" si="1"/>
        <v>44378</v>
      </c>
      <c r="P1265" s="15">
        <f>IFERROR(VLOOKUP(K1265,Formula!$A$11:$B$20,2,FALSE),Formula!$C$26)</f>
        <v>0.9</v>
      </c>
      <c r="Q1265" s="15">
        <f>IF(AND(ISNUMBER(J1265),J1265&gt;0),1/J1265,IF(AND(ISNUMBER(I1265),I1265&gt;0),SQRT(MIN(I1265,Formula!$C$27))/Formula!$C$24,1/Formula!$C$25))</f>
        <v>0.5</v>
      </c>
      <c r="R1265" s="15">
        <f t="shared" si="2"/>
        <v>0.45</v>
      </c>
      <c r="S1265" s="15">
        <f>IF(H1265&lt;&gt;"",EXP(-Formula!$C$28*(EOMONTH(H1265,0)-H1265)),EXP(-Formula!$C$28*(EOMONTH(D1265,0)-D1265)))</f>
        <v>0.7408182207</v>
      </c>
      <c r="T1265" s="15">
        <f t="shared" si="3"/>
        <v>0.2085144141</v>
      </c>
      <c r="U1265" s="15">
        <f t="shared" si="4"/>
        <v>0.06951207474</v>
      </c>
      <c r="V1265" s="16">
        <f>IF(AND(L1265="Among all respondents",NOT(OR(K1265="Online poll in Telegram channel",K1265="Website online poll",K1265="CAWI (Computer Assisted Web Interviewing)"))),1/(1-MIN(MAX(Formula!$C$33+(YEAR(D1265)-Formula!$C$34)/(Formula!$C$35-Formula!$C$34)*(Formula!$C$32-Formula!$C$33),Formula!$C$33),Formula!$C$32)),1)</f>
        <v>1</v>
      </c>
      <c r="W1265" s="17">
        <f t="shared" si="5"/>
        <v>4.1</v>
      </c>
    </row>
    <row r="1266" ht="15.75" customHeight="1">
      <c r="A1266" s="8" t="s">
        <v>2039</v>
      </c>
      <c r="B1266" s="7" t="s">
        <v>2029</v>
      </c>
      <c r="C1266" s="13" t="s">
        <v>2030</v>
      </c>
      <c r="D1266" s="7" t="s">
        <v>189</v>
      </c>
      <c r="E1266" s="8" t="s">
        <v>40</v>
      </c>
      <c r="F1266" s="8" t="s">
        <v>318</v>
      </c>
      <c r="G1266" s="7" t="s">
        <v>2017</v>
      </c>
      <c r="H1266" s="7" t="s">
        <v>2031</v>
      </c>
      <c r="I1266" s="8">
        <v>2500.0</v>
      </c>
      <c r="J1266" s="8">
        <v>2.0</v>
      </c>
      <c r="K1266" s="8" t="s">
        <v>321</v>
      </c>
      <c r="L1266" s="8" t="s">
        <v>322</v>
      </c>
      <c r="M1266" s="8" t="s">
        <v>740</v>
      </c>
      <c r="N1266" s="8">
        <v>2.7</v>
      </c>
      <c r="O1266" s="14">
        <f t="shared" si="1"/>
        <v>44378</v>
      </c>
      <c r="P1266" s="15">
        <f>IFERROR(VLOOKUP(K1266,Formula!$A$11:$B$20,2,FALSE),Formula!$C$26)</f>
        <v>0.9</v>
      </c>
      <c r="Q1266" s="15">
        <f>IF(AND(ISNUMBER(J1266),J1266&gt;0),1/J1266,IF(AND(ISNUMBER(I1266),I1266&gt;0),SQRT(MIN(I1266,Formula!$C$27))/Formula!$C$24,1/Formula!$C$25))</f>
        <v>0.5</v>
      </c>
      <c r="R1266" s="15">
        <f t="shared" si="2"/>
        <v>0.45</v>
      </c>
      <c r="S1266" s="15">
        <f>IF(H1266&lt;&gt;"",EXP(-Formula!$C$28*(EOMONTH(H1266,0)-H1266)),EXP(-Formula!$C$28*(EOMONTH(D1266,0)-D1266)))</f>
        <v>0.7408182207</v>
      </c>
      <c r="T1266" s="15">
        <f t="shared" si="3"/>
        <v>0.2085144141</v>
      </c>
      <c r="U1266" s="15">
        <f t="shared" si="4"/>
        <v>0.06951207474</v>
      </c>
      <c r="V1266" s="16">
        <f>IF(AND(L1266="Among all respondents",NOT(OR(K1266="Online poll in Telegram channel",K1266="Website online poll",K1266="CAWI (Computer Assisted Web Interviewing)"))),1/(1-MIN(MAX(Formula!$C$33+(YEAR(D1266)-Formula!$C$34)/(Formula!$C$35-Formula!$C$34)*(Formula!$C$32-Formula!$C$33),Formula!$C$33),Formula!$C$32)),1)</f>
        <v>1</v>
      </c>
      <c r="W1266" s="17">
        <f t="shared" si="5"/>
        <v>2.7</v>
      </c>
    </row>
    <row r="1267" ht="15.75" customHeight="1">
      <c r="A1267" s="8" t="s">
        <v>2040</v>
      </c>
      <c r="B1267" s="7" t="s">
        <v>2029</v>
      </c>
      <c r="C1267" s="13" t="s">
        <v>2030</v>
      </c>
      <c r="D1267" s="7" t="s">
        <v>189</v>
      </c>
      <c r="E1267" s="8" t="s">
        <v>40</v>
      </c>
      <c r="F1267" s="8" t="s">
        <v>318</v>
      </c>
      <c r="G1267" s="7" t="s">
        <v>2017</v>
      </c>
      <c r="H1267" s="7" t="s">
        <v>2031</v>
      </c>
      <c r="I1267" s="8">
        <v>2500.0</v>
      </c>
      <c r="J1267" s="8">
        <v>2.0</v>
      </c>
      <c r="K1267" s="8" t="s">
        <v>321</v>
      </c>
      <c r="L1267" s="8" t="s">
        <v>322</v>
      </c>
      <c r="M1267" s="8" t="s">
        <v>388</v>
      </c>
      <c r="N1267" s="8">
        <v>2.6</v>
      </c>
      <c r="O1267" s="14">
        <f t="shared" si="1"/>
        <v>44378</v>
      </c>
      <c r="P1267" s="15">
        <f>IFERROR(VLOOKUP(K1267,Formula!$A$11:$B$20,2,FALSE),Formula!$C$26)</f>
        <v>0.9</v>
      </c>
      <c r="Q1267" s="15">
        <f>IF(AND(ISNUMBER(J1267),J1267&gt;0),1/J1267,IF(AND(ISNUMBER(I1267),I1267&gt;0),SQRT(MIN(I1267,Formula!$C$27))/Formula!$C$24,1/Formula!$C$25))</f>
        <v>0.5</v>
      </c>
      <c r="R1267" s="15">
        <f t="shared" si="2"/>
        <v>0.45</v>
      </c>
      <c r="S1267" s="15">
        <f>IF(H1267&lt;&gt;"",EXP(-Formula!$C$28*(EOMONTH(H1267,0)-H1267)),EXP(-Formula!$C$28*(EOMONTH(D1267,0)-D1267)))</f>
        <v>0.7408182207</v>
      </c>
      <c r="T1267" s="15">
        <f t="shared" si="3"/>
        <v>0.2085144141</v>
      </c>
      <c r="U1267" s="15">
        <f t="shared" si="4"/>
        <v>0.06951207474</v>
      </c>
      <c r="V1267" s="16">
        <f>IF(AND(L1267="Among all respondents",NOT(OR(K1267="Online poll in Telegram channel",K1267="Website online poll",K1267="CAWI (Computer Assisted Web Interviewing)"))),1/(1-MIN(MAX(Formula!$C$33+(YEAR(D1267)-Formula!$C$34)/(Formula!$C$35-Formula!$C$34)*(Formula!$C$32-Formula!$C$33),Formula!$C$33),Formula!$C$32)),1)</f>
        <v>1</v>
      </c>
      <c r="W1267" s="17">
        <f t="shared" si="5"/>
        <v>2.6</v>
      </c>
    </row>
    <row r="1268" ht="15.75" customHeight="1">
      <c r="A1268" s="8" t="s">
        <v>2041</v>
      </c>
      <c r="B1268" s="7" t="s">
        <v>2029</v>
      </c>
      <c r="C1268" s="13" t="s">
        <v>2030</v>
      </c>
      <c r="D1268" s="7" t="s">
        <v>189</v>
      </c>
      <c r="E1268" s="8" t="s">
        <v>40</v>
      </c>
      <c r="F1268" s="8" t="s">
        <v>318</v>
      </c>
      <c r="G1268" s="7" t="s">
        <v>2017</v>
      </c>
      <c r="H1268" s="7" t="s">
        <v>2031</v>
      </c>
      <c r="I1268" s="8">
        <v>2500.0</v>
      </c>
      <c r="J1268" s="8">
        <v>2.0</v>
      </c>
      <c r="K1268" s="8" t="s">
        <v>321</v>
      </c>
      <c r="L1268" s="8" t="s">
        <v>322</v>
      </c>
      <c r="M1268" s="8" t="s">
        <v>743</v>
      </c>
      <c r="N1268" s="8">
        <v>2.6</v>
      </c>
      <c r="O1268" s="14">
        <f t="shared" si="1"/>
        <v>44378</v>
      </c>
      <c r="P1268" s="15">
        <f>IFERROR(VLOOKUP(K1268,Formula!$A$11:$B$20,2,FALSE),Formula!$C$26)</f>
        <v>0.9</v>
      </c>
      <c r="Q1268" s="15">
        <f>IF(AND(ISNUMBER(J1268),J1268&gt;0),1/J1268,IF(AND(ISNUMBER(I1268),I1268&gt;0),SQRT(MIN(I1268,Formula!$C$27))/Formula!$C$24,1/Formula!$C$25))</f>
        <v>0.5</v>
      </c>
      <c r="R1268" s="15">
        <f t="shared" si="2"/>
        <v>0.45</v>
      </c>
      <c r="S1268" s="15">
        <f>IF(H1268&lt;&gt;"",EXP(-Formula!$C$28*(EOMONTH(H1268,0)-H1268)),EXP(-Formula!$C$28*(EOMONTH(D1268,0)-D1268)))</f>
        <v>0.7408182207</v>
      </c>
      <c r="T1268" s="15">
        <f t="shared" si="3"/>
        <v>0.2085144141</v>
      </c>
      <c r="U1268" s="15">
        <f t="shared" si="4"/>
        <v>0.06951207474</v>
      </c>
      <c r="V1268" s="16">
        <f>IF(AND(L1268="Among all respondents",NOT(OR(K1268="Online poll in Telegram channel",K1268="Website online poll",K1268="CAWI (Computer Assisted Web Interviewing)"))),1/(1-MIN(MAX(Formula!$C$33+(YEAR(D1268)-Formula!$C$34)/(Formula!$C$35-Formula!$C$34)*(Formula!$C$32-Formula!$C$33),Formula!$C$33),Formula!$C$32)),1)</f>
        <v>1</v>
      </c>
      <c r="W1268" s="17">
        <f t="shared" si="5"/>
        <v>2.6</v>
      </c>
    </row>
    <row r="1269" ht="15.75" customHeight="1">
      <c r="A1269" s="8" t="s">
        <v>2042</v>
      </c>
      <c r="B1269" s="7" t="s">
        <v>2029</v>
      </c>
      <c r="C1269" s="13" t="s">
        <v>2030</v>
      </c>
      <c r="D1269" s="7" t="s">
        <v>189</v>
      </c>
      <c r="E1269" s="8" t="s">
        <v>40</v>
      </c>
      <c r="F1269" s="8" t="s">
        <v>318</v>
      </c>
      <c r="G1269" s="7" t="s">
        <v>2017</v>
      </c>
      <c r="H1269" s="7" t="s">
        <v>2031</v>
      </c>
      <c r="I1269" s="8">
        <v>2500.0</v>
      </c>
      <c r="J1269" s="8">
        <v>2.0</v>
      </c>
      <c r="K1269" s="8" t="s">
        <v>321</v>
      </c>
      <c r="L1269" s="8" t="s">
        <v>322</v>
      </c>
      <c r="M1269" s="8" t="s">
        <v>1171</v>
      </c>
      <c r="N1269" s="8">
        <v>0.4</v>
      </c>
      <c r="O1269" s="14">
        <f t="shared" si="1"/>
        <v>44378</v>
      </c>
      <c r="P1269" s="15">
        <f>IFERROR(VLOOKUP(K1269,Formula!$A$11:$B$20,2,FALSE),Formula!$C$26)</f>
        <v>0.9</v>
      </c>
      <c r="Q1269" s="15">
        <f>IF(AND(ISNUMBER(J1269),J1269&gt;0),1/J1269,IF(AND(ISNUMBER(I1269),I1269&gt;0),SQRT(MIN(I1269,Formula!$C$27))/Formula!$C$24,1/Formula!$C$25))</f>
        <v>0.5</v>
      </c>
      <c r="R1269" s="15">
        <f t="shared" si="2"/>
        <v>0.45</v>
      </c>
      <c r="S1269" s="15">
        <f>IF(H1269&lt;&gt;"",EXP(-Formula!$C$28*(EOMONTH(H1269,0)-H1269)),EXP(-Formula!$C$28*(EOMONTH(D1269,0)-D1269)))</f>
        <v>0.7408182207</v>
      </c>
      <c r="T1269" s="15">
        <f t="shared" si="3"/>
        <v>0.2085144141</v>
      </c>
      <c r="U1269" s="15">
        <f t="shared" si="4"/>
        <v>0.06951207474</v>
      </c>
      <c r="V1269" s="16">
        <f>IF(AND(L1269="Among all respondents",NOT(OR(K1269="Online poll in Telegram channel",K1269="Website online poll",K1269="CAWI (Computer Assisted Web Interviewing)"))),1/(1-MIN(MAX(Formula!$C$33+(YEAR(D1269)-Formula!$C$34)/(Formula!$C$35-Formula!$C$34)*(Formula!$C$32-Formula!$C$33),Formula!$C$33),Formula!$C$32)),1)</f>
        <v>1</v>
      </c>
      <c r="W1269" s="17">
        <f t="shared" si="5"/>
        <v>0.4</v>
      </c>
    </row>
    <row r="1270" ht="15.75" customHeight="1">
      <c r="A1270" s="8" t="s">
        <v>2043</v>
      </c>
      <c r="B1270" s="7" t="s">
        <v>2044</v>
      </c>
      <c r="C1270" s="13" t="s">
        <v>2045</v>
      </c>
      <c r="D1270" s="7" t="s">
        <v>190</v>
      </c>
      <c r="E1270" s="8" t="s">
        <v>150</v>
      </c>
      <c r="F1270" s="8" t="s">
        <v>318</v>
      </c>
      <c r="G1270" s="7" t="s">
        <v>2046</v>
      </c>
      <c r="H1270" s="7" t="s">
        <v>2047</v>
      </c>
      <c r="I1270" s="8">
        <v>1224.0</v>
      </c>
      <c r="J1270" s="8">
        <v>3.0</v>
      </c>
      <c r="K1270" s="8" t="s">
        <v>583</v>
      </c>
      <c r="L1270" s="8" t="s">
        <v>322</v>
      </c>
      <c r="M1270" s="8" t="s">
        <v>323</v>
      </c>
      <c r="N1270" s="8">
        <v>26.4</v>
      </c>
      <c r="O1270" s="14">
        <f t="shared" si="1"/>
        <v>44378</v>
      </c>
      <c r="P1270" s="15">
        <f>IFERROR(VLOOKUP(K1270,Formula!$A$11:$B$20,2,FALSE),Formula!$C$26)</f>
        <v>0.95</v>
      </c>
      <c r="Q1270" s="15">
        <f>IF(AND(ISNUMBER(J1270),J1270&gt;0),1/J1270,IF(AND(ISNUMBER(I1270),I1270&gt;0),SQRT(MIN(I1270,Formula!$C$27))/Formula!$C$24,1/Formula!$C$25))</f>
        <v>0.3333333333</v>
      </c>
      <c r="R1270" s="15">
        <f t="shared" si="2"/>
        <v>0.3166666667</v>
      </c>
      <c r="S1270" s="15">
        <f>IF(H1270&lt;&gt;"",EXP(-Formula!$C$28*(EOMONTH(H1270,0)-H1270)),EXP(-Formula!$C$28*(EOMONTH(D1270,0)-D1270)))</f>
        <v>0.5220457768</v>
      </c>
      <c r="T1270" s="15">
        <f t="shared" si="3"/>
        <v>0.3333333333</v>
      </c>
      <c r="U1270" s="15">
        <f t="shared" si="4"/>
        <v>0.05510483199</v>
      </c>
      <c r="V1270" s="16">
        <f>IF(AND(L1270="Among all respondents",NOT(OR(K1270="Online poll in Telegram channel",K1270="Website online poll",K1270="CAWI (Computer Assisted Web Interviewing)"))),1/(1-MIN(MAX(Formula!$C$33+(YEAR(D1270)-Formula!$C$34)/(Formula!$C$35-Formula!$C$34)*(Formula!$C$32-Formula!$C$33),Formula!$C$33),Formula!$C$32)),1)</f>
        <v>1</v>
      </c>
      <c r="W1270" s="17">
        <f t="shared" si="5"/>
        <v>26.4</v>
      </c>
    </row>
    <row r="1271" ht="15.75" customHeight="1">
      <c r="A1271" s="8" t="s">
        <v>2048</v>
      </c>
      <c r="B1271" s="7" t="s">
        <v>2044</v>
      </c>
      <c r="C1271" s="13" t="s">
        <v>2045</v>
      </c>
      <c r="D1271" s="7" t="s">
        <v>190</v>
      </c>
      <c r="E1271" s="8" t="s">
        <v>150</v>
      </c>
      <c r="F1271" s="8" t="s">
        <v>318</v>
      </c>
      <c r="G1271" s="7" t="s">
        <v>2046</v>
      </c>
      <c r="H1271" s="7" t="s">
        <v>2047</v>
      </c>
      <c r="I1271" s="8">
        <v>1224.0</v>
      </c>
      <c r="J1271" s="8">
        <v>3.0</v>
      </c>
      <c r="K1271" s="8" t="s">
        <v>583</v>
      </c>
      <c r="L1271" s="8" t="s">
        <v>322</v>
      </c>
      <c r="M1271" s="8" t="s">
        <v>365</v>
      </c>
      <c r="N1271" s="8">
        <v>18.0</v>
      </c>
      <c r="O1271" s="14">
        <f t="shared" si="1"/>
        <v>44378</v>
      </c>
      <c r="P1271" s="15">
        <f>IFERROR(VLOOKUP(K1271,Formula!$A$11:$B$20,2,FALSE),Formula!$C$26)</f>
        <v>0.95</v>
      </c>
      <c r="Q1271" s="15">
        <f>IF(AND(ISNUMBER(J1271),J1271&gt;0),1/J1271,IF(AND(ISNUMBER(I1271),I1271&gt;0),SQRT(MIN(I1271,Formula!$C$27))/Formula!$C$24,1/Formula!$C$25))</f>
        <v>0.3333333333</v>
      </c>
      <c r="R1271" s="15">
        <f t="shared" si="2"/>
        <v>0.3166666667</v>
      </c>
      <c r="S1271" s="15">
        <f>IF(H1271&lt;&gt;"",EXP(-Formula!$C$28*(EOMONTH(H1271,0)-H1271)),EXP(-Formula!$C$28*(EOMONTH(D1271,0)-D1271)))</f>
        <v>0.5220457768</v>
      </c>
      <c r="T1271" s="15">
        <f t="shared" si="3"/>
        <v>0.3333333333</v>
      </c>
      <c r="U1271" s="15">
        <f t="shared" si="4"/>
        <v>0.05510483199</v>
      </c>
      <c r="V1271" s="16">
        <f>IF(AND(L1271="Among all respondents",NOT(OR(K1271="Online poll in Telegram channel",K1271="Website online poll",K1271="CAWI (Computer Assisted Web Interviewing)"))),1/(1-MIN(MAX(Formula!$C$33+(YEAR(D1271)-Formula!$C$34)/(Formula!$C$35-Formula!$C$34)*(Formula!$C$32-Formula!$C$33),Formula!$C$33),Formula!$C$32)),1)</f>
        <v>1</v>
      </c>
      <c r="W1271" s="17">
        <f t="shared" si="5"/>
        <v>18</v>
      </c>
    </row>
    <row r="1272" ht="15.75" customHeight="1">
      <c r="A1272" s="8" t="s">
        <v>2049</v>
      </c>
      <c r="B1272" s="7" t="s">
        <v>2044</v>
      </c>
      <c r="C1272" s="13" t="s">
        <v>2045</v>
      </c>
      <c r="D1272" s="7" t="s">
        <v>190</v>
      </c>
      <c r="E1272" s="8" t="s">
        <v>150</v>
      </c>
      <c r="F1272" s="8" t="s">
        <v>318</v>
      </c>
      <c r="G1272" s="7" t="s">
        <v>2046</v>
      </c>
      <c r="H1272" s="7" t="s">
        <v>2047</v>
      </c>
      <c r="I1272" s="8">
        <v>1224.0</v>
      </c>
      <c r="J1272" s="8">
        <v>3.0</v>
      </c>
      <c r="K1272" s="8" t="s">
        <v>583</v>
      </c>
      <c r="L1272" s="8" t="s">
        <v>322</v>
      </c>
      <c r="M1272" s="8" t="s">
        <v>329</v>
      </c>
      <c r="N1272" s="8">
        <v>16.0</v>
      </c>
      <c r="O1272" s="14">
        <f t="shared" si="1"/>
        <v>44378</v>
      </c>
      <c r="P1272" s="15">
        <f>IFERROR(VLOOKUP(K1272,Formula!$A$11:$B$20,2,FALSE),Formula!$C$26)</f>
        <v>0.95</v>
      </c>
      <c r="Q1272" s="15">
        <f>IF(AND(ISNUMBER(J1272),J1272&gt;0),1/J1272,IF(AND(ISNUMBER(I1272),I1272&gt;0),SQRT(MIN(I1272,Formula!$C$27))/Formula!$C$24,1/Formula!$C$25))</f>
        <v>0.3333333333</v>
      </c>
      <c r="R1272" s="15">
        <f t="shared" si="2"/>
        <v>0.3166666667</v>
      </c>
      <c r="S1272" s="15">
        <f>IF(H1272&lt;&gt;"",EXP(-Formula!$C$28*(EOMONTH(H1272,0)-H1272)),EXP(-Formula!$C$28*(EOMONTH(D1272,0)-D1272)))</f>
        <v>0.5220457768</v>
      </c>
      <c r="T1272" s="15">
        <f t="shared" si="3"/>
        <v>0.3333333333</v>
      </c>
      <c r="U1272" s="15">
        <f t="shared" si="4"/>
        <v>0.05510483199</v>
      </c>
      <c r="V1272" s="16">
        <f>IF(AND(L1272="Among all respondents",NOT(OR(K1272="Online poll in Telegram channel",K1272="Website online poll",K1272="CAWI (Computer Assisted Web Interviewing)"))),1/(1-MIN(MAX(Formula!$C$33+(YEAR(D1272)-Formula!$C$34)/(Formula!$C$35-Formula!$C$34)*(Formula!$C$32-Formula!$C$33),Formula!$C$33),Formula!$C$32)),1)</f>
        <v>1</v>
      </c>
      <c r="W1272" s="17">
        <f t="shared" si="5"/>
        <v>16</v>
      </c>
    </row>
    <row r="1273" ht="15.75" customHeight="1">
      <c r="A1273" s="8" t="s">
        <v>2050</v>
      </c>
      <c r="B1273" s="7" t="s">
        <v>2044</v>
      </c>
      <c r="C1273" s="13" t="s">
        <v>2045</v>
      </c>
      <c r="D1273" s="7" t="s">
        <v>190</v>
      </c>
      <c r="E1273" s="8" t="s">
        <v>150</v>
      </c>
      <c r="F1273" s="8" t="s">
        <v>318</v>
      </c>
      <c r="G1273" s="7" t="s">
        <v>2046</v>
      </c>
      <c r="H1273" s="7" t="s">
        <v>2047</v>
      </c>
      <c r="I1273" s="8">
        <v>1224.0</v>
      </c>
      <c r="J1273" s="8">
        <v>3.0</v>
      </c>
      <c r="K1273" s="8" t="s">
        <v>583</v>
      </c>
      <c r="L1273" s="8" t="s">
        <v>322</v>
      </c>
      <c r="M1273" s="8" t="s">
        <v>337</v>
      </c>
      <c r="N1273" s="8">
        <v>12.9</v>
      </c>
      <c r="O1273" s="14">
        <f t="shared" si="1"/>
        <v>44378</v>
      </c>
      <c r="P1273" s="15">
        <f>IFERROR(VLOOKUP(K1273,Formula!$A$11:$B$20,2,FALSE),Formula!$C$26)</f>
        <v>0.95</v>
      </c>
      <c r="Q1273" s="15">
        <f>IF(AND(ISNUMBER(J1273),J1273&gt;0),1/J1273,IF(AND(ISNUMBER(I1273),I1273&gt;0),SQRT(MIN(I1273,Formula!$C$27))/Formula!$C$24,1/Formula!$C$25))</f>
        <v>0.3333333333</v>
      </c>
      <c r="R1273" s="15">
        <f t="shared" si="2"/>
        <v>0.3166666667</v>
      </c>
      <c r="S1273" s="15">
        <f>IF(H1273&lt;&gt;"",EXP(-Formula!$C$28*(EOMONTH(H1273,0)-H1273)),EXP(-Formula!$C$28*(EOMONTH(D1273,0)-D1273)))</f>
        <v>0.5220457768</v>
      </c>
      <c r="T1273" s="15">
        <f t="shared" si="3"/>
        <v>0.3333333333</v>
      </c>
      <c r="U1273" s="15">
        <f t="shared" si="4"/>
        <v>0.05510483199</v>
      </c>
      <c r="V1273" s="16">
        <f>IF(AND(L1273="Among all respondents",NOT(OR(K1273="Online poll in Telegram channel",K1273="Website online poll",K1273="CAWI (Computer Assisted Web Interviewing)"))),1/(1-MIN(MAX(Formula!$C$33+(YEAR(D1273)-Formula!$C$34)/(Formula!$C$35-Formula!$C$34)*(Formula!$C$32-Formula!$C$33),Formula!$C$33),Formula!$C$32)),1)</f>
        <v>1</v>
      </c>
      <c r="W1273" s="17">
        <f t="shared" si="5"/>
        <v>12.9</v>
      </c>
    </row>
    <row r="1274" ht="15.75" customHeight="1">
      <c r="A1274" s="8" t="s">
        <v>2051</v>
      </c>
      <c r="B1274" s="7" t="s">
        <v>2044</v>
      </c>
      <c r="C1274" s="13" t="s">
        <v>2045</v>
      </c>
      <c r="D1274" s="7" t="s">
        <v>190</v>
      </c>
      <c r="E1274" s="8" t="s">
        <v>150</v>
      </c>
      <c r="F1274" s="8" t="s">
        <v>318</v>
      </c>
      <c r="G1274" s="7" t="s">
        <v>2046</v>
      </c>
      <c r="H1274" s="7" t="s">
        <v>2047</v>
      </c>
      <c r="I1274" s="8">
        <v>1224.0</v>
      </c>
      <c r="J1274" s="8">
        <v>3.0</v>
      </c>
      <c r="K1274" s="8" t="s">
        <v>583</v>
      </c>
      <c r="L1274" s="8" t="s">
        <v>322</v>
      </c>
      <c r="M1274" s="8" t="s">
        <v>828</v>
      </c>
      <c r="N1274" s="8">
        <v>7.0</v>
      </c>
      <c r="O1274" s="14">
        <f t="shared" si="1"/>
        <v>44378</v>
      </c>
      <c r="P1274" s="15">
        <f>IFERROR(VLOOKUP(K1274,Formula!$A$11:$B$20,2,FALSE),Formula!$C$26)</f>
        <v>0.95</v>
      </c>
      <c r="Q1274" s="15">
        <f>IF(AND(ISNUMBER(J1274),J1274&gt;0),1/J1274,IF(AND(ISNUMBER(I1274),I1274&gt;0),SQRT(MIN(I1274,Formula!$C$27))/Formula!$C$24,1/Formula!$C$25))</f>
        <v>0.3333333333</v>
      </c>
      <c r="R1274" s="15">
        <f t="shared" si="2"/>
        <v>0.3166666667</v>
      </c>
      <c r="S1274" s="15">
        <f>IF(H1274&lt;&gt;"",EXP(-Formula!$C$28*(EOMONTH(H1274,0)-H1274)),EXP(-Formula!$C$28*(EOMONTH(D1274,0)-D1274)))</f>
        <v>0.5220457768</v>
      </c>
      <c r="T1274" s="15">
        <f t="shared" si="3"/>
        <v>0.3333333333</v>
      </c>
      <c r="U1274" s="15">
        <f t="shared" si="4"/>
        <v>0.05510483199</v>
      </c>
      <c r="V1274" s="16">
        <f>IF(AND(L1274="Among all respondents",NOT(OR(K1274="Online poll in Telegram channel",K1274="Website online poll",K1274="CAWI (Computer Assisted Web Interviewing)"))),1/(1-MIN(MAX(Formula!$C$33+(YEAR(D1274)-Formula!$C$34)/(Formula!$C$35-Formula!$C$34)*(Formula!$C$32-Formula!$C$33),Formula!$C$33),Formula!$C$32)),1)</f>
        <v>1</v>
      </c>
      <c r="W1274" s="17">
        <f t="shared" si="5"/>
        <v>7</v>
      </c>
    </row>
    <row r="1275" ht="15.75" customHeight="1">
      <c r="A1275" s="8" t="s">
        <v>2052</v>
      </c>
      <c r="B1275" s="7" t="s">
        <v>2044</v>
      </c>
      <c r="C1275" s="13" t="s">
        <v>2045</v>
      </c>
      <c r="D1275" s="7" t="s">
        <v>190</v>
      </c>
      <c r="E1275" s="8" t="s">
        <v>150</v>
      </c>
      <c r="F1275" s="8" t="s">
        <v>318</v>
      </c>
      <c r="G1275" s="7" t="s">
        <v>2046</v>
      </c>
      <c r="H1275" s="7" t="s">
        <v>2047</v>
      </c>
      <c r="I1275" s="8">
        <v>1224.0</v>
      </c>
      <c r="J1275" s="8">
        <v>3.0</v>
      </c>
      <c r="K1275" s="8" t="s">
        <v>583</v>
      </c>
      <c r="L1275" s="8" t="s">
        <v>322</v>
      </c>
      <c r="M1275" s="8" t="s">
        <v>386</v>
      </c>
      <c r="N1275" s="8">
        <v>4.6</v>
      </c>
      <c r="O1275" s="14">
        <f t="shared" si="1"/>
        <v>44378</v>
      </c>
      <c r="P1275" s="15">
        <f>IFERROR(VLOOKUP(K1275,Formula!$A$11:$B$20,2,FALSE),Formula!$C$26)</f>
        <v>0.95</v>
      </c>
      <c r="Q1275" s="15">
        <f>IF(AND(ISNUMBER(J1275),J1275&gt;0),1/J1275,IF(AND(ISNUMBER(I1275),I1275&gt;0),SQRT(MIN(I1275,Formula!$C$27))/Formula!$C$24,1/Formula!$C$25))</f>
        <v>0.3333333333</v>
      </c>
      <c r="R1275" s="15">
        <f t="shared" si="2"/>
        <v>0.3166666667</v>
      </c>
      <c r="S1275" s="15">
        <f>IF(H1275&lt;&gt;"",EXP(-Formula!$C$28*(EOMONTH(H1275,0)-H1275)),EXP(-Formula!$C$28*(EOMONTH(D1275,0)-D1275)))</f>
        <v>0.5220457768</v>
      </c>
      <c r="T1275" s="15">
        <f t="shared" si="3"/>
        <v>0.3333333333</v>
      </c>
      <c r="U1275" s="15">
        <f t="shared" si="4"/>
        <v>0.05510483199</v>
      </c>
      <c r="V1275" s="16">
        <f>IF(AND(L1275="Among all respondents",NOT(OR(K1275="Online poll in Telegram channel",K1275="Website online poll",K1275="CAWI (Computer Assisted Web Interviewing)"))),1/(1-MIN(MAX(Formula!$C$33+(YEAR(D1275)-Formula!$C$34)/(Formula!$C$35-Formula!$C$34)*(Formula!$C$32-Formula!$C$33),Formula!$C$33),Formula!$C$32)),1)</f>
        <v>1</v>
      </c>
      <c r="W1275" s="17">
        <f t="shared" si="5"/>
        <v>4.6</v>
      </c>
    </row>
    <row r="1276" ht="15.75" customHeight="1">
      <c r="A1276" s="8" t="s">
        <v>2053</v>
      </c>
      <c r="B1276" s="7" t="s">
        <v>2044</v>
      </c>
      <c r="C1276" s="13" t="s">
        <v>2045</v>
      </c>
      <c r="D1276" s="7" t="s">
        <v>190</v>
      </c>
      <c r="E1276" s="8" t="s">
        <v>150</v>
      </c>
      <c r="F1276" s="8" t="s">
        <v>318</v>
      </c>
      <c r="G1276" s="7" t="s">
        <v>2046</v>
      </c>
      <c r="H1276" s="7" t="s">
        <v>2047</v>
      </c>
      <c r="I1276" s="8">
        <v>1224.0</v>
      </c>
      <c r="J1276" s="8">
        <v>3.0</v>
      </c>
      <c r="K1276" s="8" t="s">
        <v>583</v>
      </c>
      <c r="L1276" s="8" t="s">
        <v>322</v>
      </c>
      <c r="M1276" s="8" t="s">
        <v>388</v>
      </c>
      <c r="N1276" s="8">
        <v>3.6</v>
      </c>
      <c r="O1276" s="14">
        <f t="shared" si="1"/>
        <v>44378</v>
      </c>
      <c r="P1276" s="15">
        <f>IFERROR(VLOOKUP(K1276,Formula!$A$11:$B$20,2,FALSE),Formula!$C$26)</f>
        <v>0.95</v>
      </c>
      <c r="Q1276" s="15">
        <f>IF(AND(ISNUMBER(J1276),J1276&gt;0),1/J1276,IF(AND(ISNUMBER(I1276),I1276&gt;0),SQRT(MIN(I1276,Formula!$C$27))/Formula!$C$24,1/Formula!$C$25))</f>
        <v>0.3333333333</v>
      </c>
      <c r="R1276" s="15">
        <f t="shared" si="2"/>
        <v>0.3166666667</v>
      </c>
      <c r="S1276" s="15">
        <f>IF(H1276&lt;&gt;"",EXP(-Formula!$C$28*(EOMONTH(H1276,0)-H1276)),EXP(-Formula!$C$28*(EOMONTH(D1276,0)-D1276)))</f>
        <v>0.5220457768</v>
      </c>
      <c r="T1276" s="15">
        <f t="shared" si="3"/>
        <v>0.3333333333</v>
      </c>
      <c r="U1276" s="15">
        <f t="shared" si="4"/>
        <v>0.05510483199</v>
      </c>
      <c r="V1276" s="16">
        <f>IF(AND(L1276="Among all respondents",NOT(OR(K1276="Online poll in Telegram channel",K1276="Website online poll",K1276="CAWI (Computer Assisted Web Interviewing)"))),1/(1-MIN(MAX(Formula!$C$33+(YEAR(D1276)-Formula!$C$34)/(Formula!$C$35-Formula!$C$34)*(Formula!$C$32-Formula!$C$33),Formula!$C$33),Formula!$C$32)),1)</f>
        <v>1</v>
      </c>
      <c r="W1276" s="17">
        <f t="shared" si="5"/>
        <v>3.6</v>
      </c>
    </row>
    <row r="1277" ht="15.75" customHeight="1">
      <c r="A1277" s="8" t="s">
        <v>2054</v>
      </c>
      <c r="B1277" s="7" t="s">
        <v>2044</v>
      </c>
      <c r="C1277" s="13" t="s">
        <v>2045</v>
      </c>
      <c r="D1277" s="7" t="s">
        <v>190</v>
      </c>
      <c r="E1277" s="8" t="s">
        <v>150</v>
      </c>
      <c r="F1277" s="8" t="s">
        <v>318</v>
      </c>
      <c r="G1277" s="7" t="s">
        <v>2046</v>
      </c>
      <c r="H1277" s="7" t="s">
        <v>2047</v>
      </c>
      <c r="I1277" s="8">
        <v>1224.0</v>
      </c>
      <c r="J1277" s="8">
        <v>3.0</v>
      </c>
      <c r="K1277" s="8" t="s">
        <v>583</v>
      </c>
      <c r="L1277" s="8" t="s">
        <v>322</v>
      </c>
      <c r="M1277" s="8" t="s">
        <v>333</v>
      </c>
      <c r="N1277" s="8">
        <v>3.5</v>
      </c>
      <c r="O1277" s="14">
        <f t="shared" si="1"/>
        <v>44378</v>
      </c>
      <c r="P1277" s="15">
        <f>IFERROR(VLOOKUP(K1277,Formula!$A$11:$B$20,2,FALSE),Formula!$C$26)</f>
        <v>0.95</v>
      </c>
      <c r="Q1277" s="15">
        <f>IF(AND(ISNUMBER(J1277),J1277&gt;0),1/J1277,IF(AND(ISNUMBER(I1277),I1277&gt;0),SQRT(MIN(I1277,Formula!$C$27))/Formula!$C$24,1/Formula!$C$25))</f>
        <v>0.3333333333</v>
      </c>
      <c r="R1277" s="15">
        <f t="shared" si="2"/>
        <v>0.3166666667</v>
      </c>
      <c r="S1277" s="15">
        <f>IF(H1277&lt;&gt;"",EXP(-Formula!$C$28*(EOMONTH(H1277,0)-H1277)),EXP(-Formula!$C$28*(EOMONTH(D1277,0)-D1277)))</f>
        <v>0.5220457768</v>
      </c>
      <c r="T1277" s="15">
        <f t="shared" si="3"/>
        <v>0.3333333333</v>
      </c>
      <c r="U1277" s="15">
        <f t="shared" si="4"/>
        <v>0.05510483199</v>
      </c>
      <c r="V1277" s="16">
        <f>IF(AND(L1277="Among all respondents",NOT(OR(K1277="Online poll in Telegram channel",K1277="Website online poll",K1277="CAWI (Computer Assisted Web Interviewing)"))),1/(1-MIN(MAX(Formula!$C$33+(YEAR(D1277)-Formula!$C$34)/(Formula!$C$35-Formula!$C$34)*(Formula!$C$32-Formula!$C$33),Formula!$C$33),Formula!$C$32)),1)</f>
        <v>1</v>
      </c>
      <c r="W1277" s="17">
        <f t="shared" si="5"/>
        <v>3.5</v>
      </c>
    </row>
    <row r="1278" ht="15.75" customHeight="1">
      <c r="A1278" s="8" t="s">
        <v>2055</v>
      </c>
      <c r="B1278" s="7" t="s">
        <v>2044</v>
      </c>
      <c r="C1278" s="13" t="s">
        <v>2045</v>
      </c>
      <c r="D1278" s="7" t="s">
        <v>190</v>
      </c>
      <c r="E1278" s="8" t="s">
        <v>150</v>
      </c>
      <c r="F1278" s="8" t="s">
        <v>318</v>
      </c>
      <c r="G1278" s="7" t="s">
        <v>2046</v>
      </c>
      <c r="H1278" s="7" t="s">
        <v>2047</v>
      </c>
      <c r="I1278" s="8">
        <v>1224.0</v>
      </c>
      <c r="J1278" s="8">
        <v>3.0</v>
      </c>
      <c r="K1278" s="8" t="s">
        <v>583</v>
      </c>
      <c r="L1278" s="8" t="s">
        <v>322</v>
      </c>
      <c r="M1278" s="8" t="s">
        <v>1153</v>
      </c>
      <c r="N1278" s="8">
        <v>2.1</v>
      </c>
      <c r="O1278" s="14">
        <f t="shared" si="1"/>
        <v>44378</v>
      </c>
      <c r="P1278" s="15">
        <f>IFERROR(VLOOKUP(K1278,Formula!$A$11:$B$20,2,FALSE),Formula!$C$26)</f>
        <v>0.95</v>
      </c>
      <c r="Q1278" s="15">
        <f>IF(AND(ISNUMBER(J1278),J1278&gt;0),1/J1278,IF(AND(ISNUMBER(I1278),I1278&gt;0),SQRT(MIN(I1278,Formula!$C$27))/Formula!$C$24,1/Formula!$C$25))</f>
        <v>0.3333333333</v>
      </c>
      <c r="R1278" s="15">
        <f t="shared" si="2"/>
        <v>0.3166666667</v>
      </c>
      <c r="S1278" s="15">
        <f>IF(H1278&lt;&gt;"",EXP(-Formula!$C$28*(EOMONTH(H1278,0)-H1278)),EXP(-Formula!$C$28*(EOMONTH(D1278,0)-D1278)))</f>
        <v>0.5220457768</v>
      </c>
      <c r="T1278" s="15">
        <f t="shared" si="3"/>
        <v>0.3333333333</v>
      </c>
      <c r="U1278" s="15">
        <f t="shared" si="4"/>
        <v>0.05510483199</v>
      </c>
      <c r="V1278" s="16">
        <f>IF(AND(L1278="Among all respondents",NOT(OR(K1278="Online poll in Telegram channel",K1278="Website online poll",K1278="CAWI (Computer Assisted Web Interviewing)"))),1/(1-MIN(MAX(Formula!$C$33+(YEAR(D1278)-Formula!$C$34)/(Formula!$C$35-Formula!$C$34)*(Formula!$C$32-Formula!$C$33),Formula!$C$33),Formula!$C$32)),1)</f>
        <v>1</v>
      </c>
      <c r="W1278" s="17">
        <f t="shared" si="5"/>
        <v>2.1</v>
      </c>
    </row>
    <row r="1279" ht="15.75" customHeight="1">
      <c r="A1279" s="8" t="s">
        <v>2056</v>
      </c>
      <c r="B1279" s="7" t="s">
        <v>2057</v>
      </c>
      <c r="C1279" s="13" t="s">
        <v>2058</v>
      </c>
      <c r="D1279" s="7" t="s">
        <v>191</v>
      </c>
      <c r="E1279" s="8" t="s">
        <v>158</v>
      </c>
      <c r="F1279" s="8" t="s">
        <v>318</v>
      </c>
      <c r="G1279" s="7" t="s">
        <v>2059</v>
      </c>
      <c r="H1279" s="7" t="s">
        <v>2060</v>
      </c>
      <c r="I1279" s="8">
        <v>2019.0</v>
      </c>
      <c r="J1279" s="8">
        <v>3.0</v>
      </c>
      <c r="K1279" s="8" t="s">
        <v>583</v>
      </c>
      <c r="L1279" s="8" t="s">
        <v>322</v>
      </c>
      <c r="M1279" s="8" t="s">
        <v>323</v>
      </c>
      <c r="N1279" s="8">
        <v>26.7</v>
      </c>
      <c r="O1279" s="14">
        <f t="shared" si="1"/>
        <v>44378</v>
      </c>
      <c r="P1279" s="15">
        <f>IFERROR(VLOOKUP(K1279,Formula!$A$11:$B$20,2,FALSE),Formula!$C$26)</f>
        <v>0.95</v>
      </c>
      <c r="Q1279" s="15">
        <f>IF(AND(ISNUMBER(J1279),J1279&gt;0),1/J1279,IF(AND(ISNUMBER(I1279),I1279&gt;0),SQRT(MIN(I1279,Formula!$C$27))/Formula!$C$24,1/Formula!$C$25))</f>
        <v>0.3333333333</v>
      </c>
      <c r="R1279" s="15">
        <f t="shared" si="2"/>
        <v>0.3166666667</v>
      </c>
      <c r="S1279" s="15">
        <f>IF(H1279&lt;&gt;"",EXP(-Formula!$C$28*(EOMONTH(H1279,0)-H1279)),EXP(-Formula!$C$28*(EOMONTH(D1279,0)-D1279)))</f>
        <v>0.3499377491</v>
      </c>
      <c r="T1279" s="15">
        <f t="shared" si="3"/>
        <v>0.1767766953</v>
      </c>
      <c r="U1279" s="15">
        <f t="shared" si="4"/>
        <v>0.01958926564</v>
      </c>
      <c r="V1279" s="16">
        <f>IF(AND(L1279="Among all respondents",NOT(OR(K1279="Online poll in Telegram channel",K1279="Website online poll",K1279="CAWI (Computer Assisted Web Interviewing)"))),1/(1-MIN(MAX(Formula!$C$33+(YEAR(D1279)-Formula!$C$34)/(Formula!$C$35-Formula!$C$34)*(Formula!$C$32-Formula!$C$33),Formula!$C$33),Formula!$C$32)),1)</f>
        <v>1</v>
      </c>
      <c r="W1279" s="17">
        <f t="shared" si="5"/>
        <v>26.7</v>
      </c>
    </row>
    <row r="1280" ht="15.75" customHeight="1">
      <c r="A1280" s="8" t="s">
        <v>2061</v>
      </c>
      <c r="B1280" s="7" t="s">
        <v>2057</v>
      </c>
      <c r="C1280" s="13" t="s">
        <v>2058</v>
      </c>
      <c r="D1280" s="7" t="s">
        <v>191</v>
      </c>
      <c r="E1280" s="8" t="s">
        <v>158</v>
      </c>
      <c r="F1280" s="8" t="s">
        <v>318</v>
      </c>
      <c r="G1280" s="7" t="s">
        <v>2059</v>
      </c>
      <c r="H1280" s="7" t="s">
        <v>2060</v>
      </c>
      <c r="I1280" s="8">
        <v>2019.0</v>
      </c>
      <c r="J1280" s="8">
        <v>3.0</v>
      </c>
      <c r="K1280" s="8" t="s">
        <v>583</v>
      </c>
      <c r="L1280" s="8" t="s">
        <v>322</v>
      </c>
      <c r="M1280" s="8" t="s">
        <v>365</v>
      </c>
      <c r="N1280" s="8">
        <v>19.2</v>
      </c>
      <c r="O1280" s="14">
        <f t="shared" si="1"/>
        <v>44378</v>
      </c>
      <c r="P1280" s="15">
        <f>IFERROR(VLOOKUP(K1280,Formula!$A$11:$B$20,2,FALSE),Formula!$C$26)</f>
        <v>0.95</v>
      </c>
      <c r="Q1280" s="15">
        <f>IF(AND(ISNUMBER(J1280),J1280&gt;0),1/J1280,IF(AND(ISNUMBER(I1280),I1280&gt;0),SQRT(MIN(I1280,Formula!$C$27))/Formula!$C$24,1/Formula!$C$25))</f>
        <v>0.3333333333</v>
      </c>
      <c r="R1280" s="15">
        <f t="shared" si="2"/>
        <v>0.3166666667</v>
      </c>
      <c r="S1280" s="15">
        <f>IF(H1280&lt;&gt;"",EXP(-Formula!$C$28*(EOMONTH(H1280,0)-H1280)),EXP(-Formula!$C$28*(EOMONTH(D1280,0)-D1280)))</f>
        <v>0.3499377491</v>
      </c>
      <c r="T1280" s="15">
        <f t="shared" si="3"/>
        <v>0.1767766953</v>
      </c>
      <c r="U1280" s="15">
        <f t="shared" si="4"/>
        <v>0.01958926564</v>
      </c>
      <c r="V1280" s="16">
        <f>IF(AND(L1280="Among all respondents",NOT(OR(K1280="Online poll in Telegram channel",K1280="Website online poll",K1280="CAWI (Computer Assisted Web Interviewing)"))),1/(1-MIN(MAX(Formula!$C$33+(YEAR(D1280)-Formula!$C$34)/(Formula!$C$35-Formula!$C$34)*(Formula!$C$32-Formula!$C$33),Formula!$C$33),Formula!$C$32)),1)</f>
        <v>1</v>
      </c>
      <c r="W1280" s="17">
        <f t="shared" si="5"/>
        <v>19.2</v>
      </c>
    </row>
    <row r="1281" ht="15.75" customHeight="1">
      <c r="A1281" s="8" t="s">
        <v>2062</v>
      </c>
      <c r="B1281" s="7" t="s">
        <v>2057</v>
      </c>
      <c r="C1281" s="13" t="s">
        <v>2058</v>
      </c>
      <c r="D1281" s="7" t="s">
        <v>191</v>
      </c>
      <c r="E1281" s="8" t="s">
        <v>158</v>
      </c>
      <c r="F1281" s="8" t="s">
        <v>318</v>
      </c>
      <c r="G1281" s="7" t="s">
        <v>2059</v>
      </c>
      <c r="H1281" s="7" t="s">
        <v>2060</v>
      </c>
      <c r="I1281" s="8">
        <v>2019.0</v>
      </c>
      <c r="J1281" s="8">
        <v>3.0</v>
      </c>
      <c r="K1281" s="8" t="s">
        <v>583</v>
      </c>
      <c r="L1281" s="8" t="s">
        <v>322</v>
      </c>
      <c r="M1281" s="8" t="s">
        <v>329</v>
      </c>
      <c r="N1281" s="8">
        <v>16.9</v>
      </c>
      <c r="O1281" s="14">
        <f t="shared" si="1"/>
        <v>44378</v>
      </c>
      <c r="P1281" s="15">
        <f>IFERROR(VLOOKUP(K1281,Formula!$A$11:$B$20,2,FALSE),Formula!$C$26)</f>
        <v>0.95</v>
      </c>
      <c r="Q1281" s="15">
        <f>IF(AND(ISNUMBER(J1281),J1281&gt;0),1/J1281,IF(AND(ISNUMBER(I1281),I1281&gt;0),SQRT(MIN(I1281,Formula!$C$27))/Formula!$C$24,1/Formula!$C$25))</f>
        <v>0.3333333333</v>
      </c>
      <c r="R1281" s="15">
        <f t="shared" si="2"/>
        <v>0.3166666667</v>
      </c>
      <c r="S1281" s="15">
        <f>IF(H1281&lt;&gt;"",EXP(-Formula!$C$28*(EOMONTH(H1281,0)-H1281)),EXP(-Formula!$C$28*(EOMONTH(D1281,0)-D1281)))</f>
        <v>0.3499377491</v>
      </c>
      <c r="T1281" s="15">
        <f t="shared" si="3"/>
        <v>0.1767766953</v>
      </c>
      <c r="U1281" s="15">
        <f t="shared" si="4"/>
        <v>0.01958926564</v>
      </c>
      <c r="V1281" s="16">
        <f>IF(AND(L1281="Among all respondents",NOT(OR(K1281="Online poll in Telegram channel",K1281="Website online poll",K1281="CAWI (Computer Assisted Web Interviewing)"))),1/(1-MIN(MAX(Formula!$C$33+(YEAR(D1281)-Formula!$C$34)/(Formula!$C$35-Formula!$C$34)*(Formula!$C$32-Formula!$C$33),Formula!$C$33),Formula!$C$32)),1)</f>
        <v>1</v>
      </c>
      <c r="W1281" s="17">
        <f t="shared" si="5"/>
        <v>16.9</v>
      </c>
    </row>
    <row r="1282" ht="15.75" customHeight="1">
      <c r="A1282" s="8" t="s">
        <v>2063</v>
      </c>
      <c r="B1282" s="7" t="s">
        <v>2057</v>
      </c>
      <c r="C1282" s="13" t="s">
        <v>2058</v>
      </c>
      <c r="D1282" s="7" t="s">
        <v>191</v>
      </c>
      <c r="E1282" s="8" t="s">
        <v>158</v>
      </c>
      <c r="F1282" s="8" t="s">
        <v>318</v>
      </c>
      <c r="G1282" s="7" t="s">
        <v>2059</v>
      </c>
      <c r="H1282" s="7" t="s">
        <v>2060</v>
      </c>
      <c r="I1282" s="8">
        <v>2019.0</v>
      </c>
      <c r="J1282" s="8">
        <v>3.0</v>
      </c>
      <c r="K1282" s="8" t="s">
        <v>583</v>
      </c>
      <c r="L1282" s="8" t="s">
        <v>322</v>
      </c>
      <c r="M1282" s="8" t="s">
        <v>337</v>
      </c>
      <c r="N1282" s="8">
        <v>14.2</v>
      </c>
      <c r="O1282" s="14">
        <f t="shared" si="1"/>
        <v>44378</v>
      </c>
      <c r="P1282" s="15">
        <f>IFERROR(VLOOKUP(K1282,Formula!$A$11:$B$20,2,FALSE),Formula!$C$26)</f>
        <v>0.95</v>
      </c>
      <c r="Q1282" s="15">
        <f>IF(AND(ISNUMBER(J1282),J1282&gt;0),1/J1282,IF(AND(ISNUMBER(I1282),I1282&gt;0),SQRT(MIN(I1282,Formula!$C$27))/Formula!$C$24,1/Formula!$C$25))</f>
        <v>0.3333333333</v>
      </c>
      <c r="R1282" s="15">
        <f t="shared" si="2"/>
        <v>0.3166666667</v>
      </c>
      <c r="S1282" s="15">
        <f>IF(H1282&lt;&gt;"",EXP(-Formula!$C$28*(EOMONTH(H1282,0)-H1282)),EXP(-Formula!$C$28*(EOMONTH(D1282,0)-D1282)))</f>
        <v>0.3499377491</v>
      </c>
      <c r="T1282" s="15">
        <f t="shared" si="3"/>
        <v>0.1767766953</v>
      </c>
      <c r="U1282" s="15">
        <f t="shared" si="4"/>
        <v>0.01958926564</v>
      </c>
      <c r="V1282" s="16">
        <f>IF(AND(L1282="Among all respondents",NOT(OR(K1282="Online poll in Telegram channel",K1282="Website online poll",K1282="CAWI (Computer Assisted Web Interviewing)"))),1/(1-MIN(MAX(Formula!$C$33+(YEAR(D1282)-Formula!$C$34)/(Formula!$C$35-Formula!$C$34)*(Formula!$C$32-Formula!$C$33),Formula!$C$33),Formula!$C$32)),1)</f>
        <v>1</v>
      </c>
      <c r="W1282" s="17">
        <f t="shared" si="5"/>
        <v>14.2</v>
      </c>
    </row>
    <row r="1283" ht="15.75" customHeight="1">
      <c r="A1283" s="8" t="s">
        <v>2064</v>
      </c>
      <c r="B1283" s="7" t="s">
        <v>2057</v>
      </c>
      <c r="C1283" s="13" t="s">
        <v>2058</v>
      </c>
      <c r="D1283" s="7" t="s">
        <v>191</v>
      </c>
      <c r="E1283" s="8" t="s">
        <v>158</v>
      </c>
      <c r="F1283" s="8" t="s">
        <v>318</v>
      </c>
      <c r="G1283" s="7" t="s">
        <v>2059</v>
      </c>
      <c r="H1283" s="7" t="s">
        <v>2060</v>
      </c>
      <c r="I1283" s="8">
        <v>2019.0</v>
      </c>
      <c r="J1283" s="8">
        <v>3.0</v>
      </c>
      <c r="K1283" s="8" t="s">
        <v>583</v>
      </c>
      <c r="L1283" s="8" t="s">
        <v>322</v>
      </c>
      <c r="M1283" s="8" t="s">
        <v>828</v>
      </c>
      <c r="N1283" s="8">
        <v>6.6</v>
      </c>
      <c r="O1283" s="14">
        <f t="shared" si="1"/>
        <v>44378</v>
      </c>
      <c r="P1283" s="15">
        <f>IFERROR(VLOOKUP(K1283,Formula!$A$11:$B$20,2,FALSE),Formula!$C$26)</f>
        <v>0.95</v>
      </c>
      <c r="Q1283" s="15">
        <f>IF(AND(ISNUMBER(J1283),J1283&gt;0),1/J1283,IF(AND(ISNUMBER(I1283),I1283&gt;0),SQRT(MIN(I1283,Formula!$C$27))/Formula!$C$24,1/Formula!$C$25))</f>
        <v>0.3333333333</v>
      </c>
      <c r="R1283" s="15">
        <f t="shared" si="2"/>
        <v>0.3166666667</v>
      </c>
      <c r="S1283" s="15">
        <f>IF(H1283&lt;&gt;"",EXP(-Formula!$C$28*(EOMONTH(H1283,0)-H1283)),EXP(-Formula!$C$28*(EOMONTH(D1283,0)-D1283)))</f>
        <v>0.3499377491</v>
      </c>
      <c r="T1283" s="15">
        <f t="shared" si="3"/>
        <v>0.1767766953</v>
      </c>
      <c r="U1283" s="15">
        <f t="shared" si="4"/>
        <v>0.01958926564</v>
      </c>
      <c r="V1283" s="16">
        <f>IF(AND(L1283="Among all respondents",NOT(OR(K1283="Online poll in Telegram channel",K1283="Website online poll",K1283="CAWI (Computer Assisted Web Interviewing)"))),1/(1-MIN(MAX(Formula!$C$33+(YEAR(D1283)-Formula!$C$34)/(Formula!$C$35-Formula!$C$34)*(Formula!$C$32-Formula!$C$33),Formula!$C$33),Formula!$C$32)),1)</f>
        <v>1</v>
      </c>
      <c r="W1283" s="17">
        <f t="shared" si="5"/>
        <v>6.6</v>
      </c>
    </row>
    <row r="1284" ht="15.75" customHeight="1">
      <c r="A1284" s="8" t="s">
        <v>2065</v>
      </c>
      <c r="B1284" s="7" t="s">
        <v>2057</v>
      </c>
      <c r="C1284" s="13" t="s">
        <v>2058</v>
      </c>
      <c r="D1284" s="7" t="s">
        <v>191</v>
      </c>
      <c r="E1284" s="8" t="s">
        <v>158</v>
      </c>
      <c r="F1284" s="8" t="s">
        <v>318</v>
      </c>
      <c r="G1284" s="7" t="s">
        <v>2059</v>
      </c>
      <c r="H1284" s="7" t="s">
        <v>2060</v>
      </c>
      <c r="I1284" s="8">
        <v>2019.0</v>
      </c>
      <c r="J1284" s="8">
        <v>3.0</v>
      </c>
      <c r="K1284" s="8" t="s">
        <v>583</v>
      </c>
      <c r="L1284" s="8" t="s">
        <v>322</v>
      </c>
      <c r="M1284" s="8" t="s">
        <v>386</v>
      </c>
      <c r="N1284" s="8">
        <v>5.3</v>
      </c>
      <c r="O1284" s="14">
        <f t="shared" si="1"/>
        <v>44378</v>
      </c>
      <c r="P1284" s="15">
        <f>IFERROR(VLOOKUP(K1284,Formula!$A$11:$B$20,2,FALSE),Formula!$C$26)</f>
        <v>0.95</v>
      </c>
      <c r="Q1284" s="15">
        <f>IF(AND(ISNUMBER(J1284),J1284&gt;0),1/J1284,IF(AND(ISNUMBER(I1284),I1284&gt;0),SQRT(MIN(I1284,Formula!$C$27))/Formula!$C$24,1/Formula!$C$25))</f>
        <v>0.3333333333</v>
      </c>
      <c r="R1284" s="15">
        <f t="shared" si="2"/>
        <v>0.3166666667</v>
      </c>
      <c r="S1284" s="15">
        <f>IF(H1284&lt;&gt;"",EXP(-Formula!$C$28*(EOMONTH(H1284,0)-H1284)),EXP(-Formula!$C$28*(EOMONTH(D1284,0)-D1284)))</f>
        <v>0.3499377491</v>
      </c>
      <c r="T1284" s="15">
        <f t="shared" si="3"/>
        <v>0.1767766953</v>
      </c>
      <c r="U1284" s="15">
        <f t="shared" si="4"/>
        <v>0.01958926564</v>
      </c>
      <c r="V1284" s="16">
        <f>IF(AND(L1284="Among all respondents",NOT(OR(K1284="Online poll in Telegram channel",K1284="Website online poll",K1284="CAWI (Computer Assisted Web Interviewing)"))),1/(1-MIN(MAX(Formula!$C$33+(YEAR(D1284)-Formula!$C$34)/(Formula!$C$35-Formula!$C$34)*(Formula!$C$32-Formula!$C$33),Formula!$C$33),Formula!$C$32)),1)</f>
        <v>1</v>
      </c>
      <c r="W1284" s="17">
        <f t="shared" si="5"/>
        <v>5.3</v>
      </c>
    </row>
    <row r="1285" ht="15.75" customHeight="1">
      <c r="A1285" s="8" t="s">
        <v>2066</v>
      </c>
      <c r="B1285" s="7" t="s">
        <v>2057</v>
      </c>
      <c r="C1285" s="13" t="s">
        <v>2058</v>
      </c>
      <c r="D1285" s="7" t="s">
        <v>191</v>
      </c>
      <c r="E1285" s="8" t="s">
        <v>158</v>
      </c>
      <c r="F1285" s="8" t="s">
        <v>318</v>
      </c>
      <c r="G1285" s="7" t="s">
        <v>2059</v>
      </c>
      <c r="H1285" s="7" t="s">
        <v>2060</v>
      </c>
      <c r="I1285" s="8">
        <v>2019.0</v>
      </c>
      <c r="J1285" s="8">
        <v>3.0</v>
      </c>
      <c r="K1285" s="8" t="s">
        <v>583</v>
      </c>
      <c r="L1285" s="8" t="s">
        <v>322</v>
      </c>
      <c r="M1285" s="8" t="s">
        <v>333</v>
      </c>
      <c r="N1285" s="8">
        <v>3.4</v>
      </c>
      <c r="O1285" s="14">
        <f t="shared" si="1"/>
        <v>44378</v>
      </c>
      <c r="P1285" s="15">
        <f>IFERROR(VLOOKUP(K1285,Formula!$A$11:$B$20,2,FALSE),Formula!$C$26)</f>
        <v>0.95</v>
      </c>
      <c r="Q1285" s="15">
        <f>IF(AND(ISNUMBER(J1285),J1285&gt;0),1/J1285,IF(AND(ISNUMBER(I1285),I1285&gt;0),SQRT(MIN(I1285,Formula!$C$27))/Formula!$C$24,1/Formula!$C$25))</f>
        <v>0.3333333333</v>
      </c>
      <c r="R1285" s="15">
        <f t="shared" si="2"/>
        <v>0.3166666667</v>
      </c>
      <c r="S1285" s="15">
        <f>IF(H1285&lt;&gt;"",EXP(-Formula!$C$28*(EOMONTH(H1285,0)-H1285)),EXP(-Formula!$C$28*(EOMONTH(D1285,0)-D1285)))</f>
        <v>0.3499377491</v>
      </c>
      <c r="T1285" s="15">
        <f t="shared" si="3"/>
        <v>0.1767766953</v>
      </c>
      <c r="U1285" s="15">
        <f t="shared" si="4"/>
        <v>0.01958926564</v>
      </c>
      <c r="V1285" s="16">
        <f>IF(AND(L1285="Among all respondents",NOT(OR(K1285="Online poll in Telegram channel",K1285="Website online poll",K1285="CAWI (Computer Assisted Web Interviewing)"))),1/(1-MIN(MAX(Formula!$C$33+(YEAR(D1285)-Formula!$C$34)/(Formula!$C$35-Formula!$C$34)*(Formula!$C$32-Formula!$C$33),Formula!$C$33),Formula!$C$32)),1)</f>
        <v>1</v>
      </c>
      <c r="W1285" s="17">
        <f t="shared" si="5"/>
        <v>3.4</v>
      </c>
    </row>
    <row r="1286" ht="15.75" customHeight="1">
      <c r="A1286" s="8" t="s">
        <v>2067</v>
      </c>
      <c r="B1286" s="7" t="s">
        <v>2057</v>
      </c>
      <c r="C1286" s="13" t="s">
        <v>2058</v>
      </c>
      <c r="D1286" s="7" t="s">
        <v>191</v>
      </c>
      <c r="E1286" s="8" t="s">
        <v>158</v>
      </c>
      <c r="F1286" s="8" t="s">
        <v>318</v>
      </c>
      <c r="G1286" s="7" t="s">
        <v>2059</v>
      </c>
      <c r="H1286" s="7" t="s">
        <v>2060</v>
      </c>
      <c r="I1286" s="8">
        <v>2019.0</v>
      </c>
      <c r="J1286" s="8">
        <v>3.0</v>
      </c>
      <c r="K1286" s="8" t="s">
        <v>583</v>
      </c>
      <c r="L1286" s="8" t="s">
        <v>322</v>
      </c>
      <c r="M1286" s="8" t="s">
        <v>388</v>
      </c>
      <c r="N1286" s="8">
        <v>2.7</v>
      </c>
      <c r="O1286" s="14">
        <f t="shared" si="1"/>
        <v>44378</v>
      </c>
      <c r="P1286" s="15">
        <f>IFERROR(VLOOKUP(K1286,Formula!$A$11:$B$20,2,FALSE),Formula!$C$26)</f>
        <v>0.95</v>
      </c>
      <c r="Q1286" s="15">
        <f>IF(AND(ISNUMBER(J1286),J1286&gt;0),1/J1286,IF(AND(ISNUMBER(I1286),I1286&gt;0),SQRT(MIN(I1286,Formula!$C$27))/Formula!$C$24,1/Formula!$C$25))</f>
        <v>0.3333333333</v>
      </c>
      <c r="R1286" s="15">
        <f t="shared" si="2"/>
        <v>0.3166666667</v>
      </c>
      <c r="S1286" s="15">
        <f>IF(H1286&lt;&gt;"",EXP(-Formula!$C$28*(EOMONTH(H1286,0)-H1286)),EXP(-Formula!$C$28*(EOMONTH(D1286,0)-D1286)))</f>
        <v>0.3499377491</v>
      </c>
      <c r="T1286" s="15">
        <f t="shared" si="3"/>
        <v>0.1767766953</v>
      </c>
      <c r="U1286" s="15">
        <f t="shared" si="4"/>
        <v>0.01958926564</v>
      </c>
      <c r="V1286" s="16">
        <f>IF(AND(L1286="Among all respondents",NOT(OR(K1286="Online poll in Telegram channel",K1286="Website online poll",K1286="CAWI (Computer Assisted Web Interviewing)"))),1/(1-MIN(MAX(Formula!$C$33+(YEAR(D1286)-Formula!$C$34)/(Formula!$C$35-Formula!$C$34)*(Formula!$C$32-Formula!$C$33),Formula!$C$33),Formula!$C$32)),1)</f>
        <v>1</v>
      </c>
      <c r="W1286" s="17">
        <f t="shared" si="5"/>
        <v>2.7</v>
      </c>
    </row>
    <row r="1287" ht="15.75" customHeight="1">
      <c r="A1287" s="8" t="s">
        <v>2068</v>
      </c>
      <c r="B1287" s="7" t="s">
        <v>2057</v>
      </c>
      <c r="C1287" s="13" t="s">
        <v>2058</v>
      </c>
      <c r="D1287" s="7" t="s">
        <v>191</v>
      </c>
      <c r="E1287" s="8" t="s">
        <v>158</v>
      </c>
      <c r="F1287" s="8" t="s">
        <v>318</v>
      </c>
      <c r="G1287" s="7" t="s">
        <v>2059</v>
      </c>
      <c r="H1287" s="7" t="s">
        <v>2060</v>
      </c>
      <c r="I1287" s="8">
        <v>2019.0</v>
      </c>
      <c r="J1287" s="8">
        <v>3.0</v>
      </c>
      <c r="K1287" s="8" t="s">
        <v>583</v>
      </c>
      <c r="L1287" s="8" t="s">
        <v>322</v>
      </c>
      <c r="M1287" s="8" t="s">
        <v>343</v>
      </c>
      <c r="N1287" s="8">
        <v>1.1</v>
      </c>
      <c r="O1287" s="14">
        <f t="shared" si="1"/>
        <v>44378</v>
      </c>
      <c r="P1287" s="15">
        <f>IFERROR(VLOOKUP(K1287,Formula!$A$11:$B$20,2,FALSE),Formula!$C$26)</f>
        <v>0.95</v>
      </c>
      <c r="Q1287" s="15">
        <f>IF(AND(ISNUMBER(J1287),J1287&gt;0),1/J1287,IF(AND(ISNUMBER(I1287),I1287&gt;0),SQRT(MIN(I1287,Formula!$C$27))/Formula!$C$24,1/Formula!$C$25))</f>
        <v>0.3333333333</v>
      </c>
      <c r="R1287" s="15">
        <f t="shared" si="2"/>
        <v>0.3166666667</v>
      </c>
      <c r="S1287" s="15">
        <f>IF(H1287&lt;&gt;"",EXP(-Formula!$C$28*(EOMONTH(H1287,0)-H1287)),EXP(-Formula!$C$28*(EOMONTH(D1287,0)-D1287)))</f>
        <v>0.3499377491</v>
      </c>
      <c r="T1287" s="15">
        <f t="shared" si="3"/>
        <v>0.1767766953</v>
      </c>
      <c r="U1287" s="15">
        <f t="shared" si="4"/>
        <v>0.01958926564</v>
      </c>
      <c r="V1287" s="16">
        <f>IF(AND(L1287="Among all respondents",NOT(OR(K1287="Online poll in Telegram channel",K1287="Website online poll",K1287="CAWI (Computer Assisted Web Interviewing)"))),1/(1-MIN(MAX(Formula!$C$33+(YEAR(D1287)-Formula!$C$34)/(Formula!$C$35-Formula!$C$34)*(Formula!$C$32-Formula!$C$33),Formula!$C$33),Formula!$C$32)),1)</f>
        <v>1</v>
      </c>
      <c r="W1287" s="17">
        <f t="shared" si="5"/>
        <v>1.1</v>
      </c>
    </row>
    <row r="1288" ht="15.75" customHeight="1">
      <c r="A1288" s="8" t="s">
        <v>2069</v>
      </c>
      <c r="B1288" s="7" t="s">
        <v>2057</v>
      </c>
      <c r="C1288" s="13" t="s">
        <v>2058</v>
      </c>
      <c r="D1288" s="7" t="s">
        <v>191</v>
      </c>
      <c r="E1288" s="8" t="s">
        <v>158</v>
      </c>
      <c r="F1288" s="8" t="s">
        <v>318</v>
      </c>
      <c r="G1288" s="7" t="s">
        <v>2059</v>
      </c>
      <c r="H1288" s="7" t="s">
        <v>2060</v>
      </c>
      <c r="I1288" s="8">
        <v>2019.0</v>
      </c>
      <c r="J1288" s="8">
        <v>3.0</v>
      </c>
      <c r="K1288" s="8" t="s">
        <v>583</v>
      </c>
      <c r="L1288" s="8" t="s">
        <v>322</v>
      </c>
      <c r="M1288" s="8" t="s">
        <v>1663</v>
      </c>
      <c r="N1288" s="8">
        <v>0.7</v>
      </c>
      <c r="O1288" s="14">
        <f t="shared" si="1"/>
        <v>44378</v>
      </c>
      <c r="P1288" s="15">
        <f>IFERROR(VLOOKUP(K1288,Formula!$A$11:$B$20,2,FALSE),Formula!$C$26)</f>
        <v>0.95</v>
      </c>
      <c r="Q1288" s="15">
        <f>IF(AND(ISNUMBER(J1288),J1288&gt;0),1/J1288,IF(AND(ISNUMBER(I1288),I1288&gt;0),SQRT(MIN(I1288,Formula!$C$27))/Formula!$C$24,1/Formula!$C$25))</f>
        <v>0.3333333333</v>
      </c>
      <c r="R1288" s="15">
        <f t="shared" si="2"/>
        <v>0.3166666667</v>
      </c>
      <c r="S1288" s="15">
        <f>IF(H1288&lt;&gt;"",EXP(-Formula!$C$28*(EOMONTH(H1288,0)-H1288)),EXP(-Formula!$C$28*(EOMONTH(D1288,0)-D1288)))</f>
        <v>0.3499377491</v>
      </c>
      <c r="T1288" s="15">
        <f t="shared" si="3"/>
        <v>0.1767766953</v>
      </c>
      <c r="U1288" s="15">
        <f t="shared" si="4"/>
        <v>0.01958926564</v>
      </c>
      <c r="V1288" s="16">
        <f>IF(AND(L1288="Among all respondents",NOT(OR(K1288="Online poll in Telegram channel",K1288="Website online poll",K1288="CAWI (Computer Assisted Web Interviewing)"))),1/(1-MIN(MAX(Formula!$C$33+(YEAR(D1288)-Formula!$C$34)/(Formula!$C$35-Formula!$C$34)*(Formula!$C$32-Formula!$C$33),Formula!$C$33),Formula!$C$32)),1)</f>
        <v>1</v>
      </c>
      <c r="W1288" s="17">
        <f t="shared" si="5"/>
        <v>0.7</v>
      </c>
    </row>
    <row r="1289" ht="15.75" customHeight="1">
      <c r="A1289" s="8" t="s">
        <v>2056</v>
      </c>
      <c r="B1289" s="7" t="s">
        <v>2057</v>
      </c>
      <c r="C1289" s="13" t="s">
        <v>2058</v>
      </c>
      <c r="D1289" s="7" t="s">
        <v>191</v>
      </c>
      <c r="E1289" s="8" t="s">
        <v>158</v>
      </c>
      <c r="F1289" s="8" t="s">
        <v>318</v>
      </c>
      <c r="G1289" s="7" t="s">
        <v>2059</v>
      </c>
      <c r="H1289" s="7" t="s">
        <v>2060</v>
      </c>
      <c r="I1289" s="8">
        <v>2019.0</v>
      </c>
      <c r="J1289" s="8">
        <v>3.0</v>
      </c>
      <c r="K1289" s="8" t="s">
        <v>583</v>
      </c>
      <c r="L1289" s="8" t="s">
        <v>322</v>
      </c>
      <c r="M1289" s="8" t="s">
        <v>323</v>
      </c>
      <c r="N1289" s="8">
        <v>25.6</v>
      </c>
      <c r="O1289" s="14">
        <f t="shared" si="1"/>
        <v>44378</v>
      </c>
      <c r="P1289" s="15">
        <f>IFERROR(VLOOKUP(K1289,Formula!$A$11:$B$20,2,FALSE),Formula!$C$26)</f>
        <v>0.95</v>
      </c>
      <c r="Q1289" s="15">
        <f>IF(AND(ISNUMBER(J1289),J1289&gt;0),1/J1289,IF(AND(ISNUMBER(I1289),I1289&gt;0),SQRT(MIN(I1289,Formula!$C$27))/Formula!$C$24,1/Formula!$C$25))</f>
        <v>0.3333333333</v>
      </c>
      <c r="R1289" s="15">
        <f t="shared" si="2"/>
        <v>0.3166666667</v>
      </c>
      <c r="S1289" s="15">
        <f>IF(H1289&lt;&gt;"",EXP(-Formula!$C$28*(EOMONTH(H1289,0)-H1289)),EXP(-Formula!$C$28*(EOMONTH(D1289,0)-D1289)))</f>
        <v>0.3499377491</v>
      </c>
      <c r="T1289" s="15">
        <f t="shared" si="3"/>
        <v>0.1767766953</v>
      </c>
      <c r="U1289" s="15">
        <f t="shared" si="4"/>
        <v>0.01958926564</v>
      </c>
      <c r="V1289" s="16">
        <f>IF(AND(L1289="Among all respondents",NOT(OR(K1289="Online poll in Telegram channel",K1289="Website online poll",K1289="CAWI (Computer Assisted Web Interviewing)"))),1/(1-MIN(MAX(Formula!$C$33+(YEAR(D1289)-Formula!$C$34)/(Formula!$C$35-Formula!$C$34)*(Formula!$C$32-Formula!$C$33),Formula!$C$33),Formula!$C$32)),1)</f>
        <v>1</v>
      </c>
      <c r="W1289" s="17">
        <f t="shared" si="5"/>
        <v>25.6</v>
      </c>
    </row>
    <row r="1290" ht="15.75" customHeight="1">
      <c r="A1290" s="8" t="s">
        <v>2061</v>
      </c>
      <c r="B1290" s="7" t="s">
        <v>2057</v>
      </c>
      <c r="C1290" s="13" t="s">
        <v>2058</v>
      </c>
      <c r="D1290" s="7" t="s">
        <v>191</v>
      </c>
      <c r="E1290" s="8" t="s">
        <v>158</v>
      </c>
      <c r="F1290" s="8" t="s">
        <v>318</v>
      </c>
      <c r="G1290" s="7" t="s">
        <v>2059</v>
      </c>
      <c r="H1290" s="7" t="s">
        <v>2060</v>
      </c>
      <c r="I1290" s="8">
        <v>2019.0</v>
      </c>
      <c r="J1290" s="8">
        <v>3.0</v>
      </c>
      <c r="K1290" s="8" t="s">
        <v>583</v>
      </c>
      <c r="L1290" s="8" t="s">
        <v>322</v>
      </c>
      <c r="M1290" s="8" t="s">
        <v>365</v>
      </c>
      <c r="N1290" s="8">
        <v>16.4</v>
      </c>
      <c r="O1290" s="14">
        <f t="shared" si="1"/>
        <v>44378</v>
      </c>
      <c r="P1290" s="15">
        <f>IFERROR(VLOOKUP(K1290,Formula!$A$11:$B$20,2,FALSE),Formula!$C$26)</f>
        <v>0.95</v>
      </c>
      <c r="Q1290" s="15">
        <f>IF(AND(ISNUMBER(J1290),J1290&gt;0),1/J1290,IF(AND(ISNUMBER(I1290),I1290&gt;0),SQRT(MIN(I1290,Formula!$C$27))/Formula!$C$24,1/Formula!$C$25))</f>
        <v>0.3333333333</v>
      </c>
      <c r="R1290" s="15">
        <f t="shared" si="2"/>
        <v>0.3166666667</v>
      </c>
      <c r="S1290" s="15">
        <f>IF(H1290&lt;&gt;"",EXP(-Formula!$C$28*(EOMONTH(H1290,0)-H1290)),EXP(-Formula!$C$28*(EOMONTH(D1290,0)-D1290)))</f>
        <v>0.3499377491</v>
      </c>
      <c r="T1290" s="15">
        <f t="shared" si="3"/>
        <v>0.1767766953</v>
      </c>
      <c r="U1290" s="15">
        <f t="shared" si="4"/>
        <v>0.01958926564</v>
      </c>
      <c r="V1290" s="16">
        <f>IF(AND(L1290="Among all respondents",NOT(OR(K1290="Online poll in Telegram channel",K1290="Website online poll",K1290="CAWI (Computer Assisted Web Interviewing)"))),1/(1-MIN(MAX(Formula!$C$33+(YEAR(D1290)-Formula!$C$34)/(Formula!$C$35-Formula!$C$34)*(Formula!$C$32-Formula!$C$33),Formula!$C$33),Formula!$C$32)),1)</f>
        <v>1</v>
      </c>
      <c r="W1290" s="17">
        <f t="shared" si="5"/>
        <v>16.4</v>
      </c>
    </row>
    <row r="1291" ht="15.75" customHeight="1">
      <c r="A1291" s="8" t="s">
        <v>2062</v>
      </c>
      <c r="B1291" s="7" t="s">
        <v>2057</v>
      </c>
      <c r="C1291" s="13" t="s">
        <v>2058</v>
      </c>
      <c r="D1291" s="7" t="s">
        <v>191</v>
      </c>
      <c r="E1291" s="8" t="s">
        <v>158</v>
      </c>
      <c r="F1291" s="8" t="s">
        <v>318</v>
      </c>
      <c r="G1291" s="7" t="s">
        <v>2059</v>
      </c>
      <c r="H1291" s="7" t="s">
        <v>2060</v>
      </c>
      <c r="I1291" s="8">
        <v>2019.0</v>
      </c>
      <c r="J1291" s="8">
        <v>3.0</v>
      </c>
      <c r="K1291" s="8" t="s">
        <v>583</v>
      </c>
      <c r="L1291" s="8" t="s">
        <v>322</v>
      </c>
      <c r="M1291" s="8" t="s">
        <v>329</v>
      </c>
      <c r="N1291" s="8">
        <v>15.2</v>
      </c>
      <c r="O1291" s="14">
        <f t="shared" si="1"/>
        <v>44378</v>
      </c>
      <c r="P1291" s="15">
        <f>IFERROR(VLOOKUP(K1291,Formula!$A$11:$B$20,2,FALSE),Formula!$C$26)</f>
        <v>0.95</v>
      </c>
      <c r="Q1291" s="15">
        <f>IF(AND(ISNUMBER(J1291),J1291&gt;0),1/J1291,IF(AND(ISNUMBER(I1291),I1291&gt;0),SQRT(MIN(I1291,Formula!$C$27))/Formula!$C$24,1/Formula!$C$25))</f>
        <v>0.3333333333</v>
      </c>
      <c r="R1291" s="15">
        <f t="shared" si="2"/>
        <v>0.3166666667</v>
      </c>
      <c r="S1291" s="15">
        <f>IF(H1291&lt;&gt;"",EXP(-Formula!$C$28*(EOMONTH(H1291,0)-H1291)),EXP(-Formula!$C$28*(EOMONTH(D1291,0)-D1291)))</f>
        <v>0.3499377491</v>
      </c>
      <c r="T1291" s="15">
        <f t="shared" si="3"/>
        <v>0.1767766953</v>
      </c>
      <c r="U1291" s="15">
        <f t="shared" si="4"/>
        <v>0.01958926564</v>
      </c>
      <c r="V1291" s="16">
        <f>IF(AND(L1291="Among all respondents",NOT(OR(K1291="Online poll in Telegram channel",K1291="Website online poll",K1291="CAWI (Computer Assisted Web Interviewing)"))),1/(1-MIN(MAX(Formula!$C$33+(YEAR(D1291)-Formula!$C$34)/(Formula!$C$35-Formula!$C$34)*(Formula!$C$32-Formula!$C$33),Formula!$C$33),Formula!$C$32)),1)</f>
        <v>1</v>
      </c>
      <c r="W1291" s="17">
        <f t="shared" si="5"/>
        <v>15.2</v>
      </c>
    </row>
    <row r="1292" ht="15.75" customHeight="1">
      <c r="A1292" s="8" t="s">
        <v>2063</v>
      </c>
      <c r="B1292" s="7" t="s">
        <v>2057</v>
      </c>
      <c r="C1292" s="13" t="s">
        <v>2058</v>
      </c>
      <c r="D1292" s="7" t="s">
        <v>191</v>
      </c>
      <c r="E1292" s="8" t="s">
        <v>158</v>
      </c>
      <c r="F1292" s="8" t="s">
        <v>318</v>
      </c>
      <c r="G1292" s="7" t="s">
        <v>2059</v>
      </c>
      <c r="H1292" s="7" t="s">
        <v>2060</v>
      </c>
      <c r="I1292" s="8">
        <v>2019.0</v>
      </c>
      <c r="J1292" s="8">
        <v>3.0</v>
      </c>
      <c r="K1292" s="8" t="s">
        <v>583</v>
      </c>
      <c r="L1292" s="8" t="s">
        <v>322</v>
      </c>
      <c r="M1292" s="8" t="s">
        <v>337</v>
      </c>
      <c r="N1292" s="8">
        <v>13.5</v>
      </c>
      <c r="O1292" s="14">
        <f t="shared" si="1"/>
        <v>44378</v>
      </c>
      <c r="P1292" s="15">
        <f>IFERROR(VLOOKUP(K1292,Formula!$A$11:$B$20,2,FALSE),Formula!$C$26)</f>
        <v>0.95</v>
      </c>
      <c r="Q1292" s="15">
        <f>IF(AND(ISNUMBER(J1292),J1292&gt;0),1/J1292,IF(AND(ISNUMBER(I1292),I1292&gt;0),SQRT(MIN(I1292,Formula!$C$27))/Formula!$C$24,1/Formula!$C$25))</f>
        <v>0.3333333333</v>
      </c>
      <c r="R1292" s="15">
        <f t="shared" si="2"/>
        <v>0.3166666667</v>
      </c>
      <c r="S1292" s="15">
        <f>IF(H1292&lt;&gt;"",EXP(-Formula!$C$28*(EOMONTH(H1292,0)-H1292)),EXP(-Formula!$C$28*(EOMONTH(D1292,0)-D1292)))</f>
        <v>0.3499377491</v>
      </c>
      <c r="T1292" s="15">
        <f t="shared" si="3"/>
        <v>0.1767766953</v>
      </c>
      <c r="U1292" s="15">
        <f t="shared" si="4"/>
        <v>0.01958926564</v>
      </c>
      <c r="V1292" s="16">
        <f>IF(AND(L1292="Among all respondents",NOT(OR(K1292="Online poll in Telegram channel",K1292="Website online poll",K1292="CAWI (Computer Assisted Web Interviewing)"))),1/(1-MIN(MAX(Formula!$C$33+(YEAR(D1292)-Formula!$C$34)/(Formula!$C$35-Formula!$C$34)*(Formula!$C$32-Formula!$C$33),Formula!$C$33),Formula!$C$32)),1)</f>
        <v>1</v>
      </c>
      <c r="W1292" s="17">
        <f t="shared" si="5"/>
        <v>13.5</v>
      </c>
    </row>
    <row r="1293" ht="15.75" customHeight="1">
      <c r="A1293" s="8" t="s">
        <v>2064</v>
      </c>
      <c r="B1293" s="7" t="s">
        <v>2057</v>
      </c>
      <c r="C1293" s="13" t="s">
        <v>2058</v>
      </c>
      <c r="D1293" s="7" t="s">
        <v>191</v>
      </c>
      <c r="E1293" s="8" t="s">
        <v>158</v>
      </c>
      <c r="F1293" s="8" t="s">
        <v>318</v>
      </c>
      <c r="G1293" s="7" t="s">
        <v>2059</v>
      </c>
      <c r="H1293" s="7" t="s">
        <v>2060</v>
      </c>
      <c r="I1293" s="8">
        <v>2019.0</v>
      </c>
      <c r="J1293" s="8">
        <v>3.0</v>
      </c>
      <c r="K1293" s="8" t="s">
        <v>583</v>
      </c>
      <c r="L1293" s="8" t="s">
        <v>322</v>
      </c>
      <c r="M1293" s="8" t="s">
        <v>828</v>
      </c>
      <c r="N1293" s="8">
        <v>6.8</v>
      </c>
      <c r="O1293" s="14">
        <f t="shared" si="1"/>
        <v>44378</v>
      </c>
      <c r="P1293" s="15">
        <f>IFERROR(VLOOKUP(K1293,Formula!$A$11:$B$20,2,FALSE),Formula!$C$26)</f>
        <v>0.95</v>
      </c>
      <c r="Q1293" s="15">
        <f>IF(AND(ISNUMBER(J1293),J1293&gt;0),1/J1293,IF(AND(ISNUMBER(I1293),I1293&gt;0),SQRT(MIN(I1293,Formula!$C$27))/Formula!$C$24,1/Formula!$C$25))</f>
        <v>0.3333333333</v>
      </c>
      <c r="R1293" s="15">
        <f t="shared" si="2"/>
        <v>0.3166666667</v>
      </c>
      <c r="S1293" s="15">
        <f>IF(H1293&lt;&gt;"",EXP(-Formula!$C$28*(EOMONTH(H1293,0)-H1293)),EXP(-Formula!$C$28*(EOMONTH(D1293,0)-D1293)))</f>
        <v>0.3499377491</v>
      </c>
      <c r="T1293" s="15">
        <f t="shared" si="3"/>
        <v>0.1767766953</v>
      </c>
      <c r="U1293" s="15">
        <f t="shared" si="4"/>
        <v>0.01958926564</v>
      </c>
      <c r="V1293" s="16">
        <f>IF(AND(L1293="Among all respondents",NOT(OR(K1293="Online poll in Telegram channel",K1293="Website online poll",K1293="CAWI (Computer Assisted Web Interviewing)"))),1/(1-MIN(MAX(Formula!$C$33+(YEAR(D1293)-Formula!$C$34)/(Formula!$C$35-Formula!$C$34)*(Formula!$C$32-Formula!$C$33),Formula!$C$33),Formula!$C$32)),1)</f>
        <v>1</v>
      </c>
      <c r="W1293" s="17">
        <f t="shared" si="5"/>
        <v>6.8</v>
      </c>
    </row>
    <row r="1294" ht="15.75" customHeight="1">
      <c r="A1294" s="8" t="s">
        <v>2070</v>
      </c>
      <c r="B1294" s="7" t="s">
        <v>2057</v>
      </c>
      <c r="C1294" s="13" t="s">
        <v>2058</v>
      </c>
      <c r="D1294" s="7" t="s">
        <v>191</v>
      </c>
      <c r="E1294" s="8" t="s">
        <v>158</v>
      </c>
      <c r="F1294" s="8" t="s">
        <v>318</v>
      </c>
      <c r="G1294" s="7" t="s">
        <v>2059</v>
      </c>
      <c r="H1294" s="7" t="s">
        <v>2060</v>
      </c>
      <c r="I1294" s="8">
        <v>2019.0</v>
      </c>
      <c r="J1294" s="8">
        <v>3.0</v>
      </c>
      <c r="K1294" s="8" t="s">
        <v>583</v>
      </c>
      <c r="L1294" s="8" t="s">
        <v>322</v>
      </c>
      <c r="M1294" s="8" t="s">
        <v>1153</v>
      </c>
      <c r="N1294" s="8">
        <v>5.2</v>
      </c>
      <c r="O1294" s="14">
        <f t="shared" si="1"/>
        <v>44378</v>
      </c>
      <c r="P1294" s="15">
        <f>IFERROR(VLOOKUP(K1294,Formula!$A$11:$B$20,2,FALSE),Formula!$C$26)</f>
        <v>0.95</v>
      </c>
      <c r="Q1294" s="15">
        <f>IF(AND(ISNUMBER(J1294),J1294&gt;0),1/J1294,IF(AND(ISNUMBER(I1294),I1294&gt;0),SQRT(MIN(I1294,Formula!$C$27))/Formula!$C$24,1/Formula!$C$25))</f>
        <v>0.3333333333</v>
      </c>
      <c r="R1294" s="15">
        <f t="shared" si="2"/>
        <v>0.3166666667</v>
      </c>
      <c r="S1294" s="15">
        <f>IF(H1294&lt;&gt;"",EXP(-Formula!$C$28*(EOMONTH(H1294,0)-H1294)),EXP(-Formula!$C$28*(EOMONTH(D1294,0)-D1294)))</f>
        <v>0.3499377491</v>
      </c>
      <c r="T1294" s="15">
        <f t="shared" si="3"/>
        <v>0.1767766953</v>
      </c>
      <c r="U1294" s="15">
        <f t="shared" si="4"/>
        <v>0.01958926564</v>
      </c>
      <c r="V1294" s="16">
        <f>IF(AND(L1294="Among all respondents",NOT(OR(K1294="Online poll in Telegram channel",K1294="Website online poll",K1294="CAWI (Computer Assisted Web Interviewing)"))),1/(1-MIN(MAX(Formula!$C$33+(YEAR(D1294)-Formula!$C$34)/(Formula!$C$35-Formula!$C$34)*(Formula!$C$32-Formula!$C$33),Formula!$C$33),Formula!$C$32)),1)</f>
        <v>1</v>
      </c>
      <c r="W1294" s="17">
        <f t="shared" si="5"/>
        <v>5.2</v>
      </c>
    </row>
    <row r="1295" ht="15.75" customHeight="1">
      <c r="A1295" s="8" t="s">
        <v>2065</v>
      </c>
      <c r="B1295" s="7" t="s">
        <v>2057</v>
      </c>
      <c r="C1295" s="13" t="s">
        <v>2058</v>
      </c>
      <c r="D1295" s="7" t="s">
        <v>191</v>
      </c>
      <c r="E1295" s="8" t="s">
        <v>158</v>
      </c>
      <c r="F1295" s="8" t="s">
        <v>318</v>
      </c>
      <c r="G1295" s="7" t="s">
        <v>2059</v>
      </c>
      <c r="H1295" s="7" t="s">
        <v>2060</v>
      </c>
      <c r="I1295" s="8">
        <v>2019.0</v>
      </c>
      <c r="J1295" s="8">
        <v>3.0</v>
      </c>
      <c r="K1295" s="8" t="s">
        <v>583</v>
      </c>
      <c r="L1295" s="8" t="s">
        <v>322</v>
      </c>
      <c r="M1295" s="8" t="s">
        <v>386</v>
      </c>
      <c r="N1295" s="8">
        <v>4.6</v>
      </c>
      <c r="O1295" s="14">
        <f t="shared" si="1"/>
        <v>44378</v>
      </c>
      <c r="P1295" s="15">
        <f>IFERROR(VLOOKUP(K1295,Formula!$A$11:$B$20,2,FALSE),Formula!$C$26)</f>
        <v>0.95</v>
      </c>
      <c r="Q1295" s="15">
        <f>IF(AND(ISNUMBER(J1295),J1295&gt;0),1/J1295,IF(AND(ISNUMBER(I1295),I1295&gt;0),SQRT(MIN(I1295,Formula!$C$27))/Formula!$C$24,1/Formula!$C$25))</f>
        <v>0.3333333333</v>
      </c>
      <c r="R1295" s="15">
        <f t="shared" si="2"/>
        <v>0.3166666667</v>
      </c>
      <c r="S1295" s="15">
        <f>IF(H1295&lt;&gt;"",EXP(-Formula!$C$28*(EOMONTH(H1295,0)-H1295)),EXP(-Formula!$C$28*(EOMONTH(D1295,0)-D1295)))</f>
        <v>0.3499377491</v>
      </c>
      <c r="T1295" s="15">
        <f t="shared" si="3"/>
        <v>0.1767766953</v>
      </c>
      <c r="U1295" s="15">
        <f t="shared" si="4"/>
        <v>0.01958926564</v>
      </c>
      <c r="V1295" s="16">
        <f>IF(AND(L1295="Among all respondents",NOT(OR(K1295="Online poll in Telegram channel",K1295="Website online poll",K1295="CAWI (Computer Assisted Web Interviewing)"))),1/(1-MIN(MAX(Formula!$C$33+(YEAR(D1295)-Formula!$C$34)/(Formula!$C$35-Formula!$C$34)*(Formula!$C$32-Formula!$C$33),Formula!$C$33),Formula!$C$32)),1)</f>
        <v>1</v>
      </c>
      <c r="W1295" s="17">
        <f t="shared" si="5"/>
        <v>4.6</v>
      </c>
    </row>
    <row r="1296" ht="15.75" customHeight="1">
      <c r="A1296" s="8" t="s">
        <v>2066</v>
      </c>
      <c r="B1296" s="7" t="s">
        <v>2057</v>
      </c>
      <c r="C1296" s="13" t="s">
        <v>2058</v>
      </c>
      <c r="D1296" s="7" t="s">
        <v>191</v>
      </c>
      <c r="E1296" s="8" t="s">
        <v>158</v>
      </c>
      <c r="F1296" s="8" t="s">
        <v>318</v>
      </c>
      <c r="G1296" s="7" t="s">
        <v>2059</v>
      </c>
      <c r="H1296" s="7" t="s">
        <v>2060</v>
      </c>
      <c r="I1296" s="8">
        <v>2019.0</v>
      </c>
      <c r="J1296" s="8">
        <v>3.0</v>
      </c>
      <c r="K1296" s="8" t="s">
        <v>583</v>
      </c>
      <c r="L1296" s="8" t="s">
        <v>322</v>
      </c>
      <c r="M1296" s="8" t="s">
        <v>333</v>
      </c>
      <c r="N1296" s="8">
        <v>3.2</v>
      </c>
      <c r="O1296" s="14">
        <f t="shared" si="1"/>
        <v>44378</v>
      </c>
      <c r="P1296" s="15">
        <f>IFERROR(VLOOKUP(K1296,Formula!$A$11:$B$20,2,FALSE),Formula!$C$26)</f>
        <v>0.95</v>
      </c>
      <c r="Q1296" s="15">
        <f>IF(AND(ISNUMBER(J1296),J1296&gt;0),1/J1296,IF(AND(ISNUMBER(I1296),I1296&gt;0),SQRT(MIN(I1296,Formula!$C$27))/Formula!$C$24,1/Formula!$C$25))</f>
        <v>0.3333333333</v>
      </c>
      <c r="R1296" s="15">
        <f t="shared" si="2"/>
        <v>0.3166666667</v>
      </c>
      <c r="S1296" s="15">
        <f>IF(H1296&lt;&gt;"",EXP(-Formula!$C$28*(EOMONTH(H1296,0)-H1296)),EXP(-Formula!$C$28*(EOMONTH(D1296,0)-D1296)))</f>
        <v>0.3499377491</v>
      </c>
      <c r="T1296" s="15">
        <f t="shared" si="3"/>
        <v>0.1767766953</v>
      </c>
      <c r="U1296" s="15">
        <f t="shared" si="4"/>
        <v>0.01958926564</v>
      </c>
      <c r="V1296" s="16">
        <f>IF(AND(L1296="Among all respondents",NOT(OR(K1296="Online poll in Telegram channel",K1296="Website online poll",K1296="CAWI (Computer Assisted Web Interviewing)"))),1/(1-MIN(MAX(Formula!$C$33+(YEAR(D1296)-Formula!$C$34)/(Formula!$C$35-Formula!$C$34)*(Formula!$C$32-Formula!$C$33),Formula!$C$33),Formula!$C$32)),1)</f>
        <v>1</v>
      </c>
      <c r="W1296" s="17">
        <f t="shared" si="5"/>
        <v>3.2</v>
      </c>
    </row>
    <row r="1297" ht="15.75" customHeight="1">
      <c r="A1297" s="8" t="s">
        <v>2067</v>
      </c>
      <c r="B1297" s="7" t="s">
        <v>2057</v>
      </c>
      <c r="C1297" s="13" t="s">
        <v>2058</v>
      </c>
      <c r="D1297" s="7" t="s">
        <v>191</v>
      </c>
      <c r="E1297" s="8" t="s">
        <v>158</v>
      </c>
      <c r="F1297" s="8" t="s">
        <v>318</v>
      </c>
      <c r="G1297" s="7" t="s">
        <v>2059</v>
      </c>
      <c r="H1297" s="7" t="s">
        <v>2060</v>
      </c>
      <c r="I1297" s="8">
        <v>2019.0</v>
      </c>
      <c r="J1297" s="8">
        <v>3.0</v>
      </c>
      <c r="K1297" s="8" t="s">
        <v>583</v>
      </c>
      <c r="L1297" s="8" t="s">
        <v>322</v>
      </c>
      <c r="M1297" s="8" t="s">
        <v>388</v>
      </c>
      <c r="N1297" s="8">
        <v>2.9</v>
      </c>
      <c r="O1297" s="14">
        <f t="shared" si="1"/>
        <v>44378</v>
      </c>
      <c r="P1297" s="15">
        <f>IFERROR(VLOOKUP(K1297,Formula!$A$11:$B$20,2,FALSE),Formula!$C$26)</f>
        <v>0.95</v>
      </c>
      <c r="Q1297" s="15">
        <f>IF(AND(ISNUMBER(J1297),J1297&gt;0),1/J1297,IF(AND(ISNUMBER(I1297),I1297&gt;0),SQRT(MIN(I1297,Formula!$C$27))/Formula!$C$24,1/Formula!$C$25))</f>
        <v>0.3333333333</v>
      </c>
      <c r="R1297" s="15">
        <f t="shared" si="2"/>
        <v>0.3166666667</v>
      </c>
      <c r="S1297" s="15">
        <f>IF(H1297&lt;&gt;"",EXP(-Formula!$C$28*(EOMONTH(H1297,0)-H1297)),EXP(-Formula!$C$28*(EOMONTH(D1297,0)-D1297)))</f>
        <v>0.3499377491</v>
      </c>
      <c r="T1297" s="15">
        <f t="shared" si="3"/>
        <v>0.1767766953</v>
      </c>
      <c r="U1297" s="15">
        <f t="shared" si="4"/>
        <v>0.01958926564</v>
      </c>
      <c r="V1297" s="16">
        <f>IF(AND(L1297="Among all respondents",NOT(OR(K1297="Online poll in Telegram channel",K1297="Website online poll",K1297="CAWI (Computer Assisted Web Interviewing)"))),1/(1-MIN(MAX(Formula!$C$33+(YEAR(D1297)-Formula!$C$34)/(Formula!$C$35-Formula!$C$34)*(Formula!$C$32-Formula!$C$33),Formula!$C$33),Formula!$C$32)),1)</f>
        <v>1</v>
      </c>
      <c r="W1297" s="17">
        <f t="shared" si="5"/>
        <v>2.9</v>
      </c>
    </row>
    <row r="1298" ht="15.75" customHeight="1">
      <c r="A1298" s="8" t="s">
        <v>2068</v>
      </c>
      <c r="B1298" s="7" t="s">
        <v>2057</v>
      </c>
      <c r="C1298" s="13" t="s">
        <v>2058</v>
      </c>
      <c r="D1298" s="7" t="s">
        <v>191</v>
      </c>
      <c r="E1298" s="8" t="s">
        <v>158</v>
      </c>
      <c r="F1298" s="8" t="s">
        <v>318</v>
      </c>
      <c r="G1298" s="7" t="s">
        <v>2059</v>
      </c>
      <c r="H1298" s="7" t="s">
        <v>2060</v>
      </c>
      <c r="I1298" s="8">
        <v>2019.0</v>
      </c>
      <c r="J1298" s="8">
        <v>3.0</v>
      </c>
      <c r="K1298" s="8" t="s">
        <v>583</v>
      </c>
      <c r="L1298" s="8" t="s">
        <v>322</v>
      </c>
      <c r="M1298" s="8" t="s">
        <v>343</v>
      </c>
      <c r="N1298" s="8">
        <v>1.4</v>
      </c>
      <c r="O1298" s="14">
        <f t="shared" si="1"/>
        <v>44378</v>
      </c>
      <c r="P1298" s="15">
        <f>IFERROR(VLOOKUP(K1298,Formula!$A$11:$B$20,2,FALSE),Formula!$C$26)</f>
        <v>0.95</v>
      </c>
      <c r="Q1298" s="15">
        <f>IF(AND(ISNUMBER(J1298),J1298&gt;0),1/J1298,IF(AND(ISNUMBER(I1298),I1298&gt;0),SQRT(MIN(I1298,Formula!$C$27))/Formula!$C$24,1/Formula!$C$25))</f>
        <v>0.3333333333</v>
      </c>
      <c r="R1298" s="15">
        <f t="shared" si="2"/>
        <v>0.3166666667</v>
      </c>
      <c r="S1298" s="15">
        <f>IF(H1298&lt;&gt;"",EXP(-Formula!$C$28*(EOMONTH(H1298,0)-H1298)),EXP(-Formula!$C$28*(EOMONTH(D1298,0)-D1298)))</f>
        <v>0.3499377491</v>
      </c>
      <c r="T1298" s="15">
        <f t="shared" si="3"/>
        <v>0.1767766953</v>
      </c>
      <c r="U1298" s="15">
        <f t="shared" si="4"/>
        <v>0.01958926564</v>
      </c>
      <c r="V1298" s="16">
        <f>IF(AND(L1298="Among all respondents",NOT(OR(K1298="Online poll in Telegram channel",K1298="Website online poll",K1298="CAWI (Computer Assisted Web Interviewing)"))),1/(1-MIN(MAX(Formula!$C$33+(YEAR(D1298)-Formula!$C$34)/(Formula!$C$35-Formula!$C$34)*(Formula!$C$32-Formula!$C$33),Formula!$C$33),Formula!$C$32)),1)</f>
        <v>1</v>
      </c>
      <c r="W1298" s="17">
        <f t="shared" si="5"/>
        <v>1.4</v>
      </c>
    </row>
    <row r="1299" ht="15.75" customHeight="1">
      <c r="A1299" s="8" t="s">
        <v>2069</v>
      </c>
      <c r="B1299" s="7" t="s">
        <v>2057</v>
      </c>
      <c r="C1299" s="13" t="s">
        <v>2058</v>
      </c>
      <c r="D1299" s="7" t="s">
        <v>191</v>
      </c>
      <c r="E1299" s="8" t="s">
        <v>158</v>
      </c>
      <c r="F1299" s="8" t="s">
        <v>318</v>
      </c>
      <c r="G1299" s="7" t="s">
        <v>2059</v>
      </c>
      <c r="H1299" s="7" t="s">
        <v>2060</v>
      </c>
      <c r="I1299" s="8">
        <v>2019.0</v>
      </c>
      <c r="J1299" s="8">
        <v>3.0</v>
      </c>
      <c r="K1299" s="8" t="s">
        <v>583</v>
      </c>
      <c r="L1299" s="8" t="s">
        <v>322</v>
      </c>
      <c r="M1299" s="8" t="s">
        <v>1663</v>
      </c>
      <c r="N1299" s="8">
        <v>0.5</v>
      </c>
      <c r="O1299" s="14">
        <f t="shared" si="1"/>
        <v>44378</v>
      </c>
      <c r="P1299" s="15">
        <f>IFERROR(VLOOKUP(K1299,Formula!$A$11:$B$20,2,FALSE),Formula!$C$26)</f>
        <v>0.95</v>
      </c>
      <c r="Q1299" s="15">
        <f>IF(AND(ISNUMBER(J1299),J1299&gt;0),1/J1299,IF(AND(ISNUMBER(I1299),I1299&gt;0),SQRT(MIN(I1299,Formula!$C$27))/Formula!$C$24,1/Formula!$C$25))</f>
        <v>0.3333333333</v>
      </c>
      <c r="R1299" s="15">
        <f t="shared" si="2"/>
        <v>0.3166666667</v>
      </c>
      <c r="S1299" s="15">
        <f>IF(H1299&lt;&gt;"",EXP(-Formula!$C$28*(EOMONTH(H1299,0)-H1299)),EXP(-Formula!$C$28*(EOMONTH(D1299,0)-D1299)))</f>
        <v>0.3499377491</v>
      </c>
      <c r="T1299" s="15">
        <f t="shared" si="3"/>
        <v>0.1767766953</v>
      </c>
      <c r="U1299" s="15">
        <f t="shared" si="4"/>
        <v>0.01958926564</v>
      </c>
      <c r="V1299" s="16">
        <f>IF(AND(L1299="Among all respondents",NOT(OR(K1299="Online poll in Telegram channel",K1299="Website online poll",K1299="CAWI (Computer Assisted Web Interviewing)"))),1/(1-MIN(MAX(Formula!$C$33+(YEAR(D1299)-Formula!$C$34)/(Formula!$C$35-Formula!$C$34)*(Formula!$C$32-Formula!$C$33),Formula!$C$33),Formula!$C$32)),1)</f>
        <v>1</v>
      </c>
      <c r="W1299" s="17">
        <f t="shared" si="5"/>
        <v>0.5</v>
      </c>
    </row>
    <row r="1300" ht="15.75" customHeight="1">
      <c r="A1300" s="8" t="s">
        <v>2071</v>
      </c>
      <c r="B1300" s="7" t="s">
        <v>2072</v>
      </c>
      <c r="C1300" s="13" t="s">
        <v>2073</v>
      </c>
      <c r="D1300" s="7" t="s">
        <v>193</v>
      </c>
      <c r="E1300" s="8" t="s">
        <v>17</v>
      </c>
      <c r="F1300" s="8" t="s">
        <v>318</v>
      </c>
      <c r="G1300" s="7" t="s">
        <v>196</v>
      </c>
      <c r="H1300" s="7" t="s">
        <v>2074</v>
      </c>
      <c r="I1300" s="8">
        <v>2000.0</v>
      </c>
      <c r="J1300" s="8">
        <v>2.4</v>
      </c>
      <c r="K1300" s="8" t="s">
        <v>321</v>
      </c>
      <c r="L1300" s="8" t="s">
        <v>322</v>
      </c>
      <c r="M1300" s="8" t="s">
        <v>323</v>
      </c>
      <c r="N1300" s="8">
        <v>28.8</v>
      </c>
      <c r="O1300" s="14">
        <f t="shared" si="1"/>
        <v>44378</v>
      </c>
      <c r="P1300" s="15">
        <f>IFERROR(VLOOKUP(K1300,Formula!$A$11:$B$20,2,FALSE),Formula!$C$26)</f>
        <v>0.9</v>
      </c>
      <c r="Q1300" s="15">
        <f>IF(AND(ISNUMBER(J1300),J1300&gt;0),1/J1300,IF(AND(ISNUMBER(I1300),I1300&gt;0),SQRT(MIN(I1300,Formula!$C$27))/Formula!$C$24,1/Formula!$C$25))</f>
        <v>0.4166666667</v>
      </c>
      <c r="R1300" s="15">
        <f t="shared" si="2"/>
        <v>0.375</v>
      </c>
      <c r="S1300" s="15">
        <f>IF(H1300&lt;&gt;"",EXP(-Formula!$C$28*(EOMONTH(H1300,0)-H1300)),EXP(-Formula!$C$28*(EOMONTH(D1300,0)-D1300)))</f>
        <v>1</v>
      </c>
      <c r="T1300" s="15">
        <f t="shared" si="3"/>
        <v>0.2773500981</v>
      </c>
      <c r="U1300" s="15">
        <f t="shared" si="4"/>
        <v>0.1040062868</v>
      </c>
      <c r="V1300" s="16">
        <f>IF(AND(L1300="Among all respondents",NOT(OR(K1300="Online poll in Telegram channel",K1300="Website online poll",K1300="CAWI (Computer Assisted Web Interviewing)"))),1/(1-MIN(MAX(Formula!$C$33+(YEAR(D1300)-Formula!$C$34)/(Formula!$C$35-Formula!$C$34)*(Formula!$C$32-Formula!$C$33),Formula!$C$33),Formula!$C$32)),1)</f>
        <v>1</v>
      </c>
      <c r="W1300" s="17">
        <f t="shared" si="5"/>
        <v>28.8</v>
      </c>
    </row>
    <row r="1301" ht="15.75" customHeight="1">
      <c r="A1301" s="8" t="s">
        <v>2075</v>
      </c>
      <c r="B1301" s="7" t="s">
        <v>2072</v>
      </c>
      <c r="C1301" s="13" t="s">
        <v>2073</v>
      </c>
      <c r="D1301" s="7" t="s">
        <v>193</v>
      </c>
      <c r="E1301" s="8" t="s">
        <v>17</v>
      </c>
      <c r="F1301" s="8" t="s">
        <v>318</v>
      </c>
      <c r="G1301" s="7" t="s">
        <v>196</v>
      </c>
      <c r="H1301" s="7" t="s">
        <v>2074</v>
      </c>
      <c r="I1301" s="8">
        <v>2000.0</v>
      </c>
      <c r="J1301" s="8">
        <v>2.4</v>
      </c>
      <c r="K1301" s="8" t="s">
        <v>321</v>
      </c>
      <c r="L1301" s="8" t="s">
        <v>322</v>
      </c>
      <c r="M1301" s="8" t="s">
        <v>329</v>
      </c>
      <c r="N1301" s="8">
        <v>18.4</v>
      </c>
      <c r="O1301" s="14">
        <f t="shared" si="1"/>
        <v>44378</v>
      </c>
      <c r="P1301" s="15">
        <f>IFERROR(VLOOKUP(K1301,Formula!$A$11:$B$20,2,FALSE),Formula!$C$26)</f>
        <v>0.9</v>
      </c>
      <c r="Q1301" s="15">
        <f>IF(AND(ISNUMBER(J1301),J1301&gt;0),1/J1301,IF(AND(ISNUMBER(I1301),I1301&gt;0),SQRT(MIN(I1301,Formula!$C$27))/Formula!$C$24,1/Formula!$C$25))</f>
        <v>0.4166666667</v>
      </c>
      <c r="R1301" s="15">
        <f t="shared" si="2"/>
        <v>0.375</v>
      </c>
      <c r="S1301" s="15">
        <f>IF(H1301&lt;&gt;"",EXP(-Formula!$C$28*(EOMONTH(H1301,0)-H1301)),EXP(-Formula!$C$28*(EOMONTH(D1301,0)-D1301)))</f>
        <v>1</v>
      </c>
      <c r="T1301" s="15">
        <f t="shared" si="3"/>
        <v>0.2773500981</v>
      </c>
      <c r="U1301" s="15">
        <f t="shared" si="4"/>
        <v>0.1040062868</v>
      </c>
      <c r="V1301" s="16">
        <f>IF(AND(L1301="Among all respondents",NOT(OR(K1301="Online poll in Telegram channel",K1301="Website online poll",K1301="CAWI (Computer Assisted Web Interviewing)"))),1/(1-MIN(MAX(Formula!$C$33+(YEAR(D1301)-Formula!$C$34)/(Formula!$C$35-Formula!$C$34)*(Formula!$C$32-Formula!$C$33),Formula!$C$33),Formula!$C$32)),1)</f>
        <v>1</v>
      </c>
      <c r="W1301" s="17">
        <f t="shared" si="5"/>
        <v>18.4</v>
      </c>
    </row>
    <row r="1302" ht="15.75" customHeight="1">
      <c r="A1302" s="8" t="s">
        <v>2076</v>
      </c>
      <c r="B1302" s="7" t="s">
        <v>2072</v>
      </c>
      <c r="C1302" s="13" t="s">
        <v>2073</v>
      </c>
      <c r="D1302" s="7" t="s">
        <v>193</v>
      </c>
      <c r="E1302" s="8" t="s">
        <v>17</v>
      </c>
      <c r="F1302" s="8" t="s">
        <v>318</v>
      </c>
      <c r="G1302" s="7" t="s">
        <v>196</v>
      </c>
      <c r="H1302" s="7" t="s">
        <v>2074</v>
      </c>
      <c r="I1302" s="8">
        <v>2000.0</v>
      </c>
      <c r="J1302" s="8">
        <v>2.4</v>
      </c>
      <c r="K1302" s="8" t="s">
        <v>321</v>
      </c>
      <c r="L1302" s="8" t="s">
        <v>322</v>
      </c>
      <c r="M1302" s="8" t="s">
        <v>828</v>
      </c>
      <c r="N1302" s="8">
        <v>10.3</v>
      </c>
      <c r="O1302" s="14">
        <f t="shared" si="1"/>
        <v>44378</v>
      </c>
      <c r="P1302" s="15">
        <f>IFERROR(VLOOKUP(K1302,Formula!$A$11:$B$20,2,FALSE),Formula!$C$26)</f>
        <v>0.9</v>
      </c>
      <c r="Q1302" s="15">
        <f>IF(AND(ISNUMBER(J1302),J1302&gt;0),1/J1302,IF(AND(ISNUMBER(I1302),I1302&gt;0),SQRT(MIN(I1302,Formula!$C$27))/Formula!$C$24,1/Formula!$C$25))</f>
        <v>0.4166666667</v>
      </c>
      <c r="R1302" s="15">
        <f t="shared" si="2"/>
        <v>0.375</v>
      </c>
      <c r="S1302" s="15">
        <f>IF(H1302&lt;&gt;"",EXP(-Formula!$C$28*(EOMONTH(H1302,0)-H1302)),EXP(-Formula!$C$28*(EOMONTH(D1302,0)-D1302)))</f>
        <v>1</v>
      </c>
      <c r="T1302" s="15">
        <f t="shared" si="3"/>
        <v>0.2773500981</v>
      </c>
      <c r="U1302" s="15">
        <f t="shared" si="4"/>
        <v>0.1040062868</v>
      </c>
      <c r="V1302" s="16">
        <f>IF(AND(L1302="Among all respondents",NOT(OR(K1302="Online poll in Telegram channel",K1302="Website online poll",K1302="CAWI (Computer Assisted Web Interviewing)"))),1/(1-MIN(MAX(Formula!$C$33+(YEAR(D1302)-Formula!$C$34)/(Formula!$C$35-Formula!$C$34)*(Formula!$C$32-Formula!$C$33),Formula!$C$33),Formula!$C$32)),1)</f>
        <v>1</v>
      </c>
      <c r="W1302" s="17">
        <f t="shared" si="5"/>
        <v>10.3</v>
      </c>
    </row>
    <row r="1303" ht="15.75" customHeight="1">
      <c r="A1303" s="8" t="s">
        <v>2077</v>
      </c>
      <c r="B1303" s="7" t="s">
        <v>2072</v>
      </c>
      <c r="C1303" s="13" t="s">
        <v>2073</v>
      </c>
      <c r="D1303" s="7" t="s">
        <v>193</v>
      </c>
      <c r="E1303" s="8" t="s">
        <v>17</v>
      </c>
      <c r="F1303" s="8" t="s">
        <v>318</v>
      </c>
      <c r="G1303" s="7" t="s">
        <v>196</v>
      </c>
      <c r="H1303" s="7" t="s">
        <v>2074</v>
      </c>
      <c r="I1303" s="8">
        <v>2000.0</v>
      </c>
      <c r="J1303" s="8">
        <v>2.4</v>
      </c>
      <c r="K1303" s="8" t="s">
        <v>321</v>
      </c>
      <c r="L1303" s="8" t="s">
        <v>322</v>
      </c>
      <c r="M1303" s="8" t="s">
        <v>337</v>
      </c>
      <c r="N1303" s="8">
        <v>8.5</v>
      </c>
      <c r="O1303" s="14">
        <f t="shared" si="1"/>
        <v>44378</v>
      </c>
      <c r="P1303" s="15">
        <f>IFERROR(VLOOKUP(K1303,Formula!$A$11:$B$20,2,FALSE),Formula!$C$26)</f>
        <v>0.9</v>
      </c>
      <c r="Q1303" s="15">
        <f>IF(AND(ISNUMBER(J1303),J1303&gt;0),1/J1303,IF(AND(ISNUMBER(I1303),I1303&gt;0),SQRT(MIN(I1303,Formula!$C$27))/Formula!$C$24,1/Formula!$C$25))</f>
        <v>0.4166666667</v>
      </c>
      <c r="R1303" s="15">
        <f t="shared" si="2"/>
        <v>0.375</v>
      </c>
      <c r="S1303" s="15">
        <f>IF(H1303&lt;&gt;"",EXP(-Formula!$C$28*(EOMONTH(H1303,0)-H1303)),EXP(-Formula!$C$28*(EOMONTH(D1303,0)-D1303)))</f>
        <v>1</v>
      </c>
      <c r="T1303" s="15">
        <f t="shared" si="3"/>
        <v>0.2773500981</v>
      </c>
      <c r="U1303" s="15">
        <f t="shared" si="4"/>
        <v>0.1040062868</v>
      </c>
      <c r="V1303" s="16">
        <f>IF(AND(L1303="Among all respondents",NOT(OR(K1303="Online poll in Telegram channel",K1303="Website online poll",K1303="CAWI (Computer Assisted Web Interviewing)"))),1/(1-MIN(MAX(Formula!$C$33+(YEAR(D1303)-Formula!$C$34)/(Formula!$C$35-Formula!$C$34)*(Formula!$C$32-Formula!$C$33),Formula!$C$33),Formula!$C$32)),1)</f>
        <v>1</v>
      </c>
      <c r="W1303" s="17">
        <f t="shared" si="5"/>
        <v>8.5</v>
      </c>
    </row>
    <row r="1304" ht="15.75" customHeight="1">
      <c r="A1304" s="8" t="s">
        <v>2078</v>
      </c>
      <c r="B1304" s="7" t="s">
        <v>2072</v>
      </c>
      <c r="C1304" s="13" t="s">
        <v>2073</v>
      </c>
      <c r="D1304" s="7" t="s">
        <v>193</v>
      </c>
      <c r="E1304" s="8" t="s">
        <v>17</v>
      </c>
      <c r="F1304" s="8" t="s">
        <v>318</v>
      </c>
      <c r="G1304" s="7" t="s">
        <v>196</v>
      </c>
      <c r="H1304" s="7" t="s">
        <v>2074</v>
      </c>
      <c r="I1304" s="8">
        <v>2000.0</v>
      </c>
      <c r="J1304" s="8">
        <v>2.4</v>
      </c>
      <c r="K1304" s="8" t="s">
        <v>321</v>
      </c>
      <c r="L1304" s="8" t="s">
        <v>322</v>
      </c>
      <c r="M1304" s="8" t="s">
        <v>365</v>
      </c>
      <c r="N1304" s="8">
        <v>7.9</v>
      </c>
      <c r="O1304" s="14">
        <f t="shared" si="1"/>
        <v>44378</v>
      </c>
      <c r="P1304" s="15">
        <f>IFERROR(VLOOKUP(K1304,Formula!$A$11:$B$20,2,FALSE),Formula!$C$26)</f>
        <v>0.9</v>
      </c>
      <c r="Q1304" s="15">
        <f>IF(AND(ISNUMBER(J1304),J1304&gt;0),1/J1304,IF(AND(ISNUMBER(I1304),I1304&gt;0),SQRT(MIN(I1304,Formula!$C$27))/Formula!$C$24,1/Formula!$C$25))</f>
        <v>0.4166666667</v>
      </c>
      <c r="R1304" s="15">
        <f t="shared" si="2"/>
        <v>0.375</v>
      </c>
      <c r="S1304" s="15">
        <f>IF(H1304&lt;&gt;"",EXP(-Formula!$C$28*(EOMONTH(H1304,0)-H1304)),EXP(-Formula!$C$28*(EOMONTH(D1304,0)-D1304)))</f>
        <v>1</v>
      </c>
      <c r="T1304" s="15">
        <f t="shared" si="3"/>
        <v>0.2773500981</v>
      </c>
      <c r="U1304" s="15">
        <f t="shared" si="4"/>
        <v>0.1040062868</v>
      </c>
      <c r="V1304" s="16">
        <f>IF(AND(L1304="Among all respondents",NOT(OR(K1304="Online poll in Telegram channel",K1304="Website online poll",K1304="CAWI (Computer Assisted Web Interviewing)"))),1/(1-MIN(MAX(Formula!$C$33+(YEAR(D1304)-Formula!$C$34)/(Formula!$C$35-Formula!$C$34)*(Formula!$C$32-Formula!$C$33),Formula!$C$33),Formula!$C$32)),1)</f>
        <v>1</v>
      </c>
      <c r="W1304" s="17">
        <f t="shared" si="5"/>
        <v>7.9</v>
      </c>
    </row>
    <row r="1305" ht="15.75" customHeight="1">
      <c r="A1305" s="8" t="s">
        <v>2079</v>
      </c>
      <c r="B1305" s="7" t="s">
        <v>2072</v>
      </c>
      <c r="C1305" s="13" t="s">
        <v>2073</v>
      </c>
      <c r="D1305" s="7" t="s">
        <v>193</v>
      </c>
      <c r="E1305" s="8" t="s">
        <v>17</v>
      </c>
      <c r="F1305" s="8" t="s">
        <v>318</v>
      </c>
      <c r="G1305" s="7" t="s">
        <v>196</v>
      </c>
      <c r="H1305" s="7" t="s">
        <v>2074</v>
      </c>
      <c r="I1305" s="8">
        <v>2000.0</v>
      </c>
      <c r="J1305" s="8">
        <v>2.4</v>
      </c>
      <c r="K1305" s="8" t="s">
        <v>321</v>
      </c>
      <c r="L1305" s="8" t="s">
        <v>322</v>
      </c>
      <c r="M1305" s="8" t="s">
        <v>386</v>
      </c>
      <c r="N1305" s="8">
        <v>4.2</v>
      </c>
      <c r="O1305" s="14">
        <f t="shared" si="1"/>
        <v>44378</v>
      </c>
      <c r="P1305" s="15">
        <f>IFERROR(VLOOKUP(K1305,Formula!$A$11:$B$20,2,FALSE),Formula!$C$26)</f>
        <v>0.9</v>
      </c>
      <c r="Q1305" s="15">
        <f>IF(AND(ISNUMBER(J1305),J1305&gt;0),1/J1305,IF(AND(ISNUMBER(I1305),I1305&gt;0),SQRT(MIN(I1305,Formula!$C$27))/Formula!$C$24,1/Formula!$C$25))</f>
        <v>0.4166666667</v>
      </c>
      <c r="R1305" s="15">
        <f t="shared" si="2"/>
        <v>0.375</v>
      </c>
      <c r="S1305" s="15">
        <f>IF(H1305&lt;&gt;"",EXP(-Formula!$C$28*(EOMONTH(H1305,0)-H1305)),EXP(-Formula!$C$28*(EOMONTH(D1305,0)-D1305)))</f>
        <v>1</v>
      </c>
      <c r="T1305" s="15">
        <f t="shared" si="3"/>
        <v>0.2773500981</v>
      </c>
      <c r="U1305" s="15">
        <f t="shared" si="4"/>
        <v>0.1040062868</v>
      </c>
      <c r="V1305" s="16">
        <f>IF(AND(L1305="Among all respondents",NOT(OR(K1305="Online poll in Telegram channel",K1305="Website online poll",K1305="CAWI (Computer Assisted Web Interviewing)"))),1/(1-MIN(MAX(Formula!$C$33+(YEAR(D1305)-Formula!$C$34)/(Formula!$C$35-Formula!$C$34)*(Formula!$C$32-Formula!$C$33),Formula!$C$33),Formula!$C$32)),1)</f>
        <v>1</v>
      </c>
      <c r="W1305" s="17">
        <f t="shared" si="5"/>
        <v>4.2</v>
      </c>
    </row>
    <row r="1306" ht="15.75" customHeight="1">
      <c r="A1306" s="8" t="s">
        <v>2080</v>
      </c>
      <c r="B1306" s="7" t="s">
        <v>2072</v>
      </c>
      <c r="C1306" s="13" t="s">
        <v>2073</v>
      </c>
      <c r="D1306" s="7" t="s">
        <v>193</v>
      </c>
      <c r="E1306" s="8" t="s">
        <v>17</v>
      </c>
      <c r="F1306" s="8" t="s">
        <v>318</v>
      </c>
      <c r="G1306" s="7" t="s">
        <v>196</v>
      </c>
      <c r="H1306" s="7" t="s">
        <v>2074</v>
      </c>
      <c r="I1306" s="8">
        <v>2000.0</v>
      </c>
      <c r="J1306" s="8">
        <v>2.4</v>
      </c>
      <c r="K1306" s="8" t="s">
        <v>321</v>
      </c>
      <c r="L1306" s="8" t="s">
        <v>322</v>
      </c>
      <c r="M1306" s="8" t="s">
        <v>333</v>
      </c>
      <c r="N1306" s="8">
        <v>4.1</v>
      </c>
      <c r="O1306" s="14">
        <f t="shared" si="1"/>
        <v>44378</v>
      </c>
      <c r="P1306" s="15">
        <f>IFERROR(VLOOKUP(K1306,Formula!$A$11:$B$20,2,FALSE),Formula!$C$26)</f>
        <v>0.9</v>
      </c>
      <c r="Q1306" s="15">
        <f>IF(AND(ISNUMBER(J1306),J1306&gt;0),1/J1306,IF(AND(ISNUMBER(I1306),I1306&gt;0),SQRT(MIN(I1306,Formula!$C$27))/Formula!$C$24,1/Formula!$C$25))</f>
        <v>0.4166666667</v>
      </c>
      <c r="R1306" s="15">
        <f t="shared" si="2"/>
        <v>0.375</v>
      </c>
      <c r="S1306" s="15">
        <f>IF(H1306&lt;&gt;"",EXP(-Formula!$C$28*(EOMONTH(H1306,0)-H1306)),EXP(-Formula!$C$28*(EOMONTH(D1306,0)-D1306)))</f>
        <v>1</v>
      </c>
      <c r="T1306" s="15">
        <f t="shared" si="3"/>
        <v>0.2773500981</v>
      </c>
      <c r="U1306" s="15">
        <f t="shared" si="4"/>
        <v>0.1040062868</v>
      </c>
      <c r="V1306" s="16">
        <f>IF(AND(L1306="Among all respondents",NOT(OR(K1306="Online poll in Telegram channel",K1306="Website online poll",K1306="CAWI (Computer Assisted Web Interviewing)"))),1/(1-MIN(MAX(Formula!$C$33+(YEAR(D1306)-Formula!$C$34)/(Formula!$C$35-Formula!$C$34)*(Formula!$C$32-Formula!$C$33),Formula!$C$33),Formula!$C$32)),1)</f>
        <v>1</v>
      </c>
      <c r="W1306" s="17">
        <f t="shared" si="5"/>
        <v>4.1</v>
      </c>
    </row>
    <row r="1307" ht="15.75" customHeight="1">
      <c r="A1307" s="8" t="s">
        <v>2081</v>
      </c>
      <c r="B1307" s="7" t="s">
        <v>2072</v>
      </c>
      <c r="C1307" s="13" t="s">
        <v>2073</v>
      </c>
      <c r="D1307" s="7" t="s">
        <v>193</v>
      </c>
      <c r="E1307" s="8" t="s">
        <v>17</v>
      </c>
      <c r="F1307" s="8" t="s">
        <v>318</v>
      </c>
      <c r="G1307" s="7" t="s">
        <v>196</v>
      </c>
      <c r="H1307" s="7" t="s">
        <v>2074</v>
      </c>
      <c r="I1307" s="8">
        <v>2000.0</v>
      </c>
      <c r="J1307" s="8">
        <v>2.4</v>
      </c>
      <c r="K1307" s="8" t="s">
        <v>321</v>
      </c>
      <c r="L1307" s="8" t="s">
        <v>322</v>
      </c>
      <c r="M1307" s="8" t="s">
        <v>1153</v>
      </c>
      <c r="N1307" s="8">
        <v>3.9</v>
      </c>
      <c r="O1307" s="14">
        <f t="shared" si="1"/>
        <v>44378</v>
      </c>
      <c r="P1307" s="15">
        <f>IFERROR(VLOOKUP(K1307,Formula!$A$11:$B$20,2,FALSE),Formula!$C$26)</f>
        <v>0.9</v>
      </c>
      <c r="Q1307" s="15">
        <f>IF(AND(ISNUMBER(J1307),J1307&gt;0),1/J1307,IF(AND(ISNUMBER(I1307),I1307&gt;0),SQRT(MIN(I1307,Formula!$C$27))/Formula!$C$24,1/Formula!$C$25))</f>
        <v>0.4166666667</v>
      </c>
      <c r="R1307" s="15">
        <f t="shared" si="2"/>
        <v>0.375</v>
      </c>
      <c r="S1307" s="15">
        <f>IF(H1307&lt;&gt;"",EXP(-Formula!$C$28*(EOMONTH(H1307,0)-H1307)),EXP(-Formula!$C$28*(EOMONTH(D1307,0)-D1307)))</f>
        <v>1</v>
      </c>
      <c r="T1307" s="15">
        <f t="shared" si="3"/>
        <v>0.2773500981</v>
      </c>
      <c r="U1307" s="15">
        <f t="shared" si="4"/>
        <v>0.1040062868</v>
      </c>
      <c r="V1307" s="16">
        <f>IF(AND(L1307="Among all respondents",NOT(OR(K1307="Online poll in Telegram channel",K1307="Website online poll",K1307="CAWI (Computer Assisted Web Interviewing)"))),1/(1-MIN(MAX(Formula!$C$33+(YEAR(D1307)-Formula!$C$34)/(Formula!$C$35-Formula!$C$34)*(Formula!$C$32-Formula!$C$33),Formula!$C$33),Formula!$C$32)),1)</f>
        <v>1</v>
      </c>
      <c r="W1307" s="17">
        <f t="shared" si="5"/>
        <v>3.9</v>
      </c>
    </row>
    <row r="1308" ht="15.75" customHeight="1">
      <c r="A1308" s="8" t="s">
        <v>2082</v>
      </c>
      <c r="B1308" s="7" t="s">
        <v>2072</v>
      </c>
      <c r="C1308" s="13" t="s">
        <v>2073</v>
      </c>
      <c r="D1308" s="7" t="s">
        <v>193</v>
      </c>
      <c r="E1308" s="8" t="s">
        <v>17</v>
      </c>
      <c r="F1308" s="8" t="s">
        <v>318</v>
      </c>
      <c r="G1308" s="7" t="s">
        <v>196</v>
      </c>
      <c r="H1308" s="7" t="s">
        <v>2074</v>
      </c>
      <c r="I1308" s="8">
        <v>2000.0</v>
      </c>
      <c r="J1308" s="8">
        <v>2.4</v>
      </c>
      <c r="K1308" s="8" t="s">
        <v>321</v>
      </c>
      <c r="L1308" s="8" t="s">
        <v>322</v>
      </c>
      <c r="M1308" s="8" t="s">
        <v>1334</v>
      </c>
      <c r="N1308" s="8">
        <v>3.4</v>
      </c>
      <c r="O1308" s="14">
        <f t="shared" si="1"/>
        <v>44378</v>
      </c>
      <c r="P1308" s="15">
        <f>IFERROR(VLOOKUP(K1308,Formula!$A$11:$B$20,2,FALSE),Formula!$C$26)</f>
        <v>0.9</v>
      </c>
      <c r="Q1308" s="15">
        <f>IF(AND(ISNUMBER(J1308),J1308&gt;0),1/J1308,IF(AND(ISNUMBER(I1308),I1308&gt;0),SQRT(MIN(I1308,Formula!$C$27))/Formula!$C$24,1/Formula!$C$25))</f>
        <v>0.4166666667</v>
      </c>
      <c r="R1308" s="15">
        <f t="shared" si="2"/>
        <v>0.375</v>
      </c>
      <c r="S1308" s="15">
        <f>IF(H1308&lt;&gt;"",EXP(-Formula!$C$28*(EOMONTH(H1308,0)-H1308)),EXP(-Formula!$C$28*(EOMONTH(D1308,0)-D1308)))</f>
        <v>1</v>
      </c>
      <c r="T1308" s="15">
        <f t="shared" si="3"/>
        <v>0.2773500981</v>
      </c>
      <c r="U1308" s="15">
        <f t="shared" si="4"/>
        <v>0.1040062868</v>
      </c>
      <c r="V1308" s="16">
        <f>IF(AND(L1308="Among all respondents",NOT(OR(K1308="Online poll in Telegram channel",K1308="Website online poll",K1308="CAWI (Computer Assisted Web Interviewing)"))),1/(1-MIN(MAX(Formula!$C$33+(YEAR(D1308)-Formula!$C$34)/(Formula!$C$35-Formula!$C$34)*(Formula!$C$32-Formula!$C$33),Formula!$C$33),Formula!$C$32)),1)</f>
        <v>1</v>
      </c>
      <c r="W1308" s="17">
        <f t="shared" si="5"/>
        <v>3.4</v>
      </c>
    </row>
    <row r="1309" ht="15.75" customHeight="1">
      <c r="A1309" s="8" t="s">
        <v>2083</v>
      </c>
      <c r="B1309" s="7" t="s">
        <v>2072</v>
      </c>
      <c r="C1309" s="13" t="s">
        <v>2073</v>
      </c>
      <c r="D1309" s="7" t="s">
        <v>193</v>
      </c>
      <c r="E1309" s="8" t="s">
        <v>17</v>
      </c>
      <c r="F1309" s="8" t="s">
        <v>318</v>
      </c>
      <c r="G1309" s="7" t="s">
        <v>196</v>
      </c>
      <c r="H1309" s="7" t="s">
        <v>2074</v>
      </c>
      <c r="I1309" s="8">
        <v>2000.0</v>
      </c>
      <c r="J1309" s="8">
        <v>2.4</v>
      </c>
      <c r="K1309" s="8" t="s">
        <v>321</v>
      </c>
      <c r="L1309" s="8" t="s">
        <v>322</v>
      </c>
      <c r="M1309" s="8" t="s">
        <v>388</v>
      </c>
      <c r="N1309" s="8">
        <v>1.9</v>
      </c>
      <c r="O1309" s="14">
        <f t="shared" si="1"/>
        <v>44378</v>
      </c>
      <c r="P1309" s="15">
        <f>IFERROR(VLOOKUP(K1309,Formula!$A$11:$B$20,2,FALSE),Formula!$C$26)</f>
        <v>0.9</v>
      </c>
      <c r="Q1309" s="15">
        <f>IF(AND(ISNUMBER(J1309),J1309&gt;0),1/J1309,IF(AND(ISNUMBER(I1309),I1309&gt;0),SQRT(MIN(I1309,Formula!$C$27))/Formula!$C$24,1/Formula!$C$25))</f>
        <v>0.4166666667</v>
      </c>
      <c r="R1309" s="15">
        <f t="shared" si="2"/>
        <v>0.375</v>
      </c>
      <c r="S1309" s="15">
        <f>IF(H1309&lt;&gt;"",EXP(-Formula!$C$28*(EOMONTH(H1309,0)-H1309)),EXP(-Formula!$C$28*(EOMONTH(D1309,0)-D1309)))</f>
        <v>1</v>
      </c>
      <c r="T1309" s="15">
        <f t="shared" si="3"/>
        <v>0.2773500981</v>
      </c>
      <c r="U1309" s="15">
        <f t="shared" si="4"/>
        <v>0.1040062868</v>
      </c>
      <c r="V1309" s="16">
        <f>IF(AND(L1309="Among all respondents",NOT(OR(K1309="Online poll in Telegram channel",K1309="Website online poll",K1309="CAWI (Computer Assisted Web Interviewing)"))),1/(1-MIN(MAX(Formula!$C$33+(YEAR(D1309)-Formula!$C$34)/(Formula!$C$35-Formula!$C$34)*(Formula!$C$32-Formula!$C$33),Formula!$C$33),Formula!$C$32)),1)</f>
        <v>1</v>
      </c>
      <c r="W1309" s="17">
        <f t="shared" si="5"/>
        <v>1.9</v>
      </c>
    </row>
    <row r="1310" ht="15.75" customHeight="1">
      <c r="A1310" s="8" t="s">
        <v>2084</v>
      </c>
      <c r="B1310" s="7" t="s">
        <v>2072</v>
      </c>
      <c r="C1310" s="13" t="s">
        <v>2073</v>
      </c>
      <c r="D1310" s="7" t="s">
        <v>193</v>
      </c>
      <c r="E1310" s="8" t="s">
        <v>17</v>
      </c>
      <c r="F1310" s="8" t="s">
        <v>318</v>
      </c>
      <c r="G1310" s="7" t="s">
        <v>196</v>
      </c>
      <c r="H1310" s="7" t="s">
        <v>2074</v>
      </c>
      <c r="I1310" s="8">
        <v>2000.0</v>
      </c>
      <c r="J1310" s="8">
        <v>2.4</v>
      </c>
      <c r="K1310" s="8" t="s">
        <v>321</v>
      </c>
      <c r="L1310" s="8" t="s">
        <v>322</v>
      </c>
      <c r="M1310" s="8" t="s">
        <v>343</v>
      </c>
      <c r="N1310" s="8">
        <v>1.9</v>
      </c>
      <c r="O1310" s="14">
        <f t="shared" si="1"/>
        <v>44378</v>
      </c>
      <c r="P1310" s="15">
        <f>IFERROR(VLOOKUP(K1310,Formula!$A$11:$B$20,2,FALSE),Formula!$C$26)</f>
        <v>0.9</v>
      </c>
      <c r="Q1310" s="15">
        <f>IF(AND(ISNUMBER(J1310),J1310&gt;0),1/J1310,IF(AND(ISNUMBER(I1310),I1310&gt;0),SQRT(MIN(I1310,Formula!$C$27))/Formula!$C$24,1/Formula!$C$25))</f>
        <v>0.4166666667</v>
      </c>
      <c r="R1310" s="15">
        <f t="shared" si="2"/>
        <v>0.375</v>
      </c>
      <c r="S1310" s="15">
        <f>IF(H1310&lt;&gt;"",EXP(-Formula!$C$28*(EOMONTH(H1310,0)-H1310)),EXP(-Formula!$C$28*(EOMONTH(D1310,0)-D1310)))</f>
        <v>1</v>
      </c>
      <c r="T1310" s="15">
        <f t="shared" si="3"/>
        <v>0.2773500981</v>
      </c>
      <c r="U1310" s="15">
        <f t="shared" si="4"/>
        <v>0.1040062868</v>
      </c>
      <c r="V1310" s="16">
        <f>IF(AND(L1310="Among all respondents",NOT(OR(K1310="Online poll in Telegram channel",K1310="Website online poll",K1310="CAWI (Computer Assisted Web Interviewing)"))),1/(1-MIN(MAX(Formula!$C$33+(YEAR(D1310)-Formula!$C$34)/(Formula!$C$35-Formula!$C$34)*(Formula!$C$32-Formula!$C$33),Formula!$C$33),Formula!$C$32)),1)</f>
        <v>1</v>
      </c>
      <c r="W1310" s="17">
        <f t="shared" si="5"/>
        <v>1.9</v>
      </c>
    </row>
    <row r="1311" ht="15.75" customHeight="1">
      <c r="A1311" s="8" t="s">
        <v>2085</v>
      </c>
      <c r="B1311" s="7" t="s">
        <v>2072</v>
      </c>
      <c r="C1311" s="13" t="s">
        <v>2073</v>
      </c>
      <c r="D1311" s="7" t="s">
        <v>193</v>
      </c>
      <c r="E1311" s="8" t="s">
        <v>17</v>
      </c>
      <c r="F1311" s="8" t="s">
        <v>318</v>
      </c>
      <c r="G1311" s="7" t="s">
        <v>196</v>
      </c>
      <c r="H1311" s="7" t="s">
        <v>2074</v>
      </c>
      <c r="I1311" s="8">
        <v>2000.0</v>
      </c>
      <c r="J1311" s="8">
        <v>2.4</v>
      </c>
      <c r="K1311" s="8" t="s">
        <v>321</v>
      </c>
      <c r="L1311" s="8" t="s">
        <v>322</v>
      </c>
      <c r="M1311" s="8" t="s">
        <v>740</v>
      </c>
      <c r="N1311" s="8">
        <v>1.2</v>
      </c>
      <c r="O1311" s="14">
        <f t="shared" si="1"/>
        <v>44378</v>
      </c>
      <c r="P1311" s="15">
        <f>IFERROR(VLOOKUP(K1311,Formula!$A$11:$B$20,2,FALSE),Formula!$C$26)</f>
        <v>0.9</v>
      </c>
      <c r="Q1311" s="15">
        <f>IF(AND(ISNUMBER(J1311),J1311&gt;0),1/J1311,IF(AND(ISNUMBER(I1311),I1311&gt;0),SQRT(MIN(I1311,Formula!$C$27))/Formula!$C$24,1/Formula!$C$25))</f>
        <v>0.4166666667</v>
      </c>
      <c r="R1311" s="15">
        <f t="shared" si="2"/>
        <v>0.375</v>
      </c>
      <c r="S1311" s="15">
        <f>IF(H1311&lt;&gt;"",EXP(-Formula!$C$28*(EOMONTH(H1311,0)-H1311)),EXP(-Formula!$C$28*(EOMONTH(D1311,0)-D1311)))</f>
        <v>1</v>
      </c>
      <c r="T1311" s="15">
        <f t="shared" si="3"/>
        <v>0.2773500981</v>
      </c>
      <c r="U1311" s="15">
        <f t="shared" si="4"/>
        <v>0.1040062868</v>
      </c>
      <c r="V1311" s="16">
        <f>IF(AND(L1311="Among all respondents",NOT(OR(K1311="Online poll in Telegram channel",K1311="Website online poll",K1311="CAWI (Computer Assisted Web Interviewing)"))),1/(1-MIN(MAX(Formula!$C$33+(YEAR(D1311)-Formula!$C$34)/(Formula!$C$35-Formula!$C$34)*(Formula!$C$32-Formula!$C$33),Formula!$C$33),Formula!$C$32)),1)</f>
        <v>1</v>
      </c>
      <c r="W1311" s="17">
        <f t="shared" si="5"/>
        <v>1.2</v>
      </c>
    </row>
    <row r="1312" ht="15.75" customHeight="1">
      <c r="A1312" s="8" t="s">
        <v>2086</v>
      </c>
      <c r="B1312" s="7" t="s">
        <v>2072</v>
      </c>
      <c r="C1312" s="13" t="s">
        <v>2073</v>
      </c>
      <c r="D1312" s="7" t="s">
        <v>193</v>
      </c>
      <c r="E1312" s="8" t="s">
        <v>17</v>
      </c>
      <c r="F1312" s="8" t="s">
        <v>318</v>
      </c>
      <c r="G1312" s="7" t="s">
        <v>196</v>
      </c>
      <c r="H1312" s="7" t="s">
        <v>2074</v>
      </c>
      <c r="I1312" s="8">
        <v>2000.0</v>
      </c>
      <c r="J1312" s="8">
        <v>2.4</v>
      </c>
      <c r="K1312" s="8" t="s">
        <v>321</v>
      </c>
      <c r="L1312" s="8" t="s">
        <v>322</v>
      </c>
      <c r="M1312" s="8" t="s">
        <v>1171</v>
      </c>
      <c r="N1312" s="8">
        <v>0.7</v>
      </c>
      <c r="O1312" s="14">
        <f t="shared" si="1"/>
        <v>44378</v>
      </c>
      <c r="P1312" s="15">
        <f>IFERROR(VLOOKUP(K1312,Formula!$A$11:$B$20,2,FALSE),Formula!$C$26)</f>
        <v>0.9</v>
      </c>
      <c r="Q1312" s="15">
        <f>IF(AND(ISNUMBER(J1312),J1312&gt;0),1/J1312,IF(AND(ISNUMBER(I1312),I1312&gt;0),SQRT(MIN(I1312,Formula!$C$27))/Formula!$C$24,1/Formula!$C$25))</f>
        <v>0.4166666667</v>
      </c>
      <c r="R1312" s="15">
        <f t="shared" si="2"/>
        <v>0.375</v>
      </c>
      <c r="S1312" s="15">
        <f>IF(H1312&lt;&gt;"",EXP(-Formula!$C$28*(EOMONTH(H1312,0)-H1312)),EXP(-Formula!$C$28*(EOMONTH(D1312,0)-D1312)))</f>
        <v>1</v>
      </c>
      <c r="T1312" s="15">
        <f t="shared" si="3"/>
        <v>0.2773500981</v>
      </c>
      <c r="U1312" s="15">
        <f t="shared" si="4"/>
        <v>0.1040062868</v>
      </c>
      <c r="V1312" s="16">
        <f>IF(AND(L1312="Among all respondents",NOT(OR(K1312="Online poll in Telegram channel",K1312="Website online poll",K1312="CAWI (Computer Assisted Web Interviewing)"))),1/(1-MIN(MAX(Formula!$C$33+(YEAR(D1312)-Formula!$C$34)/(Formula!$C$35-Formula!$C$34)*(Formula!$C$32-Formula!$C$33),Formula!$C$33),Formula!$C$32)),1)</f>
        <v>1</v>
      </c>
      <c r="W1312" s="17">
        <f t="shared" si="5"/>
        <v>0.7</v>
      </c>
    </row>
    <row r="1313" ht="15.75" customHeight="1">
      <c r="A1313" s="8" t="s">
        <v>2087</v>
      </c>
      <c r="B1313" s="7" t="s">
        <v>2088</v>
      </c>
      <c r="C1313" s="13" t="s">
        <v>2089</v>
      </c>
      <c r="D1313" s="7" t="s">
        <v>195</v>
      </c>
      <c r="E1313" s="8" t="s">
        <v>156</v>
      </c>
      <c r="F1313" s="8" t="s">
        <v>318</v>
      </c>
      <c r="G1313" s="7" t="s">
        <v>2090</v>
      </c>
      <c r="H1313" s="7" t="s">
        <v>2091</v>
      </c>
      <c r="I1313" s="8">
        <v>2400.0</v>
      </c>
      <c r="J1313" s="8">
        <v>2.1</v>
      </c>
      <c r="K1313" s="8" t="s">
        <v>583</v>
      </c>
      <c r="L1313" s="8" t="s">
        <v>322</v>
      </c>
      <c r="M1313" s="8" t="s">
        <v>323</v>
      </c>
      <c r="N1313" s="8">
        <v>30.0</v>
      </c>
      <c r="O1313" s="14">
        <f t="shared" si="1"/>
        <v>44378</v>
      </c>
      <c r="P1313" s="15">
        <f>IFERROR(VLOOKUP(K1313,Formula!$A$11:$B$20,2,FALSE),Formula!$C$26)</f>
        <v>0.95</v>
      </c>
      <c r="Q1313" s="15">
        <f>IF(AND(ISNUMBER(J1313),J1313&gt;0),1/J1313,IF(AND(ISNUMBER(I1313),I1313&gt;0),SQRT(MIN(I1313,Formula!$C$27))/Formula!$C$24,1/Formula!$C$25))</f>
        <v>0.4761904762</v>
      </c>
      <c r="R1313" s="15">
        <f t="shared" si="2"/>
        <v>0.4523809524</v>
      </c>
      <c r="S1313" s="15">
        <f>IF(H1313&lt;&gt;"",EXP(-Formula!$C$28*(EOMONTH(H1313,0)-H1313)),EXP(-Formula!$C$28*(EOMONTH(D1313,0)-D1313)))</f>
        <v>0.904837418</v>
      </c>
      <c r="T1313" s="15">
        <f t="shared" si="3"/>
        <v>0.3015113446</v>
      </c>
      <c r="U1313" s="15">
        <f t="shared" si="4"/>
        <v>0.1234180044</v>
      </c>
      <c r="V1313" s="16">
        <f>IF(AND(L1313="Among all respondents",NOT(OR(K1313="Online poll in Telegram channel",K1313="Website online poll",K1313="CAWI (Computer Assisted Web Interviewing)"))),1/(1-MIN(MAX(Formula!$C$33+(YEAR(D1313)-Formula!$C$34)/(Formula!$C$35-Formula!$C$34)*(Formula!$C$32-Formula!$C$33),Formula!$C$33),Formula!$C$32)),1)</f>
        <v>1</v>
      </c>
      <c r="W1313" s="17">
        <f t="shared" si="5"/>
        <v>30</v>
      </c>
    </row>
    <row r="1314" ht="15.75" customHeight="1">
      <c r="A1314" s="8" t="s">
        <v>2092</v>
      </c>
      <c r="B1314" s="7" t="s">
        <v>2088</v>
      </c>
      <c r="C1314" s="13" t="s">
        <v>2089</v>
      </c>
      <c r="D1314" s="7" t="s">
        <v>195</v>
      </c>
      <c r="E1314" s="8" t="s">
        <v>156</v>
      </c>
      <c r="F1314" s="8" t="s">
        <v>318</v>
      </c>
      <c r="G1314" s="7" t="s">
        <v>2090</v>
      </c>
      <c r="H1314" s="7" t="s">
        <v>2091</v>
      </c>
      <c r="I1314" s="8">
        <v>2400.0</v>
      </c>
      <c r="J1314" s="8">
        <v>2.1</v>
      </c>
      <c r="K1314" s="8" t="s">
        <v>583</v>
      </c>
      <c r="L1314" s="8" t="s">
        <v>322</v>
      </c>
      <c r="M1314" s="8" t="s">
        <v>329</v>
      </c>
      <c r="N1314" s="8">
        <v>14.0</v>
      </c>
      <c r="O1314" s="14">
        <f t="shared" si="1"/>
        <v>44378</v>
      </c>
      <c r="P1314" s="15">
        <f>IFERROR(VLOOKUP(K1314,Formula!$A$11:$B$20,2,FALSE),Formula!$C$26)</f>
        <v>0.95</v>
      </c>
      <c r="Q1314" s="15">
        <f>IF(AND(ISNUMBER(J1314),J1314&gt;0),1/J1314,IF(AND(ISNUMBER(I1314),I1314&gt;0),SQRT(MIN(I1314,Formula!$C$27))/Formula!$C$24,1/Formula!$C$25))</f>
        <v>0.4761904762</v>
      </c>
      <c r="R1314" s="15">
        <f t="shared" si="2"/>
        <v>0.4523809524</v>
      </c>
      <c r="S1314" s="15">
        <f>IF(H1314&lt;&gt;"",EXP(-Formula!$C$28*(EOMONTH(H1314,0)-H1314)),EXP(-Formula!$C$28*(EOMONTH(D1314,0)-D1314)))</f>
        <v>0.904837418</v>
      </c>
      <c r="T1314" s="15">
        <f t="shared" si="3"/>
        <v>0.3015113446</v>
      </c>
      <c r="U1314" s="15">
        <f t="shared" si="4"/>
        <v>0.1234180044</v>
      </c>
      <c r="V1314" s="16">
        <f>IF(AND(L1314="Among all respondents",NOT(OR(K1314="Online poll in Telegram channel",K1314="Website online poll",K1314="CAWI (Computer Assisted Web Interviewing)"))),1/(1-MIN(MAX(Formula!$C$33+(YEAR(D1314)-Formula!$C$34)/(Formula!$C$35-Formula!$C$34)*(Formula!$C$32-Formula!$C$33),Formula!$C$33),Formula!$C$32)),1)</f>
        <v>1</v>
      </c>
      <c r="W1314" s="17">
        <f t="shared" si="5"/>
        <v>14</v>
      </c>
    </row>
    <row r="1315" ht="15.75" customHeight="1">
      <c r="A1315" s="8" t="s">
        <v>2093</v>
      </c>
      <c r="B1315" s="7" t="s">
        <v>2088</v>
      </c>
      <c r="C1315" s="13" t="s">
        <v>2089</v>
      </c>
      <c r="D1315" s="7" t="s">
        <v>195</v>
      </c>
      <c r="E1315" s="8" t="s">
        <v>156</v>
      </c>
      <c r="F1315" s="8" t="s">
        <v>318</v>
      </c>
      <c r="G1315" s="7" t="s">
        <v>2090</v>
      </c>
      <c r="H1315" s="7" t="s">
        <v>2091</v>
      </c>
      <c r="I1315" s="8">
        <v>2400.0</v>
      </c>
      <c r="J1315" s="8">
        <v>2.1</v>
      </c>
      <c r="K1315" s="8" t="s">
        <v>583</v>
      </c>
      <c r="L1315" s="8" t="s">
        <v>322</v>
      </c>
      <c r="M1315" s="8" t="s">
        <v>365</v>
      </c>
      <c r="N1315" s="8">
        <v>13.0</v>
      </c>
      <c r="O1315" s="14">
        <f t="shared" si="1"/>
        <v>44378</v>
      </c>
      <c r="P1315" s="15">
        <f>IFERROR(VLOOKUP(K1315,Formula!$A$11:$B$20,2,FALSE),Formula!$C$26)</f>
        <v>0.95</v>
      </c>
      <c r="Q1315" s="15">
        <f>IF(AND(ISNUMBER(J1315),J1315&gt;0),1/J1315,IF(AND(ISNUMBER(I1315),I1315&gt;0),SQRT(MIN(I1315,Formula!$C$27))/Formula!$C$24,1/Formula!$C$25))</f>
        <v>0.4761904762</v>
      </c>
      <c r="R1315" s="15">
        <f t="shared" si="2"/>
        <v>0.4523809524</v>
      </c>
      <c r="S1315" s="15">
        <f>IF(H1315&lt;&gt;"",EXP(-Formula!$C$28*(EOMONTH(H1315,0)-H1315)),EXP(-Formula!$C$28*(EOMONTH(D1315,0)-D1315)))</f>
        <v>0.904837418</v>
      </c>
      <c r="T1315" s="15">
        <f t="shared" si="3"/>
        <v>0.3015113446</v>
      </c>
      <c r="U1315" s="15">
        <f t="shared" si="4"/>
        <v>0.1234180044</v>
      </c>
      <c r="V1315" s="16">
        <f>IF(AND(L1315="Among all respondents",NOT(OR(K1315="Online poll in Telegram channel",K1315="Website online poll",K1315="CAWI (Computer Assisted Web Interviewing)"))),1/(1-MIN(MAX(Formula!$C$33+(YEAR(D1315)-Formula!$C$34)/(Formula!$C$35-Formula!$C$34)*(Formula!$C$32-Formula!$C$33),Formula!$C$33),Formula!$C$32)),1)</f>
        <v>1</v>
      </c>
      <c r="W1315" s="17">
        <f t="shared" si="5"/>
        <v>13</v>
      </c>
    </row>
    <row r="1316" ht="15.75" customHeight="1">
      <c r="A1316" s="8" t="s">
        <v>2094</v>
      </c>
      <c r="B1316" s="7" t="s">
        <v>2088</v>
      </c>
      <c r="C1316" s="13" t="s">
        <v>2089</v>
      </c>
      <c r="D1316" s="7" t="s">
        <v>195</v>
      </c>
      <c r="E1316" s="8" t="s">
        <v>156</v>
      </c>
      <c r="F1316" s="8" t="s">
        <v>318</v>
      </c>
      <c r="G1316" s="7" t="s">
        <v>2090</v>
      </c>
      <c r="H1316" s="7" t="s">
        <v>2091</v>
      </c>
      <c r="I1316" s="8">
        <v>2400.0</v>
      </c>
      <c r="J1316" s="8">
        <v>2.1</v>
      </c>
      <c r="K1316" s="8" t="s">
        <v>583</v>
      </c>
      <c r="L1316" s="8" t="s">
        <v>322</v>
      </c>
      <c r="M1316" s="8" t="s">
        <v>337</v>
      </c>
      <c r="N1316" s="8">
        <v>11.0</v>
      </c>
      <c r="O1316" s="14">
        <f t="shared" si="1"/>
        <v>44378</v>
      </c>
      <c r="P1316" s="15">
        <f>IFERROR(VLOOKUP(K1316,Formula!$A$11:$B$20,2,FALSE),Formula!$C$26)</f>
        <v>0.95</v>
      </c>
      <c r="Q1316" s="15">
        <f>IF(AND(ISNUMBER(J1316),J1316&gt;0),1/J1316,IF(AND(ISNUMBER(I1316),I1316&gt;0),SQRT(MIN(I1316,Formula!$C$27))/Formula!$C$24,1/Formula!$C$25))</f>
        <v>0.4761904762</v>
      </c>
      <c r="R1316" s="15">
        <f t="shared" si="2"/>
        <v>0.4523809524</v>
      </c>
      <c r="S1316" s="15">
        <f>IF(H1316&lt;&gt;"",EXP(-Formula!$C$28*(EOMONTH(H1316,0)-H1316)),EXP(-Formula!$C$28*(EOMONTH(D1316,0)-D1316)))</f>
        <v>0.904837418</v>
      </c>
      <c r="T1316" s="15">
        <f t="shared" si="3"/>
        <v>0.3015113446</v>
      </c>
      <c r="U1316" s="15">
        <f t="shared" si="4"/>
        <v>0.1234180044</v>
      </c>
      <c r="V1316" s="16">
        <f>IF(AND(L1316="Among all respondents",NOT(OR(K1316="Online poll in Telegram channel",K1316="Website online poll",K1316="CAWI (Computer Assisted Web Interviewing)"))),1/(1-MIN(MAX(Formula!$C$33+(YEAR(D1316)-Formula!$C$34)/(Formula!$C$35-Formula!$C$34)*(Formula!$C$32-Formula!$C$33),Formula!$C$33),Formula!$C$32)),1)</f>
        <v>1</v>
      </c>
      <c r="W1316" s="17">
        <f t="shared" si="5"/>
        <v>11</v>
      </c>
    </row>
    <row r="1317" ht="15.75" customHeight="1">
      <c r="A1317" s="8" t="s">
        <v>2095</v>
      </c>
      <c r="B1317" s="7" t="s">
        <v>2088</v>
      </c>
      <c r="C1317" s="13" t="s">
        <v>2089</v>
      </c>
      <c r="D1317" s="7" t="s">
        <v>195</v>
      </c>
      <c r="E1317" s="8" t="s">
        <v>156</v>
      </c>
      <c r="F1317" s="8" t="s">
        <v>318</v>
      </c>
      <c r="G1317" s="7" t="s">
        <v>2090</v>
      </c>
      <c r="H1317" s="7" t="s">
        <v>2091</v>
      </c>
      <c r="I1317" s="8">
        <v>2400.0</v>
      </c>
      <c r="J1317" s="8">
        <v>2.1</v>
      </c>
      <c r="K1317" s="8" t="s">
        <v>583</v>
      </c>
      <c r="L1317" s="8" t="s">
        <v>322</v>
      </c>
      <c r="M1317" s="8" t="s">
        <v>828</v>
      </c>
      <c r="N1317" s="8">
        <v>8.0</v>
      </c>
      <c r="O1317" s="14">
        <f t="shared" si="1"/>
        <v>44378</v>
      </c>
      <c r="P1317" s="15">
        <f>IFERROR(VLOOKUP(K1317,Formula!$A$11:$B$20,2,FALSE),Formula!$C$26)</f>
        <v>0.95</v>
      </c>
      <c r="Q1317" s="15">
        <f>IF(AND(ISNUMBER(J1317),J1317&gt;0),1/J1317,IF(AND(ISNUMBER(I1317),I1317&gt;0),SQRT(MIN(I1317,Formula!$C$27))/Formula!$C$24,1/Formula!$C$25))</f>
        <v>0.4761904762</v>
      </c>
      <c r="R1317" s="15">
        <f t="shared" si="2"/>
        <v>0.4523809524</v>
      </c>
      <c r="S1317" s="15">
        <f>IF(H1317&lt;&gt;"",EXP(-Formula!$C$28*(EOMONTH(H1317,0)-H1317)),EXP(-Formula!$C$28*(EOMONTH(D1317,0)-D1317)))</f>
        <v>0.904837418</v>
      </c>
      <c r="T1317" s="15">
        <f t="shared" si="3"/>
        <v>0.3015113446</v>
      </c>
      <c r="U1317" s="15">
        <f t="shared" si="4"/>
        <v>0.1234180044</v>
      </c>
      <c r="V1317" s="16">
        <f>IF(AND(L1317="Among all respondents",NOT(OR(K1317="Online poll in Telegram channel",K1317="Website online poll",K1317="CAWI (Computer Assisted Web Interviewing)"))),1/(1-MIN(MAX(Formula!$C$33+(YEAR(D1317)-Formula!$C$34)/(Formula!$C$35-Formula!$C$34)*(Formula!$C$32-Formula!$C$33),Formula!$C$33),Formula!$C$32)),1)</f>
        <v>1</v>
      </c>
      <c r="W1317" s="17">
        <f t="shared" si="5"/>
        <v>8</v>
      </c>
    </row>
    <row r="1318" ht="15.75" customHeight="1">
      <c r="A1318" s="8" t="s">
        <v>2096</v>
      </c>
      <c r="B1318" s="7" t="s">
        <v>2088</v>
      </c>
      <c r="C1318" s="13" t="s">
        <v>2089</v>
      </c>
      <c r="D1318" s="7" t="s">
        <v>195</v>
      </c>
      <c r="E1318" s="8" t="s">
        <v>156</v>
      </c>
      <c r="F1318" s="8" t="s">
        <v>318</v>
      </c>
      <c r="G1318" s="7" t="s">
        <v>2090</v>
      </c>
      <c r="H1318" s="7" t="s">
        <v>2091</v>
      </c>
      <c r="I1318" s="8">
        <v>2400.0</v>
      </c>
      <c r="J1318" s="8">
        <v>2.1</v>
      </c>
      <c r="K1318" s="8" t="s">
        <v>583</v>
      </c>
      <c r="L1318" s="8" t="s">
        <v>322</v>
      </c>
      <c r="M1318" s="8" t="s">
        <v>386</v>
      </c>
      <c r="N1318" s="8">
        <v>7.0</v>
      </c>
      <c r="O1318" s="14">
        <f t="shared" si="1"/>
        <v>44378</v>
      </c>
      <c r="P1318" s="15">
        <f>IFERROR(VLOOKUP(K1318,Formula!$A$11:$B$20,2,FALSE),Formula!$C$26)</f>
        <v>0.95</v>
      </c>
      <c r="Q1318" s="15">
        <f>IF(AND(ISNUMBER(J1318),J1318&gt;0),1/J1318,IF(AND(ISNUMBER(I1318),I1318&gt;0),SQRT(MIN(I1318,Formula!$C$27))/Formula!$C$24,1/Formula!$C$25))</f>
        <v>0.4761904762</v>
      </c>
      <c r="R1318" s="15">
        <f t="shared" si="2"/>
        <v>0.4523809524</v>
      </c>
      <c r="S1318" s="15">
        <f>IF(H1318&lt;&gt;"",EXP(-Formula!$C$28*(EOMONTH(H1318,0)-H1318)),EXP(-Formula!$C$28*(EOMONTH(D1318,0)-D1318)))</f>
        <v>0.904837418</v>
      </c>
      <c r="T1318" s="15">
        <f t="shared" si="3"/>
        <v>0.3015113446</v>
      </c>
      <c r="U1318" s="15">
        <f t="shared" si="4"/>
        <v>0.1234180044</v>
      </c>
      <c r="V1318" s="16">
        <f>IF(AND(L1318="Among all respondents",NOT(OR(K1318="Online poll in Telegram channel",K1318="Website online poll",K1318="CAWI (Computer Assisted Web Interviewing)"))),1/(1-MIN(MAX(Formula!$C$33+(YEAR(D1318)-Formula!$C$34)/(Formula!$C$35-Formula!$C$34)*(Formula!$C$32-Formula!$C$33),Formula!$C$33),Formula!$C$32)),1)</f>
        <v>1</v>
      </c>
      <c r="W1318" s="17">
        <f t="shared" si="5"/>
        <v>7</v>
      </c>
    </row>
    <row r="1319" ht="15.75" customHeight="1">
      <c r="A1319" s="8" t="s">
        <v>2097</v>
      </c>
      <c r="B1319" s="7" t="s">
        <v>2088</v>
      </c>
      <c r="C1319" s="13" t="s">
        <v>2089</v>
      </c>
      <c r="D1319" s="7" t="s">
        <v>195</v>
      </c>
      <c r="E1319" s="8" t="s">
        <v>156</v>
      </c>
      <c r="F1319" s="8" t="s">
        <v>318</v>
      </c>
      <c r="G1319" s="7" t="s">
        <v>2090</v>
      </c>
      <c r="H1319" s="7" t="s">
        <v>2091</v>
      </c>
      <c r="I1319" s="8">
        <v>2400.0</v>
      </c>
      <c r="J1319" s="8">
        <v>2.1</v>
      </c>
      <c r="K1319" s="8" t="s">
        <v>583</v>
      </c>
      <c r="L1319" s="8" t="s">
        <v>322</v>
      </c>
      <c r="M1319" s="8" t="s">
        <v>1153</v>
      </c>
      <c r="N1319" s="8">
        <v>5.0</v>
      </c>
      <c r="O1319" s="14">
        <f t="shared" si="1"/>
        <v>44378</v>
      </c>
      <c r="P1319" s="15">
        <f>IFERROR(VLOOKUP(K1319,Formula!$A$11:$B$20,2,FALSE),Formula!$C$26)</f>
        <v>0.95</v>
      </c>
      <c r="Q1319" s="15">
        <f>IF(AND(ISNUMBER(J1319),J1319&gt;0),1/J1319,IF(AND(ISNUMBER(I1319),I1319&gt;0),SQRT(MIN(I1319,Formula!$C$27))/Formula!$C$24,1/Formula!$C$25))</f>
        <v>0.4761904762</v>
      </c>
      <c r="R1319" s="15">
        <f t="shared" si="2"/>
        <v>0.4523809524</v>
      </c>
      <c r="S1319" s="15">
        <f>IF(H1319&lt;&gt;"",EXP(-Formula!$C$28*(EOMONTH(H1319,0)-H1319)),EXP(-Formula!$C$28*(EOMONTH(D1319,0)-D1319)))</f>
        <v>0.904837418</v>
      </c>
      <c r="T1319" s="15">
        <f t="shared" si="3"/>
        <v>0.3015113446</v>
      </c>
      <c r="U1319" s="15">
        <f t="shared" si="4"/>
        <v>0.1234180044</v>
      </c>
      <c r="V1319" s="16">
        <f>IF(AND(L1319="Among all respondents",NOT(OR(K1319="Online poll in Telegram channel",K1319="Website online poll",K1319="CAWI (Computer Assisted Web Interviewing)"))),1/(1-MIN(MAX(Formula!$C$33+(YEAR(D1319)-Formula!$C$34)/(Formula!$C$35-Formula!$C$34)*(Formula!$C$32-Formula!$C$33),Formula!$C$33),Formula!$C$32)),1)</f>
        <v>1</v>
      </c>
      <c r="W1319" s="17">
        <f t="shared" si="5"/>
        <v>5</v>
      </c>
    </row>
    <row r="1320" ht="15.75" customHeight="1">
      <c r="A1320" s="8" t="s">
        <v>2098</v>
      </c>
      <c r="B1320" s="7" t="s">
        <v>2088</v>
      </c>
      <c r="C1320" s="13" t="s">
        <v>2089</v>
      </c>
      <c r="D1320" s="7" t="s">
        <v>195</v>
      </c>
      <c r="E1320" s="8" t="s">
        <v>156</v>
      </c>
      <c r="F1320" s="8" t="s">
        <v>318</v>
      </c>
      <c r="G1320" s="7" t="s">
        <v>2090</v>
      </c>
      <c r="H1320" s="7" t="s">
        <v>2091</v>
      </c>
      <c r="I1320" s="8">
        <v>2400.0</v>
      </c>
      <c r="J1320" s="8">
        <v>2.1</v>
      </c>
      <c r="K1320" s="8" t="s">
        <v>583</v>
      </c>
      <c r="L1320" s="8" t="s">
        <v>322</v>
      </c>
      <c r="M1320" s="8" t="s">
        <v>1334</v>
      </c>
      <c r="N1320" s="8">
        <v>3.0</v>
      </c>
      <c r="O1320" s="14">
        <f t="shared" si="1"/>
        <v>44378</v>
      </c>
      <c r="P1320" s="15">
        <f>IFERROR(VLOOKUP(K1320,Formula!$A$11:$B$20,2,FALSE),Formula!$C$26)</f>
        <v>0.95</v>
      </c>
      <c r="Q1320" s="15">
        <f>IF(AND(ISNUMBER(J1320),J1320&gt;0),1/J1320,IF(AND(ISNUMBER(I1320),I1320&gt;0),SQRT(MIN(I1320,Formula!$C$27))/Formula!$C$24,1/Formula!$C$25))</f>
        <v>0.4761904762</v>
      </c>
      <c r="R1320" s="15">
        <f t="shared" si="2"/>
        <v>0.4523809524</v>
      </c>
      <c r="S1320" s="15">
        <f>IF(H1320&lt;&gt;"",EXP(-Formula!$C$28*(EOMONTH(H1320,0)-H1320)),EXP(-Formula!$C$28*(EOMONTH(D1320,0)-D1320)))</f>
        <v>0.904837418</v>
      </c>
      <c r="T1320" s="15">
        <f t="shared" si="3"/>
        <v>0.3015113446</v>
      </c>
      <c r="U1320" s="15">
        <f t="shared" si="4"/>
        <v>0.1234180044</v>
      </c>
      <c r="V1320" s="16">
        <f>IF(AND(L1320="Among all respondents",NOT(OR(K1320="Online poll in Telegram channel",K1320="Website online poll",K1320="CAWI (Computer Assisted Web Interviewing)"))),1/(1-MIN(MAX(Formula!$C$33+(YEAR(D1320)-Formula!$C$34)/(Formula!$C$35-Formula!$C$34)*(Formula!$C$32-Formula!$C$33),Formula!$C$33),Formula!$C$32)),1)</f>
        <v>1</v>
      </c>
      <c r="W1320" s="17">
        <f t="shared" si="5"/>
        <v>3</v>
      </c>
    </row>
    <row r="1321" ht="15.75" customHeight="1">
      <c r="A1321" s="8" t="s">
        <v>2099</v>
      </c>
      <c r="B1321" s="7" t="s">
        <v>2088</v>
      </c>
      <c r="C1321" s="13" t="s">
        <v>2089</v>
      </c>
      <c r="D1321" s="7" t="s">
        <v>195</v>
      </c>
      <c r="E1321" s="8" t="s">
        <v>156</v>
      </c>
      <c r="F1321" s="8" t="s">
        <v>318</v>
      </c>
      <c r="G1321" s="7" t="s">
        <v>2090</v>
      </c>
      <c r="H1321" s="7" t="s">
        <v>2091</v>
      </c>
      <c r="I1321" s="8">
        <v>2400.0</v>
      </c>
      <c r="J1321" s="8">
        <v>2.1</v>
      </c>
      <c r="K1321" s="8" t="s">
        <v>583</v>
      </c>
      <c r="L1321" s="8" t="s">
        <v>322</v>
      </c>
      <c r="M1321" s="8" t="s">
        <v>333</v>
      </c>
      <c r="N1321" s="8">
        <v>3.0</v>
      </c>
      <c r="O1321" s="14">
        <f t="shared" si="1"/>
        <v>44378</v>
      </c>
      <c r="P1321" s="15">
        <f>IFERROR(VLOOKUP(K1321,Formula!$A$11:$B$20,2,FALSE),Formula!$C$26)</f>
        <v>0.95</v>
      </c>
      <c r="Q1321" s="15">
        <f>IF(AND(ISNUMBER(J1321),J1321&gt;0),1/J1321,IF(AND(ISNUMBER(I1321),I1321&gt;0),SQRT(MIN(I1321,Formula!$C$27))/Formula!$C$24,1/Formula!$C$25))</f>
        <v>0.4761904762</v>
      </c>
      <c r="R1321" s="15">
        <f t="shared" si="2"/>
        <v>0.4523809524</v>
      </c>
      <c r="S1321" s="15">
        <f>IF(H1321&lt;&gt;"",EXP(-Formula!$C$28*(EOMONTH(H1321,0)-H1321)),EXP(-Formula!$C$28*(EOMONTH(D1321,0)-D1321)))</f>
        <v>0.904837418</v>
      </c>
      <c r="T1321" s="15">
        <f t="shared" si="3"/>
        <v>0.3015113446</v>
      </c>
      <c r="U1321" s="15">
        <f t="shared" si="4"/>
        <v>0.1234180044</v>
      </c>
      <c r="V1321" s="16">
        <f>IF(AND(L1321="Among all respondents",NOT(OR(K1321="Online poll in Telegram channel",K1321="Website online poll",K1321="CAWI (Computer Assisted Web Interviewing)"))),1/(1-MIN(MAX(Formula!$C$33+(YEAR(D1321)-Formula!$C$34)/(Formula!$C$35-Formula!$C$34)*(Formula!$C$32-Formula!$C$33),Formula!$C$33),Formula!$C$32)),1)</f>
        <v>1</v>
      </c>
      <c r="W1321" s="17">
        <f t="shared" si="5"/>
        <v>3</v>
      </c>
    </row>
    <row r="1322" ht="15.75" customHeight="1">
      <c r="A1322" s="8" t="s">
        <v>2100</v>
      </c>
      <c r="B1322" s="7" t="s">
        <v>2088</v>
      </c>
      <c r="C1322" s="13" t="s">
        <v>2089</v>
      </c>
      <c r="D1322" s="7" t="s">
        <v>195</v>
      </c>
      <c r="E1322" s="8" t="s">
        <v>156</v>
      </c>
      <c r="F1322" s="8" t="s">
        <v>318</v>
      </c>
      <c r="G1322" s="7" t="s">
        <v>2090</v>
      </c>
      <c r="H1322" s="7" t="s">
        <v>2091</v>
      </c>
      <c r="I1322" s="8">
        <v>2400.0</v>
      </c>
      <c r="J1322" s="8">
        <v>2.1</v>
      </c>
      <c r="K1322" s="8" t="s">
        <v>583</v>
      </c>
      <c r="L1322" s="8" t="s">
        <v>322</v>
      </c>
      <c r="M1322" s="8" t="s">
        <v>343</v>
      </c>
      <c r="N1322" s="8">
        <v>2.0</v>
      </c>
      <c r="O1322" s="14">
        <f t="shared" si="1"/>
        <v>44378</v>
      </c>
      <c r="P1322" s="15">
        <f>IFERROR(VLOOKUP(K1322,Formula!$A$11:$B$20,2,FALSE),Formula!$C$26)</f>
        <v>0.95</v>
      </c>
      <c r="Q1322" s="15">
        <f>IF(AND(ISNUMBER(J1322),J1322&gt;0),1/J1322,IF(AND(ISNUMBER(I1322),I1322&gt;0),SQRT(MIN(I1322,Formula!$C$27))/Formula!$C$24,1/Formula!$C$25))</f>
        <v>0.4761904762</v>
      </c>
      <c r="R1322" s="15">
        <f t="shared" si="2"/>
        <v>0.4523809524</v>
      </c>
      <c r="S1322" s="15">
        <f>IF(H1322&lt;&gt;"",EXP(-Formula!$C$28*(EOMONTH(H1322,0)-H1322)),EXP(-Formula!$C$28*(EOMONTH(D1322,0)-D1322)))</f>
        <v>0.904837418</v>
      </c>
      <c r="T1322" s="15">
        <f t="shared" si="3"/>
        <v>0.3015113446</v>
      </c>
      <c r="U1322" s="15">
        <f t="shared" si="4"/>
        <v>0.1234180044</v>
      </c>
      <c r="V1322" s="16">
        <f>IF(AND(L1322="Among all respondents",NOT(OR(K1322="Online poll in Telegram channel",K1322="Website online poll",K1322="CAWI (Computer Assisted Web Interviewing)"))),1/(1-MIN(MAX(Formula!$C$33+(YEAR(D1322)-Formula!$C$34)/(Formula!$C$35-Formula!$C$34)*(Formula!$C$32-Formula!$C$33),Formula!$C$33),Formula!$C$32)),1)</f>
        <v>1</v>
      </c>
      <c r="W1322" s="17">
        <f t="shared" si="5"/>
        <v>2</v>
      </c>
    </row>
    <row r="1323" ht="15.75" customHeight="1">
      <c r="A1323" s="8" t="s">
        <v>2101</v>
      </c>
      <c r="B1323" s="7" t="s">
        <v>2088</v>
      </c>
      <c r="C1323" s="13" t="s">
        <v>2089</v>
      </c>
      <c r="D1323" s="7" t="s">
        <v>195</v>
      </c>
      <c r="E1323" s="8" t="s">
        <v>156</v>
      </c>
      <c r="F1323" s="8" t="s">
        <v>318</v>
      </c>
      <c r="G1323" s="7" t="s">
        <v>2090</v>
      </c>
      <c r="H1323" s="7" t="s">
        <v>2091</v>
      </c>
      <c r="I1323" s="8">
        <v>2400.0</v>
      </c>
      <c r="J1323" s="8">
        <v>2.1</v>
      </c>
      <c r="K1323" s="8" t="s">
        <v>583</v>
      </c>
      <c r="L1323" s="8" t="s">
        <v>322</v>
      </c>
      <c r="M1323" s="8" t="s">
        <v>1539</v>
      </c>
      <c r="N1323" s="8">
        <v>2.0</v>
      </c>
      <c r="O1323" s="14">
        <f t="shared" si="1"/>
        <v>44378</v>
      </c>
      <c r="P1323" s="15">
        <f>IFERROR(VLOOKUP(K1323,Formula!$A$11:$B$20,2,FALSE),Formula!$C$26)</f>
        <v>0.95</v>
      </c>
      <c r="Q1323" s="15">
        <f>IF(AND(ISNUMBER(J1323),J1323&gt;0),1/J1323,IF(AND(ISNUMBER(I1323),I1323&gt;0),SQRT(MIN(I1323,Formula!$C$27))/Formula!$C$24,1/Formula!$C$25))</f>
        <v>0.4761904762</v>
      </c>
      <c r="R1323" s="15">
        <f t="shared" si="2"/>
        <v>0.4523809524</v>
      </c>
      <c r="S1323" s="15">
        <f>IF(H1323&lt;&gt;"",EXP(-Formula!$C$28*(EOMONTH(H1323,0)-H1323)),EXP(-Formula!$C$28*(EOMONTH(D1323,0)-D1323)))</f>
        <v>0.904837418</v>
      </c>
      <c r="T1323" s="15">
        <f t="shared" si="3"/>
        <v>0.3015113446</v>
      </c>
      <c r="U1323" s="15">
        <f t="shared" si="4"/>
        <v>0.1234180044</v>
      </c>
      <c r="V1323" s="16">
        <f>IF(AND(L1323="Among all respondents",NOT(OR(K1323="Online poll in Telegram channel",K1323="Website online poll",K1323="CAWI (Computer Assisted Web Interviewing)"))),1/(1-MIN(MAX(Formula!$C$33+(YEAR(D1323)-Formula!$C$34)/(Formula!$C$35-Formula!$C$34)*(Formula!$C$32-Formula!$C$33),Formula!$C$33),Formula!$C$32)),1)</f>
        <v>1</v>
      </c>
      <c r="W1323" s="17">
        <f t="shared" si="5"/>
        <v>2</v>
      </c>
    </row>
    <row r="1324" ht="15.75" customHeight="1">
      <c r="A1324" s="8" t="s">
        <v>2102</v>
      </c>
      <c r="B1324" s="7" t="s">
        <v>2103</v>
      </c>
      <c r="C1324" s="13" t="s">
        <v>2104</v>
      </c>
      <c r="D1324" s="7" t="s">
        <v>192</v>
      </c>
      <c r="E1324" s="8" t="s">
        <v>40</v>
      </c>
      <c r="F1324" s="8" t="s">
        <v>318</v>
      </c>
      <c r="G1324" s="7" t="s">
        <v>2074</v>
      </c>
      <c r="H1324" s="7" t="s">
        <v>2059</v>
      </c>
      <c r="I1324" s="8">
        <v>2500.0</v>
      </c>
      <c r="J1324" s="8">
        <v>2.0</v>
      </c>
      <c r="K1324" s="8" t="s">
        <v>321</v>
      </c>
      <c r="L1324" s="8" t="s">
        <v>322</v>
      </c>
      <c r="M1324" s="8" t="s">
        <v>323</v>
      </c>
      <c r="N1324" s="8">
        <v>29.1</v>
      </c>
      <c r="O1324" s="14">
        <f t="shared" si="1"/>
        <v>44378</v>
      </c>
      <c r="P1324" s="15">
        <f>IFERROR(VLOOKUP(K1324,Formula!$A$11:$B$20,2,FALSE),Formula!$C$26)</f>
        <v>0.9</v>
      </c>
      <c r="Q1324" s="15">
        <f>IF(AND(ISNUMBER(J1324),J1324&gt;0),1/J1324,IF(AND(ISNUMBER(I1324),I1324&gt;0),SQRT(MIN(I1324,Formula!$C$27))/Formula!$C$24,1/Formula!$C$25))</f>
        <v>0.5</v>
      </c>
      <c r="R1324" s="15">
        <f t="shared" si="2"/>
        <v>0.45</v>
      </c>
      <c r="S1324" s="15">
        <f>IF(H1324&lt;&gt;"",EXP(-Formula!$C$28*(EOMONTH(H1324,0)-H1324)),EXP(-Formula!$C$28*(EOMONTH(D1324,0)-D1324)))</f>
        <v>0.2465969639</v>
      </c>
      <c r="T1324" s="15">
        <f t="shared" si="3"/>
        <v>0.2085144141</v>
      </c>
      <c r="U1324" s="15">
        <f t="shared" si="4"/>
        <v>0.02313855965</v>
      </c>
      <c r="V1324" s="16">
        <f>IF(AND(L1324="Among all respondents",NOT(OR(K1324="Online poll in Telegram channel",K1324="Website online poll",K1324="CAWI (Computer Assisted Web Interviewing)"))),1/(1-MIN(MAX(Formula!$C$33+(YEAR(D1324)-Formula!$C$34)/(Formula!$C$35-Formula!$C$34)*(Formula!$C$32-Formula!$C$33),Formula!$C$33),Formula!$C$32)),1)</f>
        <v>1</v>
      </c>
      <c r="W1324" s="17">
        <f t="shared" si="5"/>
        <v>29.1</v>
      </c>
    </row>
    <row r="1325" ht="15.75" customHeight="1">
      <c r="A1325" s="8" t="s">
        <v>2105</v>
      </c>
      <c r="B1325" s="7" t="s">
        <v>2103</v>
      </c>
      <c r="C1325" s="13" t="s">
        <v>2104</v>
      </c>
      <c r="D1325" s="7" t="s">
        <v>192</v>
      </c>
      <c r="E1325" s="8" t="s">
        <v>40</v>
      </c>
      <c r="F1325" s="8" t="s">
        <v>318</v>
      </c>
      <c r="G1325" s="7" t="s">
        <v>2074</v>
      </c>
      <c r="H1325" s="7" t="s">
        <v>2059</v>
      </c>
      <c r="I1325" s="8">
        <v>2500.0</v>
      </c>
      <c r="J1325" s="8">
        <v>2.0</v>
      </c>
      <c r="K1325" s="8" t="s">
        <v>321</v>
      </c>
      <c r="L1325" s="8" t="s">
        <v>322</v>
      </c>
      <c r="M1325" s="8" t="s">
        <v>329</v>
      </c>
      <c r="N1325" s="8">
        <v>13.4</v>
      </c>
      <c r="O1325" s="14">
        <f t="shared" si="1"/>
        <v>44378</v>
      </c>
      <c r="P1325" s="15">
        <f>IFERROR(VLOOKUP(K1325,Formula!$A$11:$B$20,2,FALSE),Formula!$C$26)</f>
        <v>0.9</v>
      </c>
      <c r="Q1325" s="15">
        <f>IF(AND(ISNUMBER(J1325),J1325&gt;0),1/J1325,IF(AND(ISNUMBER(I1325),I1325&gt;0),SQRT(MIN(I1325,Formula!$C$27))/Formula!$C$24,1/Formula!$C$25))</f>
        <v>0.5</v>
      </c>
      <c r="R1325" s="15">
        <f t="shared" si="2"/>
        <v>0.45</v>
      </c>
      <c r="S1325" s="15">
        <f>IF(H1325&lt;&gt;"",EXP(-Formula!$C$28*(EOMONTH(H1325,0)-H1325)),EXP(-Formula!$C$28*(EOMONTH(D1325,0)-D1325)))</f>
        <v>0.2465969639</v>
      </c>
      <c r="T1325" s="15">
        <f t="shared" si="3"/>
        <v>0.2085144141</v>
      </c>
      <c r="U1325" s="15">
        <f t="shared" si="4"/>
        <v>0.02313855965</v>
      </c>
      <c r="V1325" s="16">
        <f>IF(AND(L1325="Among all respondents",NOT(OR(K1325="Online poll in Telegram channel",K1325="Website online poll",K1325="CAWI (Computer Assisted Web Interviewing)"))),1/(1-MIN(MAX(Formula!$C$33+(YEAR(D1325)-Formula!$C$34)/(Formula!$C$35-Formula!$C$34)*(Formula!$C$32-Formula!$C$33),Formula!$C$33),Formula!$C$32)),1)</f>
        <v>1</v>
      </c>
      <c r="W1325" s="17">
        <f t="shared" si="5"/>
        <v>13.4</v>
      </c>
    </row>
    <row r="1326" ht="15.75" customHeight="1">
      <c r="A1326" s="8" t="s">
        <v>2106</v>
      </c>
      <c r="B1326" s="7" t="s">
        <v>2103</v>
      </c>
      <c r="C1326" s="13" t="s">
        <v>2104</v>
      </c>
      <c r="D1326" s="7" t="s">
        <v>192</v>
      </c>
      <c r="E1326" s="8" t="s">
        <v>40</v>
      </c>
      <c r="F1326" s="8" t="s">
        <v>318</v>
      </c>
      <c r="G1326" s="7" t="s">
        <v>2074</v>
      </c>
      <c r="H1326" s="7" t="s">
        <v>2059</v>
      </c>
      <c r="I1326" s="8">
        <v>2500.0</v>
      </c>
      <c r="J1326" s="8">
        <v>2.0</v>
      </c>
      <c r="K1326" s="8" t="s">
        <v>321</v>
      </c>
      <c r="L1326" s="8" t="s">
        <v>322</v>
      </c>
      <c r="M1326" s="8" t="s">
        <v>365</v>
      </c>
      <c r="N1326" s="8">
        <v>12.5</v>
      </c>
      <c r="O1326" s="14">
        <f t="shared" si="1"/>
        <v>44378</v>
      </c>
      <c r="P1326" s="15">
        <f>IFERROR(VLOOKUP(K1326,Formula!$A$11:$B$20,2,FALSE),Formula!$C$26)</f>
        <v>0.9</v>
      </c>
      <c r="Q1326" s="15">
        <f>IF(AND(ISNUMBER(J1326),J1326&gt;0),1/J1326,IF(AND(ISNUMBER(I1326),I1326&gt;0),SQRT(MIN(I1326,Formula!$C$27))/Formula!$C$24,1/Formula!$C$25))</f>
        <v>0.5</v>
      </c>
      <c r="R1326" s="15">
        <f t="shared" si="2"/>
        <v>0.45</v>
      </c>
      <c r="S1326" s="15">
        <f>IF(H1326&lt;&gt;"",EXP(-Formula!$C$28*(EOMONTH(H1326,0)-H1326)),EXP(-Formula!$C$28*(EOMONTH(D1326,0)-D1326)))</f>
        <v>0.2465969639</v>
      </c>
      <c r="T1326" s="15">
        <f t="shared" si="3"/>
        <v>0.2085144141</v>
      </c>
      <c r="U1326" s="15">
        <f t="shared" si="4"/>
        <v>0.02313855965</v>
      </c>
      <c r="V1326" s="16">
        <f>IF(AND(L1326="Among all respondents",NOT(OR(K1326="Online poll in Telegram channel",K1326="Website online poll",K1326="CAWI (Computer Assisted Web Interviewing)"))),1/(1-MIN(MAX(Formula!$C$33+(YEAR(D1326)-Formula!$C$34)/(Formula!$C$35-Formula!$C$34)*(Formula!$C$32-Formula!$C$33),Formula!$C$33),Formula!$C$32)),1)</f>
        <v>1</v>
      </c>
      <c r="W1326" s="17">
        <f t="shared" si="5"/>
        <v>12.5</v>
      </c>
    </row>
    <row r="1327" ht="15.75" customHeight="1">
      <c r="A1327" s="8" t="s">
        <v>2107</v>
      </c>
      <c r="B1327" s="7" t="s">
        <v>2103</v>
      </c>
      <c r="C1327" s="13" t="s">
        <v>2104</v>
      </c>
      <c r="D1327" s="7" t="s">
        <v>192</v>
      </c>
      <c r="E1327" s="8" t="s">
        <v>40</v>
      </c>
      <c r="F1327" s="8" t="s">
        <v>318</v>
      </c>
      <c r="G1327" s="7" t="s">
        <v>2074</v>
      </c>
      <c r="H1327" s="7" t="s">
        <v>2059</v>
      </c>
      <c r="I1327" s="8">
        <v>2500.0</v>
      </c>
      <c r="J1327" s="8">
        <v>2.0</v>
      </c>
      <c r="K1327" s="8" t="s">
        <v>321</v>
      </c>
      <c r="L1327" s="8" t="s">
        <v>322</v>
      </c>
      <c r="M1327" s="8" t="s">
        <v>337</v>
      </c>
      <c r="N1327" s="8">
        <v>11.3</v>
      </c>
      <c r="O1327" s="14">
        <f t="shared" si="1"/>
        <v>44378</v>
      </c>
      <c r="P1327" s="15">
        <f>IFERROR(VLOOKUP(K1327,Formula!$A$11:$B$20,2,FALSE),Formula!$C$26)</f>
        <v>0.9</v>
      </c>
      <c r="Q1327" s="15">
        <f>IF(AND(ISNUMBER(J1327),J1327&gt;0),1/J1327,IF(AND(ISNUMBER(I1327),I1327&gt;0),SQRT(MIN(I1327,Formula!$C$27))/Formula!$C$24,1/Formula!$C$25))</f>
        <v>0.5</v>
      </c>
      <c r="R1327" s="15">
        <f t="shared" si="2"/>
        <v>0.45</v>
      </c>
      <c r="S1327" s="15">
        <f>IF(H1327&lt;&gt;"",EXP(-Formula!$C$28*(EOMONTH(H1327,0)-H1327)),EXP(-Formula!$C$28*(EOMONTH(D1327,0)-D1327)))</f>
        <v>0.2465969639</v>
      </c>
      <c r="T1327" s="15">
        <f t="shared" si="3"/>
        <v>0.2085144141</v>
      </c>
      <c r="U1327" s="15">
        <f t="shared" si="4"/>
        <v>0.02313855965</v>
      </c>
      <c r="V1327" s="16">
        <f>IF(AND(L1327="Among all respondents",NOT(OR(K1327="Online poll in Telegram channel",K1327="Website online poll",K1327="CAWI (Computer Assisted Web Interviewing)"))),1/(1-MIN(MAX(Formula!$C$33+(YEAR(D1327)-Formula!$C$34)/(Formula!$C$35-Formula!$C$34)*(Formula!$C$32-Formula!$C$33),Formula!$C$33),Formula!$C$32)),1)</f>
        <v>1</v>
      </c>
      <c r="W1327" s="17">
        <f t="shared" si="5"/>
        <v>11.3</v>
      </c>
    </row>
    <row r="1328" ht="15.75" customHeight="1">
      <c r="A1328" s="8" t="s">
        <v>2108</v>
      </c>
      <c r="B1328" s="7" t="s">
        <v>2103</v>
      </c>
      <c r="C1328" s="13" t="s">
        <v>2104</v>
      </c>
      <c r="D1328" s="7" t="s">
        <v>192</v>
      </c>
      <c r="E1328" s="8" t="s">
        <v>40</v>
      </c>
      <c r="F1328" s="8" t="s">
        <v>318</v>
      </c>
      <c r="G1328" s="7" t="s">
        <v>2074</v>
      </c>
      <c r="H1328" s="7" t="s">
        <v>2059</v>
      </c>
      <c r="I1328" s="8">
        <v>2500.0</v>
      </c>
      <c r="J1328" s="8">
        <v>2.0</v>
      </c>
      <c r="K1328" s="8" t="s">
        <v>321</v>
      </c>
      <c r="L1328" s="8" t="s">
        <v>322</v>
      </c>
      <c r="M1328" s="8" t="s">
        <v>828</v>
      </c>
      <c r="N1328" s="8">
        <v>8.7</v>
      </c>
      <c r="O1328" s="14">
        <f t="shared" si="1"/>
        <v>44378</v>
      </c>
      <c r="P1328" s="15">
        <f>IFERROR(VLOOKUP(K1328,Formula!$A$11:$B$20,2,FALSE),Formula!$C$26)</f>
        <v>0.9</v>
      </c>
      <c r="Q1328" s="15">
        <f>IF(AND(ISNUMBER(J1328),J1328&gt;0),1/J1328,IF(AND(ISNUMBER(I1328),I1328&gt;0),SQRT(MIN(I1328,Formula!$C$27))/Formula!$C$24,1/Formula!$C$25))</f>
        <v>0.5</v>
      </c>
      <c r="R1328" s="15">
        <f t="shared" si="2"/>
        <v>0.45</v>
      </c>
      <c r="S1328" s="15">
        <f>IF(H1328&lt;&gt;"",EXP(-Formula!$C$28*(EOMONTH(H1328,0)-H1328)),EXP(-Formula!$C$28*(EOMONTH(D1328,0)-D1328)))</f>
        <v>0.2465969639</v>
      </c>
      <c r="T1328" s="15">
        <f t="shared" si="3"/>
        <v>0.2085144141</v>
      </c>
      <c r="U1328" s="15">
        <f t="shared" si="4"/>
        <v>0.02313855965</v>
      </c>
      <c r="V1328" s="16">
        <f>IF(AND(L1328="Among all respondents",NOT(OR(K1328="Online poll in Telegram channel",K1328="Website online poll",K1328="CAWI (Computer Assisted Web Interviewing)"))),1/(1-MIN(MAX(Formula!$C$33+(YEAR(D1328)-Formula!$C$34)/(Formula!$C$35-Formula!$C$34)*(Formula!$C$32-Formula!$C$33),Formula!$C$33),Formula!$C$32)),1)</f>
        <v>1</v>
      </c>
      <c r="W1328" s="17">
        <f t="shared" si="5"/>
        <v>8.7</v>
      </c>
    </row>
    <row r="1329" ht="15.75" customHeight="1">
      <c r="A1329" s="8" t="s">
        <v>2109</v>
      </c>
      <c r="B1329" s="7" t="s">
        <v>2103</v>
      </c>
      <c r="C1329" s="13" t="s">
        <v>2104</v>
      </c>
      <c r="D1329" s="7" t="s">
        <v>192</v>
      </c>
      <c r="E1329" s="8" t="s">
        <v>40</v>
      </c>
      <c r="F1329" s="8" t="s">
        <v>318</v>
      </c>
      <c r="G1329" s="7" t="s">
        <v>2074</v>
      </c>
      <c r="H1329" s="7" t="s">
        <v>2059</v>
      </c>
      <c r="I1329" s="8">
        <v>2500.0</v>
      </c>
      <c r="J1329" s="8">
        <v>2.0</v>
      </c>
      <c r="K1329" s="8" t="s">
        <v>321</v>
      </c>
      <c r="L1329" s="8" t="s">
        <v>322</v>
      </c>
      <c r="M1329" s="8" t="s">
        <v>1153</v>
      </c>
      <c r="N1329" s="8">
        <v>5.5</v>
      </c>
      <c r="O1329" s="14">
        <f t="shared" si="1"/>
        <v>44378</v>
      </c>
      <c r="P1329" s="15">
        <f>IFERROR(VLOOKUP(K1329,Formula!$A$11:$B$20,2,FALSE),Formula!$C$26)</f>
        <v>0.9</v>
      </c>
      <c r="Q1329" s="15">
        <f>IF(AND(ISNUMBER(J1329),J1329&gt;0),1/J1329,IF(AND(ISNUMBER(I1329),I1329&gt;0),SQRT(MIN(I1329,Formula!$C$27))/Formula!$C$24,1/Formula!$C$25))</f>
        <v>0.5</v>
      </c>
      <c r="R1329" s="15">
        <f t="shared" si="2"/>
        <v>0.45</v>
      </c>
      <c r="S1329" s="15">
        <f>IF(H1329&lt;&gt;"",EXP(-Formula!$C$28*(EOMONTH(H1329,0)-H1329)),EXP(-Formula!$C$28*(EOMONTH(D1329,0)-D1329)))</f>
        <v>0.2465969639</v>
      </c>
      <c r="T1329" s="15">
        <f t="shared" si="3"/>
        <v>0.2085144141</v>
      </c>
      <c r="U1329" s="15">
        <f t="shared" si="4"/>
        <v>0.02313855965</v>
      </c>
      <c r="V1329" s="16">
        <f>IF(AND(L1329="Among all respondents",NOT(OR(K1329="Online poll in Telegram channel",K1329="Website online poll",K1329="CAWI (Computer Assisted Web Interviewing)"))),1/(1-MIN(MAX(Formula!$C$33+(YEAR(D1329)-Formula!$C$34)/(Formula!$C$35-Formula!$C$34)*(Formula!$C$32-Formula!$C$33),Formula!$C$33),Formula!$C$32)),1)</f>
        <v>1</v>
      </c>
      <c r="W1329" s="17">
        <f t="shared" si="5"/>
        <v>5.5</v>
      </c>
    </row>
    <row r="1330" ht="15.75" customHeight="1">
      <c r="A1330" s="8" t="s">
        <v>2110</v>
      </c>
      <c r="B1330" s="7" t="s">
        <v>2103</v>
      </c>
      <c r="C1330" s="13" t="s">
        <v>2104</v>
      </c>
      <c r="D1330" s="7" t="s">
        <v>192</v>
      </c>
      <c r="E1330" s="8" t="s">
        <v>40</v>
      </c>
      <c r="F1330" s="8" t="s">
        <v>318</v>
      </c>
      <c r="G1330" s="7" t="s">
        <v>2074</v>
      </c>
      <c r="H1330" s="7" t="s">
        <v>2059</v>
      </c>
      <c r="I1330" s="8">
        <v>2500.0</v>
      </c>
      <c r="J1330" s="8">
        <v>2.0</v>
      </c>
      <c r="K1330" s="8" t="s">
        <v>321</v>
      </c>
      <c r="L1330" s="8" t="s">
        <v>322</v>
      </c>
      <c r="M1330" s="8" t="s">
        <v>386</v>
      </c>
      <c r="N1330" s="8">
        <v>4.6</v>
      </c>
      <c r="O1330" s="14">
        <f t="shared" si="1"/>
        <v>44378</v>
      </c>
      <c r="P1330" s="15">
        <f>IFERROR(VLOOKUP(K1330,Formula!$A$11:$B$20,2,FALSE),Formula!$C$26)</f>
        <v>0.9</v>
      </c>
      <c r="Q1330" s="15">
        <f>IF(AND(ISNUMBER(J1330),J1330&gt;0),1/J1330,IF(AND(ISNUMBER(I1330),I1330&gt;0),SQRT(MIN(I1330,Formula!$C$27))/Formula!$C$24,1/Formula!$C$25))</f>
        <v>0.5</v>
      </c>
      <c r="R1330" s="15">
        <f t="shared" si="2"/>
        <v>0.45</v>
      </c>
      <c r="S1330" s="15">
        <f>IF(H1330&lt;&gt;"",EXP(-Formula!$C$28*(EOMONTH(H1330,0)-H1330)),EXP(-Formula!$C$28*(EOMONTH(D1330,0)-D1330)))</f>
        <v>0.2465969639</v>
      </c>
      <c r="T1330" s="15">
        <f t="shared" si="3"/>
        <v>0.2085144141</v>
      </c>
      <c r="U1330" s="15">
        <f t="shared" si="4"/>
        <v>0.02313855965</v>
      </c>
      <c r="V1330" s="16">
        <f>IF(AND(L1330="Among all respondents",NOT(OR(K1330="Online poll in Telegram channel",K1330="Website online poll",K1330="CAWI (Computer Assisted Web Interviewing)"))),1/(1-MIN(MAX(Formula!$C$33+(YEAR(D1330)-Formula!$C$34)/(Formula!$C$35-Formula!$C$34)*(Formula!$C$32-Formula!$C$33),Formula!$C$33),Formula!$C$32)),1)</f>
        <v>1</v>
      </c>
      <c r="W1330" s="17">
        <f t="shared" si="5"/>
        <v>4.6</v>
      </c>
    </row>
    <row r="1331" ht="15.75" customHeight="1">
      <c r="A1331" s="8" t="s">
        <v>2111</v>
      </c>
      <c r="B1331" s="7" t="s">
        <v>2103</v>
      </c>
      <c r="C1331" s="13" t="s">
        <v>2104</v>
      </c>
      <c r="D1331" s="7" t="s">
        <v>192</v>
      </c>
      <c r="E1331" s="8" t="s">
        <v>40</v>
      </c>
      <c r="F1331" s="8" t="s">
        <v>318</v>
      </c>
      <c r="G1331" s="7" t="s">
        <v>2074</v>
      </c>
      <c r="H1331" s="7" t="s">
        <v>2059</v>
      </c>
      <c r="I1331" s="8">
        <v>2500.0</v>
      </c>
      <c r="J1331" s="8">
        <v>2.0</v>
      </c>
      <c r="K1331" s="8" t="s">
        <v>321</v>
      </c>
      <c r="L1331" s="8" t="s">
        <v>322</v>
      </c>
      <c r="M1331" s="8" t="s">
        <v>388</v>
      </c>
      <c r="N1331" s="8">
        <v>3.4</v>
      </c>
      <c r="O1331" s="14">
        <f t="shared" si="1"/>
        <v>44378</v>
      </c>
      <c r="P1331" s="15">
        <f>IFERROR(VLOOKUP(K1331,Formula!$A$11:$B$20,2,FALSE),Formula!$C$26)</f>
        <v>0.9</v>
      </c>
      <c r="Q1331" s="15">
        <f>IF(AND(ISNUMBER(J1331),J1331&gt;0),1/J1331,IF(AND(ISNUMBER(I1331),I1331&gt;0),SQRT(MIN(I1331,Formula!$C$27))/Formula!$C$24,1/Formula!$C$25))</f>
        <v>0.5</v>
      </c>
      <c r="R1331" s="15">
        <f t="shared" si="2"/>
        <v>0.45</v>
      </c>
      <c r="S1331" s="15">
        <f>IF(H1331&lt;&gt;"",EXP(-Formula!$C$28*(EOMONTH(H1331,0)-H1331)),EXP(-Formula!$C$28*(EOMONTH(D1331,0)-D1331)))</f>
        <v>0.2465969639</v>
      </c>
      <c r="T1331" s="15">
        <f t="shared" si="3"/>
        <v>0.2085144141</v>
      </c>
      <c r="U1331" s="15">
        <f t="shared" si="4"/>
        <v>0.02313855965</v>
      </c>
      <c r="V1331" s="16">
        <f>IF(AND(L1331="Among all respondents",NOT(OR(K1331="Online poll in Telegram channel",K1331="Website online poll",K1331="CAWI (Computer Assisted Web Interviewing)"))),1/(1-MIN(MAX(Formula!$C$33+(YEAR(D1331)-Formula!$C$34)/(Formula!$C$35-Formula!$C$34)*(Formula!$C$32-Formula!$C$33),Formula!$C$33),Formula!$C$32)),1)</f>
        <v>1</v>
      </c>
      <c r="W1331" s="17">
        <f t="shared" si="5"/>
        <v>3.4</v>
      </c>
    </row>
    <row r="1332" ht="15.75" customHeight="1">
      <c r="A1332" s="8" t="s">
        <v>2112</v>
      </c>
      <c r="B1332" s="7" t="s">
        <v>2103</v>
      </c>
      <c r="C1332" s="13" t="s">
        <v>2104</v>
      </c>
      <c r="D1332" s="7" t="s">
        <v>192</v>
      </c>
      <c r="E1332" s="8" t="s">
        <v>40</v>
      </c>
      <c r="F1332" s="8" t="s">
        <v>318</v>
      </c>
      <c r="G1332" s="7" t="s">
        <v>2074</v>
      </c>
      <c r="H1332" s="7" t="s">
        <v>2059</v>
      </c>
      <c r="I1332" s="8">
        <v>2500.0</v>
      </c>
      <c r="J1332" s="8">
        <v>2.0</v>
      </c>
      <c r="K1332" s="8" t="s">
        <v>321</v>
      </c>
      <c r="L1332" s="8" t="s">
        <v>322</v>
      </c>
      <c r="M1332" s="8" t="s">
        <v>743</v>
      </c>
      <c r="N1332" s="8">
        <v>2.6</v>
      </c>
      <c r="O1332" s="14">
        <f t="shared" si="1"/>
        <v>44378</v>
      </c>
      <c r="P1332" s="15">
        <f>IFERROR(VLOOKUP(K1332,Formula!$A$11:$B$20,2,FALSE),Formula!$C$26)</f>
        <v>0.9</v>
      </c>
      <c r="Q1332" s="15">
        <f>IF(AND(ISNUMBER(J1332),J1332&gt;0),1/J1332,IF(AND(ISNUMBER(I1332),I1332&gt;0),SQRT(MIN(I1332,Formula!$C$27))/Formula!$C$24,1/Formula!$C$25))</f>
        <v>0.5</v>
      </c>
      <c r="R1332" s="15">
        <f t="shared" si="2"/>
        <v>0.45</v>
      </c>
      <c r="S1332" s="15">
        <f>IF(H1332&lt;&gt;"",EXP(-Formula!$C$28*(EOMONTH(H1332,0)-H1332)),EXP(-Formula!$C$28*(EOMONTH(D1332,0)-D1332)))</f>
        <v>0.2465969639</v>
      </c>
      <c r="T1332" s="15">
        <f t="shared" si="3"/>
        <v>0.2085144141</v>
      </c>
      <c r="U1332" s="15">
        <f t="shared" si="4"/>
        <v>0.02313855965</v>
      </c>
      <c r="V1332" s="16">
        <f>IF(AND(L1332="Among all respondents",NOT(OR(K1332="Online poll in Telegram channel",K1332="Website online poll",K1332="CAWI (Computer Assisted Web Interviewing)"))),1/(1-MIN(MAX(Formula!$C$33+(YEAR(D1332)-Formula!$C$34)/(Formula!$C$35-Formula!$C$34)*(Formula!$C$32-Formula!$C$33),Formula!$C$33),Formula!$C$32)),1)</f>
        <v>1</v>
      </c>
      <c r="W1332" s="17">
        <f t="shared" si="5"/>
        <v>2.6</v>
      </c>
    </row>
    <row r="1333" ht="15.75" customHeight="1">
      <c r="A1333" s="8" t="s">
        <v>2113</v>
      </c>
      <c r="B1333" s="7" t="s">
        <v>2103</v>
      </c>
      <c r="C1333" s="13" t="s">
        <v>2104</v>
      </c>
      <c r="D1333" s="7" t="s">
        <v>192</v>
      </c>
      <c r="E1333" s="8" t="s">
        <v>40</v>
      </c>
      <c r="F1333" s="8" t="s">
        <v>318</v>
      </c>
      <c r="G1333" s="7" t="s">
        <v>2074</v>
      </c>
      <c r="H1333" s="7" t="s">
        <v>2059</v>
      </c>
      <c r="I1333" s="8">
        <v>2500.0</v>
      </c>
      <c r="J1333" s="8">
        <v>2.0</v>
      </c>
      <c r="K1333" s="8" t="s">
        <v>321</v>
      </c>
      <c r="L1333" s="8" t="s">
        <v>322</v>
      </c>
      <c r="M1333" s="8" t="s">
        <v>740</v>
      </c>
      <c r="N1333" s="8">
        <v>2.4</v>
      </c>
      <c r="O1333" s="14">
        <f t="shared" si="1"/>
        <v>44378</v>
      </c>
      <c r="P1333" s="15">
        <f>IFERROR(VLOOKUP(K1333,Formula!$A$11:$B$20,2,FALSE),Formula!$C$26)</f>
        <v>0.9</v>
      </c>
      <c r="Q1333" s="15">
        <f>IF(AND(ISNUMBER(J1333),J1333&gt;0),1/J1333,IF(AND(ISNUMBER(I1333),I1333&gt;0),SQRT(MIN(I1333,Formula!$C$27))/Formula!$C$24,1/Formula!$C$25))</f>
        <v>0.5</v>
      </c>
      <c r="R1333" s="15">
        <f t="shared" si="2"/>
        <v>0.45</v>
      </c>
      <c r="S1333" s="15">
        <f>IF(H1333&lt;&gt;"",EXP(-Formula!$C$28*(EOMONTH(H1333,0)-H1333)),EXP(-Formula!$C$28*(EOMONTH(D1333,0)-D1333)))</f>
        <v>0.2465969639</v>
      </c>
      <c r="T1333" s="15">
        <f t="shared" si="3"/>
        <v>0.2085144141</v>
      </c>
      <c r="U1333" s="15">
        <f t="shared" si="4"/>
        <v>0.02313855965</v>
      </c>
      <c r="V1333" s="16">
        <f>IF(AND(L1333="Among all respondents",NOT(OR(K1333="Online poll in Telegram channel",K1333="Website online poll",K1333="CAWI (Computer Assisted Web Interviewing)"))),1/(1-MIN(MAX(Formula!$C$33+(YEAR(D1333)-Formula!$C$34)/(Formula!$C$35-Formula!$C$34)*(Formula!$C$32-Formula!$C$33),Formula!$C$33),Formula!$C$32)),1)</f>
        <v>1</v>
      </c>
      <c r="W1333" s="17">
        <f t="shared" si="5"/>
        <v>2.4</v>
      </c>
    </row>
    <row r="1334" ht="15.75" customHeight="1">
      <c r="A1334" s="8" t="s">
        <v>2114</v>
      </c>
      <c r="B1334" s="7" t="s">
        <v>2103</v>
      </c>
      <c r="C1334" s="13" t="s">
        <v>2104</v>
      </c>
      <c r="D1334" s="7" t="s">
        <v>192</v>
      </c>
      <c r="E1334" s="8" t="s">
        <v>40</v>
      </c>
      <c r="F1334" s="8" t="s">
        <v>318</v>
      </c>
      <c r="G1334" s="7" t="s">
        <v>2074</v>
      </c>
      <c r="H1334" s="7" t="s">
        <v>2059</v>
      </c>
      <c r="I1334" s="8">
        <v>2500.0</v>
      </c>
      <c r="J1334" s="8">
        <v>2.0</v>
      </c>
      <c r="K1334" s="8" t="s">
        <v>321</v>
      </c>
      <c r="L1334" s="8" t="s">
        <v>322</v>
      </c>
      <c r="M1334" s="8" t="s">
        <v>1171</v>
      </c>
      <c r="N1334" s="8">
        <v>0.2</v>
      </c>
      <c r="O1334" s="14">
        <f t="shared" si="1"/>
        <v>44378</v>
      </c>
      <c r="P1334" s="15">
        <f>IFERROR(VLOOKUP(K1334,Formula!$A$11:$B$20,2,FALSE),Formula!$C$26)</f>
        <v>0.9</v>
      </c>
      <c r="Q1334" s="15">
        <f>IF(AND(ISNUMBER(J1334),J1334&gt;0),1/J1334,IF(AND(ISNUMBER(I1334),I1334&gt;0),SQRT(MIN(I1334,Formula!$C$27))/Formula!$C$24,1/Formula!$C$25))</f>
        <v>0.5</v>
      </c>
      <c r="R1334" s="15">
        <f t="shared" si="2"/>
        <v>0.45</v>
      </c>
      <c r="S1334" s="15">
        <f>IF(H1334&lt;&gt;"",EXP(-Formula!$C$28*(EOMONTH(H1334,0)-H1334)),EXP(-Formula!$C$28*(EOMONTH(D1334,0)-D1334)))</f>
        <v>0.2465969639</v>
      </c>
      <c r="T1334" s="15">
        <f t="shared" si="3"/>
        <v>0.2085144141</v>
      </c>
      <c r="U1334" s="15">
        <f t="shared" si="4"/>
        <v>0.02313855965</v>
      </c>
      <c r="V1334" s="16">
        <f>IF(AND(L1334="Among all respondents",NOT(OR(K1334="Online poll in Telegram channel",K1334="Website online poll",K1334="CAWI (Computer Assisted Web Interviewing)"))),1/(1-MIN(MAX(Formula!$C$33+(YEAR(D1334)-Formula!$C$34)/(Formula!$C$35-Formula!$C$34)*(Formula!$C$32-Formula!$C$33),Formula!$C$33),Formula!$C$32)),1)</f>
        <v>1</v>
      </c>
      <c r="W1334" s="17">
        <f t="shared" si="5"/>
        <v>0.2</v>
      </c>
    </row>
    <row r="1335" ht="15.75" customHeight="1">
      <c r="A1335" s="8" t="s">
        <v>2115</v>
      </c>
      <c r="B1335" s="7" t="s">
        <v>2116</v>
      </c>
      <c r="C1335" s="13" t="s">
        <v>2117</v>
      </c>
      <c r="D1335" s="7" t="s">
        <v>196</v>
      </c>
      <c r="E1335" s="8" t="s">
        <v>158</v>
      </c>
      <c r="F1335" s="8" t="s">
        <v>318</v>
      </c>
      <c r="G1335" s="7" t="s">
        <v>202</v>
      </c>
      <c r="H1335" s="7" t="s">
        <v>2118</v>
      </c>
      <c r="I1335" s="8">
        <v>1524.0</v>
      </c>
      <c r="J1335" s="8">
        <v>3.2</v>
      </c>
      <c r="K1335" s="8" t="s">
        <v>1931</v>
      </c>
      <c r="L1335" s="8" t="s">
        <v>322</v>
      </c>
      <c r="M1335" s="8" t="s">
        <v>323</v>
      </c>
      <c r="N1335" s="8">
        <v>24.3</v>
      </c>
      <c r="O1335" s="14">
        <f t="shared" si="1"/>
        <v>44348</v>
      </c>
      <c r="P1335" s="15">
        <f>IFERROR(VLOOKUP(K1335,Formula!$A$11:$B$20,2,FALSE),Formula!$C$26)</f>
        <v>0.7</v>
      </c>
      <c r="Q1335" s="15">
        <f>IF(AND(ISNUMBER(J1335),J1335&gt;0),1/J1335,IF(AND(ISNUMBER(I1335),I1335&gt;0),SQRT(MIN(I1335,Formula!$C$27))/Formula!$C$24,1/Formula!$C$25))</f>
        <v>0.3125</v>
      </c>
      <c r="R1335" s="15">
        <f t="shared" si="2"/>
        <v>0.21875</v>
      </c>
      <c r="S1335" s="15">
        <f>IF(H1335&lt;&gt;"",EXP(-Formula!$C$28*(EOMONTH(H1335,0)-H1335)),EXP(-Formula!$C$28*(EOMONTH(D1335,0)-D1335)))</f>
        <v>0.670320046</v>
      </c>
      <c r="T1335" s="15">
        <f t="shared" si="3"/>
        <v>0.1490711985</v>
      </c>
      <c r="U1335" s="15">
        <f t="shared" si="4"/>
        <v>0.02185868402</v>
      </c>
      <c r="V1335" s="16">
        <f>IF(AND(L1335="Among all respondents",NOT(OR(K1335="Online poll in Telegram channel",K1335="Website online poll",K1335="CAWI (Computer Assisted Web Interviewing)"))),1/(1-MIN(MAX(Formula!$C$33+(YEAR(D1335)-Formula!$C$34)/(Formula!$C$35-Formula!$C$34)*(Formula!$C$32-Formula!$C$33),Formula!$C$33),Formula!$C$32)),1)</f>
        <v>1</v>
      </c>
      <c r="W1335" s="17">
        <f t="shared" si="5"/>
        <v>24.3</v>
      </c>
    </row>
    <row r="1336" ht="15.75" customHeight="1">
      <c r="A1336" s="8" t="s">
        <v>2119</v>
      </c>
      <c r="B1336" s="7" t="s">
        <v>2116</v>
      </c>
      <c r="C1336" s="13" t="s">
        <v>2117</v>
      </c>
      <c r="D1336" s="7" t="s">
        <v>196</v>
      </c>
      <c r="E1336" s="8" t="s">
        <v>158</v>
      </c>
      <c r="F1336" s="8" t="s">
        <v>318</v>
      </c>
      <c r="G1336" s="7" t="s">
        <v>202</v>
      </c>
      <c r="H1336" s="7" t="s">
        <v>2118</v>
      </c>
      <c r="I1336" s="8">
        <v>1524.0</v>
      </c>
      <c r="J1336" s="8">
        <v>3.2</v>
      </c>
      <c r="K1336" s="8" t="s">
        <v>1931</v>
      </c>
      <c r="L1336" s="8" t="s">
        <v>322</v>
      </c>
      <c r="M1336" s="8" t="s">
        <v>329</v>
      </c>
      <c r="N1336" s="8">
        <v>17.2</v>
      </c>
      <c r="O1336" s="14">
        <f t="shared" si="1"/>
        <v>44348</v>
      </c>
      <c r="P1336" s="15">
        <f>IFERROR(VLOOKUP(K1336,Formula!$A$11:$B$20,2,FALSE),Formula!$C$26)</f>
        <v>0.7</v>
      </c>
      <c r="Q1336" s="15">
        <f>IF(AND(ISNUMBER(J1336),J1336&gt;0),1/J1336,IF(AND(ISNUMBER(I1336),I1336&gt;0),SQRT(MIN(I1336,Formula!$C$27))/Formula!$C$24,1/Formula!$C$25))</f>
        <v>0.3125</v>
      </c>
      <c r="R1336" s="15">
        <f t="shared" si="2"/>
        <v>0.21875</v>
      </c>
      <c r="S1336" s="15">
        <f>IF(H1336&lt;&gt;"",EXP(-Formula!$C$28*(EOMONTH(H1336,0)-H1336)),EXP(-Formula!$C$28*(EOMONTH(D1336,0)-D1336)))</f>
        <v>0.670320046</v>
      </c>
      <c r="T1336" s="15">
        <f t="shared" si="3"/>
        <v>0.1490711985</v>
      </c>
      <c r="U1336" s="15">
        <f t="shared" si="4"/>
        <v>0.02185868402</v>
      </c>
      <c r="V1336" s="16">
        <f>IF(AND(L1336="Among all respondents",NOT(OR(K1336="Online poll in Telegram channel",K1336="Website online poll",K1336="CAWI (Computer Assisted Web Interviewing)"))),1/(1-MIN(MAX(Formula!$C$33+(YEAR(D1336)-Formula!$C$34)/(Formula!$C$35-Formula!$C$34)*(Formula!$C$32-Formula!$C$33),Formula!$C$33),Formula!$C$32)),1)</f>
        <v>1</v>
      </c>
      <c r="W1336" s="17">
        <f t="shared" si="5"/>
        <v>17.2</v>
      </c>
    </row>
    <row r="1337" ht="15.75" customHeight="1">
      <c r="A1337" s="8" t="s">
        <v>2120</v>
      </c>
      <c r="B1337" s="7" t="s">
        <v>2116</v>
      </c>
      <c r="C1337" s="13" t="s">
        <v>2117</v>
      </c>
      <c r="D1337" s="7" t="s">
        <v>196</v>
      </c>
      <c r="E1337" s="8" t="s">
        <v>158</v>
      </c>
      <c r="F1337" s="8" t="s">
        <v>318</v>
      </c>
      <c r="G1337" s="7" t="s">
        <v>202</v>
      </c>
      <c r="H1337" s="7" t="s">
        <v>2118</v>
      </c>
      <c r="I1337" s="8">
        <v>1524.0</v>
      </c>
      <c r="J1337" s="8">
        <v>3.2</v>
      </c>
      <c r="K1337" s="8" t="s">
        <v>1931</v>
      </c>
      <c r="L1337" s="8" t="s">
        <v>322</v>
      </c>
      <c r="M1337" s="8" t="s">
        <v>365</v>
      </c>
      <c r="N1337" s="8">
        <v>16.3</v>
      </c>
      <c r="O1337" s="14">
        <f t="shared" si="1"/>
        <v>44348</v>
      </c>
      <c r="P1337" s="15">
        <f>IFERROR(VLOOKUP(K1337,Formula!$A$11:$B$20,2,FALSE),Formula!$C$26)</f>
        <v>0.7</v>
      </c>
      <c r="Q1337" s="15">
        <f>IF(AND(ISNUMBER(J1337),J1337&gt;0),1/J1337,IF(AND(ISNUMBER(I1337),I1337&gt;0),SQRT(MIN(I1337,Formula!$C$27))/Formula!$C$24,1/Formula!$C$25))</f>
        <v>0.3125</v>
      </c>
      <c r="R1337" s="15">
        <f t="shared" si="2"/>
        <v>0.21875</v>
      </c>
      <c r="S1337" s="15">
        <f>IF(H1337&lt;&gt;"",EXP(-Formula!$C$28*(EOMONTH(H1337,0)-H1337)),EXP(-Formula!$C$28*(EOMONTH(D1337,0)-D1337)))</f>
        <v>0.670320046</v>
      </c>
      <c r="T1337" s="15">
        <f t="shared" si="3"/>
        <v>0.1490711985</v>
      </c>
      <c r="U1337" s="15">
        <f t="shared" si="4"/>
        <v>0.02185868402</v>
      </c>
      <c r="V1337" s="16">
        <f>IF(AND(L1337="Among all respondents",NOT(OR(K1337="Online poll in Telegram channel",K1337="Website online poll",K1337="CAWI (Computer Assisted Web Interviewing)"))),1/(1-MIN(MAX(Formula!$C$33+(YEAR(D1337)-Formula!$C$34)/(Formula!$C$35-Formula!$C$34)*(Formula!$C$32-Formula!$C$33),Formula!$C$33),Formula!$C$32)),1)</f>
        <v>1</v>
      </c>
      <c r="W1337" s="17">
        <f t="shared" si="5"/>
        <v>16.3</v>
      </c>
    </row>
    <row r="1338" ht="15.75" customHeight="1">
      <c r="A1338" s="8" t="s">
        <v>2121</v>
      </c>
      <c r="B1338" s="7" t="s">
        <v>2116</v>
      </c>
      <c r="C1338" s="13" t="s">
        <v>2117</v>
      </c>
      <c r="D1338" s="7" t="s">
        <v>196</v>
      </c>
      <c r="E1338" s="8" t="s">
        <v>158</v>
      </c>
      <c r="F1338" s="8" t="s">
        <v>318</v>
      </c>
      <c r="G1338" s="7" t="s">
        <v>202</v>
      </c>
      <c r="H1338" s="7" t="s">
        <v>2118</v>
      </c>
      <c r="I1338" s="8">
        <v>1524.0</v>
      </c>
      <c r="J1338" s="8">
        <v>3.2</v>
      </c>
      <c r="K1338" s="8" t="s">
        <v>1931</v>
      </c>
      <c r="L1338" s="8" t="s">
        <v>322</v>
      </c>
      <c r="M1338" s="8" t="s">
        <v>337</v>
      </c>
      <c r="N1338" s="8">
        <v>13.8</v>
      </c>
      <c r="O1338" s="14">
        <f t="shared" si="1"/>
        <v>44348</v>
      </c>
      <c r="P1338" s="15">
        <f>IFERROR(VLOOKUP(K1338,Formula!$A$11:$B$20,2,FALSE),Formula!$C$26)</f>
        <v>0.7</v>
      </c>
      <c r="Q1338" s="15">
        <f>IF(AND(ISNUMBER(J1338),J1338&gt;0),1/J1338,IF(AND(ISNUMBER(I1338),I1338&gt;0),SQRT(MIN(I1338,Formula!$C$27))/Formula!$C$24,1/Formula!$C$25))</f>
        <v>0.3125</v>
      </c>
      <c r="R1338" s="15">
        <f t="shared" si="2"/>
        <v>0.21875</v>
      </c>
      <c r="S1338" s="15">
        <f>IF(H1338&lt;&gt;"",EXP(-Formula!$C$28*(EOMONTH(H1338,0)-H1338)),EXP(-Formula!$C$28*(EOMONTH(D1338,0)-D1338)))</f>
        <v>0.670320046</v>
      </c>
      <c r="T1338" s="15">
        <f t="shared" si="3"/>
        <v>0.1490711985</v>
      </c>
      <c r="U1338" s="15">
        <f t="shared" si="4"/>
        <v>0.02185868402</v>
      </c>
      <c r="V1338" s="16">
        <f>IF(AND(L1338="Among all respondents",NOT(OR(K1338="Online poll in Telegram channel",K1338="Website online poll",K1338="CAWI (Computer Assisted Web Interviewing)"))),1/(1-MIN(MAX(Formula!$C$33+(YEAR(D1338)-Formula!$C$34)/(Formula!$C$35-Formula!$C$34)*(Formula!$C$32-Formula!$C$33),Formula!$C$33),Formula!$C$32)),1)</f>
        <v>1</v>
      </c>
      <c r="W1338" s="17">
        <f t="shared" si="5"/>
        <v>13.8</v>
      </c>
    </row>
    <row r="1339" ht="15.75" customHeight="1">
      <c r="A1339" s="8" t="s">
        <v>2122</v>
      </c>
      <c r="B1339" s="7" t="s">
        <v>2116</v>
      </c>
      <c r="C1339" s="13" t="s">
        <v>2117</v>
      </c>
      <c r="D1339" s="7" t="s">
        <v>196</v>
      </c>
      <c r="E1339" s="8" t="s">
        <v>158</v>
      </c>
      <c r="F1339" s="8" t="s">
        <v>318</v>
      </c>
      <c r="G1339" s="7" t="s">
        <v>202</v>
      </c>
      <c r="H1339" s="7" t="s">
        <v>2118</v>
      </c>
      <c r="I1339" s="8">
        <v>1524.0</v>
      </c>
      <c r="J1339" s="8">
        <v>3.2</v>
      </c>
      <c r="K1339" s="8" t="s">
        <v>1931</v>
      </c>
      <c r="L1339" s="8" t="s">
        <v>322</v>
      </c>
      <c r="M1339" s="8" t="s">
        <v>828</v>
      </c>
      <c r="N1339" s="8">
        <v>6.2</v>
      </c>
      <c r="O1339" s="14">
        <f t="shared" si="1"/>
        <v>44348</v>
      </c>
      <c r="P1339" s="15">
        <f>IFERROR(VLOOKUP(K1339,Formula!$A$11:$B$20,2,FALSE),Formula!$C$26)</f>
        <v>0.7</v>
      </c>
      <c r="Q1339" s="15">
        <f>IF(AND(ISNUMBER(J1339),J1339&gt;0),1/J1339,IF(AND(ISNUMBER(I1339),I1339&gt;0),SQRT(MIN(I1339,Formula!$C$27))/Formula!$C$24,1/Formula!$C$25))</f>
        <v>0.3125</v>
      </c>
      <c r="R1339" s="15">
        <f t="shared" si="2"/>
        <v>0.21875</v>
      </c>
      <c r="S1339" s="15">
        <f>IF(H1339&lt;&gt;"",EXP(-Formula!$C$28*(EOMONTH(H1339,0)-H1339)),EXP(-Formula!$C$28*(EOMONTH(D1339,0)-D1339)))</f>
        <v>0.670320046</v>
      </c>
      <c r="T1339" s="15">
        <f t="shared" si="3"/>
        <v>0.1490711985</v>
      </c>
      <c r="U1339" s="15">
        <f t="shared" si="4"/>
        <v>0.02185868402</v>
      </c>
      <c r="V1339" s="16">
        <f>IF(AND(L1339="Among all respondents",NOT(OR(K1339="Online poll in Telegram channel",K1339="Website online poll",K1339="CAWI (Computer Assisted Web Interviewing)"))),1/(1-MIN(MAX(Formula!$C$33+(YEAR(D1339)-Formula!$C$34)/(Formula!$C$35-Formula!$C$34)*(Formula!$C$32-Formula!$C$33),Formula!$C$33),Formula!$C$32)),1)</f>
        <v>1</v>
      </c>
      <c r="W1339" s="17">
        <f t="shared" si="5"/>
        <v>6.2</v>
      </c>
    </row>
    <row r="1340" ht="15.75" customHeight="1">
      <c r="A1340" s="8" t="s">
        <v>2123</v>
      </c>
      <c r="B1340" s="7" t="s">
        <v>2116</v>
      </c>
      <c r="C1340" s="13" t="s">
        <v>2117</v>
      </c>
      <c r="D1340" s="7" t="s">
        <v>196</v>
      </c>
      <c r="E1340" s="8" t="s">
        <v>158</v>
      </c>
      <c r="F1340" s="8" t="s">
        <v>318</v>
      </c>
      <c r="G1340" s="7" t="s">
        <v>202</v>
      </c>
      <c r="H1340" s="7" t="s">
        <v>2118</v>
      </c>
      <c r="I1340" s="8">
        <v>1524.0</v>
      </c>
      <c r="J1340" s="8">
        <v>3.2</v>
      </c>
      <c r="K1340" s="8" t="s">
        <v>1931</v>
      </c>
      <c r="L1340" s="8" t="s">
        <v>322</v>
      </c>
      <c r="M1340" s="8" t="s">
        <v>386</v>
      </c>
      <c r="N1340" s="8">
        <v>5.3</v>
      </c>
      <c r="O1340" s="14">
        <f t="shared" si="1"/>
        <v>44348</v>
      </c>
      <c r="P1340" s="15">
        <f>IFERROR(VLOOKUP(K1340,Formula!$A$11:$B$20,2,FALSE),Formula!$C$26)</f>
        <v>0.7</v>
      </c>
      <c r="Q1340" s="15">
        <f>IF(AND(ISNUMBER(J1340),J1340&gt;0),1/J1340,IF(AND(ISNUMBER(I1340),I1340&gt;0),SQRT(MIN(I1340,Formula!$C$27))/Formula!$C$24,1/Formula!$C$25))</f>
        <v>0.3125</v>
      </c>
      <c r="R1340" s="15">
        <f t="shared" si="2"/>
        <v>0.21875</v>
      </c>
      <c r="S1340" s="15">
        <f>IF(H1340&lt;&gt;"",EXP(-Formula!$C$28*(EOMONTH(H1340,0)-H1340)),EXP(-Formula!$C$28*(EOMONTH(D1340,0)-D1340)))</f>
        <v>0.670320046</v>
      </c>
      <c r="T1340" s="15">
        <f t="shared" si="3"/>
        <v>0.1490711985</v>
      </c>
      <c r="U1340" s="15">
        <f t="shared" si="4"/>
        <v>0.02185868402</v>
      </c>
      <c r="V1340" s="16">
        <f>IF(AND(L1340="Among all respondents",NOT(OR(K1340="Online poll in Telegram channel",K1340="Website online poll",K1340="CAWI (Computer Assisted Web Interviewing)"))),1/(1-MIN(MAX(Formula!$C$33+(YEAR(D1340)-Formula!$C$34)/(Formula!$C$35-Formula!$C$34)*(Formula!$C$32-Formula!$C$33),Formula!$C$33),Formula!$C$32)),1)</f>
        <v>1</v>
      </c>
      <c r="W1340" s="17">
        <f t="shared" si="5"/>
        <v>5.3</v>
      </c>
    </row>
    <row r="1341" ht="15.75" customHeight="1">
      <c r="A1341" s="8" t="s">
        <v>2124</v>
      </c>
      <c r="B1341" s="7" t="s">
        <v>2116</v>
      </c>
      <c r="C1341" s="13" t="s">
        <v>2117</v>
      </c>
      <c r="D1341" s="7" t="s">
        <v>196</v>
      </c>
      <c r="E1341" s="8" t="s">
        <v>158</v>
      </c>
      <c r="F1341" s="8" t="s">
        <v>318</v>
      </c>
      <c r="G1341" s="7" t="s">
        <v>202</v>
      </c>
      <c r="H1341" s="7" t="s">
        <v>2118</v>
      </c>
      <c r="I1341" s="8">
        <v>1524.0</v>
      </c>
      <c r="J1341" s="8">
        <v>3.2</v>
      </c>
      <c r="K1341" s="8" t="s">
        <v>1931</v>
      </c>
      <c r="L1341" s="8" t="s">
        <v>322</v>
      </c>
      <c r="M1341" s="8" t="s">
        <v>1334</v>
      </c>
      <c r="N1341" s="8">
        <v>4.7</v>
      </c>
      <c r="O1341" s="14">
        <f t="shared" si="1"/>
        <v>44348</v>
      </c>
      <c r="P1341" s="15">
        <f>IFERROR(VLOOKUP(K1341,Formula!$A$11:$B$20,2,FALSE),Formula!$C$26)</f>
        <v>0.7</v>
      </c>
      <c r="Q1341" s="15">
        <f>IF(AND(ISNUMBER(J1341),J1341&gt;0),1/J1341,IF(AND(ISNUMBER(I1341),I1341&gt;0),SQRT(MIN(I1341,Formula!$C$27))/Formula!$C$24,1/Formula!$C$25))</f>
        <v>0.3125</v>
      </c>
      <c r="R1341" s="15">
        <f t="shared" si="2"/>
        <v>0.21875</v>
      </c>
      <c r="S1341" s="15">
        <f>IF(H1341&lt;&gt;"",EXP(-Formula!$C$28*(EOMONTH(H1341,0)-H1341)),EXP(-Formula!$C$28*(EOMONTH(D1341,0)-D1341)))</f>
        <v>0.670320046</v>
      </c>
      <c r="T1341" s="15">
        <f t="shared" si="3"/>
        <v>0.1490711985</v>
      </c>
      <c r="U1341" s="15">
        <f t="shared" si="4"/>
        <v>0.02185868402</v>
      </c>
      <c r="V1341" s="16">
        <f>IF(AND(L1341="Among all respondents",NOT(OR(K1341="Online poll in Telegram channel",K1341="Website online poll",K1341="CAWI (Computer Assisted Web Interviewing)"))),1/(1-MIN(MAX(Formula!$C$33+(YEAR(D1341)-Formula!$C$34)/(Formula!$C$35-Formula!$C$34)*(Formula!$C$32-Formula!$C$33),Formula!$C$33),Formula!$C$32)),1)</f>
        <v>1</v>
      </c>
      <c r="W1341" s="17">
        <f t="shared" si="5"/>
        <v>4.7</v>
      </c>
    </row>
    <row r="1342" ht="15.75" customHeight="1">
      <c r="A1342" s="8" t="s">
        <v>2125</v>
      </c>
      <c r="B1342" s="7" t="s">
        <v>2116</v>
      </c>
      <c r="C1342" s="13" t="s">
        <v>2117</v>
      </c>
      <c r="D1342" s="7" t="s">
        <v>196</v>
      </c>
      <c r="E1342" s="8" t="s">
        <v>158</v>
      </c>
      <c r="F1342" s="8" t="s">
        <v>318</v>
      </c>
      <c r="G1342" s="7" t="s">
        <v>202</v>
      </c>
      <c r="H1342" s="7" t="s">
        <v>2118</v>
      </c>
      <c r="I1342" s="8">
        <v>1524.0</v>
      </c>
      <c r="J1342" s="8">
        <v>3.2</v>
      </c>
      <c r="K1342" s="8" t="s">
        <v>1931</v>
      </c>
      <c r="L1342" s="8" t="s">
        <v>322</v>
      </c>
      <c r="M1342" s="8" t="s">
        <v>333</v>
      </c>
      <c r="N1342" s="8">
        <v>2.5</v>
      </c>
      <c r="O1342" s="14">
        <f t="shared" si="1"/>
        <v>44348</v>
      </c>
      <c r="P1342" s="15">
        <f>IFERROR(VLOOKUP(K1342,Formula!$A$11:$B$20,2,FALSE),Formula!$C$26)</f>
        <v>0.7</v>
      </c>
      <c r="Q1342" s="15">
        <f>IF(AND(ISNUMBER(J1342),J1342&gt;0),1/J1342,IF(AND(ISNUMBER(I1342),I1342&gt;0),SQRT(MIN(I1342,Formula!$C$27))/Formula!$C$24,1/Formula!$C$25))</f>
        <v>0.3125</v>
      </c>
      <c r="R1342" s="15">
        <f t="shared" si="2"/>
        <v>0.21875</v>
      </c>
      <c r="S1342" s="15">
        <f>IF(H1342&lt;&gt;"",EXP(-Formula!$C$28*(EOMONTH(H1342,0)-H1342)),EXP(-Formula!$C$28*(EOMONTH(D1342,0)-D1342)))</f>
        <v>0.670320046</v>
      </c>
      <c r="T1342" s="15">
        <f t="shared" si="3"/>
        <v>0.1490711985</v>
      </c>
      <c r="U1342" s="15">
        <f t="shared" si="4"/>
        <v>0.02185868402</v>
      </c>
      <c r="V1342" s="16">
        <f>IF(AND(L1342="Among all respondents",NOT(OR(K1342="Online poll in Telegram channel",K1342="Website online poll",K1342="CAWI (Computer Assisted Web Interviewing)"))),1/(1-MIN(MAX(Formula!$C$33+(YEAR(D1342)-Formula!$C$34)/(Formula!$C$35-Formula!$C$34)*(Formula!$C$32-Formula!$C$33),Formula!$C$33),Formula!$C$32)),1)</f>
        <v>1</v>
      </c>
      <c r="W1342" s="17">
        <f t="shared" si="5"/>
        <v>2.5</v>
      </c>
    </row>
    <row r="1343" ht="15.75" customHeight="1">
      <c r="A1343" s="8" t="s">
        <v>2126</v>
      </c>
      <c r="B1343" s="7" t="s">
        <v>2116</v>
      </c>
      <c r="C1343" s="13" t="s">
        <v>2117</v>
      </c>
      <c r="D1343" s="7" t="s">
        <v>196</v>
      </c>
      <c r="E1343" s="8" t="s">
        <v>158</v>
      </c>
      <c r="F1343" s="8" t="s">
        <v>318</v>
      </c>
      <c r="G1343" s="7" t="s">
        <v>202</v>
      </c>
      <c r="H1343" s="7" t="s">
        <v>2118</v>
      </c>
      <c r="I1343" s="8">
        <v>1524.0</v>
      </c>
      <c r="J1343" s="8">
        <v>3.2</v>
      </c>
      <c r="K1343" s="8" t="s">
        <v>1931</v>
      </c>
      <c r="L1343" s="8" t="s">
        <v>322</v>
      </c>
      <c r="M1343" s="8" t="s">
        <v>388</v>
      </c>
      <c r="N1343" s="8">
        <v>2.3</v>
      </c>
      <c r="O1343" s="14">
        <f t="shared" si="1"/>
        <v>44348</v>
      </c>
      <c r="P1343" s="15">
        <f>IFERROR(VLOOKUP(K1343,Formula!$A$11:$B$20,2,FALSE),Formula!$C$26)</f>
        <v>0.7</v>
      </c>
      <c r="Q1343" s="15">
        <f>IF(AND(ISNUMBER(J1343),J1343&gt;0),1/J1343,IF(AND(ISNUMBER(I1343),I1343&gt;0),SQRT(MIN(I1343,Formula!$C$27))/Formula!$C$24,1/Formula!$C$25))</f>
        <v>0.3125</v>
      </c>
      <c r="R1343" s="15">
        <f t="shared" si="2"/>
        <v>0.21875</v>
      </c>
      <c r="S1343" s="15">
        <f>IF(H1343&lt;&gt;"",EXP(-Formula!$C$28*(EOMONTH(H1343,0)-H1343)),EXP(-Formula!$C$28*(EOMONTH(D1343,0)-D1343)))</f>
        <v>0.670320046</v>
      </c>
      <c r="T1343" s="15">
        <f t="shared" si="3"/>
        <v>0.1490711985</v>
      </c>
      <c r="U1343" s="15">
        <f t="shared" si="4"/>
        <v>0.02185868402</v>
      </c>
      <c r="V1343" s="16">
        <f>IF(AND(L1343="Among all respondents",NOT(OR(K1343="Online poll in Telegram channel",K1343="Website online poll",K1343="CAWI (Computer Assisted Web Interviewing)"))),1/(1-MIN(MAX(Formula!$C$33+(YEAR(D1343)-Formula!$C$34)/(Formula!$C$35-Formula!$C$34)*(Formula!$C$32-Formula!$C$33),Formula!$C$33),Formula!$C$32)),1)</f>
        <v>1</v>
      </c>
      <c r="W1343" s="17">
        <f t="shared" si="5"/>
        <v>2.3</v>
      </c>
    </row>
    <row r="1344" ht="15.75" customHeight="1">
      <c r="A1344" s="8" t="s">
        <v>2127</v>
      </c>
      <c r="B1344" s="7" t="s">
        <v>2116</v>
      </c>
      <c r="C1344" s="13" t="s">
        <v>2117</v>
      </c>
      <c r="D1344" s="7" t="s">
        <v>196</v>
      </c>
      <c r="E1344" s="8" t="s">
        <v>158</v>
      </c>
      <c r="F1344" s="8" t="s">
        <v>318</v>
      </c>
      <c r="G1344" s="7" t="s">
        <v>202</v>
      </c>
      <c r="H1344" s="7" t="s">
        <v>2118</v>
      </c>
      <c r="I1344" s="8">
        <v>1524.0</v>
      </c>
      <c r="J1344" s="8">
        <v>3.2</v>
      </c>
      <c r="K1344" s="8" t="s">
        <v>1931</v>
      </c>
      <c r="L1344" s="8" t="s">
        <v>322</v>
      </c>
      <c r="M1344" s="8" t="s">
        <v>343</v>
      </c>
      <c r="N1344" s="8">
        <v>1.7</v>
      </c>
      <c r="O1344" s="14">
        <f t="shared" si="1"/>
        <v>44348</v>
      </c>
      <c r="P1344" s="15">
        <f>IFERROR(VLOOKUP(K1344,Formula!$A$11:$B$20,2,FALSE),Formula!$C$26)</f>
        <v>0.7</v>
      </c>
      <c r="Q1344" s="15">
        <f>IF(AND(ISNUMBER(J1344),J1344&gt;0),1/J1344,IF(AND(ISNUMBER(I1344),I1344&gt;0),SQRT(MIN(I1344,Formula!$C$27))/Formula!$C$24,1/Formula!$C$25))</f>
        <v>0.3125</v>
      </c>
      <c r="R1344" s="15">
        <f t="shared" si="2"/>
        <v>0.21875</v>
      </c>
      <c r="S1344" s="15">
        <f>IF(H1344&lt;&gt;"",EXP(-Formula!$C$28*(EOMONTH(H1344,0)-H1344)),EXP(-Formula!$C$28*(EOMONTH(D1344,0)-D1344)))</f>
        <v>0.670320046</v>
      </c>
      <c r="T1344" s="15">
        <f t="shared" si="3"/>
        <v>0.1490711985</v>
      </c>
      <c r="U1344" s="15">
        <f t="shared" si="4"/>
        <v>0.02185868402</v>
      </c>
      <c r="V1344" s="16">
        <f>IF(AND(L1344="Among all respondents",NOT(OR(K1344="Online poll in Telegram channel",K1344="Website online poll",K1344="CAWI (Computer Assisted Web Interviewing)"))),1/(1-MIN(MAX(Formula!$C$33+(YEAR(D1344)-Formula!$C$34)/(Formula!$C$35-Formula!$C$34)*(Formula!$C$32-Formula!$C$33),Formula!$C$33),Formula!$C$32)),1)</f>
        <v>1</v>
      </c>
      <c r="W1344" s="17">
        <f t="shared" si="5"/>
        <v>1.7</v>
      </c>
    </row>
    <row r="1345" ht="15.75" customHeight="1">
      <c r="A1345" s="8" t="s">
        <v>2128</v>
      </c>
      <c r="B1345" s="7" t="s">
        <v>2116</v>
      </c>
      <c r="C1345" s="13" t="s">
        <v>2117</v>
      </c>
      <c r="D1345" s="7" t="s">
        <v>196</v>
      </c>
      <c r="E1345" s="8" t="s">
        <v>158</v>
      </c>
      <c r="F1345" s="8" t="s">
        <v>318</v>
      </c>
      <c r="G1345" s="7" t="s">
        <v>202</v>
      </c>
      <c r="H1345" s="7" t="s">
        <v>2118</v>
      </c>
      <c r="I1345" s="8">
        <v>1524.0</v>
      </c>
      <c r="J1345" s="8">
        <v>3.2</v>
      </c>
      <c r="K1345" s="8" t="s">
        <v>1931</v>
      </c>
      <c r="L1345" s="8" t="s">
        <v>322</v>
      </c>
      <c r="M1345" s="8" t="s">
        <v>1663</v>
      </c>
      <c r="N1345" s="8">
        <v>0.3</v>
      </c>
      <c r="O1345" s="14">
        <f t="shared" si="1"/>
        <v>44348</v>
      </c>
      <c r="P1345" s="15">
        <f>IFERROR(VLOOKUP(K1345,Formula!$A$11:$B$20,2,FALSE),Formula!$C$26)</f>
        <v>0.7</v>
      </c>
      <c r="Q1345" s="15">
        <f>IF(AND(ISNUMBER(J1345),J1345&gt;0),1/J1345,IF(AND(ISNUMBER(I1345),I1345&gt;0),SQRT(MIN(I1345,Formula!$C$27))/Formula!$C$24,1/Formula!$C$25))</f>
        <v>0.3125</v>
      </c>
      <c r="R1345" s="15">
        <f t="shared" si="2"/>
        <v>0.21875</v>
      </c>
      <c r="S1345" s="15">
        <f>IF(H1345&lt;&gt;"",EXP(-Formula!$C$28*(EOMONTH(H1345,0)-H1345)),EXP(-Formula!$C$28*(EOMONTH(D1345,0)-D1345)))</f>
        <v>0.670320046</v>
      </c>
      <c r="T1345" s="15">
        <f t="shared" si="3"/>
        <v>0.1490711985</v>
      </c>
      <c r="U1345" s="15">
        <f t="shared" si="4"/>
        <v>0.02185868402</v>
      </c>
      <c r="V1345" s="16">
        <f>IF(AND(L1345="Among all respondents",NOT(OR(K1345="Online poll in Telegram channel",K1345="Website online poll",K1345="CAWI (Computer Assisted Web Interviewing)"))),1/(1-MIN(MAX(Formula!$C$33+(YEAR(D1345)-Formula!$C$34)/(Formula!$C$35-Formula!$C$34)*(Formula!$C$32-Formula!$C$33),Formula!$C$33),Formula!$C$32)),1)</f>
        <v>1</v>
      </c>
      <c r="W1345" s="17">
        <f t="shared" si="5"/>
        <v>0.3</v>
      </c>
    </row>
    <row r="1346" ht="15.75" customHeight="1">
      <c r="A1346" s="8" t="s">
        <v>2129</v>
      </c>
      <c r="B1346" s="7" t="s">
        <v>2130</v>
      </c>
      <c r="C1346" s="13" t="s">
        <v>2131</v>
      </c>
      <c r="D1346" s="7" t="s">
        <v>197</v>
      </c>
      <c r="E1346" s="8" t="s">
        <v>106</v>
      </c>
      <c r="F1346" s="8" t="s">
        <v>318</v>
      </c>
      <c r="G1346" s="7" t="s">
        <v>199</v>
      </c>
      <c r="H1346" s="7" t="s">
        <v>2132</v>
      </c>
      <c r="I1346" s="8">
        <v>2018.0</v>
      </c>
      <c r="J1346" s="8">
        <v>2.3</v>
      </c>
      <c r="K1346" s="8" t="s">
        <v>583</v>
      </c>
      <c r="L1346" s="8" t="s">
        <v>322</v>
      </c>
      <c r="M1346" s="8" t="s">
        <v>323</v>
      </c>
      <c r="N1346" s="8">
        <v>32.4</v>
      </c>
      <c r="O1346" s="14">
        <f t="shared" si="1"/>
        <v>44348</v>
      </c>
      <c r="P1346" s="15">
        <f>IFERROR(VLOOKUP(K1346,Formula!$A$11:$B$20,2,FALSE),Formula!$C$26)</f>
        <v>0.95</v>
      </c>
      <c r="Q1346" s="15">
        <f>IF(AND(ISNUMBER(J1346),J1346&gt;0),1/J1346,IF(AND(ISNUMBER(I1346),I1346&gt;0),SQRT(MIN(I1346,Formula!$C$27))/Formula!$C$24,1/Formula!$C$25))</f>
        <v>0.4347826087</v>
      </c>
      <c r="R1346" s="15">
        <f t="shared" si="2"/>
        <v>0.4130434783</v>
      </c>
      <c r="S1346" s="15">
        <f>IF(H1346&lt;&gt;"",EXP(-Formula!$C$28*(EOMONTH(H1346,0)-H1346)),EXP(-Formula!$C$28*(EOMONTH(D1346,0)-D1346)))</f>
        <v>0.4965853038</v>
      </c>
      <c r="T1346" s="15">
        <f t="shared" si="3"/>
        <v>0.2886751346</v>
      </c>
      <c r="U1346" s="15">
        <f t="shared" si="4"/>
        <v>0.05921053823</v>
      </c>
      <c r="V1346" s="16">
        <f>IF(AND(L1346="Among all respondents",NOT(OR(K1346="Online poll in Telegram channel",K1346="Website online poll",K1346="CAWI (Computer Assisted Web Interviewing)"))),1/(1-MIN(MAX(Formula!$C$33+(YEAR(D1346)-Formula!$C$34)/(Formula!$C$35-Formula!$C$34)*(Formula!$C$32-Formula!$C$33),Formula!$C$33),Formula!$C$32)),1)</f>
        <v>1</v>
      </c>
      <c r="W1346" s="17">
        <f t="shared" si="5"/>
        <v>32.4</v>
      </c>
    </row>
    <row r="1347" ht="15.75" customHeight="1">
      <c r="A1347" s="8" t="s">
        <v>2133</v>
      </c>
      <c r="B1347" s="7" t="s">
        <v>2130</v>
      </c>
      <c r="C1347" s="13" t="s">
        <v>2131</v>
      </c>
      <c r="D1347" s="7" t="s">
        <v>197</v>
      </c>
      <c r="E1347" s="8" t="s">
        <v>106</v>
      </c>
      <c r="F1347" s="8" t="s">
        <v>318</v>
      </c>
      <c r="G1347" s="7" t="s">
        <v>199</v>
      </c>
      <c r="H1347" s="7" t="s">
        <v>2132</v>
      </c>
      <c r="I1347" s="8">
        <v>2018.0</v>
      </c>
      <c r="J1347" s="8">
        <v>2.3</v>
      </c>
      <c r="K1347" s="8" t="s">
        <v>583</v>
      </c>
      <c r="L1347" s="8" t="s">
        <v>322</v>
      </c>
      <c r="M1347" s="8" t="s">
        <v>329</v>
      </c>
      <c r="N1347" s="8">
        <v>17.2</v>
      </c>
      <c r="O1347" s="14">
        <f t="shared" si="1"/>
        <v>44348</v>
      </c>
      <c r="P1347" s="15">
        <f>IFERROR(VLOOKUP(K1347,Formula!$A$11:$B$20,2,FALSE),Formula!$C$26)</f>
        <v>0.95</v>
      </c>
      <c r="Q1347" s="15">
        <f>IF(AND(ISNUMBER(J1347),J1347&gt;0),1/J1347,IF(AND(ISNUMBER(I1347),I1347&gt;0),SQRT(MIN(I1347,Formula!$C$27))/Formula!$C$24,1/Formula!$C$25))</f>
        <v>0.4347826087</v>
      </c>
      <c r="R1347" s="15">
        <f t="shared" si="2"/>
        <v>0.4130434783</v>
      </c>
      <c r="S1347" s="15">
        <f>IF(H1347&lt;&gt;"",EXP(-Formula!$C$28*(EOMONTH(H1347,0)-H1347)),EXP(-Formula!$C$28*(EOMONTH(D1347,0)-D1347)))</f>
        <v>0.4965853038</v>
      </c>
      <c r="T1347" s="15">
        <f t="shared" si="3"/>
        <v>0.2886751346</v>
      </c>
      <c r="U1347" s="15">
        <f t="shared" si="4"/>
        <v>0.05921053823</v>
      </c>
      <c r="V1347" s="16">
        <f>IF(AND(L1347="Among all respondents",NOT(OR(K1347="Online poll in Telegram channel",K1347="Website online poll",K1347="CAWI (Computer Assisted Web Interviewing)"))),1/(1-MIN(MAX(Formula!$C$33+(YEAR(D1347)-Formula!$C$34)/(Formula!$C$35-Formula!$C$34)*(Formula!$C$32-Formula!$C$33),Formula!$C$33),Formula!$C$32)),1)</f>
        <v>1</v>
      </c>
      <c r="W1347" s="17">
        <f t="shared" si="5"/>
        <v>17.2</v>
      </c>
    </row>
    <row r="1348" ht="15.75" customHeight="1">
      <c r="A1348" s="8" t="s">
        <v>2134</v>
      </c>
      <c r="B1348" s="7" t="s">
        <v>2130</v>
      </c>
      <c r="C1348" s="13" t="s">
        <v>2131</v>
      </c>
      <c r="D1348" s="7" t="s">
        <v>197</v>
      </c>
      <c r="E1348" s="8" t="s">
        <v>106</v>
      </c>
      <c r="F1348" s="8" t="s">
        <v>318</v>
      </c>
      <c r="G1348" s="7" t="s">
        <v>199</v>
      </c>
      <c r="H1348" s="7" t="s">
        <v>2132</v>
      </c>
      <c r="I1348" s="8">
        <v>2018.0</v>
      </c>
      <c r="J1348" s="8">
        <v>2.3</v>
      </c>
      <c r="K1348" s="8" t="s">
        <v>583</v>
      </c>
      <c r="L1348" s="8" t="s">
        <v>322</v>
      </c>
      <c r="M1348" s="8" t="s">
        <v>365</v>
      </c>
      <c r="N1348" s="8">
        <v>13.0</v>
      </c>
      <c r="O1348" s="14">
        <f t="shared" si="1"/>
        <v>44348</v>
      </c>
      <c r="P1348" s="15">
        <f>IFERROR(VLOOKUP(K1348,Formula!$A$11:$B$20,2,FALSE),Formula!$C$26)</f>
        <v>0.95</v>
      </c>
      <c r="Q1348" s="15">
        <f>IF(AND(ISNUMBER(J1348),J1348&gt;0),1/J1348,IF(AND(ISNUMBER(I1348),I1348&gt;0),SQRT(MIN(I1348,Formula!$C$27))/Formula!$C$24,1/Formula!$C$25))</f>
        <v>0.4347826087</v>
      </c>
      <c r="R1348" s="15">
        <f t="shared" si="2"/>
        <v>0.4130434783</v>
      </c>
      <c r="S1348" s="15">
        <f>IF(H1348&lt;&gt;"",EXP(-Formula!$C$28*(EOMONTH(H1348,0)-H1348)),EXP(-Formula!$C$28*(EOMONTH(D1348,0)-D1348)))</f>
        <v>0.4965853038</v>
      </c>
      <c r="T1348" s="15">
        <f t="shared" si="3"/>
        <v>0.2886751346</v>
      </c>
      <c r="U1348" s="15">
        <f t="shared" si="4"/>
        <v>0.05921053823</v>
      </c>
      <c r="V1348" s="16">
        <f>IF(AND(L1348="Among all respondents",NOT(OR(K1348="Online poll in Telegram channel",K1348="Website online poll",K1348="CAWI (Computer Assisted Web Interviewing)"))),1/(1-MIN(MAX(Formula!$C$33+(YEAR(D1348)-Formula!$C$34)/(Formula!$C$35-Formula!$C$34)*(Formula!$C$32-Formula!$C$33),Formula!$C$33),Formula!$C$32)),1)</f>
        <v>1</v>
      </c>
      <c r="W1348" s="17">
        <f t="shared" si="5"/>
        <v>13</v>
      </c>
    </row>
    <row r="1349" ht="15.75" customHeight="1">
      <c r="A1349" s="8" t="s">
        <v>2135</v>
      </c>
      <c r="B1349" s="7" t="s">
        <v>2130</v>
      </c>
      <c r="C1349" s="13" t="s">
        <v>2131</v>
      </c>
      <c r="D1349" s="7" t="s">
        <v>197</v>
      </c>
      <c r="E1349" s="8" t="s">
        <v>106</v>
      </c>
      <c r="F1349" s="8" t="s">
        <v>318</v>
      </c>
      <c r="G1349" s="7" t="s">
        <v>199</v>
      </c>
      <c r="H1349" s="7" t="s">
        <v>2132</v>
      </c>
      <c r="I1349" s="8">
        <v>2018.0</v>
      </c>
      <c r="J1349" s="8">
        <v>2.3</v>
      </c>
      <c r="K1349" s="8" t="s">
        <v>583</v>
      </c>
      <c r="L1349" s="8" t="s">
        <v>322</v>
      </c>
      <c r="M1349" s="8" t="s">
        <v>337</v>
      </c>
      <c r="N1349" s="8">
        <v>9.8</v>
      </c>
      <c r="O1349" s="14">
        <f t="shared" si="1"/>
        <v>44348</v>
      </c>
      <c r="P1349" s="15">
        <f>IFERROR(VLOOKUP(K1349,Formula!$A$11:$B$20,2,FALSE),Formula!$C$26)</f>
        <v>0.95</v>
      </c>
      <c r="Q1349" s="15">
        <f>IF(AND(ISNUMBER(J1349),J1349&gt;0),1/J1349,IF(AND(ISNUMBER(I1349),I1349&gt;0),SQRT(MIN(I1349,Formula!$C$27))/Formula!$C$24,1/Formula!$C$25))</f>
        <v>0.4347826087</v>
      </c>
      <c r="R1349" s="15">
        <f t="shared" si="2"/>
        <v>0.4130434783</v>
      </c>
      <c r="S1349" s="15">
        <f>IF(H1349&lt;&gt;"",EXP(-Formula!$C$28*(EOMONTH(H1349,0)-H1349)),EXP(-Formula!$C$28*(EOMONTH(D1349,0)-D1349)))</f>
        <v>0.4965853038</v>
      </c>
      <c r="T1349" s="15">
        <f t="shared" si="3"/>
        <v>0.2886751346</v>
      </c>
      <c r="U1349" s="15">
        <f t="shared" si="4"/>
        <v>0.05921053823</v>
      </c>
      <c r="V1349" s="16">
        <f>IF(AND(L1349="Among all respondents",NOT(OR(K1349="Online poll in Telegram channel",K1349="Website online poll",K1349="CAWI (Computer Assisted Web Interviewing)"))),1/(1-MIN(MAX(Formula!$C$33+(YEAR(D1349)-Formula!$C$34)/(Formula!$C$35-Formula!$C$34)*(Formula!$C$32-Formula!$C$33),Formula!$C$33),Formula!$C$32)),1)</f>
        <v>1</v>
      </c>
      <c r="W1349" s="17">
        <f t="shared" si="5"/>
        <v>9.8</v>
      </c>
    </row>
    <row r="1350" ht="15.75" customHeight="1">
      <c r="A1350" s="8" t="s">
        <v>2136</v>
      </c>
      <c r="B1350" s="7" t="s">
        <v>2130</v>
      </c>
      <c r="C1350" s="13" t="s">
        <v>2131</v>
      </c>
      <c r="D1350" s="7" t="s">
        <v>197</v>
      </c>
      <c r="E1350" s="8" t="s">
        <v>106</v>
      </c>
      <c r="F1350" s="8" t="s">
        <v>318</v>
      </c>
      <c r="G1350" s="7" t="s">
        <v>199</v>
      </c>
      <c r="H1350" s="7" t="s">
        <v>2132</v>
      </c>
      <c r="I1350" s="8">
        <v>2018.0</v>
      </c>
      <c r="J1350" s="8">
        <v>2.3</v>
      </c>
      <c r="K1350" s="8" t="s">
        <v>583</v>
      </c>
      <c r="L1350" s="8" t="s">
        <v>322</v>
      </c>
      <c r="M1350" s="8" t="s">
        <v>828</v>
      </c>
      <c r="N1350" s="8">
        <v>7.0</v>
      </c>
      <c r="O1350" s="14">
        <f t="shared" si="1"/>
        <v>44348</v>
      </c>
      <c r="P1350" s="15">
        <f>IFERROR(VLOOKUP(K1350,Formula!$A$11:$B$20,2,FALSE),Formula!$C$26)</f>
        <v>0.95</v>
      </c>
      <c r="Q1350" s="15">
        <f>IF(AND(ISNUMBER(J1350),J1350&gt;0),1/J1350,IF(AND(ISNUMBER(I1350),I1350&gt;0),SQRT(MIN(I1350,Formula!$C$27))/Formula!$C$24,1/Formula!$C$25))</f>
        <v>0.4347826087</v>
      </c>
      <c r="R1350" s="15">
        <f t="shared" si="2"/>
        <v>0.4130434783</v>
      </c>
      <c r="S1350" s="15">
        <f>IF(H1350&lt;&gt;"",EXP(-Formula!$C$28*(EOMONTH(H1350,0)-H1350)),EXP(-Formula!$C$28*(EOMONTH(D1350,0)-D1350)))</f>
        <v>0.4965853038</v>
      </c>
      <c r="T1350" s="15">
        <f t="shared" si="3"/>
        <v>0.2886751346</v>
      </c>
      <c r="U1350" s="15">
        <f t="shared" si="4"/>
        <v>0.05921053823</v>
      </c>
      <c r="V1350" s="16">
        <f>IF(AND(L1350="Among all respondents",NOT(OR(K1350="Online poll in Telegram channel",K1350="Website online poll",K1350="CAWI (Computer Assisted Web Interviewing)"))),1/(1-MIN(MAX(Formula!$C$33+(YEAR(D1350)-Formula!$C$34)/(Formula!$C$35-Formula!$C$34)*(Formula!$C$32-Formula!$C$33),Formula!$C$33),Formula!$C$32)),1)</f>
        <v>1</v>
      </c>
      <c r="W1350" s="17">
        <f t="shared" si="5"/>
        <v>7</v>
      </c>
    </row>
    <row r="1351" ht="15.75" customHeight="1">
      <c r="A1351" s="8" t="s">
        <v>2137</v>
      </c>
      <c r="B1351" s="7" t="s">
        <v>2130</v>
      </c>
      <c r="C1351" s="13" t="s">
        <v>2131</v>
      </c>
      <c r="D1351" s="7" t="s">
        <v>197</v>
      </c>
      <c r="E1351" s="8" t="s">
        <v>106</v>
      </c>
      <c r="F1351" s="8" t="s">
        <v>318</v>
      </c>
      <c r="G1351" s="7" t="s">
        <v>199</v>
      </c>
      <c r="H1351" s="7" t="s">
        <v>2132</v>
      </c>
      <c r="I1351" s="8">
        <v>2018.0</v>
      </c>
      <c r="J1351" s="8">
        <v>2.3</v>
      </c>
      <c r="K1351" s="8" t="s">
        <v>583</v>
      </c>
      <c r="L1351" s="8" t="s">
        <v>322</v>
      </c>
      <c r="M1351" s="8" t="s">
        <v>386</v>
      </c>
      <c r="N1351" s="8">
        <v>3.7</v>
      </c>
      <c r="O1351" s="14">
        <f t="shared" si="1"/>
        <v>44348</v>
      </c>
      <c r="P1351" s="15">
        <f>IFERROR(VLOOKUP(K1351,Formula!$A$11:$B$20,2,FALSE),Formula!$C$26)</f>
        <v>0.95</v>
      </c>
      <c r="Q1351" s="15">
        <f>IF(AND(ISNUMBER(J1351),J1351&gt;0),1/J1351,IF(AND(ISNUMBER(I1351),I1351&gt;0),SQRT(MIN(I1351,Formula!$C$27))/Formula!$C$24,1/Formula!$C$25))</f>
        <v>0.4347826087</v>
      </c>
      <c r="R1351" s="15">
        <f t="shared" si="2"/>
        <v>0.4130434783</v>
      </c>
      <c r="S1351" s="15">
        <f>IF(H1351&lt;&gt;"",EXP(-Formula!$C$28*(EOMONTH(H1351,0)-H1351)),EXP(-Formula!$C$28*(EOMONTH(D1351,0)-D1351)))</f>
        <v>0.4965853038</v>
      </c>
      <c r="T1351" s="15">
        <f t="shared" si="3"/>
        <v>0.2886751346</v>
      </c>
      <c r="U1351" s="15">
        <f t="shared" si="4"/>
        <v>0.05921053823</v>
      </c>
      <c r="V1351" s="16">
        <f>IF(AND(L1351="Among all respondents",NOT(OR(K1351="Online poll in Telegram channel",K1351="Website online poll",K1351="CAWI (Computer Assisted Web Interviewing)"))),1/(1-MIN(MAX(Formula!$C$33+(YEAR(D1351)-Formula!$C$34)/(Formula!$C$35-Formula!$C$34)*(Formula!$C$32-Formula!$C$33),Formula!$C$33),Formula!$C$32)),1)</f>
        <v>1</v>
      </c>
      <c r="W1351" s="17">
        <f t="shared" si="5"/>
        <v>3.7</v>
      </c>
    </row>
    <row r="1352" ht="15.75" customHeight="1">
      <c r="A1352" s="8" t="s">
        <v>2138</v>
      </c>
      <c r="B1352" s="7" t="s">
        <v>2130</v>
      </c>
      <c r="C1352" s="13" t="s">
        <v>2131</v>
      </c>
      <c r="D1352" s="7" t="s">
        <v>197</v>
      </c>
      <c r="E1352" s="8" t="s">
        <v>106</v>
      </c>
      <c r="F1352" s="8" t="s">
        <v>318</v>
      </c>
      <c r="G1352" s="7" t="s">
        <v>199</v>
      </c>
      <c r="H1352" s="7" t="s">
        <v>2132</v>
      </c>
      <c r="I1352" s="8">
        <v>2018.0</v>
      </c>
      <c r="J1352" s="8">
        <v>2.3</v>
      </c>
      <c r="K1352" s="8" t="s">
        <v>583</v>
      </c>
      <c r="L1352" s="8" t="s">
        <v>322</v>
      </c>
      <c r="M1352" s="8" t="s">
        <v>838</v>
      </c>
      <c r="N1352" s="8">
        <v>2.9</v>
      </c>
      <c r="O1352" s="14">
        <f t="shared" si="1"/>
        <v>44348</v>
      </c>
      <c r="P1352" s="15">
        <f>IFERROR(VLOOKUP(K1352,Formula!$A$11:$B$20,2,FALSE),Formula!$C$26)</f>
        <v>0.95</v>
      </c>
      <c r="Q1352" s="15">
        <f>IF(AND(ISNUMBER(J1352),J1352&gt;0),1/J1352,IF(AND(ISNUMBER(I1352),I1352&gt;0),SQRT(MIN(I1352,Formula!$C$27))/Formula!$C$24,1/Formula!$C$25))</f>
        <v>0.4347826087</v>
      </c>
      <c r="R1352" s="15">
        <f t="shared" si="2"/>
        <v>0.4130434783</v>
      </c>
      <c r="S1352" s="15">
        <f>IF(H1352&lt;&gt;"",EXP(-Formula!$C$28*(EOMONTH(H1352,0)-H1352)),EXP(-Formula!$C$28*(EOMONTH(D1352,0)-D1352)))</f>
        <v>0.4965853038</v>
      </c>
      <c r="T1352" s="15">
        <f t="shared" si="3"/>
        <v>0.2886751346</v>
      </c>
      <c r="U1352" s="15">
        <f t="shared" si="4"/>
        <v>0.05921053823</v>
      </c>
      <c r="V1352" s="16">
        <f>IF(AND(L1352="Among all respondents",NOT(OR(K1352="Online poll in Telegram channel",K1352="Website online poll",K1352="CAWI (Computer Assisted Web Interviewing)"))),1/(1-MIN(MAX(Formula!$C$33+(YEAR(D1352)-Formula!$C$34)/(Formula!$C$35-Formula!$C$34)*(Formula!$C$32-Formula!$C$33),Formula!$C$33),Formula!$C$32)),1)</f>
        <v>1</v>
      </c>
      <c r="W1352" s="17">
        <f t="shared" si="5"/>
        <v>2.9</v>
      </c>
    </row>
    <row r="1353" ht="15.75" customHeight="1">
      <c r="A1353" s="8" t="s">
        <v>2139</v>
      </c>
      <c r="B1353" s="7" t="s">
        <v>2130</v>
      </c>
      <c r="C1353" s="13" t="s">
        <v>2131</v>
      </c>
      <c r="D1353" s="7" t="s">
        <v>197</v>
      </c>
      <c r="E1353" s="8" t="s">
        <v>106</v>
      </c>
      <c r="F1353" s="8" t="s">
        <v>318</v>
      </c>
      <c r="G1353" s="7" t="s">
        <v>199</v>
      </c>
      <c r="H1353" s="7" t="s">
        <v>2132</v>
      </c>
      <c r="I1353" s="8">
        <v>2018.0</v>
      </c>
      <c r="J1353" s="8">
        <v>2.3</v>
      </c>
      <c r="K1353" s="8" t="s">
        <v>583</v>
      </c>
      <c r="L1353" s="8" t="s">
        <v>322</v>
      </c>
      <c r="M1353" s="8" t="s">
        <v>1398</v>
      </c>
      <c r="N1353" s="8">
        <v>2.2</v>
      </c>
      <c r="O1353" s="14">
        <f t="shared" si="1"/>
        <v>44348</v>
      </c>
      <c r="P1353" s="15">
        <f>IFERROR(VLOOKUP(K1353,Formula!$A$11:$B$20,2,FALSE),Formula!$C$26)</f>
        <v>0.95</v>
      </c>
      <c r="Q1353" s="15">
        <f>IF(AND(ISNUMBER(J1353),J1353&gt;0),1/J1353,IF(AND(ISNUMBER(I1353),I1353&gt;0),SQRT(MIN(I1353,Formula!$C$27))/Formula!$C$24,1/Formula!$C$25))</f>
        <v>0.4347826087</v>
      </c>
      <c r="R1353" s="15">
        <f t="shared" si="2"/>
        <v>0.4130434783</v>
      </c>
      <c r="S1353" s="15">
        <f>IF(H1353&lt;&gt;"",EXP(-Formula!$C$28*(EOMONTH(H1353,0)-H1353)),EXP(-Formula!$C$28*(EOMONTH(D1353,0)-D1353)))</f>
        <v>0.4965853038</v>
      </c>
      <c r="T1353" s="15">
        <f t="shared" si="3"/>
        <v>0.2886751346</v>
      </c>
      <c r="U1353" s="15">
        <f t="shared" si="4"/>
        <v>0.05921053823</v>
      </c>
      <c r="V1353" s="16">
        <f>IF(AND(L1353="Among all respondents",NOT(OR(K1353="Online poll in Telegram channel",K1353="Website online poll",K1353="CAWI (Computer Assisted Web Interviewing)"))),1/(1-MIN(MAX(Formula!$C$33+(YEAR(D1353)-Formula!$C$34)/(Formula!$C$35-Formula!$C$34)*(Formula!$C$32-Formula!$C$33),Formula!$C$33),Formula!$C$32)),1)</f>
        <v>1</v>
      </c>
      <c r="W1353" s="17">
        <f t="shared" si="5"/>
        <v>2.2</v>
      </c>
    </row>
    <row r="1354" ht="15.75" customHeight="1">
      <c r="A1354" s="8" t="s">
        <v>2140</v>
      </c>
      <c r="B1354" s="7" t="s">
        <v>2130</v>
      </c>
      <c r="C1354" s="13" t="s">
        <v>2131</v>
      </c>
      <c r="D1354" s="7" t="s">
        <v>197</v>
      </c>
      <c r="E1354" s="8" t="s">
        <v>106</v>
      </c>
      <c r="F1354" s="8" t="s">
        <v>318</v>
      </c>
      <c r="G1354" s="7" t="s">
        <v>199</v>
      </c>
      <c r="H1354" s="7" t="s">
        <v>2132</v>
      </c>
      <c r="I1354" s="8">
        <v>2018.0</v>
      </c>
      <c r="J1354" s="8">
        <v>2.3</v>
      </c>
      <c r="K1354" s="8" t="s">
        <v>583</v>
      </c>
      <c r="L1354" s="8" t="s">
        <v>322</v>
      </c>
      <c r="M1354" s="8" t="s">
        <v>333</v>
      </c>
      <c r="N1354" s="8">
        <v>2.2</v>
      </c>
      <c r="O1354" s="14">
        <f t="shared" si="1"/>
        <v>44348</v>
      </c>
      <c r="P1354" s="15">
        <f>IFERROR(VLOOKUP(K1354,Formula!$A$11:$B$20,2,FALSE),Formula!$C$26)</f>
        <v>0.95</v>
      </c>
      <c r="Q1354" s="15">
        <f>IF(AND(ISNUMBER(J1354),J1354&gt;0),1/J1354,IF(AND(ISNUMBER(I1354),I1354&gt;0),SQRT(MIN(I1354,Formula!$C$27))/Formula!$C$24,1/Formula!$C$25))</f>
        <v>0.4347826087</v>
      </c>
      <c r="R1354" s="15">
        <f t="shared" si="2"/>
        <v>0.4130434783</v>
      </c>
      <c r="S1354" s="15">
        <f>IF(H1354&lt;&gt;"",EXP(-Formula!$C$28*(EOMONTH(H1354,0)-H1354)),EXP(-Formula!$C$28*(EOMONTH(D1354,0)-D1354)))</f>
        <v>0.4965853038</v>
      </c>
      <c r="T1354" s="15">
        <f t="shared" si="3"/>
        <v>0.2886751346</v>
      </c>
      <c r="U1354" s="15">
        <f t="shared" si="4"/>
        <v>0.05921053823</v>
      </c>
      <c r="V1354" s="16">
        <f>IF(AND(L1354="Among all respondents",NOT(OR(K1354="Online poll in Telegram channel",K1354="Website online poll",K1354="CAWI (Computer Assisted Web Interviewing)"))),1/(1-MIN(MAX(Formula!$C$33+(YEAR(D1354)-Formula!$C$34)/(Formula!$C$35-Formula!$C$34)*(Formula!$C$32-Formula!$C$33),Formula!$C$33),Formula!$C$32)),1)</f>
        <v>1</v>
      </c>
      <c r="W1354" s="17">
        <f t="shared" si="5"/>
        <v>2.2</v>
      </c>
    </row>
    <row r="1355" ht="15.75" customHeight="1">
      <c r="A1355" s="8" t="s">
        <v>2141</v>
      </c>
      <c r="B1355" s="7" t="s">
        <v>2130</v>
      </c>
      <c r="C1355" s="13" t="s">
        <v>2131</v>
      </c>
      <c r="D1355" s="7" t="s">
        <v>197</v>
      </c>
      <c r="E1355" s="8" t="s">
        <v>106</v>
      </c>
      <c r="F1355" s="8" t="s">
        <v>318</v>
      </c>
      <c r="G1355" s="7" t="s">
        <v>199</v>
      </c>
      <c r="H1355" s="7" t="s">
        <v>2132</v>
      </c>
      <c r="I1355" s="8">
        <v>2018.0</v>
      </c>
      <c r="J1355" s="8">
        <v>2.3</v>
      </c>
      <c r="K1355" s="8" t="s">
        <v>583</v>
      </c>
      <c r="L1355" s="8" t="s">
        <v>322</v>
      </c>
      <c r="M1355" s="8" t="s">
        <v>388</v>
      </c>
      <c r="N1355" s="8">
        <v>1.8</v>
      </c>
      <c r="O1355" s="14">
        <f t="shared" si="1"/>
        <v>44348</v>
      </c>
      <c r="P1355" s="15">
        <f>IFERROR(VLOOKUP(K1355,Formula!$A$11:$B$20,2,FALSE),Formula!$C$26)</f>
        <v>0.95</v>
      </c>
      <c r="Q1355" s="15">
        <f>IF(AND(ISNUMBER(J1355),J1355&gt;0),1/J1355,IF(AND(ISNUMBER(I1355),I1355&gt;0),SQRT(MIN(I1355,Formula!$C$27))/Formula!$C$24,1/Formula!$C$25))</f>
        <v>0.4347826087</v>
      </c>
      <c r="R1355" s="15">
        <f t="shared" si="2"/>
        <v>0.4130434783</v>
      </c>
      <c r="S1355" s="15">
        <f>IF(H1355&lt;&gt;"",EXP(-Formula!$C$28*(EOMONTH(H1355,0)-H1355)),EXP(-Formula!$C$28*(EOMONTH(D1355,0)-D1355)))</f>
        <v>0.4965853038</v>
      </c>
      <c r="T1355" s="15">
        <f t="shared" si="3"/>
        <v>0.2886751346</v>
      </c>
      <c r="U1355" s="15">
        <f t="shared" si="4"/>
        <v>0.05921053823</v>
      </c>
      <c r="V1355" s="16">
        <f>IF(AND(L1355="Among all respondents",NOT(OR(K1355="Online poll in Telegram channel",K1355="Website online poll",K1355="CAWI (Computer Assisted Web Interviewing)"))),1/(1-MIN(MAX(Formula!$C$33+(YEAR(D1355)-Formula!$C$34)/(Formula!$C$35-Formula!$C$34)*(Formula!$C$32-Formula!$C$33),Formula!$C$33),Formula!$C$32)),1)</f>
        <v>1</v>
      </c>
      <c r="W1355" s="17">
        <f t="shared" si="5"/>
        <v>1.8</v>
      </c>
    </row>
    <row r="1356" ht="15.75" customHeight="1">
      <c r="A1356" s="8" t="s">
        <v>2142</v>
      </c>
      <c r="B1356" s="7" t="s">
        <v>2130</v>
      </c>
      <c r="C1356" s="13" t="s">
        <v>2131</v>
      </c>
      <c r="D1356" s="7" t="s">
        <v>197</v>
      </c>
      <c r="E1356" s="8" t="s">
        <v>106</v>
      </c>
      <c r="F1356" s="8" t="s">
        <v>318</v>
      </c>
      <c r="G1356" s="7" t="s">
        <v>199</v>
      </c>
      <c r="H1356" s="7" t="s">
        <v>2132</v>
      </c>
      <c r="I1356" s="8">
        <v>2018.0</v>
      </c>
      <c r="J1356" s="8">
        <v>2.3</v>
      </c>
      <c r="K1356" s="8" t="s">
        <v>583</v>
      </c>
      <c r="L1356" s="8" t="s">
        <v>322</v>
      </c>
      <c r="M1356" s="8" t="s">
        <v>343</v>
      </c>
      <c r="N1356" s="8">
        <v>1.4</v>
      </c>
      <c r="O1356" s="14">
        <f t="shared" si="1"/>
        <v>44348</v>
      </c>
      <c r="P1356" s="15">
        <f>IFERROR(VLOOKUP(K1356,Formula!$A$11:$B$20,2,FALSE),Formula!$C$26)</f>
        <v>0.95</v>
      </c>
      <c r="Q1356" s="15">
        <f>IF(AND(ISNUMBER(J1356),J1356&gt;0),1/J1356,IF(AND(ISNUMBER(I1356),I1356&gt;0),SQRT(MIN(I1356,Formula!$C$27))/Formula!$C$24,1/Formula!$C$25))</f>
        <v>0.4347826087</v>
      </c>
      <c r="R1356" s="15">
        <f t="shared" si="2"/>
        <v>0.4130434783</v>
      </c>
      <c r="S1356" s="15">
        <f>IF(H1356&lt;&gt;"",EXP(-Formula!$C$28*(EOMONTH(H1356,0)-H1356)),EXP(-Formula!$C$28*(EOMONTH(D1356,0)-D1356)))</f>
        <v>0.4965853038</v>
      </c>
      <c r="T1356" s="15">
        <f t="shared" si="3"/>
        <v>0.2886751346</v>
      </c>
      <c r="U1356" s="15">
        <f t="shared" si="4"/>
        <v>0.05921053823</v>
      </c>
      <c r="V1356" s="16">
        <f>IF(AND(L1356="Among all respondents",NOT(OR(K1356="Online poll in Telegram channel",K1356="Website online poll",K1356="CAWI (Computer Assisted Web Interviewing)"))),1/(1-MIN(MAX(Formula!$C$33+(YEAR(D1356)-Formula!$C$34)/(Formula!$C$35-Formula!$C$34)*(Formula!$C$32-Formula!$C$33),Formula!$C$33),Formula!$C$32)),1)</f>
        <v>1</v>
      </c>
      <c r="W1356" s="17">
        <f t="shared" si="5"/>
        <v>1.4</v>
      </c>
    </row>
    <row r="1357" ht="15.75" customHeight="1">
      <c r="A1357" s="8" t="s">
        <v>2143</v>
      </c>
      <c r="B1357" s="7" t="s">
        <v>2130</v>
      </c>
      <c r="C1357" s="13" t="s">
        <v>2131</v>
      </c>
      <c r="D1357" s="7" t="s">
        <v>197</v>
      </c>
      <c r="E1357" s="8" t="s">
        <v>106</v>
      </c>
      <c r="F1357" s="8" t="s">
        <v>318</v>
      </c>
      <c r="G1357" s="7" t="s">
        <v>199</v>
      </c>
      <c r="H1357" s="7" t="s">
        <v>2132</v>
      </c>
      <c r="I1357" s="8">
        <v>2018.0</v>
      </c>
      <c r="J1357" s="8">
        <v>2.3</v>
      </c>
      <c r="K1357" s="8" t="s">
        <v>583</v>
      </c>
      <c r="L1357" s="8" t="s">
        <v>322</v>
      </c>
      <c r="M1357" s="8" t="s">
        <v>345</v>
      </c>
      <c r="N1357" s="8">
        <v>1.0</v>
      </c>
      <c r="O1357" s="14">
        <f t="shared" si="1"/>
        <v>44348</v>
      </c>
      <c r="P1357" s="15">
        <f>IFERROR(VLOOKUP(K1357,Formula!$A$11:$B$20,2,FALSE),Formula!$C$26)</f>
        <v>0.95</v>
      </c>
      <c r="Q1357" s="15">
        <f>IF(AND(ISNUMBER(J1357),J1357&gt;0),1/J1357,IF(AND(ISNUMBER(I1357),I1357&gt;0),SQRT(MIN(I1357,Formula!$C$27))/Formula!$C$24,1/Formula!$C$25))</f>
        <v>0.4347826087</v>
      </c>
      <c r="R1357" s="15">
        <f t="shared" si="2"/>
        <v>0.4130434783</v>
      </c>
      <c r="S1357" s="15">
        <f>IF(H1357&lt;&gt;"",EXP(-Formula!$C$28*(EOMONTH(H1357,0)-H1357)),EXP(-Formula!$C$28*(EOMONTH(D1357,0)-D1357)))</f>
        <v>0.4965853038</v>
      </c>
      <c r="T1357" s="15">
        <f t="shared" si="3"/>
        <v>0.2886751346</v>
      </c>
      <c r="U1357" s="15">
        <f t="shared" si="4"/>
        <v>0.05921053823</v>
      </c>
      <c r="V1357" s="16">
        <f>IF(AND(L1357="Among all respondents",NOT(OR(K1357="Online poll in Telegram channel",K1357="Website online poll",K1357="CAWI (Computer Assisted Web Interviewing)"))),1/(1-MIN(MAX(Formula!$C$33+(YEAR(D1357)-Formula!$C$34)/(Formula!$C$35-Formula!$C$34)*(Formula!$C$32-Formula!$C$33),Formula!$C$33),Formula!$C$32)),1)</f>
        <v>1</v>
      </c>
      <c r="W1357" s="17">
        <f t="shared" si="5"/>
        <v>1</v>
      </c>
    </row>
    <row r="1358" ht="15.75" customHeight="1">
      <c r="A1358" s="8" t="s">
        <v>2144</v>
      </c>
      <c r="B1358" s="7" t="s">
        <v>2145</v>
      </c>
      <c r="C1358" s="13" t="s">
        <v>2146</v>
      </c>
      <c r="D1358" s="7" t="s">
        <v>198</v>
      </c>
      <c r="E1358" s="8" t="s">
        <v>158</v>
      </c>
      <c r="F1358" s="8" t="s">
        <v>318</v>
      </c>
      <c r="G1358" s="7" t="s">
        <v>2147</v>
      </c>
      <c r="H1358" s="7" t="s">
        <v>2148</v>
      </c>
      <c r="I1358" s="8">
        <v>2035.0</v>
      </c>
      <c r="J1358" s="8">
        <v>3.0</v>
      </c>
      <c r="K1358" s="8" t="s">
        <v>583</v>
      </c>
      <c r="L1358" s="8" t="s">
        <v>322</v>
      </c>
      <c r="M1358" s="8" t="s">
        <v>323</v>
      </c>
      <c r="N1358" s="8">
        <v>25.9</v>
      </c>
      <c r="O1358" s="14">
        <f t="shared" si="1"/>
        <v>44348</v>
      </c>
      <c r="P1358" s="15">
        <f>IFERROR(VLOOKUP(K1358,Formula!$A$11:$B$20,2,FALSE),Formula!$C$26)</f>
        <v>0.95</v>
      </c>
      <c r="Q1358" s="15">
        <f>IF(AND(ISNUMBER(J1358),J1358&gt;0),1/J1358,IF(AND(ISNUMBER(I1358),I1358&gt;0),SQRT(MIN(I1358,Formula!$C$27))/Formula!$C$24,1/Formula!$C$25))</f>
        <v>0.3333333333</v>
      </c>
      <c r="R1358" s="15">
        <f t="shared" si="2"/>
        <v>0.3166666667</v>
      </c>
      <c r="S1358" s="15">
        <f>IF(H1358&lt;&gt;"",EXP(-Formula!$C$28*(EOMONTH(H1358,0)-H1358)),EXP(-Formula!$C$28*(EOMONTH(D1358,0)-D1358)))</f>
        <v>0.4065696597</v>
      </c>
      <c r="T1358" s="15">
        <f t="shared" si="3"/>
        <v>0.1490711985</v>
      </c>
      <c r="U1358" s="15">
        <f t="shared" si="4"/>
        <v>0.01919247838</v>
      </c>
      <c r="V1358" s="16">
        <f>IF(AND(L1358="Among all respondents",NOT(OR(K1358="Online poll in Telegram channel",K1358="Website online poll",K1358="CAWI (Computer Assisted Web Interviewing)"))),1/(1-MIN(MAX(Formula!$C$33+(YEAR(D1358)-Formula!$C$34)/(Formula!$C$35-Formula!$C$34)*(Formula!$C$32-Formula!$C$33),Formula!$C$33),Formula!$C$32)),1)</f>
        <v>1</v>
      </c>
      <c r="W1358" s="17">
        <f t="shared" si="5"/>
        <v>25.9</v>
      </c>
    </row>
    <row r="1359" ht="15.75" customHeight="1">
      <c r="A1359" s="8" t="s">
        <v>2149</v>
      </c>
      <c r="B1359" s="7" t="s">
        <v>2145</v>
      </c>
      <c r="C1359" s="13" t="s">
        <v>2146</v>
      </c>
      <c r="D1359" s="7" t="s">
        <v>198</v>
      </c>
      <c r="E1359" s="8" t="s">
        <v>158</v>
      </c>
      <c r="F1359" s="8" t="s">
        <v>318</v>
      </c>
      <c r="G1359" s="7" t="s">
        <v>2147</v>
      </c>
      <c r="H1359" s="7" t="s">
        <v>2148</v>
      </c>
      <c r="I1359" s="8">
        <v>2035.0</v>
      </c>
      <c r="J1359" s="8">
        <v>3.0</v>
      </c>
      <c r="K1359" s="8" t="s">
        <v>583</v>
      </c>
      <c r="L1359" s="8" t="s">
        <v>322</v>
      </c>
      <c r="M1359" s="8" t="s">
        <v>329</v>
      </c>
      <c r="N1359" s="8">
        <v>16.9</v>
      </c>
      <c r="O1359" s="14">
        <f t="shared" si="1"/>
        <v>44348</v>
      </c>
      <c r="P1359" s="15">
        <f>IFERROR(VLOOKUP(K1359,Formula!$A$11:$B$20,2,FALSE),Formula!$C$26)</f>
        <v>0.95</v>
      </c>
      <c r="Q1359" s="15">
        <f>IF(AND(ISNUMBER(J1359),J1359&gt;0),1/J1359,IF(AND(ISNUMBER(I1359),I1359&gt;0),SQRT(MIN(I1359,Formula!$C$27))/Formula!$C$24,1/Formula!$C$25))</f>
        <v>0.3333333333</v>
      </c>
      <c r="R1359" s="15">
        <f t="shared" si="2"/>
        <v>0.3166666667</v>
      </c>
      <c r="S1359" s="15">
        <f>IF(H1359&lt;&gt;"",EXP(-Formula!$C$28*(EOMONTH(H1359,0)-H1359)),EXP(-Formula!$C$28*(EOMONTH(D1359,0)-D1359)))</f>
        <v>0.4065696597</v>
      </c>
      <c r="T1359" s="15">
        <f t="shared" si="3"/>
        <v>0.1490711985</v>
      </c>
      <c r="U1359" s="15">
        <f t="shared" si="4"/>
        <v>0.01919247838</v>
      </c>
      <c r="V1359" s="16">
        <f>IF(AND(L1359="Among all respondents",NOT(OR(K1359="Online poll in Telegram channel",K1359="Website online poll",K1359="CAWI (Computer Assisted Web Interviewing)"))),1/(1-MIN(MAX(Formula!$C$33+(YEAR(D1359)-Formula!$C$34)/(Formula!$C$35-Formula!$C$34)*(Formula!$C$32-Formula!$C$33),Formula!$C$33),Formula!$C$32)),1)</f>
        <v>1</v>
      </c>
      <c r="W1359" s="17">
        <f t="shared" si="5"/>
        <v>16.9</v>
      </c>
    </row>
    <row r="1360" ht="15.75" customHeight="1">
      <c r="A1360" s="8" t="s">
        <v>2150</v>
      </c>
      <c r="B1360" s="7" t="s">
        <v>2145</v>
      </c>
      <c r="C1360" s="13" t="s">
        <v>2146</v>
      </c>
      <c r="D1360" s="7" t="s">
        <v>198</v>
      </c>
      <c r="E1360" s="8" t="s">
        <v>158</v>
      </c>
      <c r="F1360" s="8" t="s">
        <v>318</v>
      </c>
      <c r="G1360" s="7" t="s">
        <v>2147</v>
      </c>
      <c r="H1360" s="7" t="s">
        <v>2148</v>
      </c>
      <c r="I1360" s="8">
        <v>2035.0</v>
      </c>
      <c r="J1360" s="8">
        <v>3.0</v>
      </c>
      <c r="K1360" s="8" t="s">
        <v>583</v>
      </c>
      <c r="L1360" s="8" t="s">
        <v>322</v>
      </c>
      <c r="M1360" s="8" t="s">
        <v>1334</v>
      </c>
      <c r="N1360" s="8">
        <v>13.5</v>
      </c>
      <c r="O1360" s="14">
        <f t="shared" si="1"/>
        <v>44348</v>
      </c>
      <c r="P1360" s="15">
        <f>IFERROR(VLOOKUP(K1360,Formula!$A$11:$B$20,2,FALSE),Formula!$C$26)</f>
        <v>0.95</v>
      </c>
      <c r="Q1360" s="15">
        <f>IF(AND(ISNUMBER(J1360),J1360&gt;0),1/J1360,IF(AND(ISNUMBER(I1360),I1360&gt;0),SQRT(MIN(I1360,Formula!$C$27))/Formula!$C$24,1/Formula!$C$25))</f>
        <v>0.3333333333</v>
      </c>
      <c r="R1360" s="15">
        <f t="shared" si="2"/>
        <v>0.3166666667</v>
      </c>
      <c r="S1360" s="15">
        <f>IF(H1360&lt;&gt;"",EXP(-Formula!$C$28*(EOMONTH(H1360,0)-H1360)),EXP(-Formula!$C$28*(EOMONTH(D1360,0)-D1360)))</f>
        <v>0.4065696597</v>
      </c>
      <c r="T1360" s="15">
        <f t="shared" si="3"/>
        <v>0.1490711985</v>
      </c>
      <c r="U1360" s="15">
        <f t="shared" si="4"/>
        <v>0.01919247838</v>
      </c>
      <c r="V1360" s="16">
        <f>IF(AND(L1360="Among all respondents",NOT(OR(K1360="Online poll in Telegram channel",K1360="Website online poll",K1360="CAWI (Computer Assisted Web Interviewing)"))),1/(1-MIN(MAX(Formula!$C$33+(YEAR(D1360)-Formula!$C$34)/(Formula!$C$35-Formula!$C$34)*(Formula!$C$32-Formula!$C$33),Formula!$C$33),Formula!$C$32)),1)</f>
        <v>1</v>
      </c>
      <c r="W1360" s="17">
        <f t="shared" si="5"/>
        <v>13.5</v>
      </c>
    </row>
    <row r="1361" ht="15.75" customHeight="1">
      <c r="A1361" s="8" t="s">
        <v>2151</v>
      </c>
      <c r="B1361" s="7" t="s">
        <v>2145</v>
      </c>
      <c r="C1361" s="13" t="s">
        <v>2146</v>
      </c>
      <c r="D1361" s="7" t="s">
        <v>198</v>
      </c>
      <c r="E1361" s="8" t="s">
        <v>158</v>
      </c>
      <c r="F1361" s="8" t="s">
        <v>318</v>
      </c>
      <c r="G1361" s="7" t="s">
        <v>2147</v>
      </c>
      <c r="H1361" s="7" t="s">
        <v>2148</v>
      </c>
      <c r="I1361" s="8">
        <v>2035.0</v>
      </c>
      <c r="J1361" s="8">
        <v>3.0</v>
      </c>
      <c r="K1361" s="8" t="s">
        <v>583</v>
      </c>
      <c r="L1361" s="8" t="s">
        <v>322</v>
      </c>
      <c r="M1361" s="8" t="s">
        <v>337</v>
      </c>
      <c r="N1361" s="8">
        <v>13.3</v>
      </c>
      <c r="O1361" s="14">
        <f t="shared" si="1"/>
        <v>44348</v>
      </c>
      <c r="P1361" s="15">
        <f>IFERROR(VLOOKUP(K1361,Formula!$A$11:$B$20,2,FALSE),Formula!$C$26)</f>
        <v>0.95</v>
      </c>
      <c r="Q1361" s="15">
        <f>IF(AND(ISNUMBER(J1361),J1361&gt;0),1/J1361,IF(AND(ISNUMBER(I1361),I1361&gt;0),SQRT(MIN(I1361,Formula!$C$27))/Formula!$C$24,1/Formula!$C$25))</f>
        <v>0.3333333333</v>
      </c>
      <c r="R1361" s="15">
        <f t="shared" si="2"/>
        <v>0.3166666667</v>
      </c>
      <c r="S1361" s="15">
        <f>IF(H1361&lt;&gt;"",EXP(-Formula!$C$28*(EOMONTH(H1361,0)-H1361)),EXP(-Formula!$C$28*(EOMONTH(D1361,0)-D1361)))</f>
        <v>0.4065696597</v>
      </c>
      <c r="T1361" s="15">
        <f t="shared" si="3"/>
        <v>0.1490711985</v>
      </c>
      <c r="U1361" s="15">
        <f t="shared" si="4"/>
        <v>0.01919247838</v>
      </c>
      <c r="V1361" s="16">
        <f>IF(AND(L1361="Among all respondents",NOT(OR(K1361="Online poll in Telegram channel",K1361="Website online poll",K1361="CAWI (Computer Assisted Web Interviewing)"))),1/(1-MIN(MAX(Formula!$C$33+(YEAR(D1361)-Formula!$C$34)/(Formula!$C$35-Formula!$C$34)*(Formula!$C$32-Formula!$C$33),Formula!$C$33),Formula!$C$32)),1)</f>
        <v>1</v>
      </c>
      <c r="W1361" s="17">
        <f t="shared" si="5"/>
        <v>13.3</v>
      </c>
    </row>
    <row r="1362" ht="15.75" customHeight="1">
      <c r="A1362" s="8" t="s">
        <v>2152</v>
      </c>
      <c r="B1362" s="7" t="s">
        <v>2145</v>
      </c>
      <c r="C1362" s="13" t="s">
        <v>2146</v>
      </c>
      <c r="D1362" s="7" t="s">
        <v>198</v>
      </c>
      <c r="E1362" s="8" t="s">
        <v>158</v>
      </c>
      <c r="F1362" s="8" t="s">
        <v>318</v>
      </c>
      <c r="G1362" s="7" t="s">
        <v>2147</v>
      </c>
      <c r="H1362" s="7" t="s">
        <v>2148</v>
      </c>
      <c r="I1362" s="8">
        <v>2035.0</v>
      </c>
      <c r="J1362" s="8">
        <v>3.0</v>
      </c>
      <c r="K1362" s="8" t="s">
        <v>583</v>
      </c>
      <c r="L1362" s="8" t="s">
        <v>322</v>
      </c>
      <c r="M1362" s="8" t="s">
        <v>828</v>
      </c>
      <c r="N1362" s="8">
        <v>6.4</v>
      </c>
      <c r="O1362" s="14">
        <f t="shared" si="1"/>
        <v>44348</v>
      </c>
      <c r="P1362" s="15">
        <f>IFERROR(VLOOKUP(K1362,Formula!$A$11:$B$20,2,FALSE),Formula!$C$26)</f>
        <v>0.95</v>
      </c>
      <c r="Q1362" s="15">
        <f>IF(AND(ISNUMBER(J1362),J1362&gt;0),1/J1362,IF(AND(ISNUMBER(I1362),I1362&gt;0),SQRT(MIN(I1362,Formula!$C$27))/Formula!$C$24,1/Formula!$C$25))</f>
        <v>0.3333333333</v>
      </c>
      <c r="R1362" s="15">
        <f t="shared" si="2"/>
        <v>0.3166666667</v>
      </c>
      <c r="S1362" s="15">
        <f>IF(H1362&lt;&gt;"",EXP(-Formula!$C$28*(EOMONTH(H1362,0)-H1362)),EXP(-Formula!$C$28*(EOMONTH(D1362,0)-D1362)))</f>
        <v>0.4065696597</v>
      </c>
      <c r="T1362" s="15">
        <f t="shared" si="3"/>
        <v>0.1490711985</v>
      </c>
      <c r="U1362" s="15">
        <f t="shared" si="4"/>
        <v>0.01919247838</v>
      </c>
      <c r="V1362" s="16">
        <f>IF(AND(L1362="Among all respondents",NOT(OR(K1362="Online poll in Telegram channel",K1362="Website online poll",K1362="CAWI (Computer Assisted Web Interviewing)"))),1/(1-MIN(MAX(Formula!$C$33+(YEAR(D1362)-Formula!$C$34)/(Formula!$C$35-Formula!$C$34)*(Formula!$C$32-Formula!$C$33),Formula!$C$33),Formula!$C$32)),1)</f>
        <v>1</v>
      </c>
      <c r="W1362" s="17">
        <f t="shared" si="5"/>
        <v>6.4</v>
      </c>
    </row>
    <row r="1363" ht="15.75" customHeight="1">
      <c r="A1363" s="8" t="s">
        <v>2153</v>
      </c>
      <c r="B1363" s="7" t="s">
        <v>2145</v>
      </c>
      <c r="C1363" s="13" t="s">
        <v>2146</v>
      </c>
      <c r="D1363" s="7" t="s">
        <v>198</v>
      </c>
      <c r="E1363" s="8" t="s">
        <v>158</v>
      </c>
      <c r="F1363" s="8" t="s">
        <v>318</v>
      </c>
      <c r="G1363" s="7" t="s">
        <v>2147</v>
      </c>
      <c r="H1363" s="7" t="s">
        <v>2148</v>
      </c>
      <c r="I1363" s="8">
        <v>2035.0</v>
      </c>
      <c r="J1363" s="8">
        <v>3.0</v>
      </c>
      <c r="K1363" s="8" t="s">
        <v>583</v>
      </c>
      <c r="L1363" s="8" t="s">
        <v>322</v>
      </c>
      <c r="M1363" s="8" t="s">
        <v>386</v>
      </c>
      <c r="N1363" s="8">
        <v>4.9</v>
      </c>
      <c r="O1363" s="14">
        <f t="shared" si="1"/>
        <v>44348</v>
      </c>
      <c r="P1363" s="15">
        <f>IFERROR(VLOOKUP(K1363,Formula!$A$11:$B$20,2,FALSE),Formula!$C$26)</f>
        <v>0.95</v>
      </c>
      <c r="Q1363" s="15">
        <f>IF(AND(ISNUMBER(J1363),J1363&gt;0),1/J1363,IF(AND(ISNUMBER(I1363),I1363&gt;0),SQRT(MIN(I1363,Formula!$C$27))/Formula!$C$24,1/Formula!$C$25))</f>
        <v>0.3333333333</v>
      </c>
      <c r="R1363" s="15">
        <f t="shared" si="2"/>
        <v>0.3166666667</v>
      </c>
      <c r="S1363" s="15">
        <f>IF(H1363&lt;&gt;"",EXP(-Formula!$C$28*(EOMONTH(H1363,0)-H1363)),EXP(-Formula!$C$28*(EOMONTH(D1363,0)-D1363)))</f>
        <v>0.4065696597</v>
      </c>
      <c r="T1363" s="15">
        <f t="shared" si="3"/>
        <v>0.1490711985</v>
      </c>
      <c r="U1363" s="15">
        <f t="shared" si="4"/>
        <v>0.01919247838</v>
      </c>
      <c r="V1363" s="16">
        <f>IF(AND(L1363="Among all respondents",NOT(OR(K1363="Online poll in Telegram channel",K1363="Website online poll",K1363="CAWI (Computer Assisted Web Interviewing)"))),1/(1-MIN(MAX(Formula!$C$33+(YEAR(D1363)-Formula!$C$34)/(Formula!$C$35-Formula!$C$34)*(Formula!$C$32-Formula!$C$33),Formula!$C$33),Formula!$C$32)),1)</f>
        <v>1</v>
      </c>
      <c r="W1363" s="17">
        <f t="shared" si="5"/>
        <v>4.9</v>
      </c>
    </row>
    <row r="1364" ht="15.75" customHeight="1">
      <c r="A1364" s="8" t="s">
        <v>2154</v>
      </c>
      <c r="B1364" s="7" t="s">
        <v>2145</v>
      </c>
      <c r="C1364" s="13" t="s">
        <v>2146</v>
      </c>
      <c r="D1364" s="7" t="s">
        <v>198</v>
      </c>
      <c r="E1364" s="8" t="s">
        <v>158</v>
      </c>
      <c r="F1364" s="8" t="s">
        <v>318</v>
      </c>
      <c r="G1364" s="7" t="s">
        <v>2147</v>
      </c>
      <c r="H1364" s="7" t="s">
        <v>2148</v>
      </c>
      <c r="I1364" s="8">
        <v>2035.0</v>
      </c>
      <c r="J1364" s="8">
        <v>3.0</v>
      </c>
      <c r="K1364" s="8" t="s">
        <v>583</v>
      </c>
      <c r="L1364" s="8" t="s">
        <v>322</v>
      </c>
      <c r="M1364" s="8" t="s">
        <v>1153</v>
      </c>
      <c r="N1364" s="8">
        <v>4.7</v>
      </c>
      <c r="O1364" s="14">
        <f t="shared" si="1"/>
        <v>44348</v>
      </c>
      <c r="P1364" s="15">
        <f>IFERROR(VLOOKUP(K1364,Formula!$A$11:$B$20,2,FALSE),Formula!$C$26)</f>
        <v>0.95</v>
      </c>
      <c r="Q1364" s="15">
        <f>IF(AND(ISNUMBER(J1364),J1364&gt;0),1/J1364,IF(AND(ISNUMBER(I1364),I1364&gt;0),SQRT(MIN(I1364,Formula!$C$27))/Formula!$C$24,1/Formula!$C$25))</f>
        <v>0.3333333333</v>
      </c>
      <c r="R1364" s="15">
        <f t="shared" si="2"/>
        <v>0.3166666667</v>
      </c>
      <c r="S1364" s="15">
        <f>IF(H1364&lt;&gt;"",EXP(-Formula!$C$28*(EOMONTH(H1364,0)-H1364)),EXP(-Formula!$C$28*(EOMONTH(D1364,0)-D1364)))</f>
        <v>0.4065696597</v>
      </c>
      <c r="T1364" s="15">
        <f t="shared" si="3"/>
        <v>0.1490711985</v>
      </c>
      <c r="U1364" s="15">
        <f t="shared" si="4"/>
        <v>0.01919247838</v>
      </c>
      <c r="V1364" s="16">
        <f>IF(AND(L1364="Among all respondents",NOT(OR(K1364="Online poll in Telegram channel",K1364="Website online poll",K1364="CAWI (Computer Assisted Web Interviewing)"))),1/(1-MIN(MAX(Formula!$C$33+(YEAR(D1364)-Formula!$C$34)/(Formula!$C$35-Formula!$C$34)*(Formula!$C$32-Formula!$C$33),Formula!$C$33),Formula!$C$32)),1)</f>
        <v>1</v>
      </c>
      <c r="W1364" s="17">
        <f t="shared" si="5"/>
        <v>4.7</v>
      </c>
    </row>
    <row r="1365" ht="15.75" customHeight="1">
      <c r="A1365" s="8" t="s">
        <v>2155</v>
      </c>
      <c r="B1365" s="7" t="s">
        <v>2145</v>
      </c>
      <c r="C1365" s="13" t="s">
        <v>2146</v>
      </c>
      <c r="D1365" s="7" t="s">
        <v>198</v>
      </c>
      <c r="E1365" s="8" t="s">
        <v>158</v>
      </c>
      <c r="F1365" s="8" t="s">
        <v>318</v>
      </c>
      <c r="G1365" s="7" t="s">
        <v>2147</v>
      </c>
      <c r="H1365" s="7" t="s">
        <v>2148</v>
      </c>
      <c r="I1365" s="8">
        <v>2035.0</v>
      </c>
      <c r="J1365" s="8">
        <v>3.0</v>
      </c>
      <c r="K1365" s="8" t="s">
        <v>583</v>
      </c>
      <c r="L1365" s="8" t="s">
        <v>322</v>
      </c>
      <c r="M1365" s="8" t="s">
        <v>333</v>
      </c>
      <c r="N1365" s="8">
        <v>3.2</v>
      </c>
      <c r="O1365" s="14">
        <f t="shared" si="1"/>
        <v>44348</v>
      </c>
      <c r="P1365" s="15">
        <f>IFERROR(VLOOKUP(K1365,Formula!$A$11:$B$20,2,FALSE),Formula!$C$26)</f>
        <v>0.95</v>
      </c>
      <c r="Q1365" s="15">
        <f>IF(AND(ISNUMBER(J1365),J1365&gt;0),1/J1365,IF(AND(ISNUMBER(I1365),I1365&gt;0),SQRT(MIN(I1365,Formula!$C$27))/Formula!$C$24,1/Formula!$C$25))</f>
        <v>0.3333333333</v>
      </c>
      <c r="R1365" s="15">
        <f t="shared" si="2"/>
        <v>0.3166666667</v>
      </c>
      <c r="S1365" s="15">
        <f>IF(H1365&lt;&gt;"",EXP(-Formula!$C$28*(EOMONTH(H1365,0)-H1365)),EXP(-Formula!$C$28*(EOMONTH(D1365,0)-D1365)))</f>
        <v>0.4065696597</v>
      </c>
      <c r="T1365" s="15">
        <f t="shared" si="3"/>
        <v>0.1490711985</v>
      </c>
      <c r="U1365" s="15">
        <f t="shared" si="4"/>
        <v>0.01919247838</v>
      </c>
      <c r="V1365" s="16">
        <f>IF(AND(L1365="Among all respondents",NOT(OR(K1365="Online poll in Telegram channel",K1365="Website online poll",K1365="CAWI (Computer Assisted Web Interviewing)"))),1/(1-MIN(MAX(Formula!$C$33+(YEAR(D1365)-Formula!$C$34)/(Formula!$C$35-Formula!$C$34)*(Formula!$C$32-Formula!$C$33),Formula!$C$33),Formula!$C$32)),1)</f>
        <v>1</v>
      </c>
      <c r="W1365" s="17">
        <f t="shared" si="5"/>
        <v>3.2</v>
      </c>
    </row>
    <row r="1366" ht="15.75" customHeight="1">
      <c r="A1366" s="8" t="s">
        <v>2156</v>
      </c>
      <c r="B1366" s="7" t="s">
        <v>2145</v>
      </c>
      <c r="C1366" s="13" t="s">
        <v>2146</v>
      </c>
      <c r="D1366" s="7" t="s">
        <v>198</v>
      </c>
      <c r="E1366" s="8" t="s">
        <v>158</v>
      </c>
      <c r="F1366" s="8" t="s">
        <v>318</v>
      </c>
      <c r="G1366" s="7" t="s">
        <v>2147</v>
      </c>
      <c r="H1366" s="7" t="s">
        <v>2148</v>
      </c>
      <c r="I1366" s="8">
        <v>2035.0</v>
      </c>
      <c r="J1366" s="8">
        <v>3.0</v>
      </c>
      <c r="K1366" s="8" t="s">
        <v>583</v>
      </c>
      <c r="L1366" s="8" t="s">
        <v>322</v>
      </c>
      <c r="M1366" s="8" t="s">
        <v>388</v>
      </c>
      <c r="N1366" s="8">
        <v>2.4</v>
      </c>
      <c r="O1366" s="14">
        <f t="shared" si="1"/>
        <v>44348</v>
      </c>
      <c r="P1366" s="15">
        <f>IFERROR(VLOOKUP(K1366,Formula!$A$11:$B$20,2,FALSE),Formula!$C$26)</f>
        <v>0.95</v>
      </c>
      <c r="Q1366" s="15">
        <f>IF(AND(ISNUMBER(J1366),J1366&gt;0),1/J1366,IF(AND(ISNUMBER(I1366),I1366&gt;0),SQRT(MIN(I1366,Formula!$C$27))/Formula!$C$24,1/Formula!$C$25))</f>
        <v>0.3333333333</v>
      </c>
      <c r="R1366" s="15">
        <f t="shared" si="2"/>
        <v>0.3166666667</v>
      </c>
      <c r="S1366" s="15">
        <f>IF(H1366&lt;&gt;"",EXP(-Formula!$C$28*(EOMONTH(H1366,0)-H1366)),EXP(-Formula!$C$28*(EOMONTH(D1366,0)-D1366)))</f>
        <v>0.4065696597</v>
      </c>
      <c r="T1366" s="15">
        <f t="shared" si="3"/>
        <v>0.1490711985</v>
      </c>
      <c r="U1366" s="15">
        <f t="shared" si="4"/>
        <v>0.01919247838</v>
      </c>
      <c r="V1366" s="16">
        <f>IF(AND(L1366="Among all respondents",NOT(OR(K1366="Online poll in Telegram channel",K1366="Website online poll",K1366="CAWI (Computer Assisted Web Interviewing)"))),1/(1-MIN(MAX(Formula!$C$33+(YEAR(D1366)-Formula!$C$34)/(Formula!$C$35-Formula!$C$34)*(Formula!$C$32-Formula!$C$33),Formula!$C$33),Formula!$C$32)),1)</f>
        <v>1</v>
      </c>
      <c r="W1366" s="17">
        <f t="shared" si="5"/>
        <v>2.4</v>
      </c>
    </row>
    <row r="1367" ht="15.75" customHeight="1">
      <c r="A1367" s="8" t="s">
        <v>2157</v>
      </c>
      <c r="B1367" s="7" t="s">
        <v>2145</v>
      </c>
      <c r="C1367" s="13" t="s">
        <v>2146</v>
      </c>
      <c r="D1367" s="7" t="s">
        <v>198</v>
      </c>
      <c r="E1367" s="8" t="s">
        <v>158</v>
      </c>
      <c r="F1367" s="8" t="s">
        <v>318</v>
      </c>
      <c r="G1367" s="7" t="s">
        <v>2147</v>
      </c>
      <c r="H1367" s="7" t="s">
        <v>2148</v>
      </c>
      <c r="I1367" s="8">
        <v>2035.0</v>
      </c>
      <c r="J1367" s="8">
        <v>3.0</v>
      </c>
      <c r="K1367" s="8" t="s">
        <v>583</v>
      </c>
      <c r="L1367" s="8" t="s">
        <v>322</v>
      </c>
      <c r="M1367" s="8" t="s">
        <v>343</v>
      </c>
      <c r="N1367" s="8">
        <v>1.1</v>
      </c>
      <c r="O1367" s="14">
        <f t="shared" si="1"/>
        <v>44348</v>
      </c>
      <c r="P1367" s="15">
        <f>IFERROR(VLOOKUP(K1367,Formula!$A$11:$B$20,2,FALSE),Formula!$C$26)</f>
        <v>0.95</v>
      </c>
      <c r="Q1367" s="15">
        <f>IF(AND(ISNUMBER(J1367),J1367&gt;0),1/J1367,IF(AND(ISNUMBER(I1367),I1367&gt;0),SQRT(MIN(I1367,Formula!$C$27))/Formula!$C$24,1/Formula!$C$25))</f>
        <v>0.3333333333</v>
      </c>
      <c r="R1367" s="15">
        <f t="shared" si="2"/>
        <v>0.3166666667</v>
      </c>
      <c r="S1367" s="15">
        <f>IF(H1367&lt;&gt;"",EXP(-Formula!$C$28*(EOMONTH(H1367,0)-H1367)),EXP(-Formula!$C$28*(EOMONTH(D1367,0)-D1367)))</f>
        <v>0.4065696597</v>
      </c>
      <c r="T1367" s="15">
        <f t="shared" si="3"/>
        <v>0.1490711985</v>
      </c>
      <c r="U1367" s="15">
        <f t="shared" si="4"/>
        <v>0.01919247838</v>
      </c>
      <c r="V1367" s="16">
        <f>IF(AND(L1367="Among all respondents",NOT(OR(K1367="Online poll in Telegram channel",K1367="Website online poll",K1367="CAWI (Computer Assisted Web Interviewing)"))),1/(1-MIN(MAX(Formula!$C$33+(YEAR(D1367)-Formula!$C$34)/(Formula!$C$35-Formula!$C$34)*(Formula!$C$32-Formula!$C$33),Formula!$C$33),Formula!$C$32)),1)</f>
        <v>1</v>
      </c>
      <c r="W1367" s="17">
        <f t="shared" si="5"/>
        <v>1.1</v>
      </c>
    </row>
    <row r="1368" ht="15.75" customHeight="1">
      <c r="A1368" s="8" t="s">
        <v>2158</v>
      </c>
      <c r="B1368" s="7" t="s">
        <v>2145</v>
      </c>
      <c r="C1368" s="13" t="s">
        <v>2146</v>
      </c>
      <c r="D1368" s="7" t="s">
        <v>198</v>
      </c>
      <c r="E1368" s="8" t="s">
        <v>158</v>
      </c>
      <c r="F1368" s="8" t="s">
        <v>318</v>
      </c>
      <c r="G1368" s="7" t="s">
        <v>2147</v>
      </c>
      <c r="H1368" s="7" t="s">
        <v>2148</v>
      </c>
      <c r="I1368" s="8">
        <v>2035.0</v>
      </c>
      <c r="J1368" s="8">
        <v>3.0</v>
      </c>
      <c r="K1368" s="8" t="s">
        <v>583</v>
      </c>
      <c r="L1368" s="8" t="s">
        <v>322</v>
      </c>
      <c r="M1368" s="8" t="s">
        <v>1663</v>
      </c>
      <c r="N1368" s="8">
        <v>0.3</v>
      </c>
      <c r="O1368" s="14">
        <f t="shared" si="1"/>
        <v>44348</v>
      </c>
      <c r="P1368" s="15">
        <f>IFERROR(VLOOKUP(K1368,Formula!$A$11:$B$20,2,FALSE),Formula!$C$26)</f>
        <v>0.95</v>
      </c>
      <c r="Q1368" s="15">
        <f>IF(AND(ISNUMBER(J1368),J1368&gt;0),1/J1368,IF(AND(ISNUMBER(I1368),I1368&gt;0),SQRT(MIN(I1368,Formula!$C$27))/Formula!$C$24,1/Formula!$C$25))</f>
        <v>0.3333333333</v>
      </c>
      <c r="R1368" s="15">
        <f t="shared" si="2"/>
        <v>0.3166666667</v>
      </c>
      <c r="S1368" s="15">
        <f>IF(H1368&lt;&gt;"",EXP(-Formula!$C$28*(EOMONTH(H1368,0)-H1368)),EXP(-Formula!$C$28*(EOMONTH(D1368,0)-D1368)))</f>
        <v>0.4065696597</v>
      </c>
      <c r="T1368" s="15">
        <f t="shared" si="3"/>
        <v>0.1490711985</v>
      </c>
      <c r="U1368" s="15">
        <f t="shared" si="4"/>
        <v>0.01919247838</v>
      </c>
      <c r="V1368" s="16">
        <f>IF(AND(L1368="Among all respondents",NOT(OR(K1368="Online poll in Telegram channel",K1368="Website online poll",K1368="CAWI (Computer Assisted Web Interviewing)"))),1/(1-MIN(MAX(Formula!$C$33+(YEAR(D1368)-Formula!$C$34)/(Formula!$C$35-Formula!$C$34)*(Formula!$C$32-Formula!$C$33),Formula!$C$33),Formula!$C$32)),1)</f>
        <v>1</v>
      </c>
      <c r="W1368" s="17">
        <f t="shared" si="5"/>
        <v>0.3</v>
      </c>
    </row>
    <row r="1369" ht="15.75" customHeight="1">
      <c r="A1369" s="8" t="s">
        <v>2144</v>
      </c>
      <c r="B1369" s="7" t="s">
        <v>2145</v>
      </c>
      <c r="C1369" s="13" t="s">
        <v>2146</v>
      </c>
      <c r="D1369" s="7" t="s">
        <v>198</v>
      </c>
      <c r="E1369" s="8" t="s">
        <v>158</v>
      </c>
      <c r="F1369" s="8" t="s">
        <v>318</v>
      </c>
      <c r="G1369" s="7" t="s">
        <v>2147</v>
      </c>
      <c r="H1369" s="7" t="s">
        <v>2148</v>
      </c>
      <c r="I1369" s="8">
        <v>2035.0</v>
      </c>
      <c r="J1369" s="8">
        <v>3.0</v>
      </c>
      <c r="K1369" s="8" t="s">
        <v>583</v>
      </c>
      <c r="L1369" s="8" t="s">
        <v>322</v>
      </c>
      <c r="M1369" s="8" t="s">
        <v>323</v>
      </c>
      <c r="N1369" s="8">
        <v>25.4</v>
      </c>
      <c r="O1369" s="14">
        <f t="shared" si="1"/>
        <v>44348</v>
      </c>
      <c r="P1369" s="15">
        <f>IFERROR(VLOOKUP(K1369,Formula!$A$11:$B$20,2,FALSE),Formula!$C$26)</f>
        <v>0.95</v>
      </c>
      <c r="Q1369" s="15">
        <f>IF(AND(ISNUMBER(J1369),J1369&gt;0),1/J1369,IF(AND(ISNUMBER(I1369),I1369&gt;0),SQRT(MIN(I1369,Formula!$C$27))/Formula!$C$24,1/Formula!$C$25))</f>
        <v>0.3333333333</v>
      </c>
      <c r="R1369" s="15">
        <f t="shared" si="2"/>
        <v>0.3166666667</v>
      </c>
      <c r="S1369" s="15">
        <f>IF(H1369&lt;&gt;"",EXP(-Formula!$C$28*(EOMONTH(H1369,0)-H1369)),EXP(-Formula!$C$28*(EOMONTH(D1369,0)-D1369)))</f>
        <v>0.4065696597</v>
      </c>
      <c r="T1369" s="15">
        <f t="shared" si="3"/>
        <v>0.1490711985</v>
      </c>
      <c r="U1369" s="15">
        <f t="shared" si="4"/>
        <v>0.01919247838</v>
      </c>
      <c r="V1369" s="16">
        <f>IF(AND(L1369="Among all respondents",NOT(OR(K1369="Online poll in Telegram channel",K1369="Website online poll",K1369="CAWI (Computer Assisted Web Interviewing)"))),1/(1-MIN(MAX(Formula!$C$33+(YEAR(D1369)-Formula!$C$34)/(Formula!$C$35-Formula!$C$34)*(Formula!$C$32-Formula!$C$33),Formula!$C$33),Formula!$C$32)),1)</f>
        <v>1</v>
      </c>
      <c r="W1369" s="17">
        <f t="shared" si="5"/>
        <v>25.4</v>
      </c>
    </row>
    <row r="1370" ht="15.75" customHeight="1">
      <c r="A1370" s="8" t="s">
        <v>2149</v>
      </c>
      <c r="B1370" s="7" t="s">
        <v>2145</v>
      </c>
      <c r="C1370" s="13" t="s">
        <v>2146</v>
      </c>
      <c r="D1370" s="7" t="s">
        <v>198</v>
      </c>
      <c r="E1370" s="8" t="s">
        <v>158</v>
      </c>
      <c r="F1370" s="8" t="s">
        <v>318</v>
      </c>
      <c r="G1370" s="7" t="s">
        <v>2147</v>
      </c>
      <c r="H1370" s="7" t="s">
        <v>2148</v>
      </c>
      <c r="I1370" s="8">
        <v>2035.0</v>
      </c>
      <c r="J1370" s="8">
        <v>3.0</v>
      </c>
      <c r="K1370" s="8" t="s">
        <v>583</v>
      </c>
      <c r="L1370" s="8" t="s">
        <v>322</v>
      </c>
      <c r="M1370" s="8" t="s">
        <v>329</v>
      </c>
      <c r="N1370" s="8">
        <v>16.8</v>
      </c>
      <c r="O1370" s="14">
        <f t="shared" si="1"/>
        <v>44348</v>
      </c>
      <c r="P1370" s="15">
        <f>IFERROR(VLOOKUP(K1370,Formula!$A$11:$B$20,2,FALSE),Formula!$C$26)</f>
        <v>0.95</v>
      </c>
      <c r="Q1370" s="15">
        <f>IF(AND(ISNUMBER(J1370),J1370&gt;0),1/J1370,IF(AND(ISNUMBER(I1370),I1370&gt;0),SQRT(MIN(I1370,Formula!$C$27))/Formula!$C$24,1/Formula!$C$25))</f>
        <v>0.3333333333</v>
      </c>
      <c r="R1370" s="15">
        <f t="shared" si="2"/>
        <v>0.3166666667</v>
      </c>
      <c r="S1370" s="15">
        <f>IF(H1370&lt;&gt;"",EXP(-Formula!$C$28*(EOMONTH(H1370,0)-H1370)),EXP(-Formula!$C$28*(EOMONTH(D1370,0)-D1370)))</f>
        <v>0.4065696597</v>
      </c>
      <c r="T1370" s="15">
        <f t="shared" si="3"/>
        <v>0.1490711985</v>
      </c>
      <c r="U1370" s="15">
        <f t="shared" si="4"/>
        <v>0.01919247838</v>
      </c>
      <c r="V1370" s="16">
        <f>IF(AND(L1370="Among all respondents",NOT(OR(K1370="Online poll in Telegram channel",K1370="Website online poll",K1370="CAWI (Computer Assisted Web Interviewing)"))),1/(1-MIN(MAX(Formula!$C$33+(YEAR(D1370)-Formula!$C$34)/(Formula!$C$35-Formula!$C$34)*(Formula!$C$32-Formula!$C$33),Formula!$C$33),Formula!$C$32)),1)</f>
        <v>1</v>
      </c>
      <c r="W1370" s="17">
        <f t="shared" si="5"/>
        <v>16.8</v>
      </c>
    </row>
    <row r="1371" ht="15.75" customHeight="1">
      <c r="A1371" s="8" t="s">
        <v>2159</v>
      </c>
      <c r="B1371" s="7" t="s">
        <v>2145</v>
      </c>
      <c r="C1371" s="13" t="s">
        <v>2146</v>
      </c>
      <c r="D1371" s="7" t="s">
        <v>198</v>
      </c>
      <c r="E1371" s="8" t="s">
        <v>158</v>
      </c>
      <c r="F1371" s="8" t="s">
        <v>318</v>
      </c>
      <c r="G1371" s="7" t="s">
        <v>2147</v>
      </c>
      <c r="H1371" s="7" t="s">
        <v>2148</v>
      </c>
      <c r="I1371" s="8">
        <v>2035.0</v>
      </c>
      <c r="J1371" s="8">
        <v>3.0</v>
      </c>
      <c r="K1371" s="8" t="s">
        <v>583</v>
      </c>
      <c r="L1371" s="8" t="s">
        <v>322</v>
      </c>
      <c r="M1371" s="8" t="s">
        <v>365</v>
      </c>
      <c r="N1371" s="8">
        <v>15.3</v>
      </c>
      <c r="O1371" s="14">
        <f t="shared" si="1"/>
        <v>44348</v>
      </c>
      <c r="P1371" s="15">
        <f>IFERROR(VLOOKUP(K1371,Formula!$A$11:$B$20,2,FALSE),Formula!$C$26)</f>
        <v>0.95</v>
      </c>
      <c r="Q1371" s="15">
        <f>IF(AND(ISNUMBER(J1371),J1371&gt;0),1/J1371,IF(AND(ISNUMBER(I1371),I1371&gt;0),SQRT(MIN(I1371,Formula!$C$27))/Formula!$C$24,1/Formula!$C$25))</f>
        <v>0.3333333333</v>
      </c>
      <c r="R1371" s="15">
        <f t="shared" si="2"/>
        <v>0.3166666667</v>
      </c>
      <c r="S1371" s="15">
        <f>IF(H1371&lt;&gt;"",EXP(-Formula!$C$28*(EOMONTH(H1371,0)-H1371)),EXP(-Formula!$C$28*(EOMONTH(D1371,0)-D1371)))</f>
        <v>0.4065696597</v>
      </c>
      <c r="T1371" s="15">
        <f t="shared" si="3"/>
        <v>0.1490711985</v>
      </c>
      <c r="U1371" s="15">
        <f t="shared" si="4"/>
        <v>0.01919247838</v>
      </c>
      <c r="V1371" s="16">
        <f>IF(AND(L1371="Among all respondents",NOT(OR(K1371="Online poll in Telegram channel",K1371="Website online poll",K1371="CAWI (Computer Assisted Web Interviewing)"))),1/(1-MIN(MAX(Formula!$C$33+(YEAR(D1371)-Formula!$C$34)/(Formula!$C$35-Formula!$C$34)*(Formula!$C$32-Formula!$C$33),Formula!$C$33),Formula!$C$32)),1)</f>
        <v>1</v>
      </c>
      <c r="W1371" s="17">
        <f t="shared" si="5"/>
        <v>15.3</v>
      </c>
    </row>
    <row r="1372" ht="15.75" customHeight="1">
      <c r="A1372" s="8" t="s">
        <v>2151</v>
      </c>
      <c r="B1372" s="7" t="s">
        <v>2145</v>
      </c>
      <c r="C1372" s="13" t="s">
        <v>2146</v>
      </c>
      <c r="D1372" s="7" t="s">
        <v>198</v>
      </c>
      <c r="E1372" s="8" t="s">
        <v>158</v>
      </c>
      <c r="F1372" s="8" t="s">
        <v>318</v>
      </c>
      <c r="G1372" s="7" t="s">
        <v>2147</v>
      </c>
      <c r="H1372" s="7" t="s">
        <v>2148</v>
      </c>
      <c r="I1372" s="8">
        <v>2035.0</v>
      </c>
      <c r="J1372" s="8">
        <v>3.0</v>
      </c>
      <c r="K1372" s="8" t="s">
        <v>583</v>
      </c>
      <c r="L1372" s="8" t="s">
        <v>322</v>
      </c>
      <c r="M1372" s="8" t="s">
        <v>337</v>
      </c>
      <c r="N1372" s="8">
        <v>13.4</v>
      </c>
      <c r="O1372" s="14">
        <f t="shared" si="1"/>
        <v>44348</v>
      </c>
      <c r="P1372" s="15">
        <f>IFERROR(VLOOKUP(K1372,Formula!$A$11:$B$20,2,FALSE),Formula!$C$26)</f>
        <v>0.95</v>
      </c>
      <c r="Q1372" s="15">
        <f>IF(AND(ISNUMBER(J1372),J1372&gt;0),1/J1372,IF(AND(ISNUMBER(I1372),I1372&gt;0),SQRT(MIN(I1372,Formula!$C$27))/Formula!$C$24,1/Formula!$C$25))</f>
        <v>0.3333333333</v>
      </c>
      <c r="R1372" s="15">
        <f t="shared" si="2"/>
        <v>0.3166666667</v>
      </c>
      <c r="S1372" s="15">
        <f>IF(H1372&lt;&gt;"",EXP(-Formula!$C$28*(EOMONTH(H1372,0)-H1372)),EXP(-Formula!$C$28*(EOMONTH(D1372,0)-D1372)))</f>
        <v>0.4065696597</v>
      </c>
      <c r="T1372" s="15">
        <f t="shared" si="3"/>
        <v>0.1490711985</v>
      </c>
      <c r="U1372" s="15">
        <f t="shared" si="4"/>
        <v>0.01919247838</v>
      </c>
      <c r="V1372" s="16">
        <f>IF(AND(L1372="Among all respondents",NOT(OR(K1372="Online poll in Telegram channel",K1372="Website online poll",K1372="CAWI (Computer Assisted Web Interviewing)"))),1/(1-MIN(MAX(Formula!$C$33+(YEAR(D1372)-Formula!$C$34)/(Formula!$C$35-Formula!$C$34)*(Formula!$C$32-Formula!$C$33),Formula!$C$33),Formula!$C$32)),1)</f>
        <v>1</v>
      </c>
      <c r="W1372" s="17">
        <f t="shared" si="5"/>
        <v>13.4</v>
      </c>
    </row>
    <row r="1373" ht="15.75" customHeight="1">
      <c r="A1373" s="8" t="s">
        <v>2152</v>
      </c>
      <c r="B1373" s="7" t="s">
        <v>2145</v>
      </c>
      <c r="C1373" s="13" t="s">
        <v>2146</v>
      </c>
      <c r="D1373" s="7" t="s">
        <v>198</v>
      </c>
      <c r="E1373" s="8" t="s">
        <v>158</v>
      </c>
      <c r="F1373" s="8" t="s">
        <v>318</v>
      </c>
      <c r="G1373" s="7" t="s">
        <v>2147</v>
      </c>
      <c r="H1373" s="7" t="s">
        <v>2148</v>
      </c>
      <c r="I1373" s="8">
        <v>2035.0</v>
      </c>
      <c r="J1373" s="8">
        <v>3.0</v>
      </c>
      <c r="K1373" s="8" t="s">
        <v>583</v>
      </c>
      <c r="L1373" s="8" t="s">
        <v>322</v>
      </c>
      <c r="M1373" s="8" t="s">
        <v>828</v>
      </c>
      <c r="N1373" s="8">
        <v>6.2</v>
      </c>
      <c r="O1373" s="14">
        <f t="shared" si="1"/>
        <v>44348</v>
      </c>
      <c r="P1373" s="15">
        <f>IFERROR(VLOOKUP(K1373,Formula!$A$11:$B$20,2,FALSE),Formula!$C$26)</f>
        <v>0.95</v>
      </c>
      <c r="Q1373" s="15">
        <f>IF(AND(ISNUMBER(J1373),J1373&gt;0),1/J1373,IF(AND(ISNUMBER(I1373),I1373&gt;0),SQRT(MIN(I1373,Formula!$C$27))/Formula!$C$24,1/Formula!$C$25))</f>
        <v>0.3333333333</v>
      </c>
      <c r="R1373" s="15">
        <f t="shared" si="2"/>
        <v>0.3166666667</v>
      </c>
      <c r="S1373" s="15">
        <f>IF(H1373&lt;&gt;"",EXP(-Formula!$C$28*(EOMONTH(H1373,0)-H1373)),EXP(-Formula!$C$28*(EOMONTH(D1373,0)-D1373)))</f>
        <v>0.4065696597</v>
      </c>
      <c r="T1373" s="15">
        <f t="shared" si="3"/>
        <v>0.1490711985</v>
      </c>
      <c r="U1373" s="15">
        <f t="shared" si="4"/>
        <v>0.01919247838</v>
      </c>
      <c r="V1373" s="16">
        <f>IF(AND(L1373="Among all respondents",NOT(OR(K1373="Online poll in Telegram channel",K1373="Website online poll",K1373="CAWI (Computer Assisted Web Interviewing)"))),1/(1-MIN(MAX(Formula!$C$33+(YEAR(D1373)-Formula!$C$34)/(Formula!$C$35-Formula!$C$34)*(Formula!$C$32-Formula!$C$33),Formula!$C$33),Formula!$C$32)),1)</f>
        <v>1</v>
      </c>
      <c r="W1373" s="17">
        <f t="shared" si="5"/>
        <v>6.2</v>
      </c>
    </row>
    <row r="1374" ht="15.75" customHeight="1">
      <c r="A1374" s="8" t="s">
        <v>2153</v>
      </c>
      <c r="B1374" s="7" t="s">
        <v>2145</v>
      </c>
      <c r="C1374" s="13" t="s">
        <v>2146</v>
      </c>
      <c r="D1374" s="7" t="s">
        <v>198</v>
      </c>
      <c r="E1374" s="8" t="s">
        <v>158</v>
      </c>
      <c r="F1374" s="8" t="s">
        <v>318</v>
      </c>
      <c r="G1374" s="7" t="s">
        <v>2147</v>
      </c>
      <c r="H1374" s="7" t="s">
        <v>2148</v>
      </c>
      <c r="I1374" s="8">
        <v>2035.0</v>
      </c>
      <c r="J1374" s="8">
        <v>3.0</v>
      </c>
      <c r="K1374" s="8" t="s">
        <v>583</v>
      </c>
      <c r="L1374" s="8" t="s">
        <v>322</v>
      </c>
      <c r="M1374" s="8" t="s">
        <v>386</v>
      </c>
      <c r="N1374" s="8">
        <v>4.6</v>
      </c>
      <c r="O1374" s="14">
        <f t="shared" si="1"/>
        <v>44348</v>
      </c>
      <c r="P1374" s="15">
        <f>IFERROR(VLOOKUP(K1374,Formula!$A$11:$B$20,2,FALSE),Formula!$C$26)</f>
        <v>0.95</v>
      </c>
      <c r="Q1374" s="15">
        <f>IF(AND(ISNUMBER(J1374),J1374&gt;0),1/J1374,IF(AND(ISNUMBER(I1374),I1374&gt;0),SQRT(MIN(I1374,Formula!$C$27))/Formula!$C$24,1/Formula!$C$25))</f>
        <v>0.3333333333</v>
      </c>
      <c r="R1374" s="15">
        <f t="shared" si="2"/>
        <v>0.3166666667</v>
      </c>
      <c r="S1374" s="15">
        <f>IF(H1374&lt;&gt;"",EXP(-Formula!$C$28*(EOMONTH(H1374,0)-H1374)),EXP(-Formula!$C$28*(EOMONTH(D1374,0)-D1374)))</f>
        <v>0.4065696597</v>
      </c>
      <c r="T1374" s="15">
        <f t="shared" si="3"/>
        <v>0.1490711985</v>
      </c>
      <c r="U1374" s="15">
        <f t="shared" si="4"/>
        <v>0.01919247838</v>
      </c>
      <c r="V1374" s="16">
        <f>IF(AND(L1374="Among all respondents",NOT(OR(K1374="Online poll in Telegram channel",K1374="Website online poll",K1374="CAWI (Computer Assisted Web Interviewing)"))),1/(1-MIN(MAX(Formula!$C$33+(YEAR(D1374)-Formula!$C$34)/(Formula!$C$35-Formula!$C$34)*(Formula!$C$32-Formula!$C$33),Formula!$C$33),Formula!$C$32)),1)</f>
        <v>1</v>
      </c>
      <c r="W1374" s="17">
        <f t="shared" si="5"/>
        <v>4.6</v>
      </c>
    </row>
    <row r="1375" ht="15.75" customHeight="1">
      <c r="A1375" s="8" t="s">
        <v>2154</v>
      </c>
      <c r="B1375" s="7" t="s">
        <v>2145</v>
      </c>
      <c r="C1375" s="13" t="s">
        <v>2146</v>
      </c>
      <c r="D1375" s="7" t="s">
        <v>198</v>
      </c>
      <c r="E1375" s="8" t="s">
        <v>158</v>
      </c>
      <c r="F1375" s="8" t="s">
        <v>318</v>
      </c>
      <c r="G1375" s="7" t="s">
        <v>2147</v>
      </c>
      <c r="H1375" s="7" t="s">
        <v>2148</v>
      </c>
      <c r="I1375" s="8">
        <v>2035.0</v>
      </c>
      <c r="J1375" s="8">
        <v>3.0</v>
      </c>
      <c r="K1375" s="8" t="s">
        <v>583</v>
      </c>
      <c r="L1375" s="8" t="s">
        <v>322</v>
      </c>
      <c r="M1375" s="8" t="s">
        <v>1153</v>
      </c>
      <c r="N1375" s="8">
        <v>4.2</v>
      </c>
      <c r="O1375" s="14">
        <f t="shared" si="1"/>
        <v>44348</v>
      </c>
      <c r="P1375" s="15">
        <f>IFERROR(VLOOKUP(K1375,Formula!$A$11:$B$20,2,FALSE),Formula!$C$26)</f>
        <v>0.95</v>
      </c>
      <c r="Q1375" s="15">
        <f>IF(AND(ISNUMBER(J1375),J1375&gt;0),1/J1375,IF(AND(ISNUMBER(I1375),I1375&gt;0),SQRT(MIN(I1375,Formula!$C$27))/Formula!$C$24,1/Formula!$C$25))</f>
        <v>0.3333333333</v>
      </c>
      <c r="R1375" s="15">
        <f t="shared" si="2"/>
        <v>0.3166666667</v>
      </c>
      <c r="S1375" s="15">
        <f>IF(H1375&lt;&gt;"",EXP(-Formula!$C$28*(EOMONTH(H1375,0)-H1375)),EXP(-Formula!$C$28*(EOMONTH(D1375,0)-D1375)))</f>
        <v>0.4065696597</v>
      </c>
      <c r="T1375" s="15">
        <f t="shared" si="3"/>
        <v>0.1490711985</v>
      </c>
      <c r="U1375" s="15">
        <f t="shared" si="4"/>
        <v>0.01919247838</v>
      </c>
      <c r="V1375" s="16">
        <f>IF(AND(L1375="Among all respondents",NOT(OR(K1375="Online poll in Telegram channel",K1375="Website online poll",K1375="CAWI (Computer Assisted Web Interviewing)"))),1/(1-MIN(MAX(Formula!$C$33+(YEAR(D1375)-Formula!$C$34)/(Formula!$C$35-Formula!$C$34)*(Formula!$C$32-Formula!$C$33),Formula!$C$33),Formula!$C$32)),1)</f>
        <v>1</v>
      </c>
      <c r="W1375" s="17">
        <f t="shared" si="5"/>
        <v>4.2</v>
      </c>
    </row>
    <row r="1376" ht="15.75" customHeight="1">
      <c r="A1376" s="8" t="s">
        <v>2155</v>
      </c>
      <c r="B1376" s="7" t="s">
        <v>2145</v>
      </c>
      <c r="C1376" s="13" t="s">
        <v>2146</v>
      </c>
      <c r="D1376" s="7" t="s">
        <v>198</v>
      </c>
      <c r="E1376" s="8" t="s">
        <v>158</v>
      </c>
      <c r="F1376" s="8" t="s">
        <v>318</v>
      </c>
      <c r="G1376" s="7" t="s">
        <v>2147</v>
      </c>
      <c r="H1376" s="7" t="s">
        <v>2148</v>
      </c>
      <c r="I1376" s="8">
        <v>2035.0</v>
      </c>
      <c r="J1376" s="8">
        <v>3.0</v>
      </c>
      <c r="K1376" s="8" t="s">
        <v>583</v>
      </c>
      <c r="L1376" s="8" t="s">
        <v>322</v>
      </c>
      <c r="M1376" s="8" t="s">
        <v>333</v>
      </c>
      <c r="N1376" s="8">
        <v>2.9</v>
      </c>
      <c r="O1376" s="14">
        <f t="shared" si="1"/>
        <v>44348</v>
      </c>
      <c r="P1376" s="15">
        <f>IFERROR(VLOOKUP(K1376,Formula!$A$11:$B$20,2,FALSE),Formula!$C$26)</f>
        <v>0.95</v>
      </c>
      <c r="Q1376" s="15">
        <f>IF(AND(ISNUMBER(J1376),J1376&gt;0),1/J1376,IF(AND(ISNUMBER(I1376),I1376&gt;0),SQRT(MIN(I1376,Formula!$C$27))/Formula!$C$24,1/Formula!$C$25))</f>
        <v>0.3333333333</v>
      </c>
      <c r="R1376" s="15">
        <f t="shared" si="2"/>
        <v>0.3166666667</v>
      </c>
      <c r="S1376" s="15">
        <f>IF(H1376&lt;&gt;"",EXP(-Formula!$C$28*(EOMONTH(H1376,0)-H1376)),EXP(-Formula!$C$28*(EOMONTH(D1376,0)-D1376)))</f>
        <v>0.4065696597</v>
      </c>
      <c r="T1376" s="15">
        <f t="shared" si="3"/>
        <v>0.1490711985</v>
      </c>
      <c r="U1376" s="15">
        <f t="shared" si="4"/>
        <v>0.01919247838</v>
      </c>
      <c r="V1376" s="16">
        <f>IF(AND(L1376="Among all respondents",NOT(OR(K1376="Online poll in Telegram channel",K1376="Website online poll",K1376="CAWI (Computer Assisted Web Interviewing)"))),1/(1-MIN(MAX(Formula!$C$33+(YEAR(D1376)-Formula!$C$34)/(Formula!$C$35-Formula!$C$34)*(Formula!$C$32-Formula!$C$33),Formula!$C$33),Formula!$C$32)),1)</f>
        <v>1</v>
      </c>
      <c r="W1376" s="17">
        <f t="shared" si="5"/>
        <v>2.9</v>
      </c>
    </row>
    <row r="1377" ht="15.75" customHeight="1">
      <c r="A1377" s="8" t="s">
        <v>2156</v>
      </c>
      <c r="B1377" s="7" t="s">
        <v>2145</v>
      </c>
      <c r="C1377" s="13" t="s">
        <v>2146</v>
      </c>
      <c r="D1377" s="7" t="s">
        <v>198</v>
      </c>
      <c r="E1377" s="8" t="s">
        <v>158</v>
      </c>
      <c r="F1377" s="8" t="s">
        <v>318</v>
      </c>
      <c r="G1377" s="7" t="s">
        <v>2147</v>
      </c>
      <c r="H1377" s="7" t="s">
        <v>2148</v>
      </c>
      <c r="I1377" s="8">
        <v>2035.0</v>
      </c>
      <c r="J1377" s="8">
        <v>3.0</v>
      </c>
      <c r="K1377" s="8" t="s">
        <v>583</v>
      </c>
      <c r="L1377" s="8" t="s">
        <v>322</v>
      </c>
      <c r="M1377" s="8" t="s">
        <v>388</v>
      </c>
      <c r="N1377" s="8">
        <v>2.7</v>
      </c>
      <c r="O1377" s="14">
        <f t="shared" si="1"/>
        <v>44348</v>
      </c>
      <c r="P1377" s="15">
        <f>IFERROR(VLOOKUP(K1377,Formula!$A$11:$B$20,2,FALSE),Formula!$C$26)</f>
        <v>0.95</v>
      </c>
      <c r="Q1377" s="15">
        <f>IF(AND(ISNUMBER(J1377),J1377&gt;0),1/J1377,IF(AND(ISNUMBER(I1377),I1377&gt;0),SQRT(MIN(I1377,Formula!$C$27))/Formula!$C$24,1/Formula!$C$25))</f>
        <v>0.3333333333</v>
      </c>
      <c r="R1377" s="15">
        <f t="shared" si="2"/>
        <v>0.3166666667</v>
      </c>
      <c r="S1377" s="15">
        <f>IF(H1377&lt;&gt;"",EXP(-Formula!$C$28*(EOMONTH(H1377,0)-H1377)),EXP(-Formula!$C$28*(EOMONTH(D1377,0)-D1377)))</f>
        <v>0.4065696597</v>
      </c>
      <c r="T1377" s="15">
        <f t="shared" si="3"/>
        <v>0.1490711985</v>
      </c>
      <c r="U1377" s="15">
        <f t="shared" si="4"/>
        <v>0.01919247838</v>
      </c>
      <c r="V1377" s="16">
        <f>IF(AND(L1377="Among all respondents",NOT(OR(K1377="Online poll in Telegram channel",K1377="Website online poll",K1377="CAWI (Computer Assisted Web Interviewing)"))),1/(1-MIN(MAX(Formula!$C$33+(YEAR(D1377)-Formula!$C$34)/(Formula!$C$35-Formula!$C$34)*(Formula!$C$32-Formula!$C$33),Formula!$C$33),Formula!$C$32)),1)</f>
        <v>1</v>
      </c>
      <c r="W1377" s="17">
        <f t="shared" si="5"/>
        <v>2.7</v>
      </c>
    </row>
    <row r="1378" ht="15.75" customHeight="1">
      <c r="A1378" s="8" t="s">
        <v>2157</v>
      </c>
      <c r="B1378" s="7" t="s">
        <v>2145</v>
      </c>
      <c r="C1378" s="13" t="s">
        <v>2146</v>
      </c>
      <c r="D1378" s="7" t="s">
        <v>198</v>
      </c>
      <c r="E1378" s="8" t="s">
        <v>158</v>
      </c>
      <c r="F1378" s="8" t="s">
        <v>318</v>
      </c>
      <c r="G1378" s="7" t="s">
        <v>2147</v>
      </c>
      <c r="H1378" s="7" t="s">
        <v>2148</v>
      </c>
      <c r="I1378" s="8">
        <v>2035.0</v>
      </c>
      <c r="J1378" s="8">
        <v>3.0</v>
      </c>
      <c r="K1378" s="8" t="s">
        <v>583</v>
      </c>
      <c r="L1378" s="8" t="s">
        <v>322</v>
      </c>
      <c r="M1378" s="8" t="s">
        <v>343</v>
      </c>
      <c r="N1378" s="8">
        <v>1.4</v>
      </c>
      <c r="O1378" s="14">
        <f t="shared" si="1"/>
        <v>44348</v>
      </c>
      <c r="P1378" s="15">
        <f>IFERROR(VLOOKUP(K1378,Formula!$A$11:$B$20,2,FALSE),Formula!$C$26)</f>
        <v>0.95</v>
      </c>
      <c r="Q1378" s="15">
        <f>IF(AND(ISNUMBER(J1378),J1378&gt;0),1/J1378,IF(AND(ISNUMBER(I1378),I1378&gt;0),SQRT(MIN(I1378,Formula!$C$27))/Formula!$C$24,1/Formula!$C$25))</f>
        <v>0.3333333333</v>
      </c>
      <c r="R1378" s="15">
        <f t="shared" si="2"/>
        <v>0.3166666667</v>
      </c>
      <c r="S1378" s="15">
        <f>IF(H1378&lt;&gt;"",EXP(-Formula!$C$28*(EOMONTH(H1378,0)-H1378)),EXP(-Formula!$C$28*(EOMONTH(D1378,0)-D1378)))</f>
        <v>0.4065696597</v>
      </c>
      <c r="T1378" s="15">
        <f t="shared" si="3"/>
        <v>0.1490711985</v>
      </c>
      <c r="U1378" s="15">
        <f t="shared" si="4"/>
        <v>0.01919247838</v>
      </c>
      <c r="V1378" s="16">
        <f>IF(AND(L1378="Among all respondents",NOT(OR(K1378="Online poll in Telegram channel",K1378="Website online poll",K1378="CAWI (Computer Assisted Web Interviewing)"))),1/(1-MIN(MAX(Formula!$C$33+(YEAR(D1378)-Formula!$C$34)/(Formula!$C$35-Formula!$C$34)*(Formula!$C$32-Formula!$C$33),Formula!$C$33),Formula!$C$32)),1)</f>
        <v>1</v>
      </c>
      <c r="W1378" s="17">
        <f t="shared" si="5"/>
        <v>1.4</v>
      </c>
    </row>
    <row r="1379" ht="15.75" customHeight="1">
      <c r="A1379" s="8" t="s">
        <v>2158</v>
      </c>
      <c r="B1379" s="7" t="s">
        <v>2145</v>
      </c>
      <c r="C1379" s="13" t="s">
        <v>2146</v>
      </c>
      <c r="D1379" s="7" t="s">
        <v>198</v>
      </c>
      <c r="E1379" s="8" t="s">
        <v>158</v>
      </c>
      <c r="F1379" s="8" t="s">
        <v>318</v>
      </c>
      <c r="G1379" s="7" t="s">
        <v>2147</v>
      </c>
      <c r="H1379" s="7" t="s">
        <v>2148</v>
      </c>
      <c r="I1379" s="8">
        <v>2035.0</v>
      </c>
      <c r="J1379" s="8">
        <v>3.0</v>
      </c>
      <c r="K1379" s="8" t="s">
        <v>583</v>
      </c>
      <c r="L1379" s="8" t="s">
        <v>322</v>
      </c>
      <c r="M1379" s="8" t="s">
        <v>1663</v>
      </c>
      <c r="N1379" s="8">
        <v>0.5</v>
      </c>
      <c r="O1379" s="14">
        <f t="shared" si="1"/>
        <v>44348</v>
      </c>
      <c r="P1379" s="15">
        <f>IFERROR(VLOOKUP(K1379,Formula!$A$11:$B$20,2,FALSE),Formula!$C$26)</f>
        <v>0.95</v>
      </c>
      <c r="Q1379" s="15">
        <f>IF(AND(ISNUMBER(J1379),J1379&gt;0),1/J1379,IF(AND(ISNUMBER(I1379),I1379&gt;0),SQRT(MIN(I1379,Formula!$C$27))/Formula!$C$24,1/Formula!$C$25))</f>
        <v>0.3333333333</v>
      </c>
      <c r="R1379" s="15">
        <f t="shared" si="2"/>
        <v>0.3166666667</v>
      </c>
      <c r="S1379" s="15">
        <f>IF(H1379&lt;&gt;"",EXP(-Formula!$C$28*(EOMONTH(H1379,0)-H1379)),EXP(-Formula!$C$28*(EOMONTH(D1379,0)-D1379)))</f>
        <v>0.4065696597</v>
      </c>
      <c r="T1379" s="15">
        <f t="shared" si="3"/>
        <v>0.1490711985</v>
      </c>
      <c r="U1379" s="15">
        <f t="shared" si="4"/>
        <v>0.01919247838</v>
      </c>
      <c r="V1379" s="16">
        <f>IF(AND(L1379="Among all respondents",NOT(OR(K1379="Online poll in Telegram channel",K1379="Website online poll",K1379="CAWI (Computer Assisted Web Interviewing)"))),1/(1-MIN(MAX(Formula!$C$33+(YEAR(D1379)-Formula!$C$34)/(Formula!$C$35-Formula!$C$34)*(Formula!$C$32-Formula!$C$33),Formula!$C$33),Formula!$C$32)),1)</f>
        <v>1</v>
      </c>
      <c r="W1379" s="17">
        <f t="shared" si="5"/>
        <v>0.5</v>
      </c>
    </row>
    <row r="1380" ht="15.75" customHeight="1">
      <c r="A1380" s="8" t="s">
        <v>2160</v>
      </c>
      <c r="B1380" s="7" t="s">
        <v>2161</v>
      </c>
      <c r="C1380" s="13" t="s">
        <v>2162</v>
      </c>
      <c r="D1380" s="7" t="s">
        <v>202</v>
      </c>
      <c r="E1380" s="8" t="s">
        <v>20</v>
      </c>
      <c r="F1380" s="8" t="s">
        <v>318</v>
      </c>
      <c r="G1380" s="7" t="s">
        <v>2163</v>
      </c>
      <c r="H1380" s="7" t="s">
        <v>2164</v>
      </c>
      <c r="I1380" s="8">
        <v>1200.0</v>
      </c>
      <c r="J1380" s="8">
        <v>2.9</v>
      </c>
      <c r="K1380" s="8" t="s">
        <v>321</v>
      </c>
      <c r="L1380" s="8" t="s">
        <v>322</v>
      </c>
      <c r="M1380" s="8" t="s">
        <v>323</v>
      </c>
      <c r="N1380" s="8">
        <v>29.6</v>
      </c>
      <c r="O1380" s="14">
        <f t="shared" si="1"/>
        <v>44348</v>
      </c>
      <c r="P1380" s="15">
        <f>IFERROR(VLOOKUP(K1380,Formula!$A$11:$B$20,2,FALSE),Formula!$C$26)</f>
        <v>0.9</v>
      </c>
      <c r="Q1380" s="15">
        <f>IF(AND(ISNUMBER(J1380),J1380&gt;0),1/J1380,IF(AND(ISNUMBER(I1380),I1380&gt;0),SQRT(MIN(I1380,Formula!$C$27))/Formula!$C$24,1/Formula!$C$25))</f>
        <v>0.3448275862</v>
      </c>
      <c r="R1380" s="15">
        <f t="shared" si="2"/>
        <v>0.3103448276</v>
      </c>
      <c r="S1380" s="15">
        <f>IF(H1380&lt;&gt;"",EXP(-Formula!$C$28*(EOMONTH(H1380,0)-H1380)),EXP(-Formula!$C$28*(EOMONTH(D1380,0)-D1380)))</f>
        <v>0.9512294245</v>
      </c>
      <c r="T1380" s="15">
        <f t="shared" si="3"/>
        <v>0.25</v>
      </c>
      <c r="U1380" s="15">
        <f t="shared" si="4"/>
        <v>0.07380228294</v>
      </c>
      <c r="V1380" s="16">
        <f>IF(AND(L1380="Among all respondents",NOT(OR(K1380="Online poll in Telegram channel",K1380="Website online poll",K1380="CAWI (Computer Assisted Web Interviewing)"))),1/(1-MIN(MAX(Formula!$C$33+(YEAR(D1380)-Formula!$C$34)/(Formula!$C$35-Formula!$C$34)*(Formula!$C$32-Formula!$C$33),Formula!$C$33),Formula!$C$32)),1)</f>
        <v>1</v>
      </c>
      <c r="W1380" s="17">
        <f t="shared" si="5"/>
        <v>29.6</v>
      </c>
    </row>
    <row r="1381" ht="15.75" customHeight="1">
      <c r="A1381" s="8" t="s">
        <v>2165</v>
      </c>
      <c r="B1381" s="7" t="s">
        <v>2161</v>
      </c>
      <c r="C1381" s="13" t="s">
        <v>2162</v>
      </c>
      <c r="D1381" s="7" t="s">
        <v>202</v>
      </c>
      <c r="E1381" s="8" t="s">
        <v>20</v>
      </c>
      <c r="F1381" s="8" t="s">
        <v>318</v>
      </c>
      <c r="G1381" s="7" t="s">
        <v>2163</v>
      </c>
      <c r="H1381" s="7" t="s">
        <v>2164</v>
      </c>
      <c r="I1381" s="8">
        <v>1200.0</v>
      </c>
      <c r="J1381" s="8">
        <v>2.9</v>
      </c>
      <c r="K1381" s="8" t="s">
        <v>321</v>
      </c>
      <c r="L1381" s="8" t="s">
        <v>322</v>
      </c>
      <c r="M1381" s="8" t="s">
        <v>329</v>
      </c>
      <c r="N1381" s="8">
        <v>22.0</v>
      </c>
      <c r="O1381" s="14">
        <f t="shared" si="1"/>
        <v>44348</v>
      </c>
      <c r="P1381" s="15">
        <f>IFERROR(VLOOKUP(K1381,Formula!$A$11:$B$20,2,FALSE),Formula!$C$26)</f>
        <v>0.9</v>
      </c>
      <c r="Q1381" s="15">
        <f>IF(AND(ISNUMBER(J1381),J1381&gt;0),1/J1381,IF(AND(ISNUMBER(I1381),I1381&gt;0),SQRT(MIN(I1381,Formula!$C$27))/Formula!$C$24,1/Formula!$C$25))</f>
        <v>0.3448275862</v>
      </c>
      <c r="R1381" s="15">
        <f t="shared" si="2"/>
        <v>0.3103448276</v>
      </c>
      <c r="S1381" s="15">
        <f>IF(H1381&lt;&gt;"",EXP(-Formula!$C$28*(EOMONTH(H1381,0)-H1381)),EXP(-Formula!$C$28*(EOMONTH(D1381,0)-D1381)))</f>
        <v>0.9512294245</v>
      </c>
      <c r="T1381" s="15">
        <f t="shared" si="3"/>
        <v>0.25</v>
      </c>
      <c r="U1381" s="15">
        <f t="shared" si="4"/>
        <v>0.07380228294</v>
      </c>
      <c r="V1381" s="16">
        <f>IF(AND(L1381="Among all respondents",NOT(OR(K1381="Online poll in Telegram channel",K1381="Website online poll",K1381="CAWI (Computer Assisted Web Interviewing)"))),1/(1-MIN(MAX(Formula!$C$33+(YEAR(D1381)-Formula!$C$34)/(Formula!$C$35-Formula!$C$34)*(Formula!$C$32-Formula!$C$33),Formula!$C$33),Formula!$C$32)),1)</f>
        <v>1</v>
      </c>
      <c r="W1381" s="17">
        <f t="shared" si="5"/>
        <v>22</v>
      </c>
    </row>
    <row r="1382" ht="15.75" customHeight="1">
      <c r="A1382" s="8" t="s">
        <v>2166</v>
      </c>
      <c r="B1382" s="7" t="s">
        <v>2161</v>
      </c>
      <c r="C1382" s="13" t="s">
        <v>2162</v>
      </c>
      <c r="D1382" s="7" t="s">
        <v>202</v>
      </c>
      <c r="E1382" s="8" t="s">
        <v>20</v>
      </c>
      <c r="F1382" s="8" t="s">
        <v>318</v>
      </c>
      <c r="G1382" s="7" t="s">
        <v>2163</v>
      </c>
      <c r="H1382" s="7" t="s">
        <v>2164</v>
      </c>
      <c r="I1382" s="8">
        <v>1200.0</v>
      </c>
      <c r="J1382" s="8">
        <v>2.9</v>
      </c>
      <c r="K1382" s="8" t="s">
        <v>321</v>
      </c>
      <c r="L1382" s="8" t="s">
        <v>322</v>
      </c>
      <c r="M1382" s="8" t="s">
        <v>337</v>
      </c>
      <c r="N1382" s="8">
        <v>15.7</v>
      </c>
      <c r="O1382" s="14">
        <f t="shared" si="1"/>
        <v>44348</v>
      </c>
      <c r="P1382" s="15">
        <f>IFERROR(VLOOKUP(K1382,Formula!$A$11:$B$20,2,FALSE),Formula!$C$26)</f>
        <v>0.9</v>
      </c>
      <c r="Q1382" s="15">
        <f>IF(AND(ISNUMBER(J1382),J1382&gt;0),1/J1382,IF(AND(ISNUMBER(I1382),I1382&gt;0),SQRT(MIN(I1382,Formula!$C$27))/Formula!$C$24,1/Formula!$C$25))</f>
        <v>0.3448275862</v>
      </c>
      <c r="R1382" s="15">
        <f t="shared" si="2"/>
        <v>0.3103448276</v>
      </c>
      <c r="S1382" s="15">
        <f>IF(H1382&lt;&gt;"",EXP(-Formula!$C$28*(EOMONTH(H1382,0)-H1382)),EXP(-Formula!$C$28*(EOMONTH(D1382,0)-D1382)))</f>
        <v>0.9512294245</v>
      </c>
      <c r="T1382" s="15">
        <f t="shared" si="3"/>
        <v>0.25</v>
      </c>
      <c r="U1382" s="15">
        <f t="shared" si="4"/>
        <v>0.07380228294</v>
      </c>
      <c r="V1382" s="16">
        <f>IF(AND(L1382="Among all respondents",NOT(OR(K1382="Online poll in Telegram channel",K1382="Website online poll",K1382="CAWI (Computer Assisted Web Interviewing)"))),1/(1-MIN(MAX(Formula!$C$33+(YEAR(D1382)-Formula!$C$34)/(Formula!$C$35-Formula!$C$34)*(Formula!$C$32-Formula!$C$33),Formula!$C$33),Formula!$C$32)),1)</f>
        <v>1</v>
      </c>
      <c r="W1382" s="17">
        <f t="shared" si="5"/>
        <v>15.7</v>
      </c>
    </row>
    <row r="1383" ht="15.75" customHeight="1">
      <c r="A1383" s="8" t="s">
        <v>2167</v>
      </c>
      <c r="B1383" s="7" t="s">
        <v>2161</v>
      </c>
      <c r="C1383" s="13" t="s">
        <v>2162</v>
      </c>
      <c r="D1383" s="7" t="s">
        <v>202</v>
      </c>
      <c r="E1383" s="8" t="s">
        <v>20</v>
      </c>
      <c r="F1383" s="8" t="s">
        <v>318</v>
      </c>
      <c r="G1383" s="7" t="s">
        <v>2163</v>
      </c>
      <c r="H1383" s="7" t="s">
        <v>2164</v>
      </c>
      <c r="I1383" s="8">
        <v>1200.0</v>
      </c>
      <c r="J1383" s="8">
        <v>2.9</v>
      </c>
      <c r="K1383" s="8" t="s">
        <v>321</v>
      </c>
      <c r="L1383" s="8" t="s">
        <v>322</v>
      </c>
      <c r="M1383" s="8" t="s">
        <v>365</v>
      </c>
      <c r="N1383" s="8">
        <v>7.3</v>
      </c>
      <c r="O1383" s="14">
        <f t="shared" si="1"/>
        <v>44348</v>
      </c>
      <c r="P1383" s="15">
        <f>IFERROR(VLOOKUP(K1383,Formula!$A$11:$B$20,2,FALSE),Formula!$C$26)</f>
        <v>0.9</v>
      </c>
      <c r="Q1383" s="15">
        <f>IF(AND(ISNUMBER(J1383),J1383&gt;0),1/J1383,IF(AND(ISNUMBER(I1383),I1383&gt;0),SQRT(MIN(I1383,Formula!$C$27))/Formula!$C$24,1/Formula!$C$25))</f>
        <v>0.3448275862</v>
      </c>
      <c r="R1383" s="15">
        <f t="shared" si="2"/>
        <v>0.3103448276</v>
      </c>
      <c r="S1383" s="15">
        <f>IF(H1383&lt;&gt;"",EXP(-Formula!$C$28*(EOMONTH(H1383,0)-H1383)),EXP(-Formula!$C$28*(EOMONTH(D1383,0)-D1383)))</f>
        <v>0.9512294245</v>
      </c>
      <c r="T1383" s="15">
        <f t="shared" si="3"/>
        <v>0.25</v>
      </c>
      <c r="U1383" s="15">
        <f t="shared" si="4"/>
        <v>0.07380228294</v>
      </c>
      <c r="V1383" s="16">
        <f>IF(AND(L1383="Among all respondents",NOT(OR(K1383="Online poll in Telegram channel",K1383="Website online poll",K1383="CAWI (Computer Assisted Web Interviewing)"))),1/(1-MIN(MAX(Formula!$C$33+(YEAR(D1383)-Formula!$C$34)/(Formula!$C$35-Formula!$C$34)*(Formula!$C$32-Formula!$C$33),Formula!$C$33),Formula!$C$32)),1)</f>
        <v>1</v>
      </c>
      <c r="W1383" s="17">
        <f t="shared" si="5"/>
        <v>7.3</v>
      </c>
    </row>
    <row r="1384" ht="15.75" customHeight="1">
      <c r="A1384" s="8" t="s">
        <v>2168</v>
      </c>
      <c r="B1384" s="7" t="s">
        <v>2161</v>
      </c>
      <c r="C1384" s="13" t="s">
        <v>2162</v>
      </c>
      <c r="D1384" s="7" t="s">
        <v>202</v>
      </c>
      <c r="E1384" s="8" t="s">
        <v>20</v>
      </c>
      <c r="F1384" s="8" t="s">
        <v>318</v>
      </c>
      <c r="G1384" s="7" t="s">
        <v>2163</v>
      </c>
      <c r="H1384" s="7" t="s">
        <v>2164</v>
      </c>
      <c r="I1384" s="8">
        <v>1200.0</v>
      </c>
      <c r="J1384" s="8">
        <v>2.9</v>
      </c>
      <c r="K1384" s="8" t="s">
        <v>321</v>
      </c>
      <c r="L1384" s="8" t="s">
        <v>322</v>
      </c>
      <c r="M1384" s="8" t="s">
        <v>386</v>
      </c>
      <c r="N1384" s="8">
        <v>6.0</v>
      </c>
      <c r="O1384" s="14">
        <f t="shared" si="1"/>
        <v>44348</v>
      </c>
      <c r="P1384" s="15">
        <f>IFERROR(VLOOKUP(K1384,Formula!$A$11:$B$20,2,FALSE),Formula!$C$26)</f>
        <v>0.9</v>
      </c>
      <c r="Q1384" s="15">
        <f>IF(AND(ISNUMBER(J1384),J1384&gt;0),1/J1384,IF(AND(ISNUMBER(I1384),I1384&gt;0),SQRT(MIN(I1384,Formula!$C$27))/Formula!$C$24,1/Formula!$C$25))</f>
        <v>0.3448275862</v>
      </c>
      <c r="R1384" s="15">
        <f t="shared" si="2"/>
        <v>0.3103448276</v>
      </c>
      <c r="S1384" s="15">
        <f>IF(H1384&lt;&gt;"",EXP(-Formula!$C$28*(EOMONTH(H1384,0)-H1384)),EXP(-Formula!$C$28*(EOMONTH(D1384,0)-D1384)))</f>
        <v>0.9512294245</v>
      </c>
      <c r="T1384" s="15">
        <f t="shared" si="3"/>
        <v>0.25</v>
      </c>
      <c r="U1384" s="15">
        <f t="shared" si="4"/>
        <v>0.07380228294</v>
      </c>
      <c r="V1384" s="16">
        <f>IF(AND(L1384="Among all respondents",NOT(OR(K1384="Online poll in Telegram channel",K1384="Website online poll",K1384="CAWI (Computer Assisted Web Interviewing)"))),1/(1-MIN(MAX(Formula!$C$33+(YEAR(D1384)-Formula!$C$34)/(Formula!$C$35-Formula!$C$34)*(Formula!$C$32-Formula!$C$33),Formula!$C$33),Formula!$C$32)),1)</f>
        <v>1</v>
      </c>
      <c r="W1384" s="17">
        <f t="shared" si="5"/>
        <v>6</v>
      </c>
    </row>
    <row r="1385" ht="15.75" customHeight="1">
      <c r="A1385" s="8" t="s">
        <v>2169</v>
      </c>
      <c r="B1385" s="7" t="s">
        <v>2161</v>
      </c>
      <c r="C1385" s="13" t="s">
        <v>2162</v>
      </c>
      <c r="D1385" s="7" t="s">
        <v>202</v>
      </c>
      <c r="E1385" s="8" t="s">
        <v>20</v>
      </c>
      <c r="F1385" s="8" t="s">
        <v>318</v>
      </c>
      <c r="G1385" s="7" t="s">
        <v>2163</v>
      </c>
      <c r="H1385" s="7" t="s">
        <v>2164</v>
      </c>
      <c r="I1385" s="8">
        <v>1200.0</v>
      </c>
      <c r="J1385" s="8">
        <v>2.9</v>
      </c>
      <c r="K1385" s="8" t="s">
        <v>321</v>
      </c>
      <c r="L1385" s="8" t="s">
        <v>322</v>
      </c>
      <c r="M1385" s="8" t="s">
        <v>343</v>
      </c>
      <c r="N1385" s="8">
        <v>3.0</v>
      </c>
      <c r="O1385" s="14">
        <f t="shared" si="1"/>
        <v>44348</v>
      </c>
      <c r="P1385" s="15">
        <f>IFERROR(VLOOKUP(K1385,Formula!$A$11:$B$20,2,FALSE),Formula!$C$26)</f>
        <v>0.9</v>
      </c>
      <c r="Q1385" s="15">
        <f>IF(AND(ISNUMBER(J1385),J1385&gt;0),1/J1385,IF(AND(ISNUMBER(I1385),I1385&gt;0),SQRT(MIN(I1385,Formula!$C$27))/Formula!$C$24,1/Formula!$C$25))</f>
        <v>0.3448275862</v>
      </c>
      <c r="R1385" s="15">
        <f t="shared" si="2"/>
        <v>0.3103448276</v>
      </c>
      <c r="S1385" s="15">
        <f>IF(H1385&lt;&gt;"",EXP(-Formula!$C$28*(EOMONTH(H1385,0)-H1385)),EXP(-Formula!$C$28*(EOMONTH(D1385,0)-D1385)))</f>
        <v>0.9512294245</v>
      </c>
      <c r="T1385" s="15">
        <f t="shared" si="3"/>
        <v>0.25</v>
      </c>
      <c r="U1385" s="15">
        <f t="shared" si="4"/>
        <v>0.07380228294</v>
      </c>
      <c r="V1385" s="16">
        <f>IF(AND(L1385="Among all respondents",NOT(OR(K1385="Online poll in Telegram channel",K1385="Website online poll",K1385="CAWI (Computer Assisted Web Interviewing)"))),1/(1-MIN(MAX(Formula!$C$33+(YEAR(D1385)-Formula!$C$34)/(Formula!$C$35-Formula!$C$34)*(Formula!$C$32-Formula!$C$33),Formula!$C$33),Formula!$C$32)),1)</f>
        <v>1</v>
      </c>
      <c r="W1385" s="17">
        <f t="shared" si="5"/>
        <v>3</v>
      </c>
    </row>
    <row r="1386" ht="15.75" customHeight="1">
      <c r="A1386" s="8" t="s">
        <v>2170</v>
      </c>
      <c r="B1386" s="7" t="s">
        <v>2161</v>
      </c>
      <c r="C1386" s="13" t="s">
        <v>2162</v>
      </c>
      <c r="D1386" s="7" t="s">
        <v>202</v>
      </c>
      <c r="E1386" s="8" t="s">
        <v>20</v>
      </c>
      <c r="F1386" s="8" t="s">
        <v>318</v>
      </c>
      <c r="G1386" s="7" t="s">
        <v>2163</v>
      </c>
      <c r="H1386" s="7" t="s">
        <v>2164</v>
      </c>
      <c r="I1386" s="8">
        <v>1200.0</v>
      </c>
      <c r="J1386" s="8">
        <v>2.9</v>
      </c>
      <c r="K1386" s="8" t="s">
        <v>321</v>
      </c>
      <c r="L1386" s="8" t="s">
        <v>322</v>
      </c>
      <c r="M1386" s="8" t="s">
        <v>388</v>
      </c>
      <c r="N1386" s="8">
        <v>2.8</v>
      </c>
      <c r="O1386" s="14">
        <f t="shared" si="1"/>
        <v>44348</v>
      </c>
      <c r="P1386" s="15">
        <f>IFERROR(VLOOKUP(K1386,Formula!$A$11:$B$20,2,FALSE),Formula!$C$26)</f>
        <v>0.9</v>
      </c>
      <c r="Q1386" s="15">
        <f>IF(AND(ISNUMBER(J1386),J1386&gt;0),1/J1386,IF(AND(ISNUMBER(I1386),I1386&gt;0),SQRT(MIN(I1386,Formula!$C$27))/Formula!$C$24,1/Formula!$C$25))</f>
        <v>0.3448275862</v>
      </c>
      <c r="R1386" s="15">
        <f t="shared" si="2"/>
        <v>0.3103448276</v>
      </c>
      <c r="S1386" s="15">
        <f>IF(H1386&lt;&gt;"",EXP(-Formula!$C$28*(EOMONTH(H1386,0)-H1386)),EXP(-Formula!$C$28*(EOMONTH(D1386,0)-D1386)))</f>
        <v>0.9512294245</v>
      </c>
      <c r="T1386" s="15">
        <f t="shared" si="3"/>
        <v>0.25</v>
      </c>
      <c r="U1386" s="15">
        <f t="shared" si="4"/>
        <v>0.07380228294</v>
      </c>
      <c r="V1386" s="16">
        <f>IF(AND(L1386="Among all respondents",NOT(OR(K1386="Online poll in Telegram channel",K1386="Website online poll",K1386="CAWI (Computer Assisted Web Interviewing)"))),1/(1-MIN(MAX(Formula!$C$33+(YEAR(D1386)-Formula!$C$34)/(Formula!$C$35-Formula!$C$34)*(Formula!$C$32-Formula!$C$33),Formula!$C$33),Formula!$C$32)),1)</f>
        <v>1</v>
      </c>
      <c r="W1386" s="17">
        <f t="shared" si="5"/>
        <v>2.8</v>
      </c>
    </row>
    <row r="1387" ht="15.75" customHeight="1">
      <c r="A1387" s="8" t="s">
        <v>2171</v>
      </c>
      <c r="B1387" s="7" t="s">
        <v>2161</v>
      </c>
      <c r="C1387" s="13" t="s">
        <v>2162</v>
      </c>
      <c r="D1387" s="7" t="s">
        <v>202</v>
      </c>
      <c r="E1387" s="8" t="s">
        <v>20</v>
      </c>
      <c r="F1387" s="8" t="s">
        <v>318</v>
      </c>
      <c r="G1387" s="7" t="s">
        <v>2163</v>
      </c>
      <c r="H1387" s="7" t="s">
        <v>2164</v>
      </c>
      <c r="I1387" s="8">
        <v>1200.0</v>
      </c>
      <c r="J1387" s="8">
        <v>2.9</v>
      </c>
      <c r="K1387" s="8" t="s">
        <v>321</v>
      </c>
      <c r="L1387" s="8" t="s">
        <v>322</v>
      </c>
      <c r="M1387" s="8" t="s">
        <v>1153</v>
      </c>
      <c r="N1387" s="8">
        <v>2.5</v>
      </c>
      <c r="O1387" s="14">
        <f t="shared" si="1"/>
        <v>44348</v>
      </c>
      <c r="P1387" s="15">
        <f>IFERROR(VLOOKUP(K1387,Formula!$A$11:$B$20,2,FALSE),Formula!$C$26)</f>
        <v>0.9</v>
      </c>
      <c r="Q1387" s="15">
        <f>IF(AND(ISNUMBER(J1387),J1387&gt;0),1/J1387,IF(AND(ISNUMBER(I1387),I1387&gt;0),SQRT(MIN(I1387,Formula!$C$27))/Formula!$C$24,1/Formula!$C$25))</f>
        <v>0.3448275862</v>
      </c>
      <c r="R1387" s="15">
        <f t="shared" si="2"/>
        <v>0.3103448276</v>
      </c>
      <c r="S1387" s="15">
        <f>IF(H1387&lt;&gt;"",EXP(-Formula!$C$28*(EOMONTH(H1387,0)-H1387)),EXP(-Formula!$C$28*(EOMONTH(D1387,0)-D1387)))</f>
        <v>0.9512294245</v>
      </c>
      <c r="T1387" s="15">
        <f t="shared" si="3"/>
        <v>0.25</v>
      </c>
      <c r="U1387" s="15">
        <f t="shared" si="4"/>
        <v>0.07380228294</v>
      </c>
      <c r="V1387" s="16">
        <f>IF(AND(L1387="Among all respondents",NOT(OR(K1387="Online poll in Telegram channel",K1387="Website online poll",K1387="CAWI (Computer Assisted Web Interviewing)"))),1/(1-MIN(MAX(Formula!$C$33+(YEAR(D1387)-Formula!$C$34)/(Formula!$C$35-Formula!$C$34)*(Formula!$C$32-Formula!$C$33),Formula!$C$33),Formula!$C$32)),1)</f>
        <v>1</v>
      </c>
      <c r="W1387" s="17">
        <f t="shared" si="5"/>
        <v>2.5</v>
      </c>
    </row>
    <row r="1388" ht="15.75" customHeight="1">
      <c r="A1388" s="8" t="s">
        <v>2172</v>
      </c>
      <c r="B1388" s="7" t="s">
        <v>2161</v>
      </c>
      <c r="C1388" s="13" t="s">
        <v>2162</v>
      </c>
      <c r="D1388" s="7" t="s">
        <v>202</v>
      </c>
      <c r="E1388" s="8" t="s">
        <v>20</v>
      </c>
      <c r="F1388" s="8" t="s">
        <v>318</v>
      </c>
      <c r="G1388" s="7" t="s">
        <v>2163</v>
      </c>
      <c r="H1388" s="7" t="s">
        <v>2164</v>
      </c>
      <c r="I1388" s="8">
        <v>1200.0</v>
      </c>
      <c r="J1388" s="8">
        <v>2.9</v>
      </c>
      <c r="K1388" s="8" t="s">
        <v>321</v>
      </c>
      <c r="L1388" s="8" t="s">
        <v>322</v>
      </c>
      <c r="M1388" s="8" t="s">
        <v>333</v>
      </c>
      <c r="N1388" s="8">
        <v>2.5</v>
      </c>
      <c r="O1388" s="14">
        <f t="shared" si="1"/>
        <v>44348</v>
      </c>
      <c r="P1388" s="15">
        <f>IFERROR(VLOOKUP(K1388,Formula!$A$11:$B$20,2,FALSE),Formula!$C$26)</f>
        <v>0.9</v>
      </c>
      <c r="Q1388" s="15">
        <f>IF(AND(ISNUMBER(J1388),J1388&gt;0),1/J1388,IF(AND(ISNUMBER(I1388),I1388&gt;0),SQRT(MIN(I1388,Formula!$C$27))/Formula!$C$24,1/Formula!$C$25))</f>
        <v>0.3448275862</v>
      </c>
      <c r="R1388" s="15">
        <f t="shared" si="2"/>
        <v>0.3103448276</v>
      </c>
      <c r="S1388" s="15">
        <f>IF(H1388&lt;&gt;"",EXP(-Formula!$C$28*(EOMONTH(H1388,0)-H1388)),EXP(-Formula!$C$28*(EOMONTH(D1388,0)-D1388)))</f>
        <v>0.9512294245</v>
      </c>
      <c r="T1388" s="15">
        <f t="shared" si="3"/>
        <v>0.25</v>
      </c>
      <c r="U1388" s="15">
        <f t="shared" si="4"/>
        <v>0.07380228294</v>
      </c>
      <c r="V1388" s="16">
        <f>IF(AND(L1388="Among all respondents",NOT(OR(K1388="Online poll in Telegram channel",K1388="Website online poll",K1388="CAWI (Computer Assisted Web Interviewing)"))),1/(1-MIN(MAX(Formula!$C$33+(YEAR(D1388)-Formula!$C$34)/(Formula!$C$35-Formula!$C$34)*(Formula!$C$32-Formula!$C$33),Formula!$C$33),Formula!$C$32)),1)</f>
        <v>1</v>
      </c>
      <c r="W1388" s="17">
        <f t="shared" si="5"/>
        <v>2.5</v>
      </c>
    </row>
    <row r="1389" ht="15.75" customHeight="1">
      <c r="A1389" s="8" t="s">
        <v>2173</v>
      </c>
      <c r="B1389" s="7" t="s">
        <v>2161</v>
      </c>
      <c r="C1389" s="13" t="s">
        <v>2162</v>
      </c>
      <c r="D1389" s="7" t="s">
        <v>202</v>
      </c>
      <c r="E1389" s="8" t="s">
        <v>20</v>
      </c>
      <c r="F1389" s="8" t="s">
        <v>318</v>
      </c>
      <c r="G1389" s="7" t="s">
        <v>2163</v>
      </c>
      <c r="H1389" s="7" t="s">
        <v>2164</v>
      </c>
      <c r="I1389" s="8">
        <v>1200.0</v>
      </c>
      <c r="J1389" s="8">
        <v>2.9</v>
      </c>
      <c r="K1389" s="8" t="s">
        <v>321</v>
      </c>
      <c r="L1389" s="8" t="s">
        <v>322</v>
      </c>
      <c r="M1389" s="8" t="s">
        <v>836</v>
      </c>
      <c r="N1389" s="8">
        <v>1.6</v>
      </c>
      <c r="O1389" s="14">
        <f t="shared" si="1"/>
        <v>44348</v>
      </c>
      <c r="P1389" s="15">
        <f>IFERROR(VLOOKUP(K1389,Formula!$A$11:$B$20,2,FALSE),Formula!$C$26)</f>
        <v>0.9</v>
      </c>
      <c r="Q1389" s="15">
        <f>IF(AND(ISNUMBER(J1389),J1389&gt;0),1/J1389,IF(AND(ISNUMBER(I1389),I1389&gt;0),SQRT(MIN(I1389,Formula!$C$27))/Formula!$C$24,1/Formula!$C$25))</f>
        <v>0.3448275862</v>
      </c>
      <c r="R1389" s="15">
        <f t="shared" si="2"/>
        <v>0.3103448276</v>
      </c>
      <c r="S1389" s="15">
        <f>IF(H1389&lt;&gt;"",EXP(-Formula!$C$28*(EOMONTH(H1389,0)-H1389)),EXP(-Formula!$C$28*(EOMONTH(D1389,0)-D1389)))</f>
        <v>0.9512294245</v>
      </c>
      <c r="T1389" s="15">
        <f t="shared" si="3"/>
        <v>0.25</v>
      </c>
      <c r="U1389" s="15">
        <f t="shared" si="4"/>
        <v>0.07380228294</v>
      </c>
      <c r="V1389" s="16">
        <f>IF(AND(L1389="Among all respondents",NOT(OR(K1389="Online poll in Telegram channel",K1389="Website online poll",K1389="CAWI (Computer Assisted Web Interviewing)"))),1/(1-MIN(MAX(Formula!$C$33+(YEAR(D1389)-Formula!$C$34)/(Formula!$C$35-Formula!$C$34)*(Formula!$C$32-Formula!$C$33),Formula!$C$33),Formula!$C$32)),1)</f>
        <v>1</v>
      </c>
      <c r="W1389" s="17">
        <f t="shared" si="5"/>
        <v>1.6</v>
      </c>
    </row>
    <row r="1390" ht="15.75" customHeight="1">
      <c r="A1390" s="8" t="s">
        <v>2174</v>
      </c>
      <c r="B1390" s="7" t="s">
        <v>2161</v>
      </c>
      <c r="C1390" s="13" t="s">
        <v>2162</v>
      </c>
      <c r="D1390" s="7" t="s">
        <v>202</v>
      </c>
      <c r="E1390" s="8" t="s">
        <v>20</v>
      </c>
      <c r="F1390" s="8" t="s">
        <v>318</v>
      </c>
      <c r="G1390" s="7" t="s">
        <v>2163</v>
      </c>
      <c r="H1390" s="7" t="s">
        <v>2164</v>
      </c>
      <c r="I1390" s="8">
        <v>1200.0</v>
      </c>
      <c r="J1390" s="8">
        <v>2.9</v>
      </c>
      <c r="K1390" s="8" t="s">
        <v>321</v>
      </c>
      <c r="L1390" s="8" t="s">
        <v>322</v>
      </c>
      <c r="M1390" s="8" t="s">
        <v>828</v>
      </c>
      <c r="N1390" s="8">
        <v>1.6</v>
      </c>
      <c r="O1390" s="14">
        <f t="shared" si="1"/>
        <v>44348</v>
      </c>
      <c r="P1390" s="15">
        <f>IFERROR(VLOOKUP(K1390,Formula!$A$11:$B$20,2,FALSE),Formula!$C$26)</f>
        <v>0.9</v>
      </c>
      <c r="Q1390" s="15">
        <f>IF(AND(ISNUMBER(J1390),J1390&gt;0),1/J1390,IF(AND(ISNUMBER(I1390),I1390&gt;0),SQRT(MIN(I1390,Formula!$C$27))/Formula!$C$24,1/Formula!$C$25))</f>
        <v>0.3448275862</v>
      </c>
      <c r="R1390" s="15">
        <f t="shared" si="2"/>
        <v>0.3103448276</v>
      </c>
      <c r="S1390" s="15">
        <f>IF(H1390&lt;&gt;"",EXP(-Formula!$C$28*(EOMONTH(H1390,0)-H1390)),EXP(-Formula!$C$28*(EOMONTH(D1390,0)-D1390)))</f>
        <v>0.9512294245</v>
      </c>
      <c r="T1390" s="15">
        <f t="shared" si="3"/>
        <v>0.25</v>
      </c>
      <c r="U1390" s="15">
        <f t="shared" si="4"/>
        <v>0.07380228294</v>
      </c>
      <c r="V1390" s="16">
        <f>IF(AND(L1390="Among all respondents",NOT(OR(K1390="Online poll in Telegram channel",K1390="Website online poll",K1390="CAWI (Computer Assisted Web Interviewing)"))),1/(1-MIN(MAX(Formula!$C$33+(YEAR(D1390)-Formula!$C$34)/(Formula!$C$35-Formula!$C$34)*(Formula!$C$32-Formula!$C$33),Formula!$C$33),Formula!$C$32)),1)</f>
        <v>1</v>
      </c>
      <c r="W1390" s="17">
        <f t="shared" si="5"/>
        <v>1.6</v>
      </c>
    </row>
    <row r="1391" ht="15.75" customHeight="1">
      <c r="A1391" s="8" t="s">
        <v>2175</v>
      </c>
      <c r="B1391" s="7" t="s">
        <v>2161</v>
      </c>
      <c r="C1391" s="13" t="s">
        <v>2162</v>
      </c>
      <c r="D1391" s="7" t="s">
        <v>202</v>
      </c>
      <c r="E1391" s="8" t="s">
        <v>20</v>
      </c>
      <c r="F1391" s="8" t="s">
        <v>318</v>
      </c>
      <c r="G1391" s="7" t="s">
        <v>2163</v>
      </c>
      <c r="H1391" s="7" t="s">
        <v>2164</v>
      </c>
      <c r="I1391" s="8">
        <v>1200.0</v>
      </c>
      <c r="J1391" s="8">
        <v>2.9</v>
      </c>
      <c r="K1391" s="8" t="s">
        <v>321</v>
      </c>
      <c r="L1391" s="8" t="s">
        <v>322</v>
      </c>
      <c r="M1391" s="8" t="s">
        <v>743</v>
      </c>
      <c r="N1391" s="8">
        <v>1.5</v>
      </c>
      <c r="O1391" s="14">
        <f t="shared" si="1"/>
        <v>44348</v>
      </c>
      <c r="P1391" s="15">
        <f>IFERROR(VLOOKUP(K1391,Formula!$A$11:$B$20,2,FALSE),Formula!$C$26)</f>
        <v>0.9</v>
      </c>
      <c r="Q1391" s="15">
        <f>IF(AND(ISNUMBER(J1391),J1391&gt;0),1/J1391,IF(AND(ISNUMBER(I1391),I1391&gt;0),SQRT(MIN(I1391,Formula!$C$27))/Formula!$C$24,1/Formula!$C$25))</f>
        <v>0.3448275862</v>
      </c>
      <c r="R1391" s="15">
        <f t="shared" si="2"/>
        <v>0.3103448276</v>
      </c>
      <c r="S1391" s="15">
        <f>IF(H1391&lt;&gt;"",EXP(-Formula!$C$28*(EOMONTH(H1391,0)-H1391)),EXP(-Formula!$C$28*(EOMONTH(D1391,0)-D1391)))</f>
        <v>0.9512294245</v>
      </c>
      <c r="T1391" s="15">
        <f t="shared" si="3"/>
        <v>0.25</v>
      </c>
      <c r="U1391" s="15">
        <f t="shared" si="4"/>
        <v>0.07380228294</v>
      </c>
      <c r="V1391" s="16">
        <f>IF(AND(L1391="Among all respondents",NOT(OR(K1391="Online poll in Telegram channel",K1391="Website online poll",K1391="CAWI (Computer Assisted Web Interviewing)"))),1/(1-MIN(MAX(Formula!$C$33+(YEAR(D1391)-Formula!$C$34)/(Formula!$C$35-Formula!$C$34)*(Formula!$C$32-Formula!$C$33),Formula!$C$33),Formula!$C$32)),1)</f>
        <v>1</v>
      </c>
      <c r="W1391" s="17">
        <f t="shared" si="5"/>
        <v>1.5</v>
      </c>
    </row>
    <row r="1392" ht="15.75" customHeight="1">
      <c r="A1392" s="8" t="s">
        <v>2176</v>
      </c>
      <c r="B1392" s="7" t="s">
        <v>2161</v>
      </c>
      <c r="C1392" s="13" t="s">
        <v>2162</v>
      </c>
      <c r="D1392" s="7" t="s">
        <v>202</v>
      </c>
      <c r="E1392" s="8" t="s">
        <v>20</v>
      </c>
      <c r="F1392" s="8" t="s">
        <v>318</v>
      </c>
      <c r="G1392" s="7" t="s">
        <v>2163</v>
      </c>
      <c r="H1392" s="7" t="s">
        <v>2164</v>
      </c>
      <c r="I1392" s="8">
        <v>1200.0</v>
      </c>
      <c r="J1392" s="8">
        <v>2.9</v>
      </c>
      <c r="K1392" s="8" t="s">
        <v>321</v>
      </c>
      <c r="L1392" s="8" t="s">
        <v>322</v>
      </c>
      <c r="M1392" s="8" t="s">
        <v>1661</v>
      </c>
      <c r="N1392" s="8">
        <v>0.8</v>
      </c>
      <c r="O1392" s="14">
        <f t="shared" si="1"/>
        <v>44348</v>
      </c>
      <c r="P1392" s="15">
        <f>IFERROR(VLOOKUP(K1392,Formula!$A$11:$B$20,2,FALSE),Formula!$C$26)</f>
        <v>0.9</v>
      </c>
      <c r="Q1392" s="15">
        <f>IF(AND(ISNUMBER(J1392),J1392&gt;0),1/J1392,IF(AND(ISNUMBER(I1392),I1392&gt;0),SQRT(MIN(I1392,Formula!$C$27))/Formula!$C$24,1/Formula!$C$25))</f>
        <v>0.3448275862</v>
      </c>
      <c r="R1392" s="15">
        <f t="shared" si="2"/>
        <v>0.3103448276</v>
      </c>
      <c r="S1392" s="15">
        <f>IF(H1392&lt;&gt;"",EXP(-Formula!$C$28*(EOMONTH(H1392,0)-H1392)),EXP(-Formula!$C$28*(EOMONTH(D1392,0)-D1392)))</f>
        <v>0.9512294245</v>
      </c>
      <c r="T1392" s="15">
        <f t="shared" si="3"/>
        <v>0.25</v>
      </c>
      <c r="U1392" s="15">
        <f t="shared" si="4"/>
        <v>0.07380228294</v>
      </c>
      <c r="V1392" s="16">
        <f>IF(AND(L1392="Among all respondents",NOT(OR(K1392="Online poll in Telegram channel",K1392="Website online poll",K1392="CAWI (Computer Assisted Web Interviewing)"))),1/(1-MIN(MAX(Formula!$C$33+(YEAR(D1392)-Formula!$C$34)/(Formula!$C$35-Formula!$C$34)*(Formula!$C$32-Formula!$C$33),Formula!$C$33),Formula!$C$32)),1)</f>
        <v>1</v>
      </c>
      <c r="W1392" s="17">
        <f t="shared" si="5"/>
        <v>0.8</v>
      </c>
    </row>
    <row r="1393" ht="15.75" customHeight="1">
      <c r="A1393" s="8" t="s">
        <v>2177</v>
      </c>
      <c r="B1393" s="7" t="s">
        <v>2161</v>
      </c>
      <c r="C1393" s="13" t="s">
        <v>2162</v>
      </c>
      <c r="D1393" s="7" t="s">
        <v>202</v>
      </c>
      <c r="E1393" s="8" t="s">
        <v>20</v>
      </c>
      <c r="F1393" s="8" t="s">
        <v>318</v>
      </c>
      <c r="G1393" s="7" t="s">
        <v>2163</v>
      </c>
      <c r="H1393" s="7" t="s">
        <v>2164</v>
      </c>
      <c r="I1393" s="8">
        <v>1200.0</v>
      </c>
      <c r="J1393" s="8">
        <v>2.9</v>
      </c>
      <c r="K1393" s="8" t="s">
        <v>321</v>
      </c>
      <c r="L1393" s="8" t="s">
        <v>322</v>
      </c>
      <c r="M1393" s="8" t="s">
        <v>740</v>
      </c>
      <c r="N1393" s="8">
        <v>0.3</v>
      </c>
      <c r="O1393" s="14">
        <f t="shared" si="1"/>
        <v>44348</v>
      </c>
      <c r="P1393" s="15">
        <f>IFERROR(VLOOKUP(K1393,Formula!$A$11:$B$20,2,FALSE),Formula!$C$26)</f>
        <v>0.9</v>
      </c>
      <c r="Q1393" s="15">
        <f>IF(AND(ISNUMBER(J1393),J1393&gt;0),1/J1393,IF(AND(ISNUMBER(I1393),I1393&gt;0),SQRT(MIN(I1393,Formula!$C$27))/Formula!$C$24,1/Formula!$C$25))</f>
        <v>0.3448275862</v>
      </c>
      <c r="R1393" s="15">
        <f t="shared" si="2"/>
        <v>0.3103448276</v>
      </c>
      <c r="S1393" s="15">
        <f>IF(H1393&lt;&gt;"",EXP(-Formula!$C$28*(EOMONTH(H1393,0)-H1393)),EXP(-Formula!$C$28*(EOMONTH(D1393,0)-D1393)))</f>
        <v>0.9512294245</v>
      </c>
      <c r="T1393" s="15">
        <f t="shared" si="3"/>
        <v>0.25</v>
      </c>
      <c r="U1393" s="15">
        <f t="shared" si="4"/>
        <v>0.07380228294</v>
      </c>
      <c r="V1393" s="16">
        <f>IF(AND(L1393="Among all respondents",NOT(OR(K1393="Online poll in Telegram channel",K1393="Website online poll",K1393="CAWI (Computer Assisted Web Interviewing)"))),1/(1-MIN(MAX(Formula!$C$33+(YEAR(D1393)-Formula!$C$34)/(Formula!$C$35-Formula!$C$34)*(Formula!$C$32-Formula!$C$33),Formula!$C$33),Formula!$C$32)),1)</f>
        <v>1</v>
      </c>
      <c r="W1393" s="17">
        <f t="shared" si="5"/>
        <v>0.3</v>
      </c>
    </row>
    <row r="1394" ht="15.75" customHeight="1">
      <c r="A1394" s="8" t="s">
        <v>2178</v>
      </c>
      <c r="B1394" s="7" t="s">
        <v>2161</v>
      </c>
      <c r="C1394" s="13" t="s">
        <v>2162</v>
      </c>
      <c r="D1394" s="7" t="s">
        <v>202</v>
      </c>
      <c r="E1394" s="8" t="s">
        <v>20</v>
      </c>
      <c r="F1394" s="8" t="s">
        <v>318</v>
      </c>
      <c r="G1394" s="7" t="s">
        <v>2163</v>
      </c>
      <c r="H1394" s="7" t="s">
        <v>2164</v>
      </c>
      <c r="I1394" s="8">
        <v>1200.0</v>
      </c>
      <c r="J1394" s="8">
        <v>2.9</v>
      </c>
      <c r="K1394" s="8" t="s">
        <v>321</v>
      </c>
      <c r="L1394" s="8" t="s">
        <v>322</v>
      </c>
      <c r="M1394" s="8" t="s">
        <v>1171</v>
      </c>
      <c r="N1394" s="8">
        <v>0.1</v>
      </c>
      <c r="O1394" s="14">
        <f t="shared" si="1"/>
        <v>44348</v>
      </c>
      <c r="P1394" s="15">
        <f>IFERROR(VLOOKUP(K1394,Formula!$A$11:$B$20,2,FALSE),Formula!$C$26)</f>
        <v>0.9</v>
      </c>
      <c r="Q1394" s="15">
        <f>IF(AND(ISNUMBER(J1394),J1394&gt;0),1/J1394,IF(AND(ISNUMBER(I1394),I1394&gt;0),SQRT(MIN(I1394,Formula!$C$27))/Formula!$C$24,1/Formula!$C$25))</f>
        <v>0.3448275862</v>
      </c>
      <c r="R1394" s="15">
        <f t="shared" si="2"/>
        <v>0.3103448276</v>
      </c>
      <c r="S1394" s="15">
        <f>IF(H1394&lt;&gt;"",EXP(-Formula!$C$28*(EOMONTH(H1394,0)-H1394)),EXP(-Formula!$C$28*(EOMONTH(D1394,0)-D1394)))</f>
        <v>0.9512294245</v>
      </c>
      <c r="T1394" s="15">
        <f t="shared" si="3"/>
        <v>0.25</v>
      </c>
      <c r="U1394" s="15">
        <f t="shared" si="4"/>
        <v>0.07380228294</v>
      </c>
      <c r="V1394" s="16">
        <f>IF(AND(L1394="Among all respondents",NOT(OR(K1394="Online poll in Telegram channel",K1394="Website online poll",K1394="CAWI (Computer Assisted Web Interviewing)"))),1/(1-MIN(MAX(Formula!$C$33+(YEAR(D1394)-Formula!$C$34)/(Formula!$C$35-Formula!$C$34)*(Formula!$C$32-Formula!$C$33),Formula!$C$33),Formula!$C$32)),1)</f>
        <v>1</v>
      </c>
      <c r="W1394" s="17">
        <f t="shared" si="5"/>
        <v>0.1</v>
      </c>
    </row>
    <row r="1395" ht="15.75" customHeight="1">
      <c r="A1395" s="8" t="s">
        <v>2179</v>
      </c>
      <c r="B1395" s="7" t="s">
        <v>2161</v>
      </c>
      <c r="C1395" s="13" t="s">
        <v>2162</v>
      </c>
      <c r="D1395" s="7" t="s">
        <v>202</v>
      </c>
      <c r="E1395" s="8" t="s">
        <v>20</v>
      </c>
      <c r="F1395" s="8" t="s">
        <v>318</v>
      </c>
      <c r="G1395" s="7" t="s">
        <v>2163</v>
      </c>
      <c r="H1395" s="7" t="s">
        <v>2164</v>
      </c>
      <c r="I1395" s="8">
        <v>1200.0</v>
      </c>
      <c r="J1395" s="8">
        <v>2.9</v>
      </c>
      <c r="K1395" s="8" t="s">
        <v>321</v>
      </c>
      <c r="L1395" s="8" t="s">
        <v>322</v>
      </c>
      <c r="M1395" s="8" t="s">
        <v>1909</v>
      </c>
      <c r="N1395" s="8">
        <v>0.1</v>
      </c>
      <c r="O1395" s="14">
        <f t="shared" si="1"/>
        <v>44348</v>
      </c>
      <c r="P1395" s="15">
        <f>IFERROR(VLOOKUP(K1395,Formula!$A$11:$B$20,2,FALSE),Formula!$C$26)</f>
        <v>0.9</v>
      </c>
      <c r="Q1395" s="15">
        <f>IF(AND(ISNUMBER(J1395),J1395&gt;0),1/J1395,IF(AND(ISNUMBER(I1395),I1395&gt;0),SQRT(MIN(I1395,Formula!$C$27))/Formula!$C$24,1/Formula!$C$25))</f>
        <v>0.3448275862</v>
      </c>
      <c r="R1395" s="15">
        <f t="shared" si="2"/>
        <v>0.3103448276</v>
      </c>
      <c r="S1395" s="15">
        <f>IF(H1395&lt;&gt;"",EXP(-Formula!$C$28*(EOMONTH(H1395,0)-H1395)),EXP(-Formula!$C$28*(EOMONTH(D1395,0)-D1395)))</f>
        <v>0.9512294245</v>
      </c>
      <c r="T1395" s="15">
        <f t="shared" si="3"/>
        <v>0.25</v>
      </c>
      <c r="U1395" s="15">
        <f t="shared" si="4"/>
        <v>0.07380228294</v>
      </c>
      <c r="V1395" s="16">
        <f>IF(AND(L1395="Among all respondents",NOT(OR(K1395="Online poll in Telegram channel",K1395="Website online poll",K1395="CAWI (Computer Assisted Web Interviewing)"))),1/(1-MIN(MAX(Formula!$C$33+(YEAR(D1395)-Formula!$C$34)/(Formula!$C$35-Formula!$C$34)*(Formula!$C$32-Formula!$C$33),Formula!$C$33),Formula!$C$32)),1)</f>
        <v>1</v>
      </c>
      <c r="W1395" s="17">
        <f t="shared" si="5"/>
        <v>0.1</v>
      </c>
    </row>
    <row r="1396" ht="15.75" customHeight="1">
      <c r="A1396" s="8" t="s">
        <v>2180</v>
      </c>
      <c r="B1396" s="7" t="s">
        <v>2181</v>
      </c>
      <c r="C1396" s="13" t="s">
        <v>2182</v>
      </c>
      <c r="D1396" s="7" t="s">
        <v>207</v>
      </c>
      <c r="E1396" s="8" t="s">
        <v>97</v>
      </c>
      <c r="F1396" s="8" t="s">
        <v>318</v>
      </c>
      <c r="G1396" s="7" t="s">
        <v>2183</v>
      </c>
      <c r="H1396" s="7" t="s">
        <v>2184</v>
      </c>
      <c r="I1396" s="8">
        <v>2020.0</v>
      </c>
      <c r="J1396" s="8">
        <v>2.3</v>
      </c>
      <c r="K1396" s="8" t="s">
        <v>583</v>
      </c>
      <c r="L1396" s="8" t="s">
        <v>322</v>
      </c>
      <c r="M1396" s="8" t="s">
        <v>323</v>
      </c>
      <c r="N1396" s="8">
        <v>31.0</v>
      </c>
      <c r="O1396" s="14">
        <f t="shared" si="1"/>
        <v>44348</v>
      </c>
      <c r="P1396" s="15">
        <f>IFERROR(VLOOKUP(K1396,Formula!$A$11:$B$20,2,FALSE),Formula!$C$26)</f>
        <v>0.95</v>
      </c>
      <c r="Q1396" s="15">
        <f>IF(AND(ISNUMBER(J1396),J1396&gt;0),1/J1396,IF(AND(ISNUMBER(I1396),I1396&gt;0),SQRT(MIN(I1396,Formula!$C$27))/Formula!$C$24,1/Formula!$C$25))</f>
        <v>0.4347826087</v>
      </c>
      <c r="R1396" s="15">
        <f t="shared" si="2"/>
        <v>0.4130434783</v>
      </c>
      <c r="S1396" s="15">
        <f>IF(H1396&lt;&gt;"",EXP(-Formula!$C$28*(EOMONTH(H1396,0)-H1396)),EXP(-Formula!$C$28*(EOMONTH(D1396,0)-D1396)))</f>
        <v>0.5488116361</v>
      </c>
      <c r="T1396" s="15">
        <f t="shared" si="3"/>
        <v>0.2886751346</v>
      </c>
      <c r="U1396" s="15">
        <f t="shared" si="4"/>
        <v>0.0654377649</v>
      </c>
      <c r="V1396" s="16">
        <f>IF(AND(L1396="Among all respondents",NOT(OR(K1396="Online poll in Telegram channel",K1396="Website online poll",K1396="CAWI (Computer Assisted Web Interviewing)"))),1/(1-MIN(MAX(Formula!$C$33+(YEAR(D1396)-Formula!$C$34)/(Formula!$C$35-Formula!$C$34)*(Formula!$C$32-Formula!$C$33),Formula!$C$33),Formula!$C$32)),1)</f>
        <v>1</v>
      </c>
      <c r="W1396" s="17">
        <f t="shared" si="5"/>
        <v>31</v>
      </c>
    </row>
    <row r="1397" ht="15.75" customHeight="1">
      <c r="A1397" s="8" t="s">
        <v>2185</v>
      </c>
      <c r="B1397" s="7" t="s">
        <v>2181</v>
      </c>
      <c r="C1397" s="13" t="s">
        <v>2182</v>
      </c>
      <c r="D1397" s="7" t="s">
        <v>207</v>
      </c>
      <c r="E1397" s="8" t="s">
        <v>97</v>
      </c>
      <c r="F1397" s="8" t="s">
        <v>318</v>
      </c>
      <c r="G1397" s="7" t="s">
        <v>2183</v>
      </c>
      <c r="H1397" s="7" t="s">
        <v>2184</v>
      </c>
      <c r="I1397" s="8">
        <v>2020.0</v>
      </c>
      <c r="J1397" s="8">
        <v>2.3</v>
      </c>
      <c r="K1397" s="8" t="s">
        <v>583</v>
      </c>
      <c r="L1397" s="8" t="s">
        <v>322</v>
      </c>
      <c r="M1397" s="8" t="s">
        <v>329</v>
      </c>
      <c r="N1397" s="8">
        <v>18.6</v>
      </c>
      <c r="O1397" s="14">
        <f t="shared" si="1"/>
        <v>44348</v>
      </c>
      <c r="P1397" s="15">
        <f>IFERROR(VLOOKUP(K1397,Formula!$A$11:$B$20,2,FALSE),Formula!$C$26)</f>
        <v>0.95</v>
      </c>
      <c r="Q1397" s="15">
        <f>IF(AND(ISNUMBER(J1397),J1397&gt;0),1/J1397,IF(AND(ISNUMBER(I1397),I1397&gt;0),SQRT(MIN(I1397,Formula!$C$27))/Formula!$C$24,1/Formula!$C$25))</f>
        <v>0.4347826087</v>
      </c>
      <c r="R1397" s="15">
        <f t="shared" si="2"/>
        <v>0.4130434783</v>
      </c>
      <c r="S1397" s="15">
        <f>IF(H1397&lt;&gt;"",EXP(-Formula!$C$28*(EOMONTH(H1397,0)-H1397)),EXP(-Formula!$C$28*(EOMONTH(D1397,0)-D1397)))</f>
        <v>0.5488116361</v>
      </c>
      <c r="T1397" s="15">
        <f t="shared" si="3"/>
        <v>0.2886751346</v>
      </c>
      <c r="U1397" s="15">
        <f t="shared" si="4"/>
        <v>0.0654377649</v>
      </c>
      <c r="V1397" s="16">
        <f>IF(AND(L1397="Among all respondents",NOT(OR(K1397="Online poll in Telegram channel",K1397="Website online poll",K1397="CAWI (Computer Assisted Web Interviewing)"))),1/(1-MIN(MAX(Formula!$C$33+(YEAR(D1397)-Formula!$C$34)/(Formula!$C$35-Formula!$C$34)*(Formula!$C$32-Formula!$C$33),Formula!$C$33),Formula!$C$32)),1)</f>
        <v>1</v>
      </c>
      <c r="W1397" s="17">
        <f t="shared" si="5"/>
        <v>18.6</v>
      </c>
    </row>
    <row r="1398" ht="15.75" customHeight="1">
      <c r="A1398" s="8" t="s">
        <v>2186</v>
      </c>
      <c r="B1398" s="7" t="s">
        <v>2181</v>
      </c>
      <c r="C1398" s="13" t="s">
        <v>2182</v>
      </c>
      <c r="D1398" s="7" t="s">
        <v>207</v>
      </c>
      <c r="E1398" s="8" t="s">
        <v>97</v>
      </c>
      <c r="F1398" s="8" t="s">
        <v>318</v>
      </c>
      <c r="G1398" s="7" t="s">
        <v>2183</v>
      </c>
      <c r="H1398" s="7" t="s">
        <v>2184</v>
      </c>
      <c r="I1398" s="8">
        <v>2020.0</v>
      </c>
      <c r="J1398" s="8">
        <v>2.3</v>
      </c>
      <c r="K1398" s="8" t="s">
        <v>583</v>
      </c>
      <c r="L1398" s="8" t="s">
        <v>322</v>
      </c>
      <c r="M1398" s="8" t="s">
        <v>365</v>
      </c>
      <c r="N1398" s="8">
        <v>12.7</v>
      </c>
      <c r="O1398" s="14">
        <f t="shared" si="1"/>
        <v>44348</v>
      </c>
      <c r="P1398" s="15">
        <f>IFERROR(VLOOKUP(K1398,Formula!$A$11:$B$20,2,FALSE),Formula!$C$26)</f>
        <v>0.95</v>
      </c>
      <c r="Q1398" s="15">
        <f>IF(AND(ISNUMBER(J1398),J1398&gt;0),1/J1398,IF(AND(ISNUMBER(I1398),I1398&gt;0),SQRT(MIN(I1398,Formula!$C$27))/Formula!$C$24,1/Formula!$C$25))</f>
        <v>0.4347826087</v>
      </c>
      <c r="R1398" s="15">
        <f t="shared" si="2"/>
        <v>0.4130434783</v>
      </c>
      <c r="S1398" s="15">
        <f>IF(H1398&lt;&gt;"",EXP(-Formula!$C$28*(EOMONTH(H1398,0)-H1398)),EXP(-Formula!$C$28*(EOMONTH(D1398,0)-D1398)))</f>
        <v>0.5488116361</v>
      </c>
      <c r="T1398" s="15">
        <f t="shared" si="3"/>
        <v>0.2886751346</v>
      </c>
      <c r="U1398" s="15">
        <f t="shared" si="4"/>
        <v>0.0654377649</v>
      </c>
      <c r="V1398" s="16">
        <f>IF(AND(L1398="Among all respondents",NOT(OR(K1398="Online poll in Telegram channel",K1398="Website online poll",K1398="CAWI (Computer Assisted Web Interviewing)"))),1/(1-MIN(MAX(Formula!$C$33+(YEAR(D1398)-Formula!$C$34)/(Formula!$C$35-Formula!$C$34)*(Formula!$C$32-Formula!$C$33),Formula!$C$33),Formula!$C$32)),1)</f>
        <v>1</v>
      </c>
      <c r="W1398" s="17">
        <f t="shared" si="5"/>
        <v>12.7</v>
      </c>
    </row>
    <row r="1399" ht="15.75" customHeight="1">
      <c r="A1399" s="8" t="s">
        <v>2187</v>
      </c>
      <c r="B1399" s="7" t="s">
        <v>2181</v>
      </c>
      <c r="C1399" s="13" t="s">
        <v>2182</v>
      </c>
      <c r="D1399" s="7" t="s">
        <v>207</v>
      </c>
      <c r="E1399" s="8" t="s">
        <v>97</v>
      </c>
      <c r="F1399" s="8" t="s">
        <v>318</v>
      </c>
      <c r="G1399" s="7" t="s">
        <v>2183</v>
      </c>
      <c r="H1399" s="7" t="s">
        <v>2184</v>
      </c>
      <c r="I1399" s="8">
        <v>2020.0</v>
      </c>
      <c r="J1399" s="8">
        <v>2.3</v>
      </c>
      <c r="K1399" s="8" t="s">
        <v>583</v>
      </c>
      <c r="L1399" s="8" t="s">
        <v>322</v>
      </c>
      <c r="M1399" s="8" t="s">
        <v>337</v>
      </c>
      <c r="N1399" s="8">
        <v>11.7</v>
      </c>
      <c r="O1399" s="14">
        <f t="shared" si="1"/>
        <v>44348</v>
      </c>
      <c r="P1399" s="15">
        <f>IFERROR(VLOOKUP(K1399,Formula!$A$11:$B$20,2,FALSE),Formula!$C$26)</f>
        <v>0.95</v>
      </c>
      <c r="Q1399" s="15">
        <f>IF(AND(ISNUMBER(J1399),J1399&gt;0),1/J1399,IF(AND(ISNUMBER(I1399),I1399&gt;0),SQRT(MIN(I1399,Formula!$C$27))/Formula!$C$24,1/Formula!$C$25))</f>
        <v>0.4347826087</v>
      </c>
      <c r="R1399" s="15">
        <f t="shared" si="2"/>
        <v>0.4130434783</v>
      </c>
      <c r="S1399" s="15">
        <f>IF(H1399&lt;&gt;"",EXP(-Formula!$C$28*(EOMONTH(H1399,0)-H1399)),EXP(-Formula!$C$28*(EOMONTH(D1399,0)-D1399)))</f>
        <v>0.5488116361</v>
      </c>
      <c r="T1399" s="15">
        <f t="shared" si="3"/>
        <v>0.2886751346</v>
      </c>
      <c r="U1399" s="15">
        <f t="shared" si="4"/>
        <v>0.0654377649</v>
      </c>
      <c r="V1399" s="16">
        <f>IF(AND(L1399="Among all respondents",NOT(OR(K1399="Online poll in Telegram channel",K1399="Website online poll",K1399="CAWI (Computer Assisted Web Interviewing)"))),1/(1-MIN(MAX(Formula!$C$33+(YEAR(D1399)-Formula!$C$34)/(Formula!$C$35-Formula!$C$34)*(Formula!$C$32-Formula!$C$33),Formula!$C$33),Formula!$C$32)),1)</f>
        <v>1</v>
      </c>
      <c r="W1399" s="17">
        <f t="shared" si="5"/>
        <v>11.7</v>
      </c>
    </row>
    <row r="1400" ht="15.75" customHeight="1">
      <c r="A1400" s="8" t="s">
        <v>2188</v>
      </c>
      <c r="B1400" s="7" t="s">
        <v>2181</v>
      </c>
      <c r="C1400" s="13" t="s">
        <v>2182</v>
      </c>
      <c r="D1400" s="7" t="s">
        <v>207</v>
      </c>
      <c r="E1400" s="8" t="s">
        <v>97</v>
      </c>
      <c r="F1400" s="8" t="s">
        <v>318</v>
      </c>
      <c r="G1400" s="7" t="s">
        <v>2183</v>
      </c>
      <c r="H1400" s="7" t="s">
        <v>2184</v>
      </c>
      <c r="I1400" s="8">
        <v>2020.0</v>
      </c>
      <c r="J1400" s="8">
        <v>2.3</v>
      </c>
      <c r="K1400" s="8" t="s">
        <v>583</v>
      </c>
      <c r="L1400" s="8" t="s">
        <v>322</v>
      </c>
      <c r="M1400" s="8" t="s">
        <v>828</v>
      </c>
      <c r="N1400" s="8">
        <v>5.7</v>
      </c>
      <c r="O1400" s="14">
        <f t="shared" si="1"/>
        <v>44348</v>
      </c>
      <c r="P1400" s="15">
        <f>IFERROR(VLOOKUP(K1400,Formula!$A$11:$B$20,2,FALSE),Formula!$C$26)</f>
        <v>0.95</v>
      </c>
      <c r="Q1400" s="15">
        <f>IF(AND(ISNUMBER(J1400),J1400&gt;0),1/J1400,IF(AND(ISNUMBER(I1400),I1400&gt;0),SQRT(MIN(I1400,Formula!$C$27))/Formula!$C$24,1/Formula!$C$25))</f>
        <v>0.4347826087</v>
      </c>
      <c r="R1400" s="15">
        <f t="shared" si="2"/>
        <v>0.4130434783</v>
      </c>
      <c r="S1400" s="15">
        <f>IF(H1400&lt;&gt;"",EXP(-Formula!$C$28*(EOMONTH(H1400,0)-H1400)),EXP(-Formula!$C$28*(EOMONTH(D1400,0)-D1400)))</f>
        <v>0.5488116361</v>
      </c>
      <c r="T1400" s="15">
        <f t="shared" si="3"/>
        <v>0.2886751346</v>
      </c>
      <c r="U1400" s="15">
        <f t="shared" si="4"/>
        <v>0.0654377649</v>
      </c>
      <c r="V1400" s="16">
        <f>IF(AND(L1400="Among all respondents",NOT(OR(K1400="Online poll in Telegram channel",K1400="Website online poll",K1400="CAWI (Computer Assisted Web Interviewing)"))),1/(1-MIN(MAX(Formula!$C$33+(YEAR(D1400)-Formula!$C$34)/(Formula!$C$35-Formula!$C$34)*(Formula!$C$32-Formula!$C$33),Formula!$C$33),Formula!$C$32)),1)</f>
        <v>1</v>
      </c>
      <c r="W1400" s="17">
        <f t="shared" si="5"/>
        <v>5.7</v>
      </c>
    </row>
    <row r="1401" ht="15.75" customHeight="1">
      <c r="A1401" s="8" t="s">
        <v>2189</v>
      </c>
      <c r="B1401" s="7" t="s">
        <v>2181</v>
      </c>
      <c r="C1401" s="13" t="s">
        <v>2182</v>
      </c>
      <c r="D1401" s="7" t="s">
        <v>207</v>
      </c>
      <c r="E1401" s="8" t="s">
        <v>97</v>
      </c>
      <c r="F1401" s="8" t="s">
        <v>318</v>
      </c>
      <c r="G1401" s="7" t="s">
        <v>2183</v>
      </c>
      <c r="H1401" s="7" t="s">
        <v>2184</v>
      </c>
      <c r="I1401" s="8">
        <v>2020.0</v>
      </c>
      <c r="J1401" s="8">
        <v>2.3</v>
      </c>
      <c r="K1401" s="8" t="s">
        <v>583</v>
      </c>
      <c r="L1401" s="8" t="s">
        <v>322</v>
      </c>
      <c r="M1401" s="8" t="s">
        <v>838</v>
      </c>
      <c r="N1401" s="8">
        <v>3.3</v>
      </c>
      <c r="O1401" s="14">
        <f t="shared" si="1"/>
        <v>44348</v>
      </c>
      <c r="P1401" s="15">
        <f>IFERROR(VLOOKUP(K1401,Formula!$A$11:$B$20,2,FALSE),Formula!$C$26)</f>
        <v>0.95</v>
      </c>
      <c r="Q1401" s="15">
        <f>IF(AND(ISNUMBER(J1401),J1401&gt;0),1/J1401,IF(AND(ISNUMBER(I1401),I1401&gt;0),SQRT(MIN(I1401,Formula!$C$27))/Formula!$C$24,1/Formula!$C$25))</f>
        <v>0.4347826087</v>
      </c>
      <c r="R1401" s="15">
        <f t="shared" si="2"/>
        <v>0.4130434783</v>
      </c>
      <c r="S1401" s="15">
        <f>IF(H1401&lt;&gt;"",EXP(-Formula!$C$28*(EOMONTH(H1401,0)-H1401)),EXP(-Formula!$C$28*(EOMONTH(D1401,0)-D1401)))</f>
        <v>0.5488116361</v>
      </c>
      <c r="T1401" s="15">
        <f t="shared" si="3"/>
        <v>0.2886751346</v>
      </c>
      <c r="U1401" s="15">
        <f t="shared" si="4"/>
        <v>0.0654377649</v>
      </c>
      <c r="V1401" s="16">
        <f>IF(AND(L1401="Among all respondents",NOT(OR(K1401="Online poll in Telegram channel",K1401="Website online poll",K1401="CAWI (Computer Assisted Web Interviewing)"))),1/(1-MIN(MAX(Formula!$C$33+(YEAR(D1401)-Formula!$C$34)/(Formula!$C$35-Formula!$C$34)*(Formula!$C$32-Formula!$C$33),Formula!$C$33),Formula!$C$32)),1)</f>
        <v>1</v>
      </c>
      <c r="W1401" s="17">
        <f t="shared" si="5"/>
        <v>3.3</v>
      </c>
    </row>
    <row r="1402" ht="15.75" customHeight="1">
      <c r="A1402" s="8" t="s">
        <v>2190</v>
      </c>
      <c r="B1402" s="7" t="s">
        <v>2181</v>
      </c>
      <c r="C1402" s="13" t="s">
        <v>2182</v>
      </c>
      <c r="D1402" s="7" t="s">
        <v>207</v>
      </c>
      <c r="E1402" s="8" t="s">
        <v>97</v>
      </c>
      <c r="F1402" s="8" t="s">
        <v>318</v>
      </c>
      <c r="G1402" s="7" t="s">
        <v>2183</v>
      </c>
      <c r="H1402" s="7" t="s">
        <v>2184</v>
      </c>
      <c r="I1402" s="8">
        <v>2020.0</v>
      </c>
      <c r="J1402" s="8">
        <v>2.3</v>
      </c>
      <c r="K1402" s="8" t="s">
        <v>583</v>
      </c>
      <c r="L1402" s="8" t="s">
        <v>322</v>
      </c>
      <c r="M1402" s="8" t="s">
        <v>386</v>
      </c>
      <c r="N1402" s="8">
        <v>2.8</v>
      </c>
      <c r="O1402" s="14">
        <f t="shared" si="1"/>
        <v>44348</v>
      </c>
      <c r="P1402" s="15">
        <f>IFERROR(VLOOKUP(K1402,Formula!$A$11:$B$20,2,FALSE),Formula!$C$26)</f>
        <v>0.95</v>
      </c>
      <c r="Q1402" s="15">
        <f>IF(AND(ISNUMBER(J1402),J1402&gt;0),1/J1402,IF(AND(ISNUMBER(I1402),I1402&gt;0),SQRT(MIN(I1402,Formula!$C$27))/Formula!$C$24,1/Formula!$C$25))</f>
        <v>0.4347826087</v>
      </c>
      <c r="R1402" s="15">
        <f t="shared" si="2"/>
        <v>0.4130434783</v>
      </c>
      <c r="S1402" s="15">
        <f>IF(H1402&lt;&gt;"",EXP(-Formula!$C$28*(EOMONTH(H1402,0)-H1402)),EXP(-Formula!$C$28*(EOMONTH(D1402,0)-D1402)))</f>
        <v>0.5488116361</v>
      </c>
      <c r="T1402" s="15">
        <f t="shared" si="3"/>
        <v>0.2886751346</v>
      </c>
      <c r="U1402" s="15">
        <f t="shared" si="4"/>
        <v>0.0654377649</v>
      </c>
      <c r="V1402" s="16">
        <f>IF(AND(L1402="Among all respondents",NOT(OR(K1402="Online poll in Telegram channel",K1402="Website online poll",K1402="CAWI (Computer Assisted Web Interviewing)"))),1/(1-MIN(MAX(Formula!$C$33+(YEAR(D1402)-Formula!$C$34)/(Formula!$C$35-Formula!$C$34)*(Formula!$C$32-Formula!$C$33),Formula!$C$33),Formula!$C$32)),1)</f>
        <v>1</v>
      </c>
      <c r="W1402" s="17">
        <f t="shared" si="5"/>
        <v>2.8</v>
      </c>
    </row>
    <row r="1403" ht="15.75" customHeight="1">
      <c r="A1403" s="8" t="s">
        <v>2191</v>
      </c>
      <c r="B1403" s="7" t="s">
        <v>2181</v>
      </c>
      <c r="C1403" s="13" t="s">
        <v>2182</v>
      </c>
      <c r="D1403" s="7" t="s">
        <v>207</v>
      </c>
      <c r="E1403" s="8" t="s">
        <v>97</v>
      </c>
      <c r="F1403" s="8" t="s">
        <v>318</v>
      </c>
      <c r="G1403" s="7" t="s">
        <v>2183</v>
      </c>
      <c r="H1403" s="7" t="s">
        <v>2184</v>
      </c>
      <c r="I1403" s="8">
        <v>2020.0</v>
      </c>
      <c r="J1403" s="8">
        <v>2.3</v>
      </c>
      <c r="K1403" s="8" t="s">
        <v>583</v>
      </c>
      <c r="L1403" s="8" t="s">
        <v>322</v>
      </c>
      <c r="M1403" s="8" t="s">
        <v>1398</v>
      </c>
      <c r="N1403" s="8">
        <v>2.2</v>
      </c>
      <c r="O1403" s="14">
        <f t="shared" si="1"/>
        <v>44348</v>
      </c>
      <c r="P1403" s="15">
        <f>IFERROR(VLOOKUP(K1403,Formula!$A$11:$B$20,2,FALSE),Formula!$C$26)</f>
        <v>0.95</v>
      </c>
      <c r="Q1403" s="15">
        <f>IF(AND(ISNUMBER(J1403),J1403&gt;0),1/J1403,IF(AND(ISNUMBER(I1403),I1403&gt;0),SQRT(MIN(I1403,Formula!$C$27))/Formula!$C$24,1/Formula!$C$25))</f>
        <v>0.4347826087</v>
      </c>
      <c r="R1403" s="15">
        <f t="shared" si="2"/>
        <v>0.4130434783</v>
      </c>
      <c r="S1403" s="15">
        <f>IF(H1403&lt;&gt;"",EXP(-Formula!$C$28*(EOMONTH(H1403,0)-H1403)),EXP(-Formula!$C$28*(EOMONTH(D1403,0)-D1403)))</f>
        <v>0.5488116361</v>
      </c>
      <c r="T1403" s="15">
        <f t="shared" si="3"/>
        <v>0.2886751346</v>
      </c>
      <c r="U1403" s="15">
        <f t="shared" si="4"/>
        <v>0.0654377649</v>
      </c>
      <c r="V1403" s="16">
        <f>IF(AND(L1403="Among all respondents",NOT(OR(K1403="Online poll in Telegram channel",K1403="Website online poll",K1403="CAWI (Computer Assisted Web Interviewing)"))),1/(1-MIN(MAX(Formula!$C$33+(YEAR(D1403)-Formula!$C$34)/(Formula!$C$35-Formula!$C$34)*(Formula!$C$32-Formula!$C$33),Formula!$C$33),Formula!$C$32)),1)</f>
        <v>1</v>
      </c>
      <c r="W1403" s="17">
        <f t="shared" si="5"/>
        <v>2.2</v>
      </c>
    </row>
    <row r="1404" ht="15.75" customHeight="1">
      <c r="A1404" s="8" t="s">
        <v>2192</v>
      </c>
      <c r="B1404" s="7" t="s">
        <v>2181</v>
      </c>
      <c r="C1404" s="13" t="s">
        <v>2182</v>
      </c>
      <c r="D1404" s="7" t="s">
        <v>207</v>
      </c>
      <c r="E1404" s="8" t="s">
        <v>97</v>
      </c>
      <c r="F1404" s="8" t="s">
        <v>318</v>
      </c>
      <c r="G1404" s="7" t="s">
        <v>2183</v>
      </c>
      <c r="H1404" s="7" t="s">
        <v>2184</v>
      </c>
      <c r="I1404" s="8">
        <v>2020.0</v>
      </c>
      <c r="J1404" s="8">
        <v>2.3</v>
      </c>
      <c r="K1404" s="8" t="s">
        <v>583</v>
      </c>
      <c r="L1404" s="8" t="s">
        <v>322</v>
      </c>
      <c r="M1404" s="8" t="s">
        <v>388</v>
      </c>
      <c r="N1404" s="8">
        <v>2.1</v>
      </c>
      <c r="O1404" s="14">
        <f t="shared" si="1"/>
        <v>44348</v>
      </c>
      <c r="P1404" s="15">
        <f>IFERROR(VLOOKUP(K1404,Formula!$A$11:$B$20,2,FALSE),Formula!$C$26)</f>
        <v>0.95</v>
      </c>
      <c r="Q1404" s="15">
        <f>IF(AND(ISNUMBER(J1404),J1404&gt;0),1/J1404,IF(AND(ISNUMBER(I1404),I1404&gt;0),SQRT(MIN(I1404,Formula!$C$27))/Formula!$C$24,1/Formula!$C$25))</f>
        <v>0.4347826087</v>
      </c>
      <c r="R1404" s="15">
        <f t="shared" si="2"/>
        <v>0.4130434783</v>
      </c>
      <c r="S1404" s="15">
        <f>IF(H1404&lt;&gt;"",EXP(-Formula!$C$28*(EOMONTH(H1404,0)-H1404)),EXP(-Formula!$C$28*(EOMONTH(D1404,0)-D1404)))</f>
        <v>0.5488116361</v>
      </c>
      <c r="T1404" s="15">
        <f t="shared" si="3"/>
        <v>0.2886751346</v>
      </c>
      <c r="U1404" s="15">
        <f t="shared" si="4"/>
        <v>0.0654377649</v>
      </c>
      <c r="V1404" s="16">
        <f>IF(AND(L1404="Among all respondents",NOT(OR(K1404="Online poll in Telegram channel",K1404="Website online poll",K1404="CAWI (Computer Assisted Web Interviewing)"))),1/(1-MIN(MAX(Formula!$C$33+(YEAR(D1404)-Formula!$C$34)/(Formula!$C$35-Formula!$C$34)*(Formula!$C$32-Formula!$C$33),Formula!$C$33),Formula!$C$32)),1)</f>
        <v>1</v>
      </c>
      <c r="W1404" s="17">
        <f t="shared" si="5"/>
        <v>2.1</v>
      </c>
    </row>
    <row r="1405" ht="15.75" customHeight="1">
      <c r="A1405" s="8" t="s">
        <v>2193</v>
      </c>
      <c r="B1405" s="7" t="s">
        <v>2181</v>
      </c>
      <c r="C1405" s="13" t="s">
        <v>2182</v>
      </c>
      <c r="D1405" s="7" t="s">
        <v>207</v>
      </c>
      <c r="E1405" s="8" t="s">
        <v>97</v>
      </c>
      <c r="F1405" s="8" t="s">
        <v>318</v>
      </c>
      <c r="G1405" s="7" t="s">
        <v>2183</v>
      </c>
      <c r="H1405" s="7" t="s">
        <v>2184</v>
      </c>
      <c r="I1405" s="8">
        <v>2020.0</v>
      </c>
      <c r="J1405" s="8">
        <v>2.3</v>
      </c>
      <c r="K1405" s="8" t="s">
        <v>583</v>
      </c>
      <c r="L1405" s="8" t="s">
        <v>322</v>
      </c>
      <c r="M1405" s="8" t="s">
        <v>333</v>
      </c>
      <c r="N1405" s="8">
        <v>1.8</v>
      </c>
      <c r="O1405" s="14">
        <f t="shared" si="1"/>
        <v>44348</v>
      </c>
      <c r="P1405" s="15">
        <f>IFERROR(VLOOKUP(K1405,Formula!$A$11:$B$20,2,FALSE),Formula!$C$26)</f>
        <v>0.95</v>
      </c>
      <c r="Q1405" s="15">
        <f>IF(AND(ISNUMBER(J1405),J1405&gt;0),1/J1405,IF(AND(ISNUMBER(I1405),I1405&gt;0),SQRT(MIN(I1405,Formula!$C$27))/Formula!$C$24,1/Formula!$C$25))</f>
        <v>0.4347826087</v>
      </c>
      <c r="R1405" s="15">
        <f t="shared" si="2"/>
        <v>0.4130434783</v>
      </c>
      <c r="S1405" s="15">
        <f>IF(H1405&lt;&gt;"",EXP(-Formula!$C$28*(EOMONTH(H1405,0)-H1405)),EXP(-Formula!$C$28*(EOMONTH(D1405,0)-D1405)))</f>
        <v>0.5488116361</v>
      </c>
      <c r="T1405" s="15">
        <f t="shared" si="3"/>
        <v>0.2886751346</v>
      </c>
      <c r="U1405" s="15">
        <f t="shared" si="4"/>
        <v>0.0654377649</v>
      </c>
      <c r="V1405" s="16">
        <f>IF(AND(L1405="Among all respondents",NOT(OR(K1405="Online poll in Telegram channel",K1405="Website online poll",K1405="CAWI (Computer Assisted Web Interviewing)"))),1/(1-MIN(MAX(Formula!$C$33+(YEAR(D1405)-Formula!$C$34)/(Formula!$C$35-Formula!$C$34)*(Formula!$C$32-Formula!$C$33),Formula!$C$33),Formula!$C$32)),1)</f>
        <v>1</v>
      </c>
      <c r="W1405" s="17">
        <f t="shared" si="5"/>
        <v>1.8</v>
      </c>
    </row>
    <row r="1406" ht="15.75" customHeight="1">
      <c r="A1406" s="8" t="s">
        <v>2194</v>
      </c>
      <c r="B1406" s="7" t="s">
        <v>2181</v>
      </c>
      <c r="C1406" s="13" t="s">
        <v>2182</v>
      </c>
      <c r="D1406" s="7" t="s">
        <v>207</v>
      </c>
      <c r="E1406" s="8" t="s">
        <v>97</v>
      </c>
      <c r="F1406" s="8" t="s">
        <v>318</v>
      </c>
      <c r="G1406" s="7" t="s">
        <v>2183</v>
      </c>
      <c r="H1406" s="7" t="s">
        <v>2184</v>
      </c>
      <c r="I1406" s="8">
        <v>2020.0</v>
      </c>
      <c r="J1406" s="8">
        <v>2.3</v>
      </c>
      <c r="K1406" s="8" t="s">
        <v>583</v>
      </c>
      <c r="L1406" s="8" t="s">
        <v>322</v>
      </c>
      <c r="M1406" s="8" t="s">
        <v>345</v>
      </c>
      <c r="N1406" s="8">
        <v>1.1</v>
      </c>
      <c r="O1406" s="14">
        <f t="shared" si="1"/>
        <v>44348</v>
      </c>
      <c r="P1406" s="15">
        <f>IFERROR(VLOOKUP(K1406,Formula!$A$11:$B$20,2,FALSE),Formula!$C$26)</f>
        <v>0.95</v>
      </c>
      <c r="Q1406" s="15">
        <f>IF(AND(ISNUMBER(J1406),J1406&gt;0),1/J1406,IF(AND(ISNUMBER(I1406),I1406&gt;0),SQRT(MIN(I1406,Formula!$C$27))/Formula!$C$24,1/Formula!$C$25))</f>
        <v>0.4347826087</v>
      </c>
      <c r="R1406" s="15">
        <f t="shared" si="2"/>
        <v>0.4130434783</v>
      </c>
      <c r="S1406" s="15">
        <f>IF(H1406&lt;&gt;"",EXP(-Formula!$C$28*(EOMONTH(H1406,0)-H1406)),EXP(-Formula!$C$28*(EOMONTH(D1406,0)-D1406)))</f>
        <v>0.5488116361</v>
      </c>
      <c r="T1406" s="15">
        <f t="shared" si="3"/>
        <v>0.2886751346</v>
      </c>
      <c r="U1406" s="15">
        <f t="shared" si="4"/>
        <v>0.0654377649</v>
      </c>
      <c r="V1406" s="16">
        <f>IF(AND(L1406="Among all respondents",NOT(OR(K1406="Online poll in Telegram channel",K1406="Website online poll",K1406="CAWI (Computer Assisted Web Interviewing)"))),1/(1-MIN(MAX(Formula!$C$33+(YEAR(D1406)-Formula!$C$34)/(Formula!$C$35-Formula!$C$34)*(Formula!$C$32-Formula!$C$33),Formula!$C$33),Formula!$C$32)),1)</f>
        <v>1</v>
      </c>
      <c r="W1406" s="17">
        <f t="shared" si="5"/>
        <v>1.1</v>
      </c>
    </row>
    <row r="1407" ht="15.75" customHeight="1">
      <c r="A1407" s="8" t="s">
        <v>2195</v>
      </c>
      <c r="B1407" s="7" t="s">
        <v>2181</v>
      </c>
      <c r="C1407" s="13" t="s">
        <v>2182</v>
      </c>
      <c r="D1407" s="7" t="s">
        <v>207</v>
      </c>
      <c r="E1407" s="8" t="s">
        <v>97</v>
      </c>
      <c r="F1407" s="8" t="s">
        <v>318</v>
      </c>
      <c r="G1407" s="7" t="s">
        <v>2183</v>
      </c>
      <c r="H1407" s="7" t="s">
        <v>2184</v>
      </c>
      <c r="I1407" s="8">
        <v>2020.0</v>
      </c>
      <c r="J1407" s="8">
        <v>2.3</v>
      </c>
      <c r="K1407" s="8" t="s">
        <v>583</v>
      </c>
      <c r="L1407" s="8" t="s">
        <v>322</v>
      </c>
      <c r="M1407" s="8" t="s">
        <v>343</v>
      </c>
      <c r="N1407" s="8">
        <v>1.1</v>
      </c>
      <c r="O1407" s="14">
        <f t="shared" si="1"/>
        <v>44348</v>
      </c>
      <c r="P1407" s="15">
        <f>IFERROR(VLOOKUP(K1407,Formula!$A$11:$B$20,2,FALSE),Formula!$C$26)</f>
        <v>0.95</v>
      </c>
      <c r="Q1407" s="15">
        <f>IF(AND(ISNUMBER(J1407),J1407&gt;0),1/J1407,IF(AND(ISNUMBER(I1407),I1407&gt;0),SQRT(MIN(I1407,Formula!$C$27))/Formula!$C$24,1/Formula!$C$25))</f>
        <v>0.4347826087</v>
      </c>
      <c r="R1407" s="15">
        <f t="shared" si="2"/>
        <v>0.4130434783</v>
      </c>
      <c r="S1407" s="15">
        <f>IF(H1407&lt;&gt;"",EXP(-Formula!$C$28*(EOMONTH(H1407,0)-H1407)),EXP(-Formula!$C$28*(EOMONTH(D1407,0)-D1407)))</f>
        <v>0.5488116361</v>
      </c>
      <c r="T1407" s="15">
        <f t="shared" si="3"/>
        <v>0.2886751346</v>
      </c>
      <c r="U1407" s="15">
        <f t="shared" si="4"/>
        <v>0.0654377649</v>
      </c>
      <c r="V1407" s="16">
        <f>IF(AND(L1407="Among all respondents",NOT(OR(K1407="Online poll in Telegram channel",K1407="Website online poll",K1407="CAWI (Computer Assisted Web Interviewing)"))),1/(1-MIN(MAX(Formula!$C$33+(YEAR(D1407)-Formula!$C$34)/(Formula!$C$35-Formula!$C$34)*(Formula!$C$32-Formula!$C$33),Formula!$C$33),Formula!$C$32)),1)</f>
        <v>1</v>
      </c>
      <c r="W1407" s="17">
        <f t="shared" si="5"/>
        <v>1.1</v>
      </c>
    </row>
    <row r="1408" ht="15.75" customHeight="1">
      <c r="A1408" s="8" t="s">
        <v>2196</v>
      </c>
      <c r="B1408" s="7" t="s">
        <v>2197</v>
      </c>
      <c r="C1408" s="13" t="s">
        <v>2198</v>
      </c>
      <c r="D1408" s="7" t="s">
        <v>199</v>
      </c>
      <c r="E1408" s="8" t="s">
        <v>72</v>
      </c>
      <c r="F1408" s="8" t="s">
        <v>318</v>
      </c>
      <c r="G1408" s="7" t="s">
        <v>194</v>
      </c>
      <c r="H1408" s="7" t="s">
        <v>2199</v>
      </c>
      <c r="I1408" s="8">
        <v>2003.0</v>
      </c>
      <c r="J1408" s="8">
        <v>2.4</v>
      </c>
      <c r="K1408" s="8" t="s">
        <v>321</v>
      </c>
      <c r="L1408" s="8" t="s">
        <v>322</v>
      </c>
      <c r="M1408" s="8" t="s">
        <v>323</v>
      </c>
      <c r="N1408" s="8">
        <v>30.6</v>
      </c>
      <c r="O1408" s="14">
        <f t="shared" si="1"/>
        <v>44348</v>
      </c>
      <c r="P1408" s="15">
        <f>IFERROR(VLOOKUP(K1408,Formula!$A$11:$B$20,2,FALSE),Formula!$C$26)</f>
        <v>0.9</v>
      </c>
      <c r="Q1408" s="15">
        <f>IF(AND(ISNUMBER(J1408),J1408&gt;0),1/J1408,IF(AND(ISNUMBER(I1408),I1408&gt;0),SQRT(MIN(I1408,Formula!$C$27))/Formula!$C$24,1/Formula!$C$25))</f>
        <v>0.4166666667</v>
      </c>
      <c r="R1408" s="15">
        <f t="shared" si="2"/>
        <v>0.375</v>
      </c>
      <c r="S1408" s="15">
        <f>IF(H1408&lt;&gt;"",EXP(-Formula!$C$28*(EOMONTH(H1408,0)-H1408)),EXP(-Formula!$C$28*(EOMONTH(D1408,0)-D1408)))</f>
        <v>0.3166367694</v>
      </c>
      <c r="T1408" s="15">
        <f t="shared" si="3"/>
        <v>0.2085144141</v>
      </c>
      <c r="U1408" s="15">
        <f t="shared" si="4"/>
        <v>0.02475874891</v>
      </c>
      <c r="V1408" s="16">
        <f>IF(AND(L1408="Among all respondents",NOT(OR(K1408="Online poll in Telegram channel",K1408="Website online poll",K1408="CAWI (Computer Assisted Web Interviewing)"))),1/(1-MIN(MAX(Formula!$C$33+(YEAR(D1408)-Formula!$C$34)/(Formula!$C$35-Formula!$C$34)*(Formula!$C$32-Formula!$C$33),Formula!$C$33),Formula!$C$32)),1)</f>
        <v>1</v>
      </c>
      <c r="W1408" s="17">
        <f t="shared" si="5"/>
        <v>30.6</v>
      </c>
    </row>
    <row r="1409" ht="15.75" customHeight="1">
      <c r="A1409" s="8" t="s">
        <v>2200</v>
      </c>
      <c r="B1409" s="7" t="s">
        <v>2197</v>
      </c>
      <c r="C1409" s="13" t="s">
        <v>2198</v>
      </c>
      <c r="D1409" s="7" t="s">
        <v>199</v>
      </c>
      <c r="E1409" s="8" t="s">
        <v>72</v>
      </c>
      <c r="F1409" s="8" t="s">
        <v>318</v>
      </c>
      <c r="G1409" s="7" t="s">
        <v>194</v>
      </c>
      <c r="H1409" s="7" t="s">
        <v>2199</v>
      </c>
      <c r="I1409" s="8">
        <v>2003.0</v>
      </c>
      <c r="J1409" s="8">
        <v>2.4</v>
      </c>
      <c r="K1409" s="8" t="s">
        <v>321</v>
      </c>
      <c r="L1409" s="8" t="s">
        <v>322</v>
      </c>
      <c r="M1409" s="8" t="s">
        <v>329</v>
      </c>
      <c r="N1409" s="8">
        <v>17.4</v>
      </c>
      <c r="O1409" s="14">
        <f t="shared" si="1"/>
        <v>44348</v>
      </c>
      <c r="P1409" s="15">
        <f>IFERROR(VLOOKUP(K1409,Formula!$A$11:$B$20,2,FALSE),Formula!$C$26)</f>
        <v>0.9</v>
      </c>
      <c r="Q1409" s="15">
        <f>IF(AND(ISNUMBER(J1409),J1409&gt;0),1/J1409,IF(AND(ISNUMBER(I1409),I1409&gt;0),SQRT(MIN(I1409,Formula!$C$27))/Formula!$C$24,1/Formula!$C$25))</f>
        <v>0.4166666667</v>
      </c>
      <c r="R1409" s="15">
        <f t="shared" si="2"/>
        <v>0.375</v>
      </c>
      <c r="S1409" s="15">
        <f>IF(H1409&lt;&gt;"",EXP(-Formula!$C$28*(EOMONTH(H1409,0)-H1409)),EXP(-Formula!$C$28*(EOMONTH(D1409,0)-D1409)))</f>
        <v>0.3166367694</v>
      </c>
      <c r="T1409" s="15">
        <f t="shared" si="3"/>
        <v>0.2085144141</v>
      </c>
      <c r="U1409" s="15">
        <f t="shared" si="4"/>
        <v>0.02475874891</v>
      </c>
      <c r="V1409" s="16">
        <f>IF(AND(L1409="Among all respondents",NOT(OR(K1409="Online poll in Telegram channel",K1409="Website online poll",K1409="CAWI (Computer Assisted Web Interviewing)"))),1/(1-MIN(MAX(Formula!$C$33+(YEAR(D1409)-Formula!$C$34)/(Formula!$C$35-Formula!$C$34)*(Formula!$C$32-Formula!$C$33),Formula!$C$33),Formula!$C$32)),1)</f>
        <v>1</v>
      </c>
      <c r="W1409" s="17">
        <f t="shared" si="5"/>
        <v>17.4</v>
      </c>
    </row>
    <row r="1410" ht="15.75" customHeight="1">
      <c r="A1410" s="8" t="s">
        <v>2201</v>
      </c>
      <c r="B1410" s="7" t="s">
        <v>2197</v>
      </c>
      <c r="C1410" s="13" t="s">
        <v>2198</v>
      </c>
      <c r="D1410" s="7" t="s">
        <v>199</v>
      </c>
      <c r="E1410" s="8" t="s">
        <v>72</v>
      </c>
      <c r="F1410" s="8" t="s">
        <v>318</v>
      </c>
      <c r="G1410" s="7" t="s">
        <v>194</v>
      </c>
      <c r="H1410" s="7" t="s">
        <v>2199</v>
      </c>
      <c r="I1410" s="8">
        <v>2003.0</v>
      </c>
      <c r="J1410" s="8">
        <v>2.4</v>
      </c>
      <c r="K1410" s="8" t="s">
        <v>321</v>
      </c>
      <c r="L1410" s="8" t="s">
        <v>322</v>
      </c>
      <c r="M1410" s="8" t="s">
        <v>337</v>
      </c>
      <c r="N1410" s="8">
        <v>12.7</v>
      </c>
      <c r="O1410" s="14">
        <f t="shared" si="1"/>
        <v>44348</v>
      </c>
      <c r="P1410" s="15">
        <f>IFERROR(VLOOKUP(K1410,Formula!$A$11:$B$20,2,FALSE),Formula!$C$26)</f>
        <v>0.9</v>
      </c>
      <c r="Q1410" s="15">
        <f>IF(AND(ISNUMBER(J1410),J1410&gt;0),1/J1410,IF(AND(ISNUMBER(I1410),I1410&gt;0),SQRT(MIN(I1410,Formula!$C$27))/Formula!$C$24,1/Formula!$C$25))</f>
        <v>0.4166666667</v>
      </c>
      <c r="R1410" s="15">
        <f t="shared" si="2"/>
        <v>0.375</v>
      </c>
      <c r="S1410" s="15">
        <f>IF(H1410&lt;&gt;"",EXP(-Formula!$C$28*(EOMONTH(H1410,0)-H1410)),EXP(-Formula!$C$28*(EOMONTH(D1410,0)-D1410)))</f>
        <v>0.3166367694</v>
      </c>
      <c r="T1410" s="15">
        <f t="shared" si="3"/>
        <v>0.2085144141</v>
      </c>
      <c r="U1410" s="15">
        <f t="shared" si="4"/>
        <v>0.02475874891</v>
      </c>
      <c r="V1410" s="16">
        <f>IF(AND(L1410="Among all respondents",NOT(OR(K1410="Online poll in Telegram channel",K1410="Website online poll",K1410="CAWI (Computer Assisted Web Interviewing)"))),1/(1-MIN(MAX(Formula!$C$33+(YEAR(D1410)-Formula!$C$34)/(Formula!$C$35-Formula!$C$34)*(Formula!$C$32-Formula!$C$33),Formula!$C$33),Formula!$C$32)),1)</f>
        <v>1</v>
      </c>
      <c r="W1410" s="17">
        <f t="shared" si="5"/>
        <v>12.7</v>
      </c>
    </row>
    <row r="1411" ht="15.75" customHeight="1">
      <c r="A1411" s="8" t="s">
        <v>2202</v>
      </c>
      <c r="B1411" s="7" t="s">
        <v>2197</v>
      </c>
      <c r="C1411" s="13" t="s">
        <v>2198</v>
      </c>
      <c r="D1411" s="7" t="s">
        <v>199</v>
      </c>
      <c r="E1411" s="8" t="s">
        <v>72</v>
      </c>
      <c r="F1411" s="8" t="s">
        <v>318</v>
      </c>
      <c r="G1411" s="7" t="s">
        <v>194</v>
      </c>
      <c r="H1411" s="7" t="s">
        <v>2199</v>
      </c>
      <c r="I1411" s="8">
        <v>2003.0</v>
      </c>
      <c r="J1411" s="8">
        <v>2.4</v>
      </c>
      <c r="K1411" s="8" t="s">
        <v>321</v>
      </c>
      <c r="L1411" s="8" t="s">
        <v>322</v>
      </c>
      <c r="M1411" s="8" t="s">
        <v>365</v>
      </c>
      <c r="N1411" s="8">
        <v>10.6</v>
      </c>
      <c r="O1411" s="14">
        <f t="shared" si="1"/>
        <v>44348</v>
      </c>
      <c r="P1411" s="15">
        <f>IFERROR(VLOOKUP(K1411,Formula!$A$11:$B$20,2,FALSE),Formula!$C$26)</f>
        <v>0.9</v>
      </c>
      <c r="Q1411" s="15">
        <f>IF(AND(ISNUMBER(J1411),J1411&gt;0),1/J1411,IF(AND(ISNUMBER(I1411),I1411&gt;0),SQRT(MIN(I1411,Formula!$C$27))/Formula!$C$24,1/Formula!$C$25))</f>
        <v>0.4166666667</v>
      </c>
      <c r="R1411" s="15">
        <f t="shared" si="2"/>
        <v>0.375</v>
      </c>
      <c r="S1411" s="15">
        <f>IF(H1411&lt;&gt;"",EXP(-Formula!$C$28*(EOMONTH(H1411,0)-H1411)),EXP(-Formula!$C$28*(EOMONTH(D1411,0)-D1411)))</f>
        <v>0.3166367694</v>
      </c>
      <c r="T1411" s="15">
        <f t="shared" si="3"/>
        <v>0.2085144141</v>
      </c>
      <c r="U1411" s="15">
        <f t="shared" si="4"/>
        <v>0.02475874891</v>
      </c>
      <c r="V1411" s="16">
        <f>IF(AND(L1411="Among all respondents",NOT(OR(K1411="Online poll in Telegram channel",K1411="Website online poll",K1411="CAWI (Computer Assisted Web Interviewing)"))),1/(1-MIN(MAX(Formula!$C$33+(YEAR(D1411)-Formula!$C$34)/(Formula!$C$35-Formula!$C$34)*(Formula!$C$32-Formula!$C$33),Formula!$C$33),Formula!$C$32)),1)</f>
        <v>1</v>
      </c>
      <c r="W1411" s="17">
        <f t="shared" si="5"/>
        <v>10.6</v>
      </c>
    </row>
    <row r="1412" ht="15.75" customHeight="1">
      <c r="A1412" s="8" t="s">
        <v>2203</v>
      </c>
      <c r="B1412" s="7" t="s">
        <v>2197</v>
      </c>
      <c r="C1412" s="13" t="s">
        <v>2198</v>
      </c>
      <c r="D1412" s="7" t="s">
        <v>199</v>
      </c>
      <c r="E1412" s="8" t="s">
        <v>72</v>
      </c>
      <c r="F1412" s="8" t="s">
        <v>318</v>
      </c>
      <c r="G1412" s="7" t="s">
        <v>194</v>
      </c>
      <c r="H1412" s="7" t="s">
        <v>2199</v>
      </c>
      <c r="I1412" s="8">
        <v>2003.0</v>
      </c>
      <c r="J1412" s="8">
        <v>2.4</v>
      </c>
      <c r="K1412" s="8" t="s">
        <v>321</v>
      </c>
      <c r="L1412" s="8" t="s">
        <v>322</v>
      </c>
      <c r="M1412" s="8" t="s">
        <v>828</v>
      </c>
      <c r="N1412" s="8">
        <v>8.1</v>
      </c>
      <c r="O1412" s="14">
        <f t="shared" si="1"/>
        <v>44348</v>
      </c>
      <c r="P1412" s="15">
        <f>IFERROR(VLOOKUP(K1412,Formula!$A$11:$B$20,2,FALSE),Formula!$C$26)</f>
        <v>0.9</v>
      </c>
      <c r="Q1412" s="15">
        <f>IF(AND(ISNUMBER(J1412),J1412&gt;0),1/J1412,IF(AND(ISNUMBER(I1412),I1412&gt;0),SQRT(MIN(I1412,Formula!$C$27))/Formula!$C$24,1/Formula!$C$25))</f>
        <v>0.4166666667</v>
      </c>
      <c r="R1412" s="15">
        <f t="shared" si="2"/>
        <v>0.375</v>
      </c>
      <c r="S1412" s="15">
        <f>IF(H1412&lt;&gt;"",EXP(-Formula!$C$28*(EOMONTH(H1412,0)-H1412)),EXP(-Formula!$C$28*(EOMONTH(D1412,0)-D1412)))</f>
        <v>0.3166367694</v>
      </c>
      <c r="T1412" s="15">
        <f t="shared" si="3"/>
        <v>0.2085144141</v>
      </c>
      <c r="U1412" s="15">
        <f t="shared" si="4"/>
        <v>0.02475874891</v>
      </c>
      <c r="V1412" s="16">
        <f>IF(AND(L1412="Among all respondents",NOT(OR(K1412="Online poll in Telegram channel",K1412="Website online poll",K1412="CAWI (Computer Assisted Web Interviewing)"))),1/(1-MIN(MAX(Formula!$C$33+(YEAR(D1412)-Formula!$C$34)/(Formula!$C$35-Formula!$C$34)*(Formula!$C$32-Formula!$C$33),Formula!$C$33),Formula!$C$32)),1)</f>
        <v>1</v>
      </c>
      <c r="W1412" s="17">
        <f t="shared" si="5"/>
        <v>8.1</v>
      </c>
    </row>
    <row r="1413" ht="15.75" customHeight="1">
      <c r="A1413" s="8" t="s">
        <v>2204</v>
      </c>
      <c r="B1413" s="7" t="s">
        <v>2197</v>
      </c>
      <c r="C1413" s="13" t="s">
        <v>2198</v>
      </c>
      <c r="D1413" s="7" t="s">
        <v>199</v>
      </c>
      <c r="E1413" s="8" t="s">
        <v>72</v>
      </c>
      <c r="F1413" s="8" t="s">
        <v>318</v>
      </c>
      <c r="G1413" s="7" t="s">
        <v>194</v>
      </c>
      <c r="H1413" s="7" t="s">
        <v>2199</v>
      </c>
      <c r="I1413" s="8">
        <v>2003.0</v>
      </c>
      <c r="J1413" s="8">
        <v>2.4</v>
      </c>
      <c r="K1413" s="8" t="s">
        <v>321</v>
      </c>
      <c r="L1413" s="8" t="s">
        <v>322</v>
      </c>
      <c r="M1413" s="8" t="s">
        <v>386</v>
      </c>
      <c r="N1413" s="8">
        <v>5.8</v>
      </c>
      <c r="O1413" s="14">
        <f t="shared" si="1"/>
        <v>44348</v>
      </c>
      <c r="P1413" s="15">
        <f>IFERROR(VLOOKUP(K1413,Formula!$A$11:$B$20,2,FALSE),Formula!$C$26)</f>
        <v>0.9</v>
      </c>
      <c r="Q1413" s="15">
        <f>IF(AND(ISNUMBER(J1413),J1413&gt;0),1/J1413,IF(AND(ISNUMBER(I1413),I1413&gt;0),SQRT(MIN(I1413,Formula!$C$27))/Formula!$C$24,1/Formula!$C$25))</f>
        <v>0.4166666667</v>
      </c>
      <c r="R1413" s="15">
        <f t="shared" si="2"/>
        <v>0.375</v>
      </c>
      <c r="S1413" s="15">
        <f>IF(H1413&lt;&gt;"",EXP(-Formula!$C$28*(EOMONTH(H1413,0)-H1413)),EXP(-Formula!$C$28*(EOMONTH(D1413,0)-D1413)))</f>
        <v>0.3166367694</v>
      </c>
      <c r="T1413" s="15">
        <f t="shared" si="3"/>
        <v>0.2085144141</v>
      </c>
      <c r="U1413" s="15">
        <f t="shared" si="4"/>
        <v>0.02475874891</v>
      </c>
      <c r="V1413" s="16">
        <f>IF(AND(L1413="Among all respondents",NOT(OR(K1413="Online poll in Telegram channel",K1413="Website online poll",K1413="CAWI (Computer Assisted Web Interviewing)"))),1/(1-MIN(MAX(Formula!$C$33+(YEAR(D1413)-Formula!$C$34)/(Formula!$C$35-Formula!$C$34)*(Formula!$C$32-Formula!$C$33),Formula!$C$33),Formula!$C$32)),1)</f>
        <v>1</v>
      </c>
      <c r="W1413" s="17">
        <f t="shared" si="5"/>
        <v>5.8</v>
      </c>
    </row>
    <row r="1414" ht="15.75" customHeight="1">
      <c r="A1414" s="8" t="s">
        <v>2205</v>
      </c>
      <c r="B1414" s="7" t="s">
        <v>2197</v>
      </c>
      <c r="C1414" s="13" t="s">
        <v>2198</v>
      </c>
      <c r="D1414" s="7" t="s">
        <v>199</v>
      </c>
      <c r="E1414" s="8" t="s">
        <v>72</v>
      </c>
      <c r="F1414" s="8" t="s">
        <v>318</v>
      </c>
      <c r="G1414" s="7" t="s">
        <v>194</v>
      </c>
      <c r="H1414" s="7" t="s">
        <v>2199</v>
      </c>
      <c r="I1414" s="8">
        <v>2003.0</v>
      </c>
      <c r="J1414" s="8">
        <v>2.4</v>
      </c>
      <c r="K1414" s="8" t="s">
        <v>321</v>
      </c>
      <c r="L1414" s="8" t="s">
        <v>322</v>
      </c>
      <c r="M1414" s="8" t="s">
        <v>1153</v>
      </c>
      <c r="N1414" s="8">
        <v>5.5</v>
      </c>
      <c r="O1414" s="14">
        <f t="shared" si="1"/>
        <v>44348</v>
      </c>
      <c r="P1414" s="15">
        <f>IFERROR(VLOOKUP(K1414,Formula!$A$11:$B$20,2,FALSE),Formula!$C$26)</f>
        <v>0.9</v>
      </c>
      <c r="Q1414" s="15">
        <f>IF(AND(ISNUMBER(J1414),J1414&gt;0),1/J1414,IF(AND(ISNUMBER(I1414),I1414&gt;0),SQRT(MIN(I1414,Formula!$C$27))/Formula!$C$24,1/Formula!$C$25))</f>
        <v>0.4166666667</v>
      </c>
      <c r="R1414" s="15">
        <f t="shared" si="2"/>
        <v>0.375</v>
      </c>
      <c r="S1414" s="15">
        <f>IF(H1414&lt;&gt;"",EXP(-Formula!$C$28*(EOMONTH(H1414,0)-H1414)),EXP(-Formula!$C$28*(EOMONTH(D1414,0)-D1414)))</f>
        <v>0.3166367694</v>
      </c>
      <c r="T1414" s="15">
        <f t="shared" si="3"/>
        <v>0.2085144141</v>
      </c>
      <c r="U1414" s="15">
        <f t="shared" si="4"/>
        <v>0.02475874891</v>
      </c>
      <c r="V1414" s="16">
        <f>IF(AND(L1414="Among all respondents",NOT(OR(K1414="Online poll in Telegram channel",K1414="Website online poll",K1414="CAWI (Computer Assisted Web Interviewing)"))),1/(1-MIN(MAX(Formula!$C$33+(YEAR(D1414)-Formula!$C$34)/(Formula!$C$35-Formula!$C$34)*(Formula!$C$32-Formula!$C$33),Formula!$C$33),Formula!$C$32)),1)</f>
        <v>1</v>
      </c>
      <c r="W1414" s="17">
        <f t="shared" si="5"/>
        <v>5.5</v>
      </c>
    </row>
    <row r="1415" ht="15.75" customHeight="1">
      <c r="A1415" s="8" t="s">
        <v>2206</v>
      </c>
      <c r="B1415" s="7" t="s">
        <v>2197</v>
      </c>
      <c r="C1415" s="13" t="s">
        <v>2198</v>
      </c>
      <c r="D1415" s="7" t="s">
        <v>199</v>
      </c>
      <c r="E1415" s="8" t="s">
        <v>72</v>
      </c>
      <c r="F1415" s="8" t="s">
        <v>318</v>
      </c>
      <c r="G1415" s="7" t="s">
        <v>194</v>
      </c>
      <c r="H1415" s="7" t="s">
        <v>2199</v>
      </c>
      <c r="I1415" s="8">
        <v>2003.0</v>
      </c>
      <c r="J1415" s="8">
        <v>2.4</v>
      </c>
      <c r="K1415" s="8" t="s">
        <v>321</v>
      </c>
      <c r="L1415" s="8" t="s">
        <v>322</v>
      </c>
      <c r="M1415" s="8" t="s">
        <v>388</v>
      </c>
      <c r="N1415" s="8">
        <v>4.0</v>
      </c>
      <c r="O1415" s="14">
        <f t="shared" si="1"/>
        <v>44348</v>
      </c>
      <c r="P1415" s="15">
        <f>IFERROR(VLOOKUP(K1415,Formula!$A$11:$B$20,2,FALSE),Formula!$C$26)</f>
        <v>0.9</v>
      </c>
      <c r="Q1415" s="15">
        <f>IF(AND(ISNUMBER(J1415),J1415&gt;0),1/J1415,IF(AND(ISNUMBER(I1415),I1415&gt;0),SQRT(MIN(I1415,Formula!$C$27))/Formula!$C$24,1/Formula!$C$25))</f>
        <v>0.4166666667</v>
      </c>
      <c r="R1415" s="15">
        <f t="shared" si="2"/>
        <v>0.375</v>
      </c>
      <c r="S1415" s="15">
        <f>IF(H1415&lt;&gt;"",EXP(-Formula!$C$28*(EOMONTH(H1415,0)-H1415)),EXP(-Formula!$C$28*(EOMONTH(D1415,0)-D1415)))</f>
        <v>0.3166367694</v>
      </c>
      <c r="T1415" s="15">
        <f t="shared" si="3"/>
        <v>0.2085144141</v>
      </c>
      <c r="U1415" s="15">
        <f t="shared" si="4"/>
        <v>0.02475874891</v>
      </c>
      <c r="V1415" s="16">
        <f>IF(AND(L1415="Among all respondents",NOT(OR(K1415="Online poll in Telegram channel",K1415="Website online poll",K1415="CAWI (Computer Assisted Web Interviewing)"))),1/(1-MIN(MAX(Formula!$C$33+(YEAR(D1415)-Formula!$C$34)/(Formula!$C$35-Formula!$C$34)*(Formula!$C$32-Formula!$C$33),Formula!$C$33),Formula!$C$32)),1)</f>
        <v>1</v>
      </c>
      <c r="W1415" s="17">
        <f t="shared" si="5"/>
        <v>4</v>
      </c>
    </row>
    <row r="1416" ht="15.75" customHeight="1">
      <c r="A1416" s="8" t="s">
        <v>2207</v>
      </c>
      <c r="B1416" s="7" t="s">
        <v>2197</v>
      </c>
      <c r="C1416" s="13" t="s">
        <v>2198</v>
      </c>
      <c r="D1416" s="7" t="s">
        <v>199</v>
      </c>
      <c r="E1416" s="8" t="s">
        <v>72</v>
      </c>
      <c r="F1416" s="8" t="s">
        <v>318</v>
      </c>
      <c r="G1416" s="7" t="s">
        <v>194</v>
      </c>
      <c r="H1416" s="7" t="s">
        <v>2199</v>
      </c>
      <c r="I1416" s="8">
        <v>2003.0</v>
      </c>
      <c r="J1416" s="8">
        <v>2.4</v>
      </c>
      <c r="K1416" s="8" t="s">
        <v>321</v>
      </c>
      <c r="L1416" s="8" t="s">
        <v>322</v>
      </c>
      <c r="M1416" s="8" t="s">
        <v>345</v>
      </c>
      <c r="N1416" s="8">
        <v>1.5</v>
      </c>
      <c r="O1416" s="14">
        <f t="shared" si="1"/>
        <v>44348</v>
      </c>
      <c r="P1416" s="15">
        <f>IFERROR(VLOOKUP(K1416,Formula!$A$11:$B$20,2,FALSE),Formula!$C$26)</f>
        <v>0.9</v>
      </c>
      <c r="Q1416" s="15">
        <f>IF(AND(ISNUMBER(J1416),J1416&gt;0),1/J1416,IF(AND(ISNUMBER(I1416),I1416&gt;0),SQRT(MIN(I1416,Formula!$C$27))/Formula!$C$24,1/Formula!$C$25))</f>
        <v>0.4166666667</v>
      </c>
      <c r="R1416" s="15">
        <f t="shared" si="2"/>
        <v>0.375</v>
      </c>
      <c r="S1416" s="15">
        <f>IF(H1416&lt;&gt;"",EXP(-Formula!$C$28*(EOMONTH(H1416,0)-H1416)),EXP(-Formula!$C$28*(EOMONTH(D1416,0)-D1416)))</f>
        <v>0.3166367694</v>
      </c>
      <c r="T1416" s="15">
        <f t="shared" si="3"/>
        <v>0.2085144141</v>
      </c>
      <c r="U1416" s="15">
        <f t="shared" si="4"/>
        <v>0.02475874891</v>
      </c>
      <c r="V1416" s="16">
        <f>IF(AND(L1416="Among all respondents",NOT(OR(K1416="Online poll in Telegram channel",K1416="Website online poll",K1416="CAWI (Computer Assisted Web Interviewing)"))),1/(1-MIN(MAX(Formula!$C$33+(YEAR(D1416)-Formula!$C$34)/(Formula!$C$35-Formula!$C$34)*(Formula!$C$32-Formula!$C$33),Formula!$C$33),Formula!$C$32)),1)</f>
        <v>1</v>
      </c>
      <c r="W1416" s="17">
        <f t="shared" si="5"/>
        <v>1.5</v>
      </c>
    </row>
    <row r="1417" ht="15.75" customHeight="1">
      <c r="A1417" s="8" t="s">
        <v>2208</v>
      </c>
      <c r="B1417" s="7" t="s">
        <v>2197</v>
      </c>
      <c r="C1417" s="13" t="s">
        <v>2198</v>
      </c>
      <c r="D1417" s="7" t="s">
        <v>199</v>
      </c>
      <c r="E1417" s="8" t="s">
        <v>72</v>
      </c>
      <c r="F1417" s="8" t="s">
        <v>318</v>
      </c>
      <c r="G1417" s="7" t="s">
        <v>194</v>
      </c>
      <c r="H1417" s="7" t="s">
        <v>2199</v>
      </c>
      <c r="I1417" s="8">
        <v>2003.0</v>
      </c>
      <c r="J1417" s="8">
        <v>2.4</v>
      </c>
      <c r="K1417" s="8" t="s">
        <v>321</v>
      </c>
      <c r="L1417" s="8" t="s">
        <v>322</v>
      </c>
      <c r="M1417" s="8" t="s">
        <v>1171</v>
      </c>
      <c r="N1417" s="8">
        <v>0.5</v>
      </c>
      <c r="O1417" s="14">
        <f t="shared" si="1"/>
        <v>44348</v>
      </c>
      <c r="P1417" s="15">
        <f>IFERROR(VLOOKUP(K1417,Formula!$A$11:$B$20,2,FALSE),Formula!$C$26)</f>
        <v>0.9</v>
      </c>
      <c r="Q1417" s="15">
        <f>IF(AND(ISNUMBER(J1417),J1417&gt;0),1/J1417,IF(AND(ISNUMBER(I1417),I1417&gt;0),SQRT(MIN(I1417,Formula!$C$27))/Formula!$C$24,1/Formula!$C$25))</f>
        <v>0.4166666667</v>
      </c>
      <c r="R1417" s="15">
        <f t="shared" si="2"/>
        <v>0.375</v>
      </c>
      <c r="S1417" s="15">
        <f>IF(H1417&lt;&gt;"",EXP(-Formula!$C$28*(EOMONTH(H1417,0)-H1417)),EXP(-Formula!$C$28*(EOMONTH(D1417,0)-D1417)))</f>
        <v>0.3166367694</v>
      </c>
      <c r="T1417" s="15">
        <f t="shared" si="3"/>
        <v>0.2085144141</v>
      </c>
      <c r="U1417" s="15">
        <f t="shared" si="4"/>
        <v>0.02475874891</v>
      </c>
      <c r="V1417" s="16">
        <f>IF(AND(L1417="Among all respondents",NOT(OR(K1417="Online poll in Telegram channel",K1417="Website online poll",K1417="CAWI (Computer Assisted Web Interviewing)"))),1/(1-MIN(MAX(Formula!$C$33+(YEAR(D1417)-Formula!$C$34)/(Formula!$C$35-Formula!$C$34)*(Formula!$C$32-Formula!$C$33),Formula!$C$33),Formula!$C$32)),1)</f>
        <v>1</v>
      </c>
      <c r="W1417" s="17">
        <f t="shared" si="5"/>
        <v>0.5</v>
      </c>
    </row>
    <row r="1418" ht="15.75" customHeight="1">
      <c r="A1418" s="8" t="s">
        <v>2209</v>
      </c>
      <c r="B1418" s="7" t="s">
        <v>2210</v>
      </c>
      <c r="C1418" s="13" t="s">
        <v>2211</v>
      </c>
      <c r="D1418" s="7" t="s">
        <v>200</v>
      </c>
      <c r="E1418" s="8" t="s">
        <v>17</v>
      </c>
      <c r="F1418" s="8" t="s">
        <v>318</v>
      </c>
      <c r="G1418" s="7" t="s">
        <v>2212</v>
      </c>
      <c r="H1418" s="7" t="s">
        <v>2213</v>
      </c>
      <c r="I1418" s="8">
        <v>2000.0</v>
      </c>
      <c r="J1418" s="8">
        <v>2.4</v>
      </c>
      <c r="K1418" s="8" t="s">
        <v>321</v>
      </c>
      <c r="L1418" s="8" t="s">
        <v>322</v>
      </c>
      <c r="M1418" s="8" t="s">
        <v>323</v>
      </c>
      <c r="N1418" s="8">
        <v>28.1</v>
      </c>
      <c r="O1418" s="14">
        <f t="shared" si="1"/>
        <v>44348</v>
      </c>
      <c r="P1418" s="15">
        <f>IFERROR(VLOOKUP(K1418,Formula!$A$11:$B$20,2,FALSE),Formula!$C$26)</f>
        <v>0.9</v>
      </c>
      <c r="Q1418" s="15">
        <f>IF(AND(ISNUMBER(J1418),J1418&gt;0),1/J1418,IF(AND(ISNUMBER(I1418),I1418&gt;0),SQRT(MIN(I1418,Formula!$C$27))/Formula!$C$24,1/Formula!$C$25))</f>
        <v>0.4166666667</v>
      </c>
      <c r="R1418" s="15">
        <f t="shared" si="2"/>
        <v>0.375</v>
      </c>
      <c r="S1418" s="15">
        <f>IF(H1418&lt;&gt;"",EXP(-Formula!$C$28*(EOMONTH(H1418,0)-H1418)),EXP(-Formula!$C$28*(EOMONTH(D1418,0)-D1418)))</f>
        <v>0.2592402606</v>
      </c>
      <c r="T1418" s="15">
        <f t="shared" si="3"/>
        <v>0.2773500981</v>
      </c>
      <c r="U1418" s="15">
        <f t="shared" si="4"/>
        <v>0.0269626169</v>
      </c>
      <c r="V1418" s="16">
        <f>IF(AND(L1418="Among all respondents",NOT(OR(K1418="Online poll in Telegram channel",K1418="Website online poll",K1418="CAWI (Computer Assisted Web Interviewing)"))),1/(1-MIN(MAX(Formula!$C$33+(YEAR(D1418)-Formula!$C$34)/(Formula!$C$35-Formula!$C$34)*(Formula!$C$32-Formula!$C$33),Formula!$C$33),Formula!$C$32)),1)</f>
        <v>1</v>
      </c>
      <c r="W1418" s="17">
        <f t="shared" si="5"/>
        <v>28.1</v>
      </c>
    </row>
    <row r="1419" ht="15.75" customHeight="1">
      <c r="A1419" s="8" t="s">
        <v>2214</v>
      </c>
      <c r="B1419" s="7" t="s">
        <v>2210</v>
      </c>
      <c r="C1419" s="13" t="s">
        <v>2211</v>
      </c>
      <c r="D1419" s="7" t="s">
        <v>200</v>
      </c>
      <c r="E1419" s="8" t="s">
        <v>17</v>
      </c>
      <c r="F1419" s="8" t="s">
        <v>318</v>
      </c>
      <c r="G1419" s="7" t="s">
        <v>2212</v>
      </c>
      <c r="H1419" s="7" t="s">
        <v>2213</v>
      </c>
      <c r="I1419" s="8">
        <v>2000.0</v>
      </c>
      <c r="J1419" s="8">
        <v>2.4</v>
      </c>
      <c r="K1419" s="8" t="s">
        <v>321</v>
      </c>
      <c r="L1419" s="8" t="s">
        <v>322</v>
      </c>
      <c r="M1419" s="8" t="s">
        <v>329</v>
      </c>
      <c r="N1419" s="8">
        <v>16.7</v>
      </c>
      <c r="O1419" s="14">
        <f t="shared" si="1"/>
        <v>44348</v>
      </c>
      <c r="P1419" s="15">
        <f>IFERROR(VLOOKUP(K1419,Formula!$A$11:$B$20,2,FALSE),Formula!$C$26)</f>
        <v>0.9</v>
      </c>
      <c r="Q1419" s="15">
        <f>IF(AND(ISNUMBER(J1419),J1419&gt;0),1/J1419,IF(AND(ISNUMBER(I1419),I1419&gt;0),SQRT(MIN(I1419,Formula!$C$27))/Formula!$C$24,1/Formula!$C$25))</f>
        <v>0.4166666667</v>
      </c>
      <c r="R1419" s="15">
        <f t="shared" si="2"/>
        <v>0.375</v>
      </c>
      <c r="S1419" s="15">
        <f>IF(H1419&lt;&gt;"",EXP(-Formula!$C$28*(EOMONTH(H1419,0)-H1419)),EXP(-Formula!$C$28*(EOMONTH(D1419,0)-D1419)))</f>
        <v>0.2592402606</v>
      </c>
      <c r="T1419" s="15">
        <f t="shared" si="3"/>
        <v>0.2773500981</v>
      </c>
      <c r="U1419" s="15">
        <f t="shared" si="4"/>
        <v>0.0269626169</v>
      </c>
      <c r="V1419" s="16">
        <f>IF(AND(L1419="Among all respondents",NOT(OR(K1419="Online poll in Telegram channel",K1419="Website online poll",K1419="CAWI (Computer Assisted Web Interviewing)"))),1/(1-MIN(MAX(Formula!$C$33+(YEAR(D1419)-Formula!$C$34)/(Formula!$C$35-Formula!$C$34)*(Formula!$C$32-Formula!$C$33),Formula!$C$33),Formula!$C$32)),1)</f>
        <v>1</v>
      </c>
      <c r="W1419" s="17">
        <f t="shared" si="5"/>
        <v>16.7</v>
      </c>
    </row>
    <row r="1420" ht="15.75" customHeight="1">
      <c r="A1420" s="8" t="s">
        <v>2215</v>
      </c>
      <c r="B1420" s="7" t="s">
        <v>2210</v>
      </c>
      <c r="C1420" s="13" t="s">
        <v>2211</v>
      </c>
      <c r="D1420" s="7" t="s">
        <v>200</v>
      </c>
      <c r="E1420" s="8" t="s">
        <v>17</v>
      </c>
      <c r="F1420" s="8" t="s">
        <v>318</v>
      </c>
      <c r="G1420" s="7" t="s">
        <v>2212</v>
      </c>
      <c r="H1420" s="7" t="s">
        <v>2213</v>
      </c>
      <c r="I1420" s="8">
        <v>2000.0</v>
      </c>
      <c r="J1420" s="8">
        <v>2.4</v>
      </c>
      <c r="K1420" s="8" t="s">
        <v>321</v>
      </c>
      <c r="L1420" s="8" t="s">
        <v>322</v>
      </c>
      <c r="M1420" s="8" t="s">
        <v>337</v>
      </c>
      <c r="N1420" s="8">
        <v>12.2</v>
      </c>
      <c r="O1420" s="14">
        <f t="shared" si="1"/>
        <v>44348</v>
      </c>
      <c r="P1420" s="15">
        <f>IFERROR(VLOOKUP(K1420,Formula!$A$11:$B$20,2,FALSE),Formula!$C$26)</f>
        <v>0.9</v>
      </c>
      <c r="Q1420" s="15">
        <f>IF(AND(ISNUMBER(J1420),J1420&gt;0),1/J1420,IF(AND(ISNUMBER(I1420),I1420&gt;0),SQRT(MIN(I1420,Formula!$C$27))/Formula!$C$24,1/Formula!$C$25))</f>
        <v>0.4166666667</v>
      </c>
      <c r="R1420" s="15">
        <f t="shared" si="2"/>
        <v>0.375</v>
      </c>
      <c r="S1420" s="15">
        <f>IF(H1420&lt;&gt;"",EXP(-Formula!$C$28*(EOMONTH(H1420,0)-H1420)),EXP(-Formula!$C$28*(EOMONTH(D1420,0)-D1420)))</f>
        <v>0.2592402606</v>
      </c>
      <c r="T1420" s="15">
        <f t="shared" si="3"/>
        <v>0.2773500981</v>
      </c>
      <c r="U1420" s="15">
        <f t="shared" si="4"/>
        <v>0.0269626169</v>
      </c>
      <c r="V1420" s="16">
        <f>IF(AND(L1420="Among all respondents",NOT(OR(K1420="Online poll in Telegram channel",K1420="Website online poll",K1420="CAWI (Computer Assisted Web Interviewing)"))),1/(1-MIN(MAX(Formula!$C$33+(YEAR(D1420)-Formula!$C$34)/(Formula!$C$35-Formula!$C$34)*(Formula!$C$32-Formula!$C$33),Formula!$C$33),Formula!$C$32)),1)</f>
        <v>1</v>
      </c>
      <c r="W1420" s="17">
        <f t="shared" si="5"/>
        <v>12.2</v>
      </c>
    </row>
    <row r="1421" ht="15.75" customHeight="1">
      <c r="A1421" s="8" t="s">
        <v>2216</v>
      </c>
      <c r="B1421" s="7" t="s">
        <v>2210</v>
      </c>
      <c r="C1421" s="13" t="s">
        <v>2211</v>
      </c>
      <c r="D1421" s="7" t="s">
        <v>200</v>
      </c>
      <c r="E1421" s="8" t="s">
        <v>17</v>
      </c>
      <c r="F1421" s="8" t="s">
        <v>318</v>
      </c>
      <c r="G1421" s="7" t="s">
        <v>2212</v>
      </c>
      <c r="H1421" s="7" t="s">
        <v>2213</v>
      </c>
      <c r="I1421" s="8">
        <v>2000.0</v>
      </c>
      <c r="J1421" s="8">
        <v>2.4</v>
      </c>
      <c r="K1421" s="8" t="s">
        <v>321</v>
      </c>
      <c r="L1421" s="8" t="s">
        <v>322</v>
      </c>
      <c r="M1421" s="8" t="s">
        <v>828</v>
      </c>
      <c r="N1421" s="8">
        <v>9.6</v>
      </c>
      <c r="O1421" s="14">
        <f t="shared" si="1"/>
        <v>44348</v>
      </c>
      <c r="P1421" s="15">
        <f>IFERROR(VLOOKUP(K1421,Formula!$A$11:$B$20,2,FALSE),Formula!$C$26)</f>
        <v>0.9</v>
      </c>
      <c r="Q1421" s="15">
        <f>IF(AND(ISNUMBER(J1421),J1421&gt;0),1/J1421,IF(AND(ISNUMBER(I1421),I1421&gt;0),SQRT(MIN(I1421,Formula!$C$27))/Formula!$C$24,1/Formula!$C$25))</f>
        <v>0.4166666667</v>
      </c>
      <c r="R1421" s="15">
        <f t="shared" si="2"/>
        <v>0.375</v>
      </c>
      <c r="S1421" s="15">
        <f>IF(H1421&lt;&gt;"",EXP(-Formula!$C$28*(EOMONTH(H1421,0)-H1421)),EXP(-Formula!$C$28*(EOMONTH(D1421,0)-D1421)))</f>
        <v>0.2592402606</v>
      </c>
      <c r="T1421" s="15">
        <f t="shared" si="3"/>
        <v>0.2773500981</v>
      </c>
      <c r="U1421" s="15">
        <f t="shared" si="4"/>
        <v>0.0269626169</v>
      </c>
      <c r="V1421" s="16">
        <f>IF(AND(L1421="Among all respondents",NOT(OR(K1421="Online poll in Telegram channel",K1421="Website online poll",K1421="CAWI (Computer Assisted Web Interviewing)"))),1/(1-MIN(MAX(Formula!$C$33+(YEAR(D1421)-Formula!$C$34)/(Formula!$C$35-Formula!$C$34)*(Formula!$C$32-Formula!$C$33),Formula!$C$33),Formula!$C$32)),1)</f>
        <v>1</v>
      </c>
      <c r="W1421" s="17">
        <f t="shared" si="5"/>
        <v>9.6</v>
      </c>
    </row>
    <row r="1422" ht="15.75" customHeight="1">
      <c r="A1422" s="8" t="s">
        <v>2217</v>
      </c>
      <c r="B1422" s="7" t="s">
        <v>2210</v>
      </c>
      <c r="C1422" s="13" t="s">
        <v>2211</v>
      </c>
      <c r="D1422" s="7" t="s">
        <v>200</v>
      </c>
      <c r="E1422" s="8" t="s">
        <v>17</v>
      </c>
      <c r="F1422" s="8" t="s">
        <v>318</v>
      </c>
      <c r="G1422" s="7" t="s">
        <v>2212</v>
      </c>
      <c r="H1422" s="7" t="s">
        <v>2213</v>
      </c>
      <c r="I1422" s="8">
        <v>2000.0</v>
      </c>
      <c r="J1422" s="8">
        <v>2.4</v>
      </c>
      <c r="K1422" s="8" t="s">
        <v>321</v>
      </c>
      <c r="L1422" s="8" t="s">
        <v>322</v>
      </c>
      <c r="M1422" s="8" t="s">
        <v>365</v>
      </c>
      <c r="N1422" s="8">
        <v>9.2</v>
      </c>
      <c r="O1422" s="14">
        <f t="shared" si="1"/>
        <v>44348</v>
      </c>
      <c r="P1422" s="15">
        <f>IFERROR(VLOOKUP(K1422,Formula!$A$11:$B$20,2,FALSE),Formula!$C$26)</f>
        <v>0.9</v>
      </c>
      <c r="Q1422" s="15">
        <f>IF(AND(ISNUMBER(J1422),J1422&gt;0),1/J1422,IF(AND(ISNUMBER(I1422),I1422&gt;0),SQRT(MIN(I1422,Formula!$C$27))/Formula!$C$24,1/Formula!$C$25))</f>
        <v>0.4166666667</v>
      </c>
      <c r="R1422" s="15">
        <f t="shared" si="2"/>
        <v>0.375</v>
      </c>
      <c r="S1422" s="15">
        <f>IF(H1422&lt;&gt;"",EXP(-Formula!$C$28*(EOMONTH(H1422,0)-H1422)),EXP(-Formula!$C$28*(EOMONTH(D1422,0)-D1422)))</f>
        <v>0.2592402606</v>
      </c>
      <c r="T1422" s="15">
        <f t="shared" si="3"/>
        <v>0.2773500981</v>
      </c>
      <c r="U1422" s="15">
        <f t="shared" si="4"/>
        <v>0.0269626169</v>
      </c>
      <c r="V1422" s="16">
        <f>IF(AND(L1422="Among all respondents",NOT(OR(K1422="Online poll in Telegram channel",K1422="Website online poll",K1422="CAWI (Computer Assisted Web Interviewing)"))),1/(1-MIN(MAX(Formula!$C$33+(YEAR(D1422)-Formula!$C$34)/(Formula!$C$35-Formula!$C$34)*(Formula!$C$32-Formula!$C$33),Formula!$C$33),Formula!$C$32)),1)</f>
        <v>1</v>
      </c>
      <c r="W1422" s="17">
        <f t="shared" si="5"/>
        <v>9.2</v>
      </c>
    </row>
    <row r="1423" ht="15.75" customHeight="1">
      <c r="A1423" s="8" t="s">
        <v>2218</v>
      </c>
      <c r="B1423" s="7" t="s">
        <v>2210</v>
      </c>
      <c r="C1423" s="13" t="s">
        <v>2211</v>
      </c>
      <c r="D1423" s="7" t="s">
        <v>200</v>
      </c>
      <c r="E1423" s="8" t="s">
        <v>17</v>
      </c>
      <c r="F1423" s="8" t="s">
        <v>318</v>
      </c>
      <c r="G1423" s="7" t="s">
        <v>2212</v>
      </c>
      <c r="H1423" s="7" t="s">
        <v>2213</v>
      </c>
      <c r="I1423" s="8">
        <v>2000.0</v>
      </c>
      <c r="J1423" s="8">
        <v>2.4</v>
      </c>
      <c r="K1423" s="8" t="s">
        <v>321</v>
      </c>
      <c r="L1423" s="8" t="s">
        <v>322</v>
      </c>
      <c r="M1423" s="8" t="s">
        <v>386</v>
      </c>
      <c r="N1423" s="8">
        <v>4.4</v>
      </c>
      <c r="O1423" s="14">
        <f t="shared" si="1"/>
        <v>44348</v>
      </c>
      <c r="P1423" s="15">
        <f>IFERROR(VLOOKUP(K1423,Formula!$A$11:$B$20,2,FALSE),Formula!$C$26)</f>
        <v>0.9</v>
      </c>
      <c r="Q1423" s="15">
        <f>IF(AND(ISNUMBER(J1423),J1423&gt;0),1/J1423,IF(AND(ISNUMBER(I1423),I1423&gt;0),SQRT(MIN(I1423,Formula!$C$27))/Formula!$C$24,1/Formula!$C$25))</f>
        <v>0.4166666667</v>
      </c>
      <c r="R1423" s="15">
        <f t="shared" si="2"/>
        <v>0.375</v>
      </c>
      <c r="S1423" s="15">
        <f>IF(H1423&lt;&gt;"",EXP(-Formula!$C$28*(EOMONTH(H1423,0)-H1423)),EXP(-Formula!$C$28*(EOMONTH(D1423,0)-D1423)))</f>
        <v>0.2592402606</v>
      </c>
      <c r="T1423" s="15">
        <f t="shared" si="3"/>
        <v>0.2773500981</v>
      </c>
      <c r="U1423" s="15">
        <f t="shared" si="4"/>
        <v>0.0269626169</v>
      </c>
      <c r="V1423" s="16">
        <f>IF(AND(L1423="Among all respondents",NOT(OR(K1423="Online poll in Telegram channel",K1423="Website online poll",K1423="CAWI (Computer Assisted Web Interviewing)"))),1/(1-MIN(MAX(Formula!$C$33+(YEAR(D1423)-Formula!$C$34)/(Formula!$C$35-Formula!$C$34)*(Formula!$C$32-Formula!$C$33),Formula!$C$33),Formula!$C$32)),1)</f>
        <v>1</v>
      </c>
      <c r="W1423" s="17">
        <f t="shared" si="5"/>
        <v>4.4</v>
      </c>
    </row>
    <row r="1424" ht="15.75" customHeight="1">
      <c r="A1424" s="8" t="s">
        <v>2219</v>
      </c>
      <c r="B1424" s="7" t="s">
        <v>2210</v>
      </c>
      <c r="C1424" s="13" t="s">
        <v>2211</v>
      </c>
      <c r="D1424" s="7" t="s">
        <v>200</v>
      </c>
      <c r="E1424" s="8" t="s">
        <v>17</v>
      </c>
      <c r="F1424" s="8" t="s">
        <v>318</v>
      </c>
      <c r="G1424" s="7" t="s">
        <v>2212</v>
      </c>
      <c r="H1424" s="7" t="s">
        <v>2213</v>
      </c>
      <c r="I1424" s="8">
        <v>2000.0</v>
      </c>
      <c r="J1424" s="8">
        <v>2.4</v>
      </c>
      <c r="K1424" s="8" t="s">
        <v>321</v>
      </c>
      <c r="L1424" s="8" t="s">
        <v>322</v>
      </c>
      <c r="M1424" s="8" t="s">
        <v>1153</v>
      </c>
      <c r="N1424" s="8">
        <v>4.0</v>
      </c>
      <c r="O1424" s="14">
        <f t="shared" si="1"/>
        <v>44348</v>
      </c>
      <c r="P1424" s="15">
        <f>IFERROR(VLOOKUP(K1424,Formula!$A$11:$B$20,2,FALSE),Formula!$C$26)</f>
        <v>0.9</v>
      </c>
      <c r="Q1424" s="15">
        <f>IF(AND(ISNUMBER(J1424),J1424&gt;0),1/J1424,IF(AND(ISNUMBER(I1424),I1424&gt;0),SQRT(MIN(I1424,Formula!$C$27))/Formula!$C$24,1/Formula!$C$25))</f>
        <v>0.4166666667</v>
      </c>
      <c r="R1424" s="15">
        <f t="shared" si="2"/>
        <v>0.375</v>
      </c>
      <c r="S1424" s="15">
        <f>IF(H1424&lt;&gt;"",EXP(-Formula!$C$28*(EOMONTH(H1424,0)-H1424)),EXP(-Formula!$C$28*(EOMONTH(D1424,0)-D1424)))</f>
        <v>0.2592402606</v>
      </c>
      <c r="T1424" s="15">
        <f t="shared" si="3"/>
        <v>0.2773500981</v>
      </c>
      <c r="U1424" s="15">
        <f t="shared" si="4"/>
        <v>0.0269626169</v>
      </c>
      <c r="V1424" s="16">
        <f>IF(AND(L1424="Among all respondents",NOT(OR(K1424="Online poll in Telegram channel",K1424="Website online poll",K1424="CAWI (Computer Assisted Web Interviewing)"))),1/(1-MIN(MAX(Formula!$C$33+(YEAR(D1424)-Formula!$C$34)/(Formula!$C$35-Formula!$C$34)*(Formula!$C$32-Formula!$C$33),Formula!$C$33),Formula!$C$32)),1)</f>
        <v>1</v>
      </c>
      <c r="W1424" s="17">
        <f t="shared" si="5"/>
        <v>4</v>
      </c>
    </row>
    <row r="1425" ht="15.75" customHeight="1">
      <c r="A1425" s="8" t="s">
        <v>2220</v>
      </c>
      <c r="B1425" s="7" t="s">
        <v>2210</v>
      </c>
      <c r="C1425" s="13" t="s">
        <v>2211</v>
      </c>
      <c r="D1425" s="7" t="s">
        <v>200</v>
      </c>
      <c r="E1425" s="8" t="s">
        <v>17</v>
      </c>
      <c r="F1425" s="8" t="s">
        <v>318</v>
      </c>
      <c r="G1425" s="7" t="s">
        <v>2212</v>
      </c>
      <c r="H1425" s="7" t="s">
        <v>2213</v>
      </c>
      <c r="I1425" s="8">
        <v>2000.0</v>
      </c>
      <c r="J1425" s="8">
        <v>2.4</v>
      </c>
      <c r="K1425" s="8" t="s">
        <v>321</v>
      </c>
      <c r="L1425" s="8" t="s">
        <v>322</v>
      </c>
      <c r="M1425" s="8" t="s">
        <v>1334</v>
      </c>
      <c r="N1425" s="8">
        <v>4.0</v>
      </c>
      <c r="O1425" s="14">
        <f t="shared" si="1"/>
        <v>44348</v>
      </c>
      <c r="P1425" s="15">
        <f>IFERROR(VLOOKUP(K1425,Formula!$A$11:$B$20,2,FALSE),Formula!$C$26)</f>
        <v>0.9</v>
      </c>
      <c r="Q1425" s="15">
        <f>IF(AND(ISNUMBER(J1425),J1425&gt;0),1/J1425,IF(AND(ISNUMBER(I1425),I1425&gt;0),SQRT(MIN(I1425,Formula!$C$27))/Formula!$C$24,1/Formula!$C$25))</f>
        <v>0.4166666667</v>
      </c>
      <c r="R1425" s="15">
        <f t="shared" si="2"/>
        <v>0.375</v>
      </c>
      <c r="S1425" s="15">
        <f>IF(H1425&lt;&gt;"",EXP(-Formula!$C$28*(EOMONTH(H1425,0)-H1425)),EXP(-Formula!$C$28*(EOMONTH(D1425,0)-D1425)))</f>
        <v>0.2592402606</v>
      </c>
      <c r="T1425" s="15">
        <f t="shared" si="3"/>
        <v>0.2773500981</v>
      </c>
      <c r="U1425" s="15">
        <f t="shared" si="4"/>
        <v>0.0269626169</v>
      </c>
      <c r="V1425" s="16">
        <f>IF(AND(L1425="Among all respondents",NOT(OR(K1425="Online poll in Telegram channel",K1425="Website online poll",K1425="CAWI (Computer Assisted Web Interviewing)"))),1/(1-MIN(MAX(Formula!$C$33+(YEAR(D1425)-Formula!$C$34)/(Formula!$C$35-Formula!$C$34)*(Formula!$C$32-Formula!$C$33),Formula!$C$33),Formula!$C$32)),1)</f>
        <v>1</v>
      </c>
      <c r="W1425" s="17">
        <f t="shared" si="5"/>
        <v>4</v>
      </c>
    </row>
    <row r="1426" ht="15.75" customHeight="1">
      <c r="A1426" s="8" t="s">
        <v>2221</v>
      </c>
      <c r="B1426" s="7" t="s">
        <v>2210</v>
      </c>
      <c r="C1426" s="13" t="s">
        <v>2211</v>
      </c>
      <c r="D1426" s="7" t="s">
        <v>200</v>
      </c>
      <c r="E1426" s="8" t="s">
        <v>17</v>
      </c>
      <c r="F1426" s="8" t="s">
        <v>318</v>
      </c>
      <c r="G1426" s="7" t="s">
        <v>2212</v>
      </c>
      <c r="H1426" s="7" t="s">
        <v>2213</v>
      </c>
      <c r="I1426" s="8">
        <v>2000.0</v>
      </c>
      <c r="J1426" s="8">
        <v>2.4</v>
      </c>
      <c r="K1426" s="8" t="s">
        <v>321</v>
      </c>
      <c r="L1426" s="8" t="s">
        <v>322</v>
      </c>
      <c r="M1426" s="8" t="s">
        <v>333</v>
      </c>
      <c r="N1426" s="8">
        <v>2.4</v>
      </c>
      <c r="O1426" s="14">
        <f t="shared" si="1"/>
        <v>44348</v>
      </c>
      <c r="P1426" s="15">
        <f>IFERROR(VLOOKUP(K1426,Formula!$A$11:$B$20,2,FALSE),Formula!$C$26)</f>
        <v>0.9</v>
      </c>
      <c r="Q1426" s="15">
        <f>IF(AND(ISNUMBER(J1426),J1426&gt;0),1/J1426,IF(AND(ISNUMBER(I1426),I1426&gt;0),SQRT(MIN(I1426,Formula!$C$27))/Formula!$C$24,1/Formula!$C$25))</f>
        <v>0.4166666667</v>
      </c>
      <c r="R1426" s="15">
        <f t="shared" si="2"/>
        <v>0.375</v>
      </c>
      <c r="S1426" s="15">
        <f>IF(H1426&lt;&gt;"",EXP(-Formula!$C$28*(EOMONTH(H1426,0)-H1426)),EXP(-Formula!$C$28*(EOMONTH(D1426,0)-D1426)))</f>
        <v>0.2592402606</v>
      </c>
      <c r="T1426" s="15">
        <f t="shared" si="3"/>
        <v>0.2773500981</v>
      </c>
      <c r="U1426" s="15">
        <f t="shared" si="4"/>
        <v>0.0269626169</v>
      </c>
      <c r="V1426" s="16">
        <f>IF(AND(L1426="Among all respondents",NOT(OR(K1426="Online poll in Telegram channel",K1426="Website online poll",K1426="CAWI (Computer Assisted Web Interviewing)"))),1/(1-MIN(MAX(Formula!$C$33+(YEAR(D1426)-Formula!$C$34)/(Formula!$C$35-Formula!$C$34)*(Formula!$C$32-Formula!$C$33),Formula!$C$33),Formula!$C$32)),1)</f>
        <v>1</v>
      </c>
      <c r="W1426" s="17">
        <f t="shared" si="5"/>
        <v>2.4</v>
      </c>
    </row>
    <row r="1427" ht="15.75" customHeight="1">
      <c r="A1427" s="8" t="s">
        <v>2222</v>
      </c>
      <c r="B1427" s="7" t="s">
        <v>2210</v>
      </c>
      <c r="C1427" s="13" t="s">
        <v>2211</v>
      </c>
      <c r="D1427" s="7" t="s">
        <v>200</v>
      </c>
      <c r="E1427" s="8" t="s">
        <v>17</v>
      </c>
      <c r="F1427" s="8" t="s">
        <v>318</v>
      </c>
      <c r="G1427" s="7" t="s">
        <v>2212</v>
      </c>
      <c r="H1427" s="7" t="s">
        <v>2213</v>
      </c>
      <c r="I1427" s="8">
        <v>2000.0</v>
      </c>
      <c r="J1427" s="8">
        <v>2.4</v>
      </c>
      <c r="K1427" s="8" t="s">
        <v>321</v>
      </c>
      <c r="L1427" s="8" t="s">
        <v>322</v>
      </c>
      <c r="M1427" s="8" t="s">
        <v>388</v>
      </c>
      <c r="N1427" s="8">
        <v>2.0</v>
      </c>
      <c r="O1427" s="14">
        <f t="shared" si="1"/>
        <v>44348</v>
      </c>
      <c r="P1427" s="15">
        <f>IFERROR(VLOOKUP(K1427,Formula!$A$11:$B$20,2,FALSE),Formula!$C$26)</f>
        <v>0.9</v>
      </c>
      <c r="Q1427" s="15">
        <f>IF(AND(ISNUMBER(J1427),J1427&gt;0),1/J1427,IF(AND(ISNUMBER(I1427),I1427&gt;0),SQRT(MIN(I1427,Formula!$C$27))/Formula!$C$24,1/Formula!$C$25))</f>
        <v>0.4166666667</v>
      </c>
      <c r="R1427" s="15">
        <f t="shared" si="2"/>
        <v>0.375</v>
      </c>
      <c r="S1427" s="15">
        <f>IF(H1427&lt;&gt;"",EXP(-Formula!$C$28*(EOMONTH(H1427,0)-H1427)),EXP(-Formula!$C$28*(EOMONTH(D1427,0)-D1427)))</f>
        <v>0.2592402606</v>
      </c>
      <c r="T1427" s="15">
        <f t="shared" si="3"/>
        <v>0.2773500981</v>
      </c>
      <c r="U1427" s="15">
        <f t="shared" si="4"/>
        <v>0.0269626169</v>
      </c>
      <c r="V1427" s="16">
        <f>IF(AND(L1427="Among all respondents",NOT(OR(K1427="Online poll in Telegram channel",K1427="Website online poll",K1427="CAWI (Computer Assisted Web Interviewing)"))),1/(1-MIN(MAX(Formula!$C$33+(YEAR(D1427)-Formula!$C$34)/(Formula!$C$35-Formula!$C$34)*(Formula!$C$32-Formula!$C$33),Formula!$C$33),Formula!$C$32)),1)</f>
        <v>1</v>
      </c>
      <c r="W1427" s="17">
        <f t="shared" si="5"/>
        <v>2</v>
      </c>
    </row>
    <row r="1428" ht="15.75" customHeight="1">
      <c r="A1428" s="8" t="s">
        <v>2223</v>
      </c>
      <c r="B1428" s="7" t="s">
        <v>2210</v>
      </c>
      <c r="C1428" s="13" t="s">
        <v>2211</v>
      </c>
      <c r="D1428" s="7" t="s">
        <v>200</v>
      </c>
      <c r="E1428" s="8" t="s">
        <v>17</v>
      </c>
      <c r="F1428" s="8" t="s">
        <v>318</v>
      </c>
      <c r="G1428" s="7" t="s">
        <v>2212</v>
      </c>
      <c r="H1428" s="7" t="s">
        <v>2213</v>
      </c>
      <c r="I1428" s="8">
        <v>2000.0</v>
      </c>
      <c r="J1428" s="8">
        <v>2.4</v>
      </c>
      <c r="K1428" s="8" t="s">
        <v>321</v>
      </c>
      <c r="L1428" s="8" t="s">
        <v>322</v>
      </c>
      <c r="M1428" s="8" t="s">
        <v>740</v>
      </c>
      <c r="N1428" s="8">
        <v>1.5</v>
      </c>
      <c r="O1428" s="14">
        <f t="shared" si="1"/>
        <v>44348</v>
      </c>
      <c r="P1428" s="15">
        <f>IFERROR(VLOOKUP(K1428,Formula!$A$11:$B$20,2,FALSE),Formula!$C$26)</f>
        <v>0.9</v>
      </c>
      <c r="Q1428" s="15">
        <f>IF(AND(ISNUMBER(J1428),J1428&gt;0),1/J1428,IF(AND(ISNUMBER(I1428),I1428&gt;0),SQRT(MIN(I1428,Formula!$C$27))/Formula!$C$24,1/Formula!$C$25))</f>
        <v>0.4166666667</v>
      </c>
      <c r="R1428" s="15">
        <f t="shared" si="2"/>
        <v>0.375</v>
      </c>
      <c r="S1428" s="15">
        <f>IF(H1428&lt;&gt;"",EXP(-Formula!$C$28*(EOMONTH(H1428,0)-H1428)),EXP(-Formula!$C$28*(EOMONTH(D1428,0)-D1428)))</f>
        <v>0.2592402606</v>
      </c>
      <c r="T1428" s="15">
        <f t="shared" si="3"/>
        <v>0.2773500981</v>
      </c>
      <c r="U1428" s="15">
        <f t="shared" si="4"/>
        <v>0.0269626169</v>
      </c>
      <c r="V1428" s="16">
        <f>IF(AND(L1428="Among all respondents",NOT(OR(K1428="Online poll in Telegram channel",K1428="Website online poll",K1428="CAWI (Computer Assisted Web Interviewing)"))),1/(1-MIN(MAX(Formula!$C$33+(YEAR(D1428)-Formula!$C$34)/(Formula!$C$35-Formula!$C$34)*(Formula!$C$32-Formula!$C$33),Formula!$C$33),Formula!$C$32)),1)</f>
        <v>1</v>
      </c>
      <c r="W1428" s="17">
        <f t="shared" si="5"/>
        <v>1.5</v>
      </c>
    </row>
    <row r="1429" ht="15.75" customHeight="1">
      <c r="A1429" s="8" t="s">
        <v>2224</v>
      </c>
      <c r="B1429" s="7" t="s">
        <v>2210</v>
      </c>
      <c r="C1429" s="13" t="s">
        <v>2211</v>
      </c>
      <c r="D1429" s="7" t="s">
        <v>200</v>
      </c>
      <c r="E1429" s="8" t="s">
        <v>17</v>
      </c>
      <c r="F1429" s="8" t="s">
        <v>318</v>
      </c>
      <c r="G1429" s="7" t="s">
        <v>2212</v>
      </c>
      <c r="H1429" s="7" t="s">
        <v>2213</v>
      </c>
      <c r="I1429" s="8">
        <v>2000.0</v>
      </c>
      <c r="J1429" s="8">
        <v>2.4</v>
      </c>
      <c r="K1429" s="8" t="s">
        <v>321</v>
      </c>
      <c r="L1429" s="8" t="s">
        <v>322</v>
      </c>
      <c r="M1429" s="8" t="s">
        <v>343</v>
      </c>
      <c r="N1429" s="8">
        <v>1.1</v>
      </c>
      <c r="O1429" s="14">
        <f t="shared" si="1"/>
        <v>44348</v>
      </c>
      <c r="P1429" s="15">
        <f>IFERROR(VLOOKUP(K1429,Formula!$A$11:$B$20,2,FALSE),Formula!$C$26)</f>
        <v>0.9</v>
      </c>
      <c r="Q1429" s="15">
        <f>IF(AND(ISNUMBER(J1429),J1429&gt;0),1/J1429,IF(AND(ISNUMBER(I1429),I1429&gt;0),SQRT(MIN(I1429,Formula!$C$27))/Formula!$C$24,1/Formula!$C$25))</f>
        <v>0.4166666667</v>
      </c>
      <c r="R1429" s="15">
        <f t="shared" si="2"/>
        <v>0.375</v>
      </c>
      <c r="S1429" s="15">
        <f>IF(H1429&lt;&gt;"",EXP(-Formula!$C$28*(EOMONTH(H1429,0)-H1429)),EXP(-Formula!$C$28*(EOMONTH(D1429,0)-D1429)))</f>
        <v>0.2592402606</v>
      </c>
      <c r="T1429" s="15">
        <f t="shared" si="3"/>
        <v>0.2773500981</v>
      </c>
      <c r="U1429" s="15">
        <f t="shared" si="4"/>
        <v>0.0269626169</v>
      </c>
      <c r="V1429" s="16">
        <f>IF(AND(L1429="Among all respondents",NOT(OR(K1429="Online poll in Telegram channel",K1429="Website online poll",K1429="CAWI (Computer Assisted Web Interviewing)"))),1/(1-MIN(MAX(Formula!$C$33+(YEAR(D1429)-Formula!$C$34)/(Formula!$C$35-Formula!$C$34)*(Formula!$C$32-Formula!$C$33),Formula!$C$33),Formula!$C$32)),1)</f>
        <v>1</v>
      </c>
      <c r="W1429" s="17">
        <f t="shared" si="5"/>
        <v>1.1</v>
      </c>
    </row>
    <row r="1430" ht="15.75" customHeight="1">
      <c r="A1430" s="8" t="s">
        <v>2225</v>
      </c>
      <c r="B1430" s="7" t="s">
        <v>2210</v>
      </c>
      <c r="C1430" s="13" t="s">
        <v>2211</v>
      </c>
      <c r="D1430" s="7" t="s">
        <v>200</v>
      </c>
      <c r="E1430" s="8" t="s">
        <v>17</v>
      </c>
      <c r="F1430" s="8" t="s">
        <v>318</v>
      </c>
      <c r="G1430" s="7" t="s">
        <v>2212</v>
      </c>
      <c r="H1430" s="7" t="s">
        <v>2213</v>
      </c>
      <c r="I1430" s="8">
        <v>2000.0</v>
      </c>
      <c r="J1430" s="8">
        <v>2.4</v>
      </c>
      <c r="K1430" s="8" t="s">
        <v>321</v>
      </c>
      <c r="L1430" s="8" t="s">
        <v>322</v>
      </c>
      <c r="M1430" s="8" t="s">
        <v>1171</v>
      </c>
      <c r="N1430" s="8">
        <v>0.3</v>
      </c>
      <c r="O1430" s="14">
        <f t="shared" si="1"/>
        <v>44348</v>
      </c>
      <c r="P1430" s="15">
        <f>IFERROR(VLOOKUP(K1430,Formula!$A$11:$B$20,2,FALSE),Formula!$C$26)</f>
        <v>0.9</v>
      </c>
      <c r="Q1430" s="15">
        <f>IF(AND(ISNUMBER(J1430),J1430&gt;0),1/J1430,IF(AND(ISNUMBER(I1430),I1430&gt;0),SQRT(MIN(I1430,Formula!$C$27))/Formula!$C$24,1/Formula!$C$25))</f>
        <v>0.4166666667</v>
      </c>
      <c r="R1430" s="15">
        <f t="shared" si="2"/>
        <v>0.375</v>
      </c>
      <c r="S1430" s="15">
        <f>IF(H1430&lt;&gt;"",EXP(-Formula!$C$28*(EOMONTH(H1430,0)-H1430)),EXP(-Formula!$C$28*(EOMONTH(D1430,0)-D1430)))</f>
        <v>0.2592402606</v>
      </c>
      <c r="T1430" s="15">
        <f t="shared" si="3"/>
        <v>0.2773500981</v>
      </c>
      <c r="U1430" s="15">
        <f t="shared" si="4"/>
        <v>0.0269626169</v>
      </c>
      <c r="V1430" s="16">
        <f>IF(AND(L1430="Among all respondents",NOT(OR(K1430="Online poll in Telegram channel",K1430="Website online poll",K1430="CAWI (Computer Assisted Web Interviewing)"))),1/(1-MIN(MAX(Formula!$C$33+(YEAR(D1430)-Formula!$C$34)/(Formula!$C$35-Formula!$C$34)*(Formula!$C$32-Formula!$C$33),Formula!$C$33),Formula!$C$32)),1)</f>
        <v>1</v>
      </c>
      <c r="W1430" s="17">
        <f t="shared" si="5"/>
        <v>0.3</v>
      </c>
    </row>
    <row r="1431" ht="15.75" customHeight="1">
      <c r="A1431" s="8" t="s">
        <v>2226</v>
      </c>
      <c r="B1431" s="7" t="s">
        <v>2227</v>
      </c>
      <c r="C1431" s="13" t="s">
        <v>2228</v>
      </c>
      <c r="D1431" s="7" t="s">
        <v>203</v>
      </c>
      <c r="E1431" s="8" t="s">
        <v>72</v>
      </c>
      <c r="F1431" s="8" t="s">
        <v>318</v>
      </c>
      <c r="G1431" s="7" t="s">
        <v>2229</v>
      </c>
      <c r="H1431" s="7" t="s">
        <v>194</v>
      </c>
      <c r="I1431" s="8">
        <v>2000.0</v>
      </c>
      <c r="J1431" s="8">
        <v>2.4</v>
      </c>
      <c r="K1431" s="8" t="s">
        <v>321</v>
      </c>
      <c r="L1431" s="8" t="s">
        <v>322</v>
      </c>
      <c r="M1431" s="8" t="s">
        <v>323</v>
      </c>
      <c r="N1431" s="8">
        <v>27.3</v>
      </c>
      <c r="O1431" s="14">
        <f t="shared" si="1"/>
        <v>44348</v>
      </c>
      <c r="P1431" s="15">
        <f>IFERROR(VLOOKUP(K1431,Formula!$A$11:$B$20,2,FALSE),Formula!$C$26)</f>
        <v>0.9</v>
      </c>
      <c r="Q1431" s="15">
        <f>IF(AND(ISNUMBER(J1431),J1431&gt;0),1/J1431,IF(AND(ISNUMBER(I1431),I1431&gt;0),SQRT(MIN(I1431,Formula!$C$27))/Formula!$C$24,1/Formula!$C$25))</f>
        <v>0.4166666667</v>
      </c>
      <c r="R1431" s="15">
        <f t="shared" si="2"/>
        <v>0.375</v>
      </c>
      <c r="S1431" s="15">
        <f>IF(H1431&lt;&gt;"",EXP(-Formula!$C$28*(EOMONTH(H1431,0)-H1431)),EXP(-Formula!$C$28*(EOMONTH(D1431,0)-D1431)))</f>
        <v>0.2345702881</v>
      </c>
      <c r="T1431" s="15">
        <f t="shared" si="3"/>
        <v>0.2085144141</v>
      </c>
      <c r="U1431" s="15">
        <f t="shared" si="4"/>
        <v>0.01834173232</v>
      </c>
      <c r="V1431" s="16">
        <f>IF(AND(L1431="Among all respondents",NOT(OR(K1431="Online poll in Telegram channel",K1431="Website online poll",K1431="CAWI (Computer Assisted Web Interviewing)"))),1/(1-MIN(MAX(Formula!$C$33+(YEAR(D1431)-Formula!$C$34)/(Formula!$C$35-Formula!$C$34)*(Formula!$C$32-Formula!$C$33),Formula!$C$33),Formula!$C$32)),1)</f>
        <v>1</v>
      </c>
      <c r="W1431" s="17">
        <f t="shared" si="5"/>
        <v>27.3</v>
      </c>
    </row>
    <row r="1432" ht="15.75" customHeight="1">
      <c r="A1432" s="8" t="s">
        <v>2230</v>
      </c>
      <c r="B1432" s="7" t="s">
        <v>2227</v>
      </c>
      <c r="C1432" s="13" t="s">
        <v>2228</v>
      </c>
      <c r="D1432" s="7" t="s">
        <v>203</v>
      </c>
      <c r="E1432" s="8" t="s">
        <v>72</v>
      </c>
      <c r="F1432" s="8" t="s">
        <v>318</v>
      </c>
      <c r="G1432" s="7" t="s">
        <v>2229</v>
      </c>
      <c r="H1432" s="7" t="s">
        <v>194</v>
      </c>
      <c r="I1432" s="8">
        <v>2000.0</v>
      </c>
      <c r="J1432" s="8">
        <v>2.4</v>
      </c>
      <c r="K1432" s="8" t="s">
        <v>321</v>
      </c>
      <c r="L1432" s="8" t="s">
        <v>322</v>
      </c>
      <c r="M1432" s="8" t="s">
        <v>329</v>
      </c>
      <c r="N1432" s="8">
        <v>14.6</v>
      </c>
      <c r="O1432" s="14">
        <f t="shared" si="1"/>
        <v>44348</v>
      </c>
      <c r="P1432" s="15">
        <f>IFERROR(VLOOKUP(K1432,Formula!$A$11:$B$20,2,FALSE),Formula!$C$26)</f>
        <v>0.9</v>
      </c>
      <c r="Q1432" s="15">
        <f>IF(AND(ISNUMBER(J1432),J1432&gt;0),1/J1432,IF(AND(ISNUMBER(I1432),I1432&gt;0),SQRT(MIN(I1432,Formula!$C$27))/Formula!$C$24,1/Formula!$C$25))</f>
        <v>0.4166666667</v>
      </c>
      <c r="R1432" s="15">
        <f t="shared" si="2"/>
        <v>0.375</v>
      </c>
      <c r="S1432" s="15">
        <f>IF(H1432&lt;&gt;"",EXP(-Formula!$C$28*(EOMONTH(H1432,0)-H1432)),EXP(-Formula!$C$28*(EOMONTH(D1432,0)-D1432)))</f>
        <v>0.2345702881</v>
      </c>
      <c r="T1432" s="15">
        <f t="shared" si="3"/>
        <v>0.2085144141</v>
      </c>
      <c r="U1432" s="15">
        <f t="shared" si="4"/>
        <v>0.01834173232</v>
      </c>
      <c r="V1432" s="16">
        <f>IF(AND(L1432="Among all respondents",NOT(OR(K1432="Online poll in Telegram channel",K1432="Website online poll",K1432="CAWI (Computer Assisted Web Interviewing)"))),1/(1-MIN(MAX(Formula!$C$33+(YEAR(D1432)-Formula!$C$34)/(Formula!$C$35-Formula!$C$34)*(Formula!$C$32-Formula!$C$33),Formula!$C$33),Formula!$C$32)),1)</f>
        <v>1</v>
      </c>
      <c r="W1432" s="17">
        <f t="shared" si="5"/>
        <v>14.6</v>
      </c>
    </row>
    <row r="1433" ht="15.75" customHeight="1">
      <c r="A1433" s="8" t="s">
        <v>2231</v>
      </c>
      <c r="B1433" s="7" t="s">
        <v>2227</v>
      </c>
      <c r="C1433" s="13" t="s">
        <v>2228</v>
      </c>
      <c r="D1433" s="7" t="s">
        <v>203</v>
      </c>
      <c r="E1433" s="8" t="s">
        <v>72</v>
      </c>
      <c r="F1433" s="8" t="s">
        <v>318</v>
      </c>
      <c r="G1433" s="7" t="s">
        <v>2229</v>
      </c>
      <c r="H1433" s="7" t="s">
        <v>194</v>
      </c>
      <c r="I1433" s="8">
        <v>2000.0</v>
      </c>
      <c r="J1433" s="8">
        <v>2.4</v>
      </c>
      <c r="K1433" s="8" t="s">
        <v>321</v>
      </c>
      <c r="L1433" s="8" t="s">
        <v>322</v>
      </c>
      <c r="M1433" s="8" t="s">
        <v>337</v>
      </c>
      <c r="N1433" s="8">
        <v>11.9</v>
      </c>
      <c r="O1433" s="14">
        <f t="shared" si="1"/>
        <v>44348</v>
      </c>
      <c r="P1433" s="15">
        <f>IFERROR(VLOOKUP(K1433,Formula!$A$11:$B$20,2,FALSE),Formula!$C$26)</f>
        <v>0.9</v>
      </c>
      <c r="Q1433" s="15">
        <f>IF(AND(ISNUMBER(J1433),J1433&gt;0),1/J1433,IF(AND(ISNUMBER(I1433),I1433&gt;0),SQRT(MIN(I1433,Formula!$C$27))/Formula!$C$24,1/Formula!$C$25))</f>
        <v>0.4166666667</v>
      </c>
      <c r="R1433" s="15">
        <f t="shared" si="2"/>
        <v>0.375</v>
      </c>
      <c r="S1433" s="15">
        <f>IF(H1433&lt;&gt;"",EXP(-Formula!$C$28*(EOMONTH(H1433,0)-H1433)),EXP(-Formula!$C$28*(EOMONTH(D1433,0)-D1433)))</f>
        <v>0.2345702881</v>
      </c>
      <c r="T1433" s="15">
        <f t="shared" si="3"/>
        <v>0.2085144141</v>
      </c>
      <c r="U1433" s="15">
        <f t="shared" si="4"/>
        <v>0.01834173232</v>
      </c>
      <c r="V1433" s="16">
        <f>IF(AND(L1433="Among all respondents",NOT(OR(K1433="Online poll in Telegram channel",K1433="Website online poll",K1433="CAWI (Computer Assisted Web Interviewing)"))),1/(1-MIN(MAX(Formula!$C$33+(YEAR(D1433)-Formula!$C$34)/(Formula!$C$35-Formula!$C$34)*(Formula!$C$32-Formula!$C$33),Formula!$C$33),Formula!$C$32)),1)</f>
        <v>1</v>
      </c>
      <c r="W1433" s="17">
        <f t="shared" si="5"/>
        <v>11.9</v>
      </c>
    </row>
    <row r="1434" ht="15.75" customHeight="1">
      <c r="A1434" s="8" t="s">
        <v>2232</v>
      </c>
      <c r="B1434" s="7" t="s">
        <v>2227</v>
      </c>
      <c r="C1434" s="13" t="s">
        <v>2228</v>
      </c>
      <c r="D1434" s="7" t="s">
        <v>203</v>
      </c>
      <c r="E1434" s="8" t="s">
        <v>72</v>
      </c>
      <c r="F1434" s="8" t="s">
        <v>318</v>
      </c>
      <c r="G1434" s="7" t="s">
        <v>2229</v>
      </c>
      <c r="H1434" s="7" t="s">
        <v>194</v>
      </c>
      <c r="I1434" s="8">
        <v>2000.0</v>
      </c>
      <c r="J1434" s="8">
        <v>2.4</v>
      </c>
      <c r="K1434" s="8" t="s">
        <v>321</v>
      </c>
      <c r="L1434" s="8" t="s">
        <v>322</v>
      </c>
      <c r="M1434" s="8" t="s">
        <v>828</v>
      </c>
      <c r="N1434" s="8">
        <v>9.5</v>
      </c>
      <c r="O1434" s="14">
        <f t="shared" si="1"/>
        <v>44348</v>
      </c>
      <c r="P1434" s="15">
        <f>IFERROR(VLOOKUP(K1434,Formula!$A$11:$B$20,2,FALSE),Formula!$C$26)</f>
        <v>0.9</v>
      </c>
      <c r="Q1434" s="15">
        <f>IF(AND(ISNUMBER(J1434),J1434&gt;0),1/J1434,IF(AND(ISNUMBER(I1434),I1434&gt;0),SQRT(MIN(I1434,Formula!$C$27))/Formula!$C$24,1/Formula!$C$25))</f>
        <v>0.4166666667</v>
      </c>
      <c r="R1434" s="15">
        <f t="shared" si="2"/>
        <v>0.375</v>
      </c>
      <c r="S1434" s="15">
        <f>IF(H1434&lt;&gt;"",EXP(-Formula!$C$28*(EOMONTH(H1434,0)-H1434)),EXP(-Formula!$C$28*(EOMONTH(D1434,0)-D1434)))</f>
        <v>0.2345702881</v>
      </c>
      <c r="T1434" s="15">
        <f t="shared" si="3"/>
        <v>0.2085144141</v>
      </c>
      <c r="U1434" s="15">
        <f t="shared" si="4"/>
        <v>0.01834173232</v>
      </c>
      <c r="V1434" s="16">
        <f>IF(AND(L1434="Among all respondents",NOT(OR(K1434="Online poll in Telegram channel",K1434="Website online poll",K1434="CAWI (Computer Assisted Web Interviewing)"))),1/(1-MIN(MAX(Formula!$C$33+(YEAR(D1434)-Formula!$C$34)/(Formula!$C$35-Formula!$C$34)*(Formula!$C$32-Formula!$C$33),Formula!$C$33),Formula!$C$32)),1)</f>
        <v>1</v>
      </c>
      <c r="W1434" s="17">
        <f t="shared" si="5"/>
        <v>9.5</v>
      </c>
    </row>
    <row r="1435" ht="15.75" customHeight="1">
      <c r="A1435" s="8" t="s">
        <v>2233</v>
      </c>
      <c r="B1435" s="7" t="s">
        <v>2227</v>
      </c>
      <c r="C1435" s="13" t="s">
        <v>2228</v>
      </c>
      <c r="D1435" s="7" t="s">
        <v>203</v>
      </c>
      <c r="E1435" s="8" t="s">
        <v>72</v>
      </c>
      <c r="F1435" s="8" t="s">
        <v>318</v>
      </c>
      <c r="G1435" s="7" t="s">
        <v>2229</v>
      </c>
      <c r="H1435" s="7" t="s">
        <v>194</v>
      </c>
      <c r="I1435" s="8">
        <v>2000.0</v>
      </c>
      <c r="J1435" s="8">
        <v>2.4</v>
      </c>
      <c r="K1435" s="8" t="s">
        <v>321</v>
      </c>
      <c r="L1435" s="8" t="s">
        <v>322</v>
      </c>
      <c r="M1435" s="8" t="s">
        <v>365</v>
      </c>
      <c r="N1435" s="8">
        <v>9.2</v>
      </c>
      <c r="O1435" s="14">
        <f t="shared" si="1"/>
        <v>44348</v>
      </c>
      <c r="P1435" s="15">
        <f>IFERROR(VLOOKUP(K1435,Formula!$A$11:$B$20,2,FALSE),Formula!$C$26)</f>
        <v>0.9</v>
      </c>
      <c r="Q1435" s="15">
        <f>IF(AND(ISNUMBER(J1435),J1435&gt;0),1/J1435,IF(AND(ISNUMBER(I1435),I1435&gt;0),SQRT(MIN(I1435,Formula!$C$27))/Formula!$C$24,1/Formula!$C$25))</f>
        <v>0.4166666667</v>
      </c>
      <c r="R1435" s="15">
        <f t="shared" si="2"/>
        <v>0.375</v>
      </c>
      <c r="S1435" s="15">
        <f>IF(H1435&lt;&gt;"",EXP(-Formula!$C$28*(EOMONTH(H1435,0)-H1435)),EXP(-Formula!$C$28*(EOMONTH(D1435,0)-D1435)))</f>
        <v>0.2345702881</v>
      </c>
      <c r="T1435" s="15">
        <f t="shared" si="3"/>
        <v>0.2085144141</v>
      </c>
      <c r="U1435" s="15">
        <f t="shared" si="4"/>
        <v>0.01834173232</v>
      </c>
      <c r="V1435" s="16">
        <f>IF(AND(L1435="Among all respondents",NOT(OR(K1435="Online poll in Telegram channel",K1435="Website online poll",K1435="CAWI (Computer Assisted Web Interviewing)"))),1/(1-MIN(MAX(Formula!$C$33+(YEAR(D1435)-Formula!$C$34)/(Formula!$C$35-Formula!$C$34)*(Formula!$C$32-Formula!$C$33),Formula!$C$33),Formula!$C$32)),1)</f>
        <v>1</v>
      </c>
      <c r="W1435" s="17">
        <f t="shared" si="5"/>
        <v>9.2</v>
      </c>
    </row>
    <row r="1436" ht="15.75" customHeight="1">
      <c r="A1436" s="8" t="s">
        <v>2234</v>
      </c>
      <c r="B1436" s="7" t="s">
        <v>2227</v>
      </c>
      <c r="C1436" s="13" t="s">
        <v>2228</v>
      </c>
      <c r="D1436" s="7" t="s">
        <v>203</v>
      </c>
      <c r="E1436" s="8" t="s">
        <v>72</v>
      </c>
      <c r="F1436" s="8" t="s">
        <v>318</v>
      </c>
      <c r="G1436" s="7" t="s">
        <v>2229</v>
      </c>
      <c r="H1436" s="7" t="s">
        <v>194</v>
      </c>
      <c r="I1436" s="8">
        <v>2000.0</v>
      </c>
      <c r="J1436" s="8">
        <v>2.4</v>
      </c>
      <c r="K1436" s="8" t="s">
        <v>321</v>
      </c>
      <c r="L1436" s="8" t="s">
        <v>322</v>
      </c>
      <c r="M1436" s="8" t="s">
        <v>1153</v>
      </c>
      <c r="N1436" s="8">
        <v>5.7</v>
      </c>
      <c r="O1436" s="14">
        <f t="shared" si="1"/>
        <v>44348</v>
      </c>
      <c r="P1436" s="15">
        <f>IFERROR(VLOOKUP(K1436,Formula!$A$11:$B$20,2,FALSE),Formula!$C$26)</f>
        <v>0.9</v>
      </c>
      <c r="Q1436" s="15">
        <f>IF(AND(ISNUMBER(J1436),J1436&gt;0),1/J1436,IF(AND(ISNUMBER(I1436),I1436&gt;0),SQRT(MIN(I1436,Formula!$C$27))/Formula!$C$24,1/Formula!$C$25))</f>
        <v>0.4166666667</v>
      </c>
      <c r="R1436" s="15">
        <f t="shared" si="2"/>
        <v>0.375</v>
      </c>
      <c r="S1436" s="15">
        <f>IF(H1436&lt;&gt;"",EXP(-Formula!$C$28*(EOMONTH(H1436,0)-H1436)),EXP(-Formula!$C$28*(EOMONTH(D1436,0)-D1436)))</f>
        <v>0.2345702881</v>
      </c>
      <c r="T1436" s="15">
        <f t="shared" si="3"/>
        <v>0.2085144141</v>
      </c>
      <c r="U1436" s="15">
        <f t="shared" si="4"/>
        <v>0.01834173232</v>
      </c>
      <c r="V1436" s="16">
        <f>IF(AND(L1436="Among all respondents",NOT(OR(K1436="Online poll in Telegram channel",K1436="Website online poll",K1436="CAWI (Computer Assisted Web Interviewing)"))),1/(1-MIN(MAX(Formula!$C$33+(YEAR(D1436)-Formula!$C$34)/(Formula!$C$35-Formula!$C$34)*(Formula!$C$32-Formula!$C$33),Formula!$C$33),Formula!$C$32)),1)</f>
        <v>1</v>
      </c>
      <c r="W1436" s="17">
        <f t="shared" si="5"/>
        <v>5.7</v>
      </c>
    </row>
    <row r="1437" ht="15.75" customHeight="1">
      <c r="A1437" s="8" t="s">
        <v>2235</v>
      </c>
      <c r="B1437" s="7" t="s">
        <v>2227</v>
      </c>
      <c r="C1437" s="13" t="s">
        <v>2228</v>
      </c>
      <c r="D1437" s="7" t="s">
        <v>203</v>
      </c>
      <c r="E1437" s="8" t="s">
        <v>72</v>
      </c>
      <c r="F1437" s="8" t="s">
        <v>318</v>
      </c>
      <c r="G1437" s="7" t="s">
        <v>2229</v>
      </c>
      <c r="H1437" s="7" t="s">
        <v>194</v>
      </c>
      <c r="I1437" s="8">
        <v>2000.0</v>
      </c>
      <c r="J1437" s="8">
        <v>2.4</v>
      </c>
      <c r="K1437" s="8" t="s">
        <v>321</v>
      </c>
      <c r="L1437" s="8" t="s">
        <v>322</v>
      </c>
      <c r="M1437" s="8" t="s">
        <v>386</v>
      </c>
      <c r="N1437" s="8">
        <v>4.6</v>
      </c>
      <c r="O1437" s="14">
        <f t="shared" si="1"/>
        <v>44348</v>
      </c>
      <c r="P1437" s="15">
        <f>IFERROR(VLOOKUP(K1437,Formula!$A$11:$B$20,2,FALSE),Formula!$C$26)</f>
        <v>0.9</v>
      </c>
      <c r="Q1437" s="15">
        <f>IF(AND(ISNUMBER(J1437),J1437&gt;0),1/J1437,IF(AND(ISNUMBER(I1437),I1437&gt;0),SQRT(MIN(I1437,Formula!$C$27))/Formula!$C$24,1/Formula!$C$25))</f>
        <v>0.4166666667</v>
      </c>
      <c r="R1437" s="15">
        <f t="shared" si="2"/>
        <v>0.375</v>
      </c>
      <c r="S1437" s="15">
        <f>IF(H1437&lt;&gt;"",EXP(-Formula!$C$28*(EOMONTH(H1437,0)-H1437)),EXP(-Formula!$C$28*(EOMONTH(D1437,0)-D1437)))</f>
        <v>0.2345702881</v>
      </c>
      <c r="T1437" s="15">
        <f t="shared" si="3"/>
        <v>0.2085144141</v>
      </c>
      <c r="U1437" s="15">
        <f t="shared" si="4"/>
        <v>0.01834173232</v>
      </c>
      <c r="V1437" s="16">
        <f>IF(AND(L1437="Among all respondents",NOT(OR(K1437="Online poll in Telegram channel",K1437="Website online poll",K1437="CAWI (Computer Assisted Web Interviewing)"))),1/(1-MIN(MAX(Formula!$C$33+(YEAR(D1437)-Formula!$C$34)/(Formula!$C$35-Formula!$C$34)*(Formula!$C$32-Formula!$C$33),Formula!$C$33),Formula!$C$32)),1)</f>
        <v>1</v>
      </c>
      <c r="W1437" s="17">
        <f t="shared" si="5"/>
        <v>4.6</v>
      </c>
    </row>
    <row r="1438" ht="15.75" customHeight="1">
      <c r="A1438" s="8" t="s">
        <v>2236</v>
      </c>
      <c r="B1438" s="7" t="s">
        <v>2227</v>
      </c>
      <c r="C1438" s="13" t="s">
        <v>2228</v>
      </c>
      <c r="D1438" s="7" t="s">
        <v>203</v>
      </c>
      <c r="E1438" s="8" t="s">
        <v>72</v>
      </c>
      <c r="F1438" s="8" t="s">
        <v>318</v>
      </c>
      <c r="G1438" s="7" t="s">
        <v>2229</v>
      </c>
      <c r="H1438" s="7" t="s">
        <v>194</v>
      </c>
      <c r="I1438" s="8">
        <v>2000.0</v>
      </c>
      <c r="J1438" s="8">
        <v>2.4</v>
      </c>
      <c r="K1438" s="8" t="s">
        <v>321</v>
      </c>
      <c r="L1438" s="8" t="s">
        <v>322</v>
      </c>
      <c r="M1438" s="8" t="s">
        <v>1334</v>
      </c>
      <c r="N1438" s="8">
        <v>4.3</v>
      </c>
      <c r="O1438" s="14">
        <f t="shared" si="1"/>
        <v>44348</v>
      </c>
      <c r="P1438" s="15">
        <f>IFERROR(VLOOKUP(K1438,Formula!$A$11:$B$20,2,FALSE),Formula!$C$26)</f>
        <v>0.9</v>
      </c>
      <c r="Q1438" s="15">
        <f>IF(AND(ISNUMBER(J1438),J1438&gt;0),1/J1438,IF(AND(ISNUMBER(I1438),I1438&gt;0),SQRT(MIN(I1438,Formula!$C$27))/Formula!$C$24,1/Formula!$C$25))</f>
        <v>0.4166666667</v>
      </c>
      <c r="R1438" s="15">
        <f t="shared" si="2"/>
        <v>0.375</v>
      </c>
      <c r="S1438" s="15">
        <f>IF(H1438&lt;&gt;"",EXP(-Formula!$C$28*(EOMONTH(H1438,0)-H1438)),EXP(-Formula!$C$28*(EOMONTH(D1438,0)-D1438)))</f>
        <v>0.2345702881</v>
      </c>
      <c r="T1438" s="15">
        <f t="shared" si="3"/>
        <v>0.2085144141</v>
      </c>
      <c r="U1438" s="15">
        <f t="shared" si="4"/>
        <v>0.01834173232</v>
      </c>
      <c r="V1438" s="16">
        <f>IF(AND(L1438="Among all respondents",NOT(OR(K1438="Online poll in Telegram channel",K1438="Website online poll",K1438="CAWI (Computer Assisted Web Interviewing)"))),1/(1-MIN(MAX(Formula!$C$33+(YEAR(D1438)-Formula!$C$34)/(Formula!$C$35-Formula!$C$34)*(Formula!$C$32-Formula!$C$33),Formula!$C$33),Formula!$C$32)),1)</f>
        <v>1</v>
      </c>
      <c r="W1438" s="17">
        <f t="shared" si="5"/>
        <v>4.3</v>
      </c>
    </row>
    <row r="1439" ht="15.75" customHeight="1">
      <c r="A1439" s="8" t="s">
        <v>2237</v>
      </c>
      <c r="B1439" s="7" t="s">
        <v>2227</v>
      </c>
      <c r="C1439" s="13" t="s">
        <v>2228</v>
      </c>
      <c r="D1439" s="7" t="s">
        <v>203</v>
      </c>
      <c r="E1439" s="8" t="s">
        <v>72</v>
      </c>
      <c r="F1439" s="8" t="s">
        <v>318</v>
      </c>
      <c r="G1439" s="7" t="s">
        <v>2229</v>
      </c>
      <c r="H1439" s="7" t="s">
        <v>194</v>
      </c>
      <c r="I1439" s="8">
        <v>2000.0</v>
      </c>
      <c r="J1439" s="8">
        <v>2.4</v>
      </c>
      <c r="K1439" s="8" t="s">
        <v>321</v>
      </c>
      <c r="L1439" s="8" t="s">
        <v>322</v>
      </c>
      <c r="M1439" s="8" t="s">
        <v>388</v>
      </c>
      <c r="N1439" s="8">
        <v>3.8</v>
      </c>
      <c r="O1439" s="14">
        <f t="shared" si="1"/>
        <v>44348</v>
      </c>
      <c r="P1439" s="15">
        <f>IFERROR(VLOOKUP(K1439,Formula!$A$11:$B$20,2,FALSE),Formula!$C$26)</f>
        <v>0.9</v>
      </c>
      <c r="Q1439" s="15">
        <f>IF(AND(ISNUMBER(J1439),J1439&gt;0),1/J1439,IF(AND(ISNUMBER(I1439),I1439&gt;0),SQRT(MIN(I1439,Formula!$C$27))/Formula!$C$24,1/Formula!$C$25))</f>
        <v>0.4166666667</v>
      </c>
      <c r="R1439" s="15">
        <f t="shared" si="2"/>
        <v>0.375</v>
      </c>
      <c r="S1439" s="15">
        <f>IF(H1439&lt;&gt;"",EXP(-Formula!$C$28*(EOMONTH(H1439,0)-H1439)),EXP(-Formula!$C$28*(EOMONTH(D1439,0)-D1439)))</f>
        <v>0.2345702881</v>
      </c>
      <c r="T1439" s="15">
        <f t="shared" si="3"/>
        <v>0.2085144141</v>
      </c>
      <c r="U1439" s="15">
        <f t="shared" si="4"/>
        <v>0.01834173232</v>
      </c>
      <c r="V1439" s="16">
        <f>IF(AND(L1439="Among all respondents",NOT(OR(K1439="Online poll in Telegram channel",K1439="Website online poll",K1439="CAWI (Computer Assisted Web Interviewing)"))),1/(1-MIN(MAX(Formula!$C$33+(YEAR(D1439)-Formula!$C$34)/(Formula!$C$35-Formula!$C$34)*(Formula!$C$32-Formula!$C$33),Formula!$C$33),Formula!$C$32)),1)</f>
        <v>1</v>
      </c>
      <c r="W1439" s="17">
        <f t="shared" si="5"/>
        <v>3.8</v>
      </c>
    </row>
    <row r="1440" ht="15.75" customHeight="1">
      <c r="A1440" s="8" t="s">
        <v>2238</v>
      </c>
      <c r="B1440" s="7" t="s">
        <v>2227</v>
      </c>
      <c r="C1440" s="13" t="s">
        <v>2228</v>
      </c>
      <c r="D1440" s="7" t="s">
        <v>203</v>
      </c>
      <c r="E1440" s="8" t="s">
        <v>72</v>
      </c>
      <c r="F1440" s="8" t="s">
        <v>318</v>
      </c>
      <c r="G1440" s="7" t="s">
        <v>2229</v>
      </c>
      <c r="H1440" s="7" t="s">
        <v>194</v>
      </c>
      <c r="I1440" s="8">
        <v>2000.0</v>
      </c>
      <c r="J1440" s="8">
        <v>2.4</v>
      </c>
      <c r="K1440" s="8" t="s">
        <v>321</v>
      </c>
      <c r="L1440" s="8" t="s">
        <v>322</v>
      </c>
      <c r="M1440" s="8" t="s">
        <v>333</v>
      </c>
      <c r="N1440" s="8">
        <v>3.1</v>
      </c>
      <c r="O1440" s="14">
        <f t="shared" si="1"/>
        <v>44348</v>
      </c>
      <c r="P1440" s="15">
        <f>IFERROR(VLOOKUP(K1440,Formula!$A$11:$B$20,2,FALSE),Formula!$C$26)</f>
        <v>0.9</v>
      </c>
      <c r="Q1440" s="15">
        <f>IF(AND(ISNUMBER(J1440),J1440&gt;0),1/J1440,IF(AND(ISNUMBER(I1440),I1440&gt;0),SQRT(MIN(I1440,Formula!$C$27))/Formula!$C$24,1/Formula!$C$25))</f>
        <v>0.4166666667</v>
      </c>
      <c r="R1440" s="15">
        <f t="shared" si="2"/>
        <v>0.375</v>
      </c>
      <c r="S1440" s="15">
        <f>IF(H1440&lt;&gt;"",EXP(-Formula!$C$28*(EOMONTH(H1440,0)-H1440)),EXP(-Formula!$C$28*(EOMONTH(D1440,0)-D1440)))</f>
        <v>0.2345702881</v>
      </c>
      <c r="T1440" s="15">
        <f t="shared" si="3"/>
        <v>0.2085144141</v>
      </c>
      <c r="U1440" s="15">
        <f t="shared" si="4"/>
        <v>0.01834173232</v>
      </c>
      <c r="V1440" s="16">
        <f>IF(AND(L1440="Among all respondents",NOT(OR(K1440="Online poll in Telegram channel",K1440="Website online poll",K1440="CAWI (Computer Assisted Web Interviewing)"))),1/(1-MIN(MAX(Formula!$C$33+(YEAR(D1440)-Formula!$C$34)/(Formula!$C$35-Formula!$C$34)*(Formula!$C$32-Formula!$C$33),Formula!$C$33),Formula!$C$32)),1)</f>
        <v>1</v>
      </c>
      <c r="W1440" s="17">
        <f t="shared" si="5"/>
        <v>3.1</v>
      </c>
    </row>
    <row r="1441" ht="15.75" customHeight="1">
      <c r="A1441" s="8" t="s">
        <v>2239</v>
      </c>
      <c r="B1441" s="7" t="s">
        <v>2227</v>
      </c>
      <c r="C1441" s="13" t="s">
        <v>2228</v>
      </c>
      <c r="D1441" s="7" t="s">
        <v>203</v>
      </c>
      <c r="E1441" s="8" t="s">
        <v>72</v>
      </c>
      <c r="F1441" s="8" t="s">
        <v>318</v>
      </c>
      <c r="G1441" s="7" t="s">
        <v>2229</v>
      </c>
      <c r="H1441" s="7" t="s">
        <v>194</v>
      </c>
      <c r="I1441" s="8">
        <v>2000.0</v>
      </c>
      <c r="J1441" s="8">
        <v>2.4</v>
      </c>
      <c r="K1441" s="8" t="s">
        <v>321</v>
      </c>
      <c r="L1441" s="8" t="s">
        <v>322</v>
      </c>
      <c r="M1441" s="8" t="s">
        <v>343</v>
      </c>
      <c r="N1441" s="8">
        <v>1.8</v>
      </c>
      <c r="O1441" s="14">
        <f t="shared" si="1"/>
        <v>44348</v>
      </c>
      <c r="P1441" s="15">
        <f>IFERROR(VLOOKUP(K1441,Formula!$A$11:$B$20,2,FALSE),Formula!$C$26)</f>
        <v>0.9</v>
      </c>
      <c r="Q1441" s="15">
        <f>IF(AND(ISNUMBER(J1441),J1441&gt;0),1/J1441,IF(AND(ISNUMBER(I1441),I1441&gt;0),SQRT(MIN(I1441,Formula!$C$27))/Formula!$C$24,1/Formula!$C$25))</f>
        <v>0.4166666667</v>
      </c>
      <c r="R1441" s="15">
        <f t="shared" si="2"/>
        <v>0.375</v>
      </c>
      <c r="S1441" s="15">
        <f>IF(H1441&lt;&gt;"",EXP(-Formula!$C$28*(EOMONTH(H1441,0)-H1441)),EXP(-Formula!$C$28*(EOMONTH(D1441,0)-D1441)))</f>
        <v>0.2345702881</v>
      </c>
      <c r="T1441" s="15">
        <f t="shared" si="3"/>
        <v>0.2085144141</v>
      </c>
      <c r="U1441" s="15">
        <f t="shared" si="4"/>
        <v>0.01834173232</v>
      </c>
      <c r="V1441" s="16">
        <f>IF(AND(L1441="Among all respondents",NOT(OR(K1441="Online poll in Telegram channel",K1441="Website online poll",K1441="CAWI (Computer Assisted Web Interviewing)"))),1/(1-MIN(MAX(Formula!$C$33+(YEAR(D1441)-Formula!$C$34)/(Formula!$C$35-Formula!$C$34)*(Formula!$C$32-Formula!$C$33),Formula!$C$33),Formula!$C$32)),1)</f>
        <v>1</v>
      </c>
      <c r="W1441" s="17">
        <f t="shared" si="5"/>
        <v>1.8</v>
      </c>
    </row>
    <row r="1442" ht="15.75" customHeight="1">
      <c r="A1442" s="8" t="s">
        <v>2240</v>
      </c>
      <c r="B1442" s="7" t="s">
        <v>2227</v>
      </c>
      <c r="C1442" s="13" t="s">
        <v>2228</v>
      </c>
      <c r="D1442" s="7" t="s">
        <v>203</v>
      </c>
      <c r="E1442" s="8" t="s">
        <v>72</v>
      </c>
      <c r="F1442" s="8" t="s">
        <v>318</v>
      </c>
      <c r="G1442" s="7" t="s">
        <v>2229</v>
      </c>
      <c r="H1442" s="7" t="s">
        <v>194</v>
      </c>
      <c r="I1442" s="8">
        <v>2000.0</v>
      </c>
      <c r="J1442" s="8">
        <v>2.4</v>
      </c>
      <c r="K1442" s="8" t="s">
        <v>321</v>
      </c>
      <c r="L1442" s="8" t="s">
        <v>322</v>
      </c>
      <c r="M1442" s="8" t="s">
        <v>740</v>
      </c>
      <c r="N1442" s="8">
        <v>1.7</v>
      </c>
      <c r="O1442" s="14">
        <f t="shared" si="1"/>
        <v>44348</v>
      </c>
      <c r="P1442" s="15">
        <f>IFERROR(VLOOKUP(K1442,Formula!$A$11:$B$20,2,FALSE),Formula!$C$26)</f>
        <v>0.9</v>
      </c>
      <c r="Q1442" s="15">
        <f>IF(AND(ISNUMBER(J1442),J1442&gt;0),1/J1442,IF(AND(ISNUMBER(I1442),I1442&gt;0),SQRT(MIN(I1442,Formula!$C$27))/Formula!$C$24,1/Formula!$C$25))</f>
        <v>0.4166666667</v>
      </c>
      <c r="R1442" s="15">
        <f t="shared" si="2"/>
        <v>0.375</v>
      </c>
      <c r="S1442" s="15">
        <f>IF(H1442&lt;&gt;"",EXP(-Formula!$C$28*(EOMONTH(H1442,0)-H1442)),EXP(-Formula!$C$28*(EOMONTH(D1442,0)-D1442)))</f>
        <v>0.2345702881</v>
      </c>
      <c r="T1442" s="15">
        <f t="shared" si="3"/>
        <v>0.2085144141</v>
      </c>
      <c r="U1442" s="15">
        <f t="shared" si="4"/>
        <v>0.01834173232</v>
      </c>
      <c r="V1442" s="16">
        <f>IF(AND(L1442="Among all respondents",NOT(OR(K1442="Online poll in Telegram channel",K1442="Website online poll",K1442="CAWI (Computer Assisted Web Interviewing)"))),1/(1-MIN(MAX(Formula!$C$33+(YEAR(D1442)-Formula!$C$34)/(Formula!$C$35-Formula!$C$34)*(Formula!$C$32-Formula!$C$33),Formula!$C$33),Formula!$C$32)),1)</f>
        <v>1</v>
      </c>
      <c r="W1442" s="17">
        <f t="shared" si="5"/>
        <v>1.7</v>
      </c>
    </row>
    <row r="1443" ht="15.75" customHeight="1">
      <c r="A1443" s="8" t="s">
        <v>2241</v>
      </c>
      <c r="B1443" s="7" t="s">
        <v>2227</v>
      </c>
      <c r="C1443" s="13" t="s">
        <v>2228</v>
      </c>
      <c r="D1443" s="7" t="s">
        <v>203</v>
      </c>
      <c r="E1443" s="8" t="s">
        <v>72</v>
      </c>
      <c r="F1443" s="8" t="s">
        <v>318</v>
      </c>
      <c r="G1443" s="7" t="s">
        <v>2229</v>
      </c>
      <c r="H1443" s="7" t="s">
        <v>194</v>
      </c>
      <c r="I1443" s="8">
        <v>2000.0</v>
      </c>
      <c r="J1443" s="8">
        <v>2.4</v>
      </c>
      <c r="K1443" s="8" t="s">
        <v>321</v>
      </c>
      <c r="L1443" s="8" t="s">
        <v>322</v>
      </c>
      <c r="M1443" s="8" t="s">
        <v>1171</v>
      </c>
      <c r="N1443" s="8">
        <v>0.8</v>
      </c>
      <c r="O1443" s="14">
        <f t="shared" si="1"/>
        <v>44348</v>
      </c>
      <c r="P1443" s="15">
        <f>IFERROR(VLOOKUP(K1443,Formula!$A$11:$B$20,2,FALSE),Formula!$C$26)</f>
        <v>0.9</v>
      </c>
      <c r="Q1443" s="15">
        <f>IF(AND(ISNUMBER(J1443),J1443&gt;0),1/J1443,IF(AND(ISNUMBER(I1443),I1443&gt;0),SQRT(MIN(I1443,Formula!$C$27))/Formula!$C$24,1/Formula!$C$25))</f>
        <v>0.4166666667</v>
      </c>
      <c r="R1443" s="15">
        <f t="shared" si="2"/>
        <v>0.375</v>
      </c>
      <c r="S1443" s="15">
        <f>IF(H1443&lt;&gt;"",EXP(-Formula!$C$28*(EOMONTH(H1443,0)-H1443)),EXP(-Formula!$C$28*(EOMONTH(D1443,0)-D1443)))</f>
        <v>0.2345702881</v>
      </c>
      <c r="T1443" s="15">
        <f t="shared" si="3"/>
        <v>0.2085144141</v>
      </c>
      <c r="U1443" s="15">
        <f t="shared" si="4"/>
        <v>0.01834173232</v>
      </c>
      <c r="V1443" s="16">
        <f>IF(AND(L1443="Among all respondents",NOT(OR(K1443="Online poll in Telegram channel",K1443="Website online poll",K1443="CAWI (Computer Assisted Web Interviewing)"))),1/(1-MIN(MAX(Formula!$C$33+(YEAR(D1443)-Formula!$C$34)/(Formula!$C$35-Formula!$C$34)*(Formula!$C$32-Formula!$C$33),Formula!$C$33),Formula!$C$32)),1)</f>
        <v>1</v>
      </c>
      <c r="W1443" s="17">
        <f t="shared" si="5"/>
        <v>0.8</v>
      </c>
    </row>
    <row r="1444" ht="15.75" customHeight="1">
      <c r="A1444" s="8" t="s">
        <v>2242</v>
      </c>
      <c r="B1444" s="7" t="s">
        <v>2243</v>
      </c>
      <c r="C1444" s="13" t="s">
        <v>2244</v>
      </c>
      <c r="D1444" s="7" t="s">
        <v>205</v>
      </c>
      <c r="E1444" s="8" t="s">
        <v>158</v>
      </c>
      <c r="F1444" s="8" t="s">
        <v>318</v>
      </c>
      <c r="G1444" s="7" t="s">
        <v>2183</v>
      </c>
      <c r="H1444" s="7" t="s">
        <v>2245</v>
      </c>
      <c r="I1444" s="8">
        <v>2035.0</v>
      </c>
      <c r="J1444" s="8">
        <v>3.0</v>
      </c>
      <c r="K1444" s="8" t="s">
        <v>583</v>
      </c>
      <c r="L1444" s="8" t="s">
        <v>322</v>
      </c>
      <c r="M1444" s="8" t="s">
        <v>323</v>
      </c>
      <c r="N1444" s="8">
        <v>23.8</v>
      </c>
      <c r="O1444" s="14">
        <f t="shared" si="1"/>
        <v>44348</v>
      </c>
      <c r="P1444" s="15">
        <f>IFERROR(VLOOKUP(K1444,Formula!$A$11:$B$20,2,FALSE),Formula!$C$26)</f>
        <v>0.95</v>
      </c>
      <c r="Q1444" s="15">
        <f>IF(AND(ISNUMBER(J1444),J1444&gt;0),1/J1444,IF(AND(ISNUMBER(I1444),I1444&gt;0),SQRT(MIN(I1444,Formula!$C$27))/Formula!$C$24,1/Formula!$C$25))</f>
        <v>0.3333333333</v>
      </c>
      <c r="R1444" s="15">
        <f t="shared" si="2"/>
        <v>0.3166666667</v>
      </c>
      <c r="S1444" s="15">
        <f>IF(H1444&lt;&gt;"",EXP(-Formula!$C$28*(EOMONTH(H1444,0)-H1444)),EXP(-Formula!$C$28*(EOMONTH(D1444,0)-D1444)))</f>
        <v>0.6065306597</v>
      </c>
      <c r="T1444" s="15">
        <f t="shared" si="3"/>
        <v>0.1490711985</v>
      </c>
      <c r="U1444" s="15">
        <f t="shared" si="4"/>
        <v>0.02863181325</v>
      </c>
      <c r="V1444" s="16">
        <f>IF(AND(L1444="Among all respondents",NOT(OR(K1444="Online poll in Telegram channel",K1444="Website online poll",K1444="CAWI (Computer Assisted Web Interviewing)"))),1/(1-MIN(MAX(Formula!$C$33+(YEAR(D1444)-Formula!$C$34)/(Formula!$C$35-Formula!$C$34)*(Formula!$C$32-Formula!$C$33),Formula!$C$33),Formula!$C$32)),1)</f>
        <v>1</v>
      </c>
      <c r="W1444" s="17">
        <f t="shared" si="5"/>
        <v>23.8</v>
      </c>
    </row>
    <row r="1445" ht="15.75" customHeight="1">
      <c r="A1445" s="8" t="s">
        <v>2246</v>
      </c>
      <c r="B1445" s="7" t="s">
        <v>2243</v>
      </c>
      <c r="C1445" s="13" t="s">
        <v>2244</v>
      </c>
      <c r="D1445" s="7" t="s">
        <v>205</v>
      </c>
      <c r="E1445" s="8" t="s">
        <v>158</v>
      </c>
      <c r="F1445" s="8" t="s">
        <v>318</v>
      </c>
      <c r="G1445" s="7" t="s">
        <v>2183</v>
      </c>
      <c r="H1445" s="7" t="s">
        <v>2245</v>
      </c>
      <c r="I1445" s="8">
        <v>2035.0</v>
      </c>
      <c r="J1445" s="8">
        <v>3.0</v>
      </c>
      <c r="K1445" s="8" t="s">
        <v>583</v>
      </c>
      <c r="L1445" s="8" t="s">
        <v>322</v>
      </c>
      <c r="M1445" s="8" t="s">
        <v>365</v>
      </c>
      <c r="N1445" s="8">
        <v>16.7</v>
      </c>
      <c r="O1445" s="14">
        <f t="shared" si="1"/>
        <v>44348</v>
      </c>
      <c r="P1445" s="15">
        <f>IFERROR(VLOOKUP(K1445,Formula!$A$11:$B$20,2,FALSE),Formula!$C$26)</f>
        <v>0.95</v>
      </c>
      <c r="Q1445" s="15">
        <f>IF(AND(ISNUMBER(J1445),J1445&gt;0),1/J1445,IF(AND(ISNUMBER(I1445),I1445&gt;0),SQRT(MIN(I1445,Formula!$C$27))/Formula!$C$24,1/Formula!$C$25))</f>
        <v>0.3333333333</v>
      </c>
      <c r="R1445" s="15">
        <f t="shared" si="2"/>
        <v>0.3166666667</v>
      </c>
      <c r="S1445" s="15">
        <f>IF(H1445&lt;&gt;"",EXP(-Formula!$C$28*(EOMONTH(H1445,0)-H1445)),EXP(-Formula!$C$28*(EOMONTH(D1445,0)-D1445)))</f>
        <v>0.6065306597</v>
      </c>
      <c r="T1445" s="15">
        <f t="shared" si="3"/>
        <v>0.1490711985</v>
      </c>
      <c r="U1445" s="15">
        <f t="shared" si="4"/>
        <v>0.02863181325</v>
      </c>
      <c r="V1445" s="16">
        <f>IF(AND(L1445="Among all respondents",NOT(OR(K1445="Online poll in Telegram channel",K1445="Website online poll",K1445="CAWI (Computer Assisted Web Interviewing)"))),1/(1-MIN(MAX(Formula!$C$33+(YEAR(D1445)-Formula!$C$34)/(Formula!$C$35-Formula!$C$34)*(Formula!$C$32-Formula!$C$33),Formula!$C$33),Formula!$C$32)),1)</f>
        <v>1</v>
      </c>
      <c r="W1445" s="17">
        <f t="shared" si="5"/>
        <v>16.7</v>
      </c>
    </row>
    <row r="1446" ht="15.75" customHeight="1">
      <c r="A1446" s="8" t="s">
        <v>2247</v>
      </c>
      <c r="B1446" s="7" t="s">
        <v>2243</v>
      </c>
      <c r="C1446" s="13" t="s">
        <v>2244</v>
      </c>
      <c r="D1446" s="7" t="s">
        <v>205</v>
      </c>
      <c r="E1446" s="8" t="s">
        <v>158</v>
      </c>
      <c r="F1446" s="8" t="s">
        <v>318</v>
      </c>
      <c r="G1446" s="7" t="s">
        <v>2183</v>
      </c>
      <c r="H1446" s="7" t="s">
        <v>2245</v>
      </c>
      <c r="I1446" s="8">
        <v>2035.0</v>
      </c>
      <c r="J1446" s="8">
        <v>3.0</v>
      </c>
      <c r="K1446" s="8" t="s">
        <v>583</v>
      </c>
      <c r="L1446" s="8" t="s">
        <v>322</v>
      </c>
      <c r="M1446" s="8" t="s">
        <v>329</v>
      </c>
      <c r="N1446" s="8">
        <v>16.5</v>
      </c>
      <c r="O1446" s="14">
        <f t="shared" si="1"/>
        <v>44348</v>
      </c>
      <c r="P1446" s="15">
        <f>IFERROR(VLOOKUP(K1446,Formula!$A$11:$B$20,2,FALSE),Formula!$C$26)</f>
        <v>0.95</v>
      </c>
      <c r="Q1446" s="15">
        <f>IF(AND(ISNUMBER(J1446),J1446&gt;0),1/J1446,IF(AND(ISNUMBER(I1446),I1446&gt;0),SQRT(MIN(I1446,Formula!$C$27))/Formula!$C$24,1/Formula!$C$25))</f>
        <v>0.3333333333</v>
      </c>
      <c r="R1446" s="15">
        <f t="shared" si="2"/>
        <v>0.3166666667</v>
      </c>
      <c r="S1446" s="15">
        <f>IF(H1446&lt;&gt;"",EXP(-Formula!$C$28*(EOMONTH(H1446,0)-H1446)),EXP(-Formula!$C$28*(EOMONTH(D1446,0)-D1446)))</f>
        <v>0.6065306597</v>
      </c>
      <c r="T1446" s="15">
        <f t="shared" si="3"/>
        <v>0.1490711985</v>
      </c>
      <c r="U1446" s="15">
        <f t="shared" si="4"/>
        <v>0.02863181325</v>
      </c>
      <c r="V1446" s="16">
        <f>IF(AND(L1446="Among all respondents",NOT(OR(K1446="Online poll in Telegram channel",K1446="Website online poll",K1446="CAWI (Computer Assisted Web Interviewing)"))),1/(1-MIN(MAX(Formula!$C$33+(YEAR(D1446)-Formula!$C$34)/(Formula!$C$35-Formula!$C$34)*(Formula!$C$32-Formula!$C$33),Formula!$C$33),Formula!$C$32)),1)</f>
        <v>1</v>
      </c>
      <c r="W1446" s="17">
        <f t="shared" si="5"/>
        <v>16.5</v>
      </c>
    </row>
    <row r="1447" ht="15.75" customHeight="1">
      <c r="A1447" s="8" t="s">
        <v>2248</v>
      </c>
      <c r="B1447" s="7" t="s">
        <v>2243</v>
      </c>
      <c r="C1447" s="13" t="s">
        <v>2244</v>
      </c>
      <c r="D1447" s="7" t="s">
        <v>205</v>
      </c>
      <c r="E1447" s="8" t="s">
        <v>158</v>
      </c>
      <c r="F1447" s="8" t="s">
        <v>318</v>
      </c>
      <c r="G1447" s="7" t="s">
        <v>2183</v>
      </c>
      <c r="H1447" s="7" t="s">
        <v>2245</v>
      </c>
      <c r="I1447" s="8">
        <v>2035.0</v>
      </c>
      <c r="J1447" s="8">
        <v>3.0</v>
      </c>
      <c r="K1447" s="8" t="s">
        <v>583</v>
      </c>
      <c r="L1447" s="8" t="s">
        <v>322</v>
      </c>
      <c r="M1447" s="8" t="s">
        <v>337</v>
      </c>
      <c r="N1447" s="8">
        <v>12.9</v>
      </c>
      <c r="O1447" s="14">
        <f t="shared" si="1"/>
        <v>44348</v>
      </c>
      <c r="P1447" s="15">
        <f>IFERROR(VLOOKUP(K1447,Formula!$A$11:$B$20,2,FALSE),Formula!$C$26)</f>
        <v>0.95</v>
      </c>
      <c r="Q1447" s="15">
        <f>IF(AND(ISNUMBER(J1447),J1447&gt;0),1/J1447,IF(AND(ISNUMBER(I1447),I1447&gt;0),SQRT(MIN(I1447,Formula!$C$27))/Formula!$C$24,1/Formula!$C$25))</f>
        <v>0.3333333333</v>
      </c>
      <c r="R1447" s="15">
        <f t="shared" si="2"/>
        <v>0.3166666667</v>
      </c>
      <c r="S1447" s="15">
        <f>IF(H1447&lt;&gt;"",EXP(-Formula!$C$28*(EOMONTH(H1447,0)-H1447)),EXP(-Formula!$C$28*(EOMONTH(D1447,0)-D1447)))</f>
        <v>0.6065306597</v>
      </c>
      <c r="T1447" s="15">
        <f t="shared" si="3"/>
        <v>0.1490711985</v>
      </c>
      <c r="U1447" s="15">
        <f t="shared" si="4"/>
        <v>0.02863181325</v>
      </c>
      <c r="V1447" s="16">
        <f>IF(AND(L1447="Among all respondents",NOT(OR(K1447="Online poll in Telegram channel",K1447="Website online poll",K1447="CAWI (Computer Assisted Web Interviewing)"))),1/(1-MIN(MAX(Formula!$C$33+(YEAR(D1447)-Formula!$C$34)/(Formula!$C$35-Formula!$C$34)*(Formula!$C$32-Formula!$C$33),Formula!$C$33),Formula!$C$32)),1)</f>
        <v>1</v>
      </c>
      <c r="W1447" s="17">
        <f t="shared" si="5"/>
        <v>12.9</v>
      </c>
    </row>
    <row r="1448" ht="15.75" customHeight="1">
      <c r="A1448" s="8" t="s">
        <v>2249</v>
      </c>
      <c r="B1448" s="7" t="s">
        <v>2243</v>
      </c>
      <c r="C1448" s="13" t="s">
        <v>2244</v>
      </c>
      <c r="D1448" s="7" t="s">
        <v>205</v>
      </c>
      <c r="E1448" s="8" t="s">
        <v>158</v>
      </c>
      <c r="F1448" s="8" t="s">
        <v>318</v>
      </c>
      <c r="G1448" s="7" t="s">
        <v>2183</v>
      </c>
      <c r="H1448" s="7" t="s">
        <v>2245</v>
      </c>
      <c r="I1448" s="8">
        <v>2035.0</v>
      </c>
      <c r="J1448" s="8">
        <v>3.0</v>
      </c>
      <c r="K1448" s="8" t="s">
        <v>583</v>
      </c>
      <c r="L1448" s="8" t="s">
        <v>322</v>
      </c>
      <c r="M1448" s="8" t="s">
        <v>828</v>
      </c>
      <c r="N1448" s="8">
        <v>6.1</v>
      </c>
      <c r="O1448" s="14">
        <f t="shared" si="1"/>
        <v>44348</v>
      </c>
      <c r="P1448" s="15">
        <f>IFERROR(VLOOKUP(K1448,Formula!$A$11:$B$20,2,FALSE),Formula!$C$26)</f>
        <v>0.95</v>
      </c>
      <c r="Q1448" s="15">
        <f>IF(AND(ISNUMBER(J1448),J1448&gt;0),1/J1448,IF(AND(ISNUMBER(I1448),I1448&gt;0),SQRT(MIN(I1448,Formula!$C$27))/Formula!$C$24,1/Formula!$C$25))</f>
        <v>0.3333333333</v>
      </c>
      <c r="R1448" s="15">
        <f t="shared" si="2"/>
        <v>0.3166666667</v>
      </c>
      <c r="S1448" s="15">
        <f>IF(H1448&lt;&gt;"",EXP(-Formula!$C$28*(EOMONTH(H1448,0)-H1448)),EXP(-Formula!$C$28*(EOMONTH(D1448,0)-D1448)))</f>
        <v>0.6065306597</v>
      </c>
      <c r="T1448" s="15">
        <f t="shared" si="3"/>
        <v>0.1490711985</v>
      </c>
      <c r="U1448" s="15">
        <f t="shared" si="4"/>
        <v>0.02863181325</v>
      </c>
      <c r="V1448" s="16">
        <f>IF(AND(L1448="Among all respondents",NOT(OR(K1448="Online poll in Telegram channel",K1448="Website online poll",K1448="CAWI (Computer Assisted Web Interviewing)"))),1/(1-MIN(MAX(Formula!$C$33+(YEAR(D1448)-Formula!$C$34)/(Formula!$C$35-Formula!$C$34)*(Formula!$C$32-Formula!$C$33),Formula!$C$33),Formula!$C$32)),1)</f>
        <v>1</v>
      </c>
      <c r="W1448" s="17">
        <f t="shared" si="5"/>
        <v>6.1</v>
      </c>
    </row>
    <row r="1449" ht="15.75" customHeight="1">
      <c r="A1449" s="8" t="s">
        <v>2250</v>
      </c>
      <c r="B1449" s="7" t="s">
        <v>2243</v>
      </c>
      <c r="C1449" s="13" t="s">
        <v>2244</v>
      </c>
      <c r="D1449" s="7" t="s">
        <v>205</v>
      </c>
      <c r="E1449" s="8" t="s">
        <v>158</v>
      </c>
      <c r="F1449" s="8" t="s">
        <v>318</v>
      </c>
      <c r="G1449" s="7" t="s">
        <v>2183</v>
      </c>
      <c r="H1449" s="7" t="s">
        <v>2245</v>
      </c>
      <c r="I1449" s="8">
        <v>2035.0</v>
      </c>
      <c r="J1449" s="8">
        <v>3.0</v>
      </c>
      <c r="K1449" s="8" t="s">
        <v>583</v>
      </c>
      <c r="L1449" s="8" t="s">
        <v>322</v>
      </c>
      <c r="M1449" s="8" t="s">
        <v>386</v>
      </c>
      <c r="N1449" s="8">
        <v>4.5</v>
      </c>
      <c r="O1449" s="14">
        <f t="shared" si="1"/>
        <v>44348</v>
      </c>
      <c r="P1449" s="15">
        <f>IFERROR(VLOOKUP(K1449,Formula!$A$11:$B$20,2,FALSE),Formula!$C$26)</f>
        <v>0.95</v>
      </c>
      <c r="Q1449" s="15">
        <f>IF(AND(ISNUMBER(J1449),J1449&gt;0),1/J1449,IF(AND(ISNUMBER(I1449),I1449&gt;0),SQRT(MIN(I1449,Formula!$C$27))/Formula!$C$24,1/Formula!$C$25))</f>
        <v>0.3333333333</v>
      </c>
      <c r="R1449" s="15">
        <f t="shared" si="2"/>
        <v>0.3166666667</v>
      </c>
      <c r="S1449" s="15">
        <f>IF(H1449&lt;&gt;"",EXP(-Formula!$C$28*(EOMONTH(H1449,0)-H1449)),EXP(-Formula!$C$28*(EOMONTH(D1449,0)-D1449)))</f>
        <v>0.6065306597</v>
      </c>
      <c r="T1449" s="15">
        <f t="shared" si="3"/>
        <v>0.1490711985</v>
      </c>
      <c r="U1449" s="15">
        <f t="shared" si="4"/>
        <v>0.02863181325</v>
      </c>
      <c r="V1449" s="16">
        <f>IF(AND(L1449="Among all respondents",NOT(OR(K1449="Online poll in Telegram channel",K1449="Website online poll",K1449="CAWI (Computer Assisted Web Interviewing)"))),1/(1-MIN(MAX(Formula!$C$33+(YEAR(D1449)-Formula!$C$34)/(Formula!$C$35-Formula!$C$34)*(Formula!$C$32-Formula!$C$33),Formula!$C$33),Formula!$C$32)),1)</f>
        <v>1</v>
      </c>
      <c r="W1449" s="17">
        <f t="shared" si="5"/>
        <v>4.5</v>
      </c>
    </row>
    <row r="1450" ht="15.75" customHeight="1">
      <c r="A1450" s="8" t="s">
        <v>2251</v>
      </c>
      <c r="B1450" s="7" t="s">
        <v>2243</v>
      </c>
      <c r="C1450" s="13" t="s">
        <v>2244</v>
      </c>
      <c r="D1450" s="7" t="s">
        <v>205</v>
      </c>
      <c r="E1450" s="8" t="s">
        <v>158</v>
      </c>
      <c r="F1450" s="8" t="s">
        <v>318</v>
      </c>
      <c r="G1450" s="7" t="s">
        <v>2183</v>
      </c>
      <c r="H1450" s="7" t="s">
        <v>2245</v>
      </c>
      <c r="I1450" s="8">
        <v>2035.0</v>
      </c>
      <c r="J1450" s="8">
        <v>3.0</v>
      </c>
      <c r="K1450" s="8" t="s">
        <v>583</v>
      </c>
      <c r="L1450" s="8" t="s">
        <v>322</v>
      </c>
      <c r="M1450" s="8" t="s">
        <v>1153</v>
      </c>
      <c r="N1450" s="8">
        <v>3.5</v>
      </c>
      <c r="O1450" s="14">
        <f t="shared" si="1"/>
        <v>44348</v>
      </c>
      <c r="P1450" s="15">
        <f>IFERROR(VLOOKUP(K1450,Formula!$A$11:$B$20,2,FALSE),Formula!$C$26)</f>
        <v>0.95</v>
      </c>
      <c r="Q1450" s="15">
        <f>IF(AND(ISNUMBER(J1450),J1450&gt;0),1/J1450,IF(AND(ISNUMBER(I1450),I1450&gt;0),SQRT(MIN(I1450,Formula!$C$27))/Formula!$C$24,1/Formula!$C$25))</f>
        <v>0.3333333333</v>
      </c>
      <c r="R1450" s="15">
        <f t="shared" si="2"/>
        <v>0.3166666667</v>
      </c>
      <c r="S1450" s="15">
        <f>IF(H1450&lt;&gt;"",EXP(-Formula!$C$28*(EOMONTH(H1450,0)-H1450)),EXP(-Formula!$C$28*(EOMONTH(D1450,0)-D1450)))</f>
        <v>0.6065306597</v>
      </c>
      <c r="T1450" s="15">
        <f t="shared" si="3"/>
        <v>0.1490711985</v>
      </c>
      <c r="U1450" s="15">
        <f t="shared" si="4"/>
        <v>0.02863181325</v>
      </c>
      <c r="V1450" s="16">
        <f>IF(AND(L1450="Among all respondents",NOT(OR(K1450="Online poll in Telegram channel",K1450="Website online poll",K1450="CAWI (Computer Assisted Web Interviewing)"))),1/(1-MIN(MAX(Formula!$C$33+(YEAR(D1450)-Formula!$C$34)/(Formula!$C$35-Formula!$C$34)*(Formula!$C$32-Formula!$C$33),Formula!$C$33),Formula!$C$32)),1)</f>
        <v>1</v>
      </c>
      <c r="W1450" s="17">
        <f t="shared" si="5"/>
        <v>3.5</v>
      </c>
    </row>
    <row r="1451" ht="15.75" customHeight="1">
      <c r="A1451" s="8" t="s">
        <v>2252</v>
      </c>
      <c r="B1451" s="7" t="s">
        <v>2243</v>
      </c>
      <c r="C1451" s="13" t="s">
        <v>2244</v>
      </c>
      <c r="D1451" s="7" t="s">
        <v>205</v>
      </c>
      <c r="E1451" s="8" t="s">
        <v>158</v>
      </c>
      <c r="F1451" s="8" t="s">
        <v>318</v>
      </c>
      <c r="G1451" s="7" t="s">
        <v>2183</v>
      </c>
      <c r="H1451" s="7" t="s">
        <v>2245</v>
      </c>
      <c r="I1451" s="8">
        <v>2035.0</v>
      </c>
      <c r="J1451" s="8">
        <v>3.0</v>
      </c>
      <c r="K1451" s="8" t="s">
        <v>583</v>
      </c>
      <c r="L1451" s="8" t="s">
        <v>322</v>
      </c>
      <c r="M1451" s="8" t="s">
        <v>333</v>
      </c>
      <c r="N1451" s="8">
        <v>3.1</v>
      </c>
      <c r="O1451" s="14">
        <f t="shared" si="1"/>
        <v>44348</v>
      </c>
      <c r="P1451" s="15">
        <f>IFERROR(VLOOKUP(K1451,Formula!$A$11:$B$20,2,FALSE),Formula!$C$26)</f>
        <v>0.95</v>
      </c>
      <c r="Q1451" s="15">
        <f>IF(AND(ISNUMBER(J1451),J1451&gt;0),1/J1451,IF(AND(ISNUMBER(I1451),I1451&gt;0),SQRT(MIN(I1451,Formula!$C$27))/Formula!$C$24,1/Formula!$C$25))</f>
        <v>0.3333333333</v>
      </c>
      <c r="R1451" s="15">
        <f t="shared" si="2"/>
        <v>0.3166666667</v>
      </c>
      <c r="S1451" s="15">
        <f>IF(H1451&lt;&gt;"",EXP(-Formula!$C$28*(EOMONTH(H1451,0)-H1451)),EXP(-Formula!$C$28*(EOMONTH(D1451,0)-D1451)))</f>
        <v>0.6065306597</v>
      </c>
      <c r="T1451" s="15">
        <f t="shared" si="3"/>
        <v>0.1490711985</v>
      </c>
      <c r="U1451" s="15">
        <f t="shared" si="4"/>
        <v>0.02863181325</v>
      </c>
      <c r="V1451" s="16">
        <f>IF(AND(L1451="Among all respondents",NOT(OR(K1451="Online poll in Telegram channel",K1451="Website online poll",K1451="CAWI (Computer Assisted Web Interviewing)"))),1/(1-MIN(MAX(Formula!$C$33+(YEAR(D1451)-Formula!$C$34)/(Formula!$C$35-Formula!$C$34)*(Formula!$C$32-Formula!$C$33),Formula!$C$33),Formula!$C$32)),1)</f>
        <v>1</v>
      </c>
      <c r="W1451" s="17">
        <f t="shared" si="5"/>
        <v>3.1</v>
      </c>
    </row>
    <row r="1452" ht="15.75" customHeight="1">
      <c r="A1452" s="8" t="s">
        <v>2253</v>
      </c>
      <c r="B1452" s="7" t="s">
        <v>2243</v>
      </c>
      <c r="C1452" s="13" t="s">
        <v>2244</v>
      </c>
      <c r="D1452" s="7" t="s">
        <v>205</v>
      </c>
      <c r="E1452" s="8" t="s">
        <v>158</v>
      </c>
      <c r="F1452" s="8" t="s">
        <v>318</v>
      </c>
      <c r="G1452" s="7" t="s">
        <v>2183</v>
      </c>
      <c r="H1452" s="7" t="s">
        <v>2245</v>
      </c>
      <c r="I1452" s="8">
        <v>2035.0</v>
      </c>
      <c r="J1452" s="8">
        <v>3.0</v>
      </c>
      <c r="K1452" s="8" t="s">
        <v>583</v>
      </c>
      <c r="L1452" s="8" t="s">
        <v>322</v>
      </c>
      <c r="M1452" s="8" t="s">
        <v>1452</v>
      </c>
      <c r="N1452" s="8">
        <v>2.8</v>
      </c>
      <c r="O1452" s="14">
        <f t="shared" si="1"/>
        <v>44348</v>
      </c>
      <c r="P1452" s="15">
        <f>IFERROR(VLOOKUP(K1452,Formula!$A$11:$B$20,2,FALSE),Formula!$C$26)</f>
        <v>0.95</v>
      </c>
      <c r="Q1452" s="15">
        <f>IF(AND(ISNUMBER(J1452),J1452&gt;0),1/J1452,IF(AND(ISNUMBER(I1452),I1452&gt;0),SQRT(MIN(I1452,Formula!$C$27))/Formula!$C$24,1/Formula!$C$25))</f>
        <v>0.3333333333</v>
      </c>
      <c r="R1452" s="15">
        <f t="shared" si="2"/>
        <v>0.3166666667</v>
      </c>
      <c r="S1452" s="15">
        <f>IF(H1452&lt;&gt;"",EXP(-Formula!$C$28*(EOMONTH(H1452,0)-H1452)),EXP(-Formula!$C$28*(EOMONTH(D1452,0)-D1452)))</f>
        <v>0.6065306597</v>
      </c>
      <c r="T1452" s="15">
        <f t="shared" si="3"/>
        <v>0.1490711985</v>
      </c>
      <c r="U1452" s="15">
        <f t="shared" si="4"/>
        <v>0.02863181325</v>
      </c>
      <c r="V1452" s="16">
        <f>IF(AND(L1452="Among all respondents",NOT(OR(K1452="Online poll in Telegram channel",K1452="Website online poll",K1452="CAWI (Computer Assisted Web Interviewing)"))),1/(1-MIN(MAX(Formula!$C$33+(YEAR(D1452)-Formula!$C$34)/(Formula!$C$35-Formula!$C$34)*(Formula!$C$32-Formula!$C$33),Formula!$C$33),Formula!$C$32)),1)</f>
        <v>1</v>
      </c>
      <c r="W1452" s="17">
        <f t="shared" si="5"/>
        <v>2.8</v>
      </c>
    </row>
    <row r="1453" ht="15.75" customHeight="1">
      <c r="A1453" s="8" t="s">
        <v>2254</v>
      </c>
      <c r="B1453" s="7" t="s">
        <v>2243</v>
      </c>
      <c r="C1453" s="13" t="s">
        <v>2244</v>
      </c>
      <c r="D1453" s="7" t="s">
        <v>205</v>
      </c>
      <c r="E1453" s="8" t="s">
        <v>158</v>
      </c>
      <c r="F1453" s="8" t="s">
        <v>318</v>
      </c>
      <c r="G1453" s="7" t="s">
        <v>2183</v>
      </c>
      <c r="H1453" s="7" t="s">
        <v>2245</v>
      </c>
      <c r="I1453" s="8">
        <v>2035.0</v>
      </c>
      <c r="J1453" s="8">
        <v>3.0</v>
      </c>
      <c r="K1453" s="8" t="s">
        <v>583</v>
      </c>
      <c r="L1453" s="8" t="s">
        <v>322</v>
      </c>
      <c r="M1453" s="8" t="s">
        <v>388</v>
      </c>
      <c r="N1453" s="8">
        <v>2.5</v>
      </c>
      <c r="O1453" s="14">
        <f t="shared" si="1"/>
        <v>44348</v>
      </c>
      <c r="P1453" s="15">
        <f>IFERROR(VLOOKUP(K1453,Formula!$A$11:$B$20,2,FALSE),Formula!$C$26)</f>
        <v>0.95</v>
      </c>
      <c r="Q1453" s="15">
        <f>IF(AND(ISNUMBER(J1453),J1453&gt;0),1/J1453,IF(AND(ISNUMBER(I1453),I1453&gt;0),SQRT(MIN(I1453,Formula!$C$27))/Formula!$C$24,1/Formula!$C$25))</f>
        <v>0.3333333333</v>
      </c>
      <c r="R1453" s="15">
        <f t="shared" si="2"/>
        <v>0.3166666667</v>
      </c>
      <c r="S1453" s="15">
        <f>IF(H1453&lt;&gt;"",EXP(-Formula!$C$28*(EOMONTH(H1453,0)-H1453)),EXP(-Formula!$C$28*(EOMONTH(D1453,0)-D1453)))</f>
        <v>0.6065306597</v>
      </c>
      <c r="T1453" s="15">
        <f t="shared" si="3"/>
        <v>0.1490711985</v>
      </c>
      <c r="U1453" s="15">
        <f t="shared" si="4"/>
        <v>0.02863181325</v>
      </c>
      <c r="V1453" s="16">
        <f>IF(AND(L1453="Among all respondents",NOT(OR(K1453="Online poll in Telegram channel",K1453="Website online poll",K1453="CAWI (Computer Assisted Web Interviewing)"))),1/(1-MIN(MAX(Formula!$C$33+(YEAR(D1453)-Formula!$C$34)/(Formula!$C$35-Formula!$C$34)*(Formula!$C$32-Formula!$C$33),Formula!$C$33),Formula!$C$32)),1)</f>
        <v>1</v>
      </c>
      <c r="W1453" s="17">
        <f t="shared" si="5"/>
        <v>2.5</v>
      </c>
    </row>
    <row r="1454" ht="15.75" customHeight="1">
      <c r="A1454" s="8" t="s">
        <v>2255</v>
      </c>
      <c r="B1454" s="7" t="s">
        <v>2243</v>
      </c>
      <c r="C1454" s="13" t="s">
        <v>2244</v>
      </c>
      <c r="D1454" s="7" t="s">
        <v>205</v>
      </c>
      <c r="E1454" s="8" t="s">
        <v>158</v>
      </c>
      <c r="F1454" s="8" t="s">
        <v>318</v>
      </c>
      <c r="G1454" s="7" t="s">
        <v>2183</v>
      </c>
      <c r="H1454" s="7" t="s">
        <v>2245</v>
      </c>
      <c r="I1454" s="8">
        <v>2035.0</v>
      </c>
      <c r="J1454" s="8">
        <v>3.0</v>
      </c>
      <c r="K1454" s="8" t="s">
        <v>583</v>
      </c>
      <c r="L1454" s="8" t="s">
        <v>322</v>
      </c>
      <c r="M1454" s="8" t="s">
        <v>343</v>
      </c>
      <c r="N1454" s="8">
        <v>1.1</v>
      </c>
      <c r="O1454" s="14">
        <f t="shared" si="1"/>
        <v>44348</v>
      </c>
      <c r="P1454" s="15">
        <f>IFERROR(VLOOKUP(K1454,Formula!$A$11:$B$20,2,FALSE),Formula!$C$26)</f>
        <v>0.95</v>
      </c>
      <c r="Q1454" s="15">
        <f>IF(AND(ISNUMBER(J1454),J1454&gt;0),1/J1454,IF(AND(ISNUMBER(I1454),I1454&gt;0),SQRT(MIN(I1454,Formula!$C$27))/Formula!$C$24,1/Formula!$C$25))</f>
        <v>0.3333333333</v>
      </c>
      <c r="R1454" s="15">
        <f t="shared" si="2"/>
        <v>0.3166666667</v>
      </c>
      <c r="S1454" s="15">
        <f>IF(H1454&lt;&gt;"",EXP(-Formula!$C$28*(EOMONTH(H1454,0)-H1454)),EXP(-Formula!$C$28*(EOMONTH(D1454,0)-D1454)))</f>
        <v>0.6065306597</v>
      </c>
      <c r="T1454" s="15">
        <f t="shared" si="3"/>
        <v>0.1490711985</v>
      </c>
      <c r="U1454" s="15">
        <f t="shared" si="4"/>
        <v>0.02863181325</v>
      </c>
      <c r="V1454" s="16">
        <f>IF(AND(L1454="Among all respondents",NOT(OR(K1454="Online poll in Telegram channel",K1454="Website online poll",K1454="CAWI (Computer Assisted Web Interviewing)"))),1/(1-MIN(MAX(Formula!$C$33+(YEAR(D1454)-Formula!$C$34)/(Formula!$C$35-Formula!$C$34)*(Formula!$C$32-Formula!$C$33),Formula!$C$33),Formula!$C$32)),1)</f>
        <v>1</v>
      </c>
      <c r="W1454" s="17">
        <f t="shared" si="5"/>
        <v>1.1</v>
      </c>
    </row>
    <row r="1455" ht="15.75" customHeight="1">
      <c r="A1455" s="8" t="s">
        <v>2256</v>
      </c>
      <c r="B1455" s="7" t="s">
        <v>2243</v>
      </c>
      <c r="C1455" s="13" t="s">
        <v>2244</v>
      </c>
      <c r="D1455" s="7" t="s">
        <v>205</v>
      </c>
      <c r="E1455" s="8" t="s">
        <v>158</v>
      </c>
      <c r="F1455" s="8" t="s">
        <v>318</v>
      </c>
      <c r="G1455" s="7" t="s">
        <v>2183</v>
      </c>
      <c r="H1455" s="7" t="s">
        <v>2245</v>
      </c>
      <c r="I1455" s="8">
        <v>2035.0</v>
      </c>
      <c r="J1455" s="8">
        <v>3.0</v>
      </c>
      <c r="K1455" s="8" t="s">
        <v>583</v>
      </c>
      <c r="L1455" s="8" t="s">
        <v>322</v>
      </c>
      <c r="M1455" s="8" t="s">
        <v>1663</v>
      </c>
      <c r="N1455" s="8">
        <v>0.3</v>
      </c>
      <c r="O1455" s="14">
        <f t="shared" si="1"/>
        <v>44348</v>
      </c>
      <c r="P1455" s="15">
        <f>IFERROR(VLOOKUP(K1455,Formula!$A$11:$B$20,2,FALSE),Formula!$C$26)</f>
        <v>0.95</v>
      </c>
      <c r="Q1455" s="15">
        <f>IF(AND(ISNUMBER(J1455),J1455&gt;0),1/J1455,IF(AND(ISNUMBER(I1455),I1455&gt;0),SQRT(MIN(I1455,Formula!$C$27))/Formula!$C$24,1/Formula!$C$25))</f>
        <v>0.3333333333</v>
      </c>
      <c r="R1455" s="15">
        <f t="shared" si="2"/>
        <v>0.3166666667</v>
      </c>
      <c r="S1455" s="15">
        <f>IF(H1455&lt;&gt;"",EXP(-Formula!$C$28*(EOMONTH(H1455,0)-H1455)),EXP(-Formula!$C$28*(EOMONTH(D1455,0)-D1455)))</f>
        <v>0.6065306597</v>
      </c>
      <c r="T1455" s="15">
        <f t="shared" si="3"/>
        <v>0.1490711985</v>
      </c>
      <c r="U1455" s="15">
        <f t="shared" si="4"/>
        <v>0.02863181325</v>
      </c>
      <c r="V1455" s="16">
        <f>IF(AND(L1455="Among all respondents",NOT(OR(K1455="Online poll in Telegram channel",K1455="Website online poll",K1455="CAWI (Computer Assisted Web Interviewing)"))),1/(1-MIN(MAX(Formula!$C$33+(YEAR(D1455)-Formula!$C$34)/(Formula!$C$35-Formula!$C$34)*(Formula!$C$32-Formula!$C$33),Formula!$C$33),Formula!$C$32)),1)</f>
        <v>1</v>
      </c>
      <c r="W1455" s="17">
        <f t="shared" si="5"/>
        <v>0.3</v>
      </c>
    </row>
    <row r="1456" ht="15.75" customHeight="1">
      <c r="A1456" s="8" t="s">
        <v>2257</v>
      </c>
      <c r="B1456" s="7" t="s">
        <v>2258</v>
      </c>
      <c r="C1456" s="13" t="s">
        <v>2259</v>
      </c>
      <c r="D1456" s="7" t="s">
        <v>205</v>
      </c>
      <c r="E1456" s="8" t="s">
        <v>137</v>
      </c>
      <c r="F1456" s="8" t="s">
        <v>318</v>
      </c>
      <c r="G1456" s="7" t="s">
        <v>2260</v>
      </c>
      <c r="H1456" s="7" t="s">
        <v>2261</v>
      </c>
      <c r="I1456" s="8">
        <v>2400.0</v>
      </c>
      <c r="K1456" s="8" t="s">
        <v>583</v>
      </c>
      <c r="L1456" s="8" t="s">
        <v>322</v>
      </c>
      <c r="M1456" s="8" t="s">
        <v>323</v>
      </c>
      <c r="N1456" s="8">
        <v>33.0</v>
      </c>
      <c r="O1456" s="14">
        <f t="shared" si="1"/>
        <v>44348</v>
      </c>
      <c r="P1456" s="15">
        <f>IFERROR(VLOOKUP(K1456,Formula!$A$11:$B$20,2,FALSE),Formula!$C$26)</f>
        <v>0.95</v>
      </c>
      <c r="Q1456" s="15">
        <f>IF(AND(ISNUMBER(J1456),J1456&gt;0),1/J1456,IF(AND(ISNUMBER(I1456),I1456&gt;0),SQRT(MIN(I1456,Formula!$C$27))/Formula!$C$24,1/Formula!$C$25))</f>
        <v>0.4998958659</v>
      </c>
      <c r="R1456" s="15">
        <f t="shared" si="2"/>
        <v>0.4749010726</v>
      </c>
      <c r="S1456" s="15">
        <f>IF(H1456&lt;&gt;"",EXP(-Formula!$C$28*(EOMONTH(H1456,0)-H1456)),EXP(-Formula!$C$28*(EOMONTH(D1456,0)-D1456)))</f>
        <v>0.7046880897</v>
      </c>
      <c r="T1456" s="15">
        <f t="shared" si="3"/>
        <v>0.316227766</v>
      </c>
      <c r="U1456" s="15">
        <f t="shared" si="4"/>
        <v>0.1058278765</v>
      </c>
      <c r="V1456" s="16">
        <f>IF(AND(L1456="Among all respondents",NOT(OR(K1456="Online poll in Telegram channel",K1456="Website online poll",K1456="CAWI (Computer Assisted Web Interviewing)"))),1/(1-MIN(MAX(Formula!$C$33+(YEAR(D1456)-Formula!$C$34)/(Formula!$C$35-Formula!$C$34)*(Formula!$C$32-Formula!$C$33),Formula!$C$33),Formula!$C$32)),1)</f>
        <v>1</v>
      </c>
      <c r="W1456" s="17">
        <f t="shared" si="5"/>
        <v>33</v>
      </c>
    </row>
    <row r="1457" ht="15.75" customHeight="1">
      <c r="A1457" s="8" t="s">
        <v>2262</v>
      </c>
      <c r="B1457" s="7" t="s">
        <v>2258</v>
      </c>
      <c r="C1457" s="13" t="s">
        <v>2259</v>
      </c>
      <c r="D1457" s="7" t="s">
        <v>205</v>
      </c>
      <c r="E1457" s="8" t="s">
        <v>137</v>
      </c>
      <c r="F1457" s="8" t="s">
        <v>318</v>
      </c>
      <c r="G1457" s="7" t="s">
        <v>2260</v>
      </c>
      <c r="H1457" s="7" t="s">
        <v>2261</v>
      </c>
      <c r="I1457" s="8">
        <v>2400.0</v>
      </c>
      <c r="K1457" s="8" t="s">
        <v>583</v>
      </c>
      <c r="L1457" s="8" t="s">
        <v>322</v>
      </c>
      <c r="M1457" s="8" t="s">
        <v>329</v>
      </c>
      <c r="N1457" s="8">
        <v>12.0</v>
      </c>
      <c r="O1457" s="14">
        <f t="shared" si="1"/>
        <v>44348</v>
      </c>
      <c r="P1457" s="15">
        <f>IFERROR(VLOOKUP(K1457,Formula!$A$11:$B$20,2,FALSE),Formula!$C$26)</f>
        <v>0.95</v>
      </c>
      <c r="Q1457" s="15">
        <f>IF(AND(ISNUMBER(J1457),J1457&gt;0),1/J1457,IF(AND(ISNUMBER(I1457),I1457&gt;0),SQRT(MIN(I1457,Formula!$C$27))/Formula!$C$24,1/Formula!$C$25))</f>
        <v>0.4998958659</v>
      </c>
      <c r="R1457" s="15">
        <f t="shared" si="2"/>
        <v>0.4749010726</v>
      </c>
      <c r="S1457" s="15">
        <f>IF(H1457&lt;&gt;"",EXP(-Formula!$C$28*(EOMONTH(H1457,0)-H1457)),EXP(-Formula!$C$28*(EOMONTH(D1457,0)-D1457)))</f>
        <v>0.7046880897</v>
      </c>
      <c r="T1457" s="15">
        <f t="shared" si="3"/>
        <v>0.316227766</v>
      </c>
      <c r="U1457" s="15">
        <f t="shared" si="4"/>
        <v>0.1058278765</v>
      </c>
      <c r="V1457" s="16">
        <f>IF(AND(L1457="Among all respondents",NOT(OR(K1457="Online poll in Telegram channel",K1457="Website online poll",K1457="CAWI (Computer Assisted Web Interviewing)"))),1/(1-MIN(MAX(Formula!$C$33+(YEAR(D1457)-Formula!$C$34)/(Formula!$C$35-Formula!$C$34)*(Formula!$C$32-Formula!$C$33),Formula!$C$33),Formula!$C$32)),1)</f>
        <v>1</v>
      </c>
      <c r="W1457" s="17">
        <f t="shared" si="5"/>
        <v>12</v>
      </c>
    </row>
    <row r="1458" ht="15.75" customHeight="1">
      <c r="A1458" s="8" t="s">
        <v>2263</v>
      </c>
      <c r="B1458" s="7" t="s">
        <v>2258</v>
      </c>
      <c r="C1458" s="13" t="s">
        <v>2259</v>
      </c>
      <c r="D1458" s="7" t="s">
        <v>205</v>
      </c>
      <c r="E1458" s="8" t="s">
        <v>137</v>
      </c>
      <c r="F1458" s="8" t="s">
        <v>318</v>
      </c>
      <c r="G1458" s="7" t="s">
        <v>2260</v>
      </c>
      <c r="H1458" s="7" t="s">
        <v>2261</v>
      </c>
      <c r="I1458" s="8">
        <v>2400.0</v>
      </c>
      <c r="K1458" s="8" t="s">
        <v>583</v>
      </c>
      <c r="L1458" s="8" t="s">
        <v>322</v>
      </c>
      <c r="M1458" s="8" t="s">
        <v>365</v>
      </c>
      <c r="N1458" s="8">
        <v>12.0</v>
      </c>
      <c r="O1458" s="14">
        <f t="shared" si="1"/>
        <v>44348</v>
      </c>
      <c r="P1458" s="15">
        <f>IFERROR(VLOOKUP(K1458,Formula!$A$11:$B$20,2,FALSE),Formula!$C$26)</f>
        <v>0.95</v>
      </c>
      <c r="Q1458" s="15">
        <f>IF(AND(ISNUMBER(J1458),J1458&gt;0),1/J1458,IF(AND(ISNUMBER(I1458),I1458&gt;0),SQRT(MIN(I1458,Formula!$C$27))/Formula!$C$24,1/Formula!$C$25))</f>
        <v>0.4998958659</v>
      </c>
      <c r="R1458" s="15">
        <f t="shared" si="2"/>
        <v>0.4749010726</v>
      </c>
      <c r="S1458" s="15">
        <f>IF(H1458&lt;&gt;"",EXP(-Formula!$C$28*(EOMONTH(H1458,0)-H1458)),EXP(-Formula!$C$28*(EOMONTH(D1458,0)-D1458)))</f>
        <v>0.7046880897</v>
      </c>
      <c r="T1458" s="15">
        <f t="shared" si="3"/>
        <v>0.316227766</v>
      </c>
      <c r="U1458" s="15">
        <f t="shared" si="4"/>
        <v>0.1058278765</v>
      </c>
      <c r="V1458" s="16">
        <f>IF(AND(L1458="Among all respondents",NOT(OR(K1458="Online poll in Telegram channel",K1458="Website online poll",K1458="CAWI (Computer Assisted Web Interviewing)"))),1/(1-MIN(MAX(Formula!$C$33+(YEAR(D1458)-Formula!$C$34)/(Formula!$C$35-Formula!$C$34)*(Formula!$C$32-Formula!$C$33),Formula!$C$33),Formula!$C$32)),1)</f>
        <v>1</v>
      </c>
      <c r="W1458" s="17">
        <f t="shared" si="5"/>
        <v>12</v>
      </c>
    </row>
    <row r="1459" ht="15.75" customHeight="1">
      <c r="A1459" s="8" t="s">
        <v>2264</v>
      </c>
      <c r="B1459" s="7" t="s">
        <v>2258</v>
      </c>
      <c r="C1459" s="13" t="s">
        <v>2259</v>
      </c>
      <c r="D1459" s="7" t="s">
        <v>205</v>
      </c>
      <c r="E1459" s="8" t="s">
        <v>137</v>
      </c>
      <c r="F1459" s="8" t="s">
        <v>318</v>
      </c>
      <c r="G1459" s="7" t="s">
        <v>2260</v>
      </c>
      <c r="H1459" s="7" t="s">
        <v>2261</v>
      </c>
      <c r="I1459" s="8">
        <v>2400.0</v>
      </c>
      <c r="K1459" s="8" t="s">
        <v>583</v>
      </c>
      <c r="L1459" s="8" t="s">
        <v>322</v>
      </c>
      <c r="M1459" s="8" t="s">
        <v>337</v>
      </c>
      <c r="N1459" s="8">
        <v>12.0</v>
      </c>
      <c r="O1459" s="14">
        <f t="shared" si="1"/>
        <v>44348</v>
      </c>
      <c r="P1459" s="15">
        <f>IFERROR(VLOOKUP(K1459,Formula!$A$11:$B$20,2,FALSE),Formula!$C$26)</f>
        <v>0.95</v>
      </c>
      <c r="Q1459" s="15">
        <f>IF(AND(ISNUMBER(J1459),J1459&gt;0),1/J1459,IF(AND(ISNUMBER(I1459),I1459&gt;0),SQRT(MIN(I1459,Formula!$C$27))/Formula!$C$24,1/Formula!$C$25))</f>
        <v>0.4998958659</v>
      </c>
      <c r="R1459" s="15">
        <f t="shared" si="2"/>
        <v>0.4749010726</v>
      </c>
      <c r="S1459" s="15">
        <f>IF(H1459&lt;&gt;"",EXP(-Formula!$C$28*(EOMONTH(H1459,0)-H1459)),EXP(-Formula!$C$28*(EOMONTH(D1459,0)-D1459)))</f>
        <v>0.7046880897</v>
      </c>
      <c r="T1459" s="15">
        <f t="shared" si="3"/>
        <v>0.316227766</v>
      </c>
      <c r="U1459" s="15">
        <f t="shared" si="4"/>
        <v>0.1058278765</v>
      </c>
      <c r="V1459" s="16">
        <f>IF(AND(L1459="Among all respondents",NOT(OR(K1459="Online poll in Telegram channel",K1459="Website online poll",K1459="CAWI (Computer Assisted Web Interviewing)"))),1/(1-MIN(MAX(Formula!$C$33+(YEAR(D1459)-Formula!$C$34)/(Formula!$C$35-Formula!$C$34)*(Formula!$C$32-Formula!$C$33),Formula!$C$33),Formula!$C$32)),1)</f>
        <v>1</v>
      </c>
      <c r="W1459" s="17">
        <f t="shared" si="5"/>
        <v>12</v>
      </c>
    </row>
    <row r="1460" ht="15.75" customHeight="1">
      <c r="A1460" s="8" t="s">
        <v>2265</v>
      </c>
      <c r="B1460" s="7" t="s">
        <v>2258</v>
      </c>
      <c r="C1460" s="13" t="s">
        <v>2259</v>
      </c>
      <c r="D1460" s="7" t="s">
        <v>205</v>
      </c>
      <c r="E1460" s="8" t="s">
        <v>137</v>
      </c>
      <c r="F1460" s="8" t="s">
        <v>318</v>
      </c>
      <c r="G1460" s="7" t="s">
        <v>2260</v>
      </c>
      <c r="H1460" s="7" t="s">
        <v>2261</v>
      </c>
      <c r="I1460" s="8">
        <v>2400.0</v>
      </c>
      <c r="K1460" s="8" t="s">
        <v>583</v>
      </c>
      <c r="L1460" s="8" t="s">
        <v>322</v>
      </c>
      <c r="M1460" s="8" t="s">
        <v>828</v>
      </c>
      <c r="N1460" s="8">
        <v>7.0</v>
      </c>
      <c r="O1460" s="14">
        <f t="shared" si="1"/>
        <v>44348</v>
      </c>
      <c r="P1460" s="15">
        <f>IFERROR(VLOOKUP(K1460,Formula!$A$11:$B$20,2,FALSE),Formula!$C$26)</f>
        <v>0.95</v>
      </c>
      <c r="Q1460" s="15">
        <f>IF(AND(ISNUMBER(J1460),J1460&gt;0),1/J1460,IF(AND(ISNUMBER(I1460),I1460&gt;0),SQRT(MIN(I1460,Formula!$C$27))/Formula!$C$24,1/Formula!$C$25))</f>
        <v>0.4998958659</v>
      </c>
      <c r="R1460" s="15">
        <f t="shared" si="2"/>
        <v>0.4749010726</v>
      </c>
      <c r="S1460" s="15">
        <f>IF(H1460&lt;&gt;"",EXP(-Formula!$C$28*(EOMONTH(H1460,0)-H1460)),EXP(-Formula!$C$28*(EOMONTH(D1460,0)-D1460)))</f>
        <v>0.7046880897</v>
      </c>
      <c r="T1460" s="15">
        <f t="shared" si="3"/>
        <v>0.316227766</v>
      </c>
      <c r="U1460" s="15">
        <f t="shared" si="4"/>
        <v>0.1058278765</v>
      </c>
      <c r="V1460" s="16">
        <f>IF(AND(L1460="Among all respondents",NOT(OR(K1460="Online poll in Telegram channel",K1460="Website online poll",K1460="CAWI (Computer Assisted Web Interviewing)"))),1/(1-MIN(MAX(Formula!$C$33+(YEAR(D1460)-Formula!$C$34)/(Formula!$C$35-Formula!$C$34)*(Formula!$C$32-Formula!$C$33),Formula!$C$33),Formula!$C$32)),1)</f>
        <v>1</v>
      </c>
      <c r="W1460" s="17">
        <f t="shared" si="5"/>
        <v>7</v>
      </c>
    </row>
    <row r="1461" ht="15.75" customHeight="1">
      <c r="A1461" s="8" t="s">
        <v>2266</v>
      </c>
      <c r="B1461" s="7" t="s">
        <v>2258</v>
      </c>
      <c r="C1461" s="13" t="s">
        <v>2259</v>
      </c>
      <c r="D1461" s="7" t="s">
        <v>205</v>
      </c>
      <c r="E1461" s="8" t="s">
        <v>137</v>
      </c>
      <c r="F1461" s="8" t="s">
        <v>318</v>
      </c>
      <c r="G1461" s="7" t="s">
        <v>2260</v>
      </c>
      <c r="H1461" s="7" t="s">
        <v>2261</v>
      </c>
      <c r="I1461" s="8">
        <v>2400.0</v>
      </c>
      <c r="K1461" s="8" t="s">
        <v>583</v>
      </c>
      <c r="L1461" s="8" t="s">
        <v>322</v>
      </c>
      <c r="M1461" s="8" t="s">
        <v>386</v>
      </c>
      <c r="N1461" s="8">
        <v>5.0</v>
      </c>
      <c r="O1461" s="14">
        <f t="shared" si="1"/>
        <v>44348</v>
      </c>
      <c r="P1461" s="15">
        <f>IFERROR(VLOOKUP(K1461,Formula!$A$11:$B$20,2,FALSE),Formula!$C$26)</f>
        <v>0.95</v>
      </c>
      <c r="Q1461" s="15">
        <f>IF(AND(ISNUMBER(J1461),J1461&gt;0),1/J1461,IF(AND(ISNUMBER(I1461),I1461&gt;0),SQRT(MIN(I1461,Formula!$C$27))/Formula!$C$24,1/Formula!$C$25))</f>
        <v>0.4998958659</v>
      </c>
      <c r="R1461" s="15">
        <f t="shared" si="2"/>
        <v>0.4749010726</v>
      </c>
      <c r="S1461" s="15">
        <f>IF(H1461&lt;&gt;"",EXP(-Formula!$C$28*(EOMONTH(H1461,0)-H1461)),EXP(-Formula!$C$28*(EOMONTH(D1461,0)-D1461)))</f>
        <v>0.7046880897</v>
      </c>
      <c r="T1461" s="15">
        <f t="shared" si="3"/>
        <v>0.316227766</v>
      </c>
      <c r="U1461" s="15">
        <f t="shared" si="4"/>
        <v>0.1058278765</v>
      </c>
      <c r="V1461" s="16">
        <f>IF(AND(L1461="Among all respondents",NOT(OR(K1461="Online poll in Telegram channel",K1461="Website online poll",K1461="CAWI (Computer Assisted Web Interviewing)"))),1/(1-MIN(MAX(Formula!$C$33+(YEAR(D1461)-Formula!$C$34)/(Formula!$C$35-Formula!$C$34)*(Formula!$C$32-Formula!$C$33),Formula!$C$33),Formula!$C$32)),1)</f>
        <v>1</v>
      </c>
      <c r="W1461" s="17">
        <f t="shared" si="5"/>
        <v>5</v>
      </c>
    </row>
    <row r="1462" ht="15.75" customHeight="1">
      <c r="A1462" s="8" t="s">
        <v>2267</v>
      </c>
      <c r="B1462" s="7" t="s">
        <v>2258</v>
      </c>
      <c r="C1462" s="13" t="s">
        <v>2259</v>
      </c>
      <c r="D1462" s="7" t="s">
        <v>205</v>
      </c>
      <c r="E1462" s="8" t="s">
        <v>137</v>
      </c>
      <c r="F1462" s="8" t="s">
        <v>318</v>
      </c>
      <c r="G1462" s="7" t="s">
        <v>2260</v>
      </c>
      <c r="H1462" s="7" t="s">
        <v>2261</v>
      </c>
      <c r="I1462" s="8">
        <v>2400.0</v>
      </c>
      <c r="K1462" s="8" t="s">
        <v>583</v>
      </c>
      <c r="L1462" s="8" t="s">
        <v>322</v>
      </c>
      <c r="M1462" s="8" t="s">
        <v>1334</v>
      </c>
      <c r="N1462" s="8">
        <v>4.0</v>
      </c>
      <c r="O1462" s="14">
        <f t="shared" si="1"/>
        <v>44348</v>
      </c>
      <c r="P1462" s="15">
        <f>IFERROR(VLOOKUP(K1462,Formula!$A$11:$B$20,2,FALSE),Formula!$C$26)</f>
        <v>0.95</v>
      </c>
      <c r="Q1462" s="15">
        <f>IF(AND(ISNUMBER(J1462),J1462&gt;0),1/J1462,IF(AND(ISNUMBER(I1462),I1462&gt;0),SQRT(MIN(I1462,Formula!$C$27))/Formula!$C$24,1/Formula!$C$25))</f>
        <v>0.4998958659</v>
      </c>
      <c r="R1462" s="15">
        <f t="shared" si="2"/>
        <v>0.4749010726</v>
      </c>
      <c r="S1462" s="15">
        <f>IF(H1462&lt;&gt;"",EXP(-Formula!$C$28*(EOMONTH(H1462,0)-H1462)),EXP(-Formula!$C$28*(EOMONTH(D1462,0)-D1462)))</f>
        <v>0.7046880897</v>
      </c>
      <c r="T1462" s="15">
        <f t="shared" si="3"/>
        <v>0.316227766</v>
      </c>
      <c r="U1462" s="15">
        <f t="shared" si="4"/>
        <v>0.1058278765</v>
      </c>
      <c r="V1462" s="16">
        <f>IF(AND(L1462="Among all respondents",NOT(OR(K1462="Online poll in Telegram channel",K1462="Website online poll",K1462="CAWI (Computer Assisted Web Interviewing)"))),1/(1-MIN(MAX(Formula!$C$33+(YEAR(D1462)-Formula!$C$34)/(Formula!$C$35-Formula!$C$34)*(Formula!$C$32-Formula!$C$33),Formula!$C$33),Formula!$C$32)),1)</f>
        <v>1</v>
      </c>
      <c r="W1462" s="17">
        <f t="shared" si="5"/>
        <v>4</v>
      </c>
    </row>
    <row r="1463" ht="15.75" customHeight="1">
      <c r="A1463" s="8" t="s">
        <v>2268</v>
      </c>
      <c r="B1463" s="7" t="s">
        <v>2258</v>
      </c>
      <c r="C1463" s="13" t="s">
        <v>2259</v>
      </c>
      <c r="D1463" s="7" t="s">
        <v>205</v>
      </c>
      <c r="E1463" s="8" t="s">
        <v>137</v>
      </c>
      <c r="F1463" s="8" t="s">
        <v>318</v>
      </c>
      <c r="G1463" s="7" t="s">
        <v>2260</v>
      </c>
      <c r="H1463" s="7" t="s">
        <v>2261</v>
      </c>
      <c r="I1463" s="8">
        <v>2400.0</v>
      </c>
      <c r="K1463" s="8" t="s">
        <v>583</v>
      </c>
      <c r="L1463" s="8" t="s">
        <v>322</v>
      </c>
      <c r="M1463" s="8" t="s">
        <v>333</v>
      </c>
      <c r="N1463" s="8">
        <v>4.0</v>
      </c>
      <c r="O1463" s="14">
        <f t="shared" si="1"/>
        <v>44348</v>
      </c>
      <c r="P1463" s="15">
        <f>IFERROR(VLOOKUP(K1463,Formula!$A$11:$B$20,2,FALSE),Formula!$C$26)</f>
        <v>0.95</v>
      </c>
      <c r="Q1463" s="15">
        <f>IF(AND(ISNUMBER(J1463),J1463&gt;0),1/J1463,IF(AND(ISNUMBER(I1463),I1463&gt;0),SQRT(MIN(I1463,Formula!$C$27))/Formula!$C$24,1/Formula!$C$25))</f>
        <v>0.4998958659</v>
      </c>
      <c r="R1463" s="15">
        <f t="shared" si="2"/>
        <v>0.4749010726</v>
      </c>
      <c r="S1463" s="15">
        <f>IF(H1463&lt;&gt;"",EXP(-Formula!$C$28*(EOMONTH(H1463,0)-H1463)),EXP(-Formula!$C$28*(EOMONTH(D1463,0)-D1463)))</f>
        <v>0.7046880897</v>
      </c>
      <c r="T1463" s="15">
        <f t="shared" si="3"/>
        <v>0.316227766</v>
      </c>
      <c r="U1463" s="15">
        <f t="shared" si="4"/>
        <v>0.1058278765</v>
      </c>
      <c r="V1463" s="16">
        <f>IF(AND(L1463="Among all respondents",NOT(OR(K1463="Online poll in Telegram channel",K1463="Website online poll",K1463="CAWI (Computer Assisted Web Interviewing)"))),1/(1-MIN(MAX(Formula!$C$33+(YEAR(D1463)-Formula!$C$34)/(Formula!$C$35-Formula!$C$34)*(Formula!$C$32-Formula!$C$33),Formula!$C$33),Formula!$C$32)),1)</f>
        <v>1</v>
      </c>
      <c r="W1463" s="17">
        <f t="shared" si="5"/>
        <v>4</v>
      </c>
    </row>
    <row r="1464" ht="15.75" customHeight="1">
      <c r="A1464" s="8" t="s">
        <v>2269</v>
      </c>
      <c r="B1464" s="7" t="s">
        <v>2258</v>
      </c>
      <c r="C1464" s="13" t="s">
        <v>2259</v>
      </c>
      <c r="D1464" s="7" t="s">
        <v>205</v>
      </c>
      <c r="E1464" s="8" t="s">
        <v>137</v>
      </c>
      <c r="F1464" s="8" t="s">
        <v>318</v>
      </c>
      <c r="G1464" s="7" t="s">
        <v>2260</v>
      </c>
      <c r="H1464" s="7" t="s">
        <v>2261</v>
      </c>
      <c r="I1464" s="8">
        <v>2400.0</v>
      </c>
      <c r="K1464" s="8" t="s">
        <v>583</v>
      </c>
      <c r="L1464" s="8" t="s">
        <v>322</v>
      </c>
      <c r="M1464" s="8" t="s">
        <v>1539</v>
      </c>
      <c r="N1464" s="8">
        <v>3.0</v>
      </c>
      <c r="O1464" s="14">
        <f t="shared" si="1"/>
        <v>44348</v>
      </c>
      <c r="P1464" s="15">
        <f>IFERROR(VLOOKUP(K1464,Formula!$A$11:$B$20,2,FALSE),Formula!$C$26)</f>
        <v>0.95</v>
      </c>
      <c r="Q1464" s="15">
        <f>IF(AND(ISNUMBER(J1464),J1464&gt;0),1/J1464,IF(AND(ISNUMBER(I1464),I1464&gt;0),SQRT(MIN(I1464,Formula!$C$27))/Formula!$C$24,1/Formula!$C$25))</f>
        <v>0.4998958659</v>
      </c>
      <c r="R1464" s="15">
        <f t="shared" si="2"/>
        <v>0.4749010726</v>
      </c>
      <c r="S1464" s="15">
        <f>IF(H1464&lt;&gt;"",EXP(-Formula!$C$28*(EOMONTH(H1464,0)-H1464)),EXP(-Formula!$C$28*(EOMONTH(D1464,0)-D1464)))</f>
        <v>0.7046880897</v>
      </c>
      <c r="T1464" s="15">
        <f t="shared" si="3"/>
        <v>0.316227766</v>
      </c>
      <c r="U1464" s="15">
        <f t="shared" si="4"/>
        <v>0.1058278765</v>
      </c>
      <c r="V1464" s="16">
        <f>IF(AND(L1464="Among all respondents",NOT(OR(K1464="Online poll in Telegram channel",K1464="Website online poll",K1464="CAWI (Computer Assisted Web Interviewing)"))),1/(1-MIN(MAX(Formula!$C$33+(YEAR(D1464)-Formula!$C$34)/(Formula!$C$35-Formula!$C$34)*(Formula!$C$32-Formula!$C$33),Formula!$C$33),Formula!$C$32)),1)</f>
        <v>1</v>
      </c>
      <c r="W1464" s="17">
        <f t="shared" si="5"/>
        <v>3</v>
      </c>
    </row>
    <row r="1465" ht="15.75" customHeight="1">
      <c r="A1465" s="8" t="s">
        <v>2270</v>
      </c>
      <c r="B1465" s="7" t="s">
        <v>2258</v>
      </c>
      <c r="C1465" s="13" t="s">
        <v>2259</v>
      </c>
      <c r="D1465" s="7" t="s">
        <v>205</v>
      </c>
      <c r="E1465" s="8" t="s">
        <v>137</v>
      </c>
      <c r="F1465" s="8" t="s">
        <v>318</v>
      </c>
      <c r="G1465" s="7" t="s">
        <v>2260</v>
      </c>
      <c r="H1465" s="7" t="s">
        <v>2261</v>
      </c>
      <c r="I1465" s="8">
        <v>2400.0</v>
      </c>
      <c r="K1465" s="8" t="s">
        <v>583</v>
      </c>
      <c r="L1465" s="8" t="s">
        <v>322</v>
      </c>
      <c r="M1465" s="8" t="s">
        <v>343</v>
      </c>
      <c r="N1465" s="8">
        <v>3.0</v>
      </c>
      <c r="O1465" s="14">
        <f t="shared" si="1"/>
        <v>44348</v>
      </c>
      <c r="P1465" s="15">
        <f>IFERROR(VLOOKUP(K1465,Formula!$A$11:$B$20,2,FALSE),Formula!$C$26)</f>
        <v>0.95</v>
      </c>
      <c r="Q1465" s="15">
        <f>IF(AND(ISNUMBER(J1465),J1465&gt;0),1/J1465,IF(AND(ISNUMBER(I1465),I1465&gt;0),SQRT(MIN(I1465,Formula!$C$27))/Formula!$C$24,1/Formula!$C$25))</f>
        <v>0.4998958659</v>
      </c>
      <c r="R1465" s="15">
        <f t="shared" si="2"/>
        <v>0.4749010726</v>
      </c>
      <c r="S1465" s="15">
        <f>IF(H1465&lt;&gt;"",EXP(-Formula!$C$28*(EOMONTH(H1465,0)-H1465)),EXP(-Formula!$C$28*(EOMONTH(D1465,0)-D1465)))</f>
        <v>0.7046880897</v>
      </c>
      <c r="T1465" s="15">
        <f t="shared" si="3"/>
        <v>0.316227766</v>
      </c>
      <c r="U1465" s="15">
        <f t="shared" si="4"/>
        <v>0.1058278765</v>
      </c>
      <c r="V1465" s="16">
        <f>IF(AND(L1465="Among all respondents",NOT(OR(K1465="Online poll in Telegram channel",K1465="Website online poll",K1465="CAWI (Computer Assisted Web Interviewing)"))),1/(1-MIN(MAX(Formula!$C$33+(YEAR(D1465)-Formula!$C$34)/(Formula!$C$35-Formula!$C$34)*(Formula!$C$32-Formula!$C$33),Formula!$C$33),Formula!$C$32)),1)</f>
        <v>1</v>
      </c>
      <c r="W1465" s="17">
        <f t="shared" si="5"/>
        <v>3</v>
      </c>
    </row>
    <row r="1466" ht="15.75" customHeight="1">
      <c r="A1466" s="8" t="s">
        <v>2271</v>
      </c>
      <c r="B1466" s="7" t="s">
        <v>2272</v>
      </c>
      <c r="C1466" s="13" t="s">
        <v>2273</v>
      </c>
      <c r="D1466" s="7" t="s">
        <v>206</v>
      </c>
      <c r="E1466" s="8" t="s">
        <v>40</v>
      </c>
      <c r="F1466" s="8" t="s">
        <v>318</v>
      </c>
      <c r="G1466" s="7" t="s">
        <v>2274</v>
      </c>
      <c r="H1466" s="7" t="s">
        <v>2275</v>
      </c>
      <c r="I1466" s="8">
        <v>2500.0</v>
      </c>
      <c r="J1466" s="8">
        <v>2.0</v>
      </c>
      <c r="K1466" s="8" t="s">
        <v>321</v>
      </c>
      <c r="L1466" s="8" t="s">
        <v>322</v>
      </c>
      <c r="M1466" s="8" t="s">
        <v>323</v>
      </c>
      <c r="N1466" s="8">
        <v>30.2</v>
      </c>
      <c r="O1466" s="14">
        <f t="shared" si="1"/>
        <v>44317</v>
      </c>
      <c r="P1466" s="15">
        <f>IFERROR(VLOOKUP(K1466,Formula!$A$11:$B$20,2,FALSE),Formula!$C$26)</f>
        <v>0.9</v>
      </c>
      <c r="Q1466" s="15">
        <f>IF(AND(ISNUMBER(J1466),J1466&gt;0),1/J1466,IF(AND(ISNUMBER(I1466),I1466&gt;0),SQRT(MIN(I1466,Formula!$C$27))/Formula!$C$24,1/Formula!$C$25))</f>
        <v>0.5</v>
      </c>
      <c r="R1466" s="15">
        <f t="shared" si="2"/>
        <v>0.45</v>
      </c>
      <c r="S1466" s="15">
        <f>IF(H1466&lt;&gt;"",EXP(-Formula!$C$28*(EOMONTH(H1466,0)-H1466)),EXP(-Formula!$C$28*(EOMONTH(D1466,0)-D1466)))</f>
        <v>0.5220457768</v>
      </c>
      <c r="T1466" s="15">
        <f t="shared" si="3"/>
        <v>0.2773500981</v>
      </c>
      <c r="U1466" s="15">
        <f t="shared" si="4"/>
        <v>0.06515525133</v>
      </c>
      <c r="V1466" s="16">
        <f>IF(AND(L1466="Among all respondents",NOT(OR(K1466="Online poll in Telegram channel",K1466="Website online poll",K1466="CAWI (Computer Assisted Web Interviewing)"))),1/(1-MIN(MAX(Formula!$C$33+(YEAR(D1466)-Formula!$C$34)/(Formula!$C$35-Formula!$C$34)*(Formula!$C$32-Formula!$C$33),Formula!$C$33),Formula!$C$32)),1)</f>
        <v>1</v>
      </c>
      <c r="W1466" s="17">
        <f t="shared" si="5"/>
        <v>30.2</v>
      </c>
    </row>
    <row r="1467" ht="15.75" customHeight="1">
      <c r="A1467" s="8" t="s">
        <v>2276</v>
      </c>
      <c r="B1467" s="7" t="s">
        <v>2272</v>
      </c>
      <c r="C1467" s="13" t="s">
        <v>2273</v>
      </c>
      <c r="D1467" s="7" t="s">
        <v>206</v>
      </c>
      <c r="E1467" s="8" t="s">
        <v>40</v>
      </c>
      <c r="F1467" s="8" t="s">
        <v>318</v>
      </c>
      <c r="G1467" s="7" t="s">
        <v>2274</v>
      </c>
      <c r="H1467" s="7" t="s">
        <v>2275</v>
      </c>
      <c r="I1467" s="8">
        <v>2500.0</v>
      </c>
      <c r="J1467" s="8">
        <v>2.0</v>
      </c>
      <c r="K1467" s="8" t="s">
        <v>321</v>
      </c>
      <c r="L1467" s="8" t="s">
        <v>322</v>
      </c>
      <c r="M1467" s="8" t="s">
        <v>329</v>
      </c>
      <c r="N1467" s="8">
        <v>12.8</v>
      </c>
      <c r="O1467" s="14">
        <f t="shared" si="1"/>
        <v>44317</v>
      </c>
      <c r="P1467" s="15">
        <f>IFERROR(VLOOKUP(K1467,Formula!$A$11:$B$20,2,FALSE),Formula!$C$26)</f>
        <v>0.9</v>
      </c>
      <c r="Q1467" s="15">
        <f>IF(AND(ISNUMBER(J1467),J1467&gt;0),1/J1467,IF(AND(ISNUMBER(I1467),I1467&gt;0),SQRT(MIN(I1467,Formula!$C$27))/Formula!$C$24,1/Formula!$C$25))</f>
        <v>0.5</v>
      </c>
      <c r="R1467" s="15">
        <f t="shared" si="2"/>
        <v>0.45</v>
      </c>
      <c r="S1467" s="15">
        <f>IF(H1467&lt;&gt;"",EXP(-Formula!$C$28*(EOMONTH(H1467,0)-H1467)),EXP(-Formula!$C$28*(EOMONTH(D1467,0)-D1467)))</f>
        <v>0.5220457768</v>
      </c>
      <c r="T1467" s="15">
        <f t="shared" si="3"/>
        <v>0.2773500981</v>
      </c>
      <c r="U1467" s="15">
        <f t="shared" si="4"/>
        <v>0.06515525133</v>
      </c>
      <c r="V1467" s="16">
        <f>IF(AND(L1467="Among all respondents",NOT(OR(K1467="Online poll in Telegram channel",K1467="Website online poll",K1467="CAWI (Computer Assisted Web Interviewing)"))),1/(1-MIN(MAX(Formula!$C$33+(YEAR(D1467)-Formula!$C$34)/(Formula!$C$35-Formula!$C$34)*(Formula!$C$32-Formula!$C$33),Formula!$C$33),Formula!$C$32)),1)</f>
        <v>1</v>
      </c>
      <c r="W1467" s="17">
        <f t="shared" si="5"/>
        <v>12.8</v>
      </c>
    </row>
    <row r="1468" ht="15.75" customHeight="1">
      <c r="A1468" s="8" t="s">
        <v>2277</v>
      </c>
      <c r="B1468" s="7" t="s">
        <v>2272</v>
      </c>
      <c r="C1468" s="13" t="s">
        <v>2273</v>
      </c>
      <c r="D1468" s="7" t="s">
        <v>206</v>
      </c>
      <c r="E1468" s="8" t="s">
        <v>40</v>
      </c>
      <c r="F1468" s="8" t="s">
        <v>318</v>
      </c>
      <c r="G1468" s="7" t="s">
        <v>2274</v>
      </c>
      <c r="H1468" s="7" t="s">
        <v>2275</v>
      </c>
      <c r="I1468" s="8">
        <v>2500.0</v>
      </c>
      <c r="J1468" s="8">
        <v>2.0</v>
      </c>
      <c r="K1468" s="8" t="s">
        <v>321</v>
      </c>
      <c r="L1468" s="8" t="s">
        <v>322</v>
      </c>
      <c r="M1468" s="8" t="s">
        <v>365</v>
      </c>
      <c r="N1468" s="8">
        <v>11.9</v>
      </c>
      <c r="O1468" s="14">
        <f t="shared" si="1"/>
        <v>44317</v>
      </c>
      <c r="P1468" s="15">
        <f>IFERROR(VLOOKUP(K1468,Formula!$A$11:$B$20,2,FALSE),Formula!$C$26)</f>
        <v>0.9</v>
      </c>
      <c r="Q1468" s="15">
        <f>IF(AND(ISNUMBER(J1468),J1468&gt;0),1/J1468,IF(AND(ISNUMBER(I1468),I1468&gt;0),SQRT(MIN(I1468,Formula!$C$27))/Formula!$C$24,1/Formula!$C$25))</f>
        <v>0.5</v>
      </c>
      <c r="R1468" s="15">
        <f t="shared" si="2"/>
        <v>0.45</v>
      </c>
      <c r="S1468" s="15">
        <f>IF(H1468&lt;&gt;"",EXP(-Formula!$C$28*(EOMONTH(H1468,0)-H1468)),EXP(-Formula!$C$28*(EOMONTH(D1468,0)-D1468)))</f>
        <v>0.5220457768</v>
      </c>
      <c r="T1468" s="15">
        <f t="shared" si="3"/>
        <v>0.2773500981</v>
      </c>
      <c r="U1468" s="15">
        <f t="shared" si="4"/>
        <v>0.06515525133</v>
      </c>
      <c r="V1468" s="16">
        <f>IF(AND(L1468="Among all respondents",NOT(OR(K1468="Online poll in Telegram channel",K1468="Website online poll",K1468="CAWI (Computer Assisted Web Interviewing)"))),1/(1-MIN(MAX(Formula!$C$33+(YEAR(D1468)-Formula!$C$34)/(Formula!$C$35-Formula!$C$34)*(Formula!$C$32-Formula!$C$33),Formula!$C$33),Formula!$C$32)),1)</f>
        <v>1</v>
      </c>
      <c r="W1468" s="17">
        <f t="shared" si="5"/>
        <v>11.9</v>
      </c>
    </row>
    <row r="1469" ht="15.75" customHeight="1">
      <c r="A1469" s="8" t="s">
        <v>2278</v>
      </c>
      <c r="B1469" s="7" t="s">
        <v>2272</v>
      </c>
      <c r="C1469" s="13" t="s">
        <v>2273</v>
      </c>
      <c r="D1469" s="7" t="s">
        <v>206</v>
      </c>
      <c r="E1469" s="8" t="s">
        <v>40</v>
      </c>
      <c r="F1469" s="8" t="s">
        <v>318</v>
      </c>
      <c r="G1469" s="7" t="s">
        <v>2274</v>
      </c>
      <c r="H1469" s="7" t="s">
        <v>2275</v>
      </c>
      <c r="I1469" s="8">
        <v>2500.0</v>
      </c>
      <c r="J1469" s="8">
        <v>2.0</v>
      </c>
      <c r="K1469" s="8" t="s">
        <v>321</v>
      </c>
      <c r="L1469" s="8" t="s">
        <v>322</v>
      </c>
      <c r="M1469" s="8" t="s">
        <v>337</v>
      </c>
      <c r="N1469" s="8">
        <v>11.1</v>
      </c>
      <c r="O1469" s="14">
        <f t="shared" si="1"/>
        <v>44317</v>
      </c>
      <c r="P1469" s="15">
        <f>IFERROR(VLOOKUP(K1469,Formula!$A$11:$B$20,2,FALSE),Formula!$C$26)</f>
        <v>0.9</v>
      </c>
      <c r="Q1469" s="15">
        <f>IF(AND(ISNUMBER(J1469),J1469&gt;0),1/J1469,IF(AND(ISNUMBER(I1469),I1469&gt;0),SQRT(MIN(I1469,Formula!$C$27))/Formula!$C$24,1/Formula!$C$25))</f>
        <v>0.5</v>
      </c>
      <c r="R1469" s="15">
        <f t="shared" si="2"/>
        <v>0.45</v>
      </c>
      <c r="S1469" s="15">
        <f>IF(H1469&lt;&gt;"",EXP(-Formula!$C$28*(EOMONTH(H1469,0)-H1469)),EXP(-Formula!$C$28*(EOMONTH(D1469,0)-D1469)))</f>
        <v>0.5220457768</v>
      </c>
      <c r="T1469" s="15">
        <f t="shared" si="3"/>
        <v>0.2773500981</v>
      </c>
      <c r="U1469" s="15">
        <f t="shared" si="4"/>
        <v>0.06515525133</v>
      </c>
      <c r="V1469" s="16">
        <f>IF(AND(L1469="Among all respondents",NOT(OR(K1469="Online poll in Telegram channel",K1469="Website online poll",K1469="CAWI (Computer Assisted Web Interviewing)"))),1/(1-MIN(MAX(Formula!$C$33+(YEAR(D1469)-Formula!$C$34)/(Formula!$C$35-Formula!$C$34)*(Formula!$C$32-Formula!$C$33),Formula!$C$33),Formula!$C$32)),1)</f>
        <v>1</v>
      </c>
      <c r="W1469" s="17">
        <f t="shared" si="5"/>
        <v>11.1</v>
      </c>
    </row>
    <row r="1470" ht="15.75" customHeight="1">
      <c r="A1470" s="8" t="s">
        <v>2279</v>
      </c>
      <c r="B1470" s="7" t="s">
        <v>2272</v>
      </c>
      <c r="C1470" s="13" t="s">
        <v>2273</v>
      </c>
      <c r="D1470" s="7" t="s">
        <v>206</v>
      </c>
      <c r="E1470" s="8" t="s">
        <v>40</v>
      </c>
      <c r="F1470" s="8" t="s">
        <v>318</v>
      </c>
      <c r="G1470" s="7" t="s">
        <v>2274</v>
      </c>
      <c r="H1470" s="7" t="s">
        <v>2275</v>
      </c>
      <c r="I1470" s="8">
        <v>2500.0</v>
      </c>
      <c r="J1470" s="8">
        <v>2.0</v>
      </c>
      <c r="K1470" s="8" t="s">
        <v>321</v>
      </c>
      <c r="L1470" s="8" t="s">
        <v>322</v>
      </c>
      <c r="M1470" s="8" t="s">
        <v>828</v>
      </c>
      <c r="N1470" s="8">
        <v>7.6</v>
      </c>
      <c r="O1470" s="14">
        <f t="shared" si="1"/>
        <v>44317</v>
      </c>
      <c r="P1470" s="15">
        <f>IFERROR(VLOOKUP(K1470,Formula!$A$11:$B$20,2,FALSE),Formula!$C$26)</f>
        <v>0.9</v>
      </c>
      <c r="Q1470" s="15">
        <f>IF(AND(ISNUMBER(J1470),J1470&gt;0),1/J1470,IF(AND(ISNUMBER(I1470),I1470&gt;0),SQRT(MIN(I1470,Formula!$C$27))/Formula!$C$24,1/Formula!$C$25))</f>
        <v>0.5</v>
      </c>
      <c r="R1470" s="15">
        <f t="shared" si="2"/>
        <v>0.45</v>
      </c>
      <c r="S1470" s="15">
        <f>IF(H1470&lt;&gt;"",EXP(-Formula!$C$28*(EOMONTH(H1470,0)-H1470)),EXP(-Formula!$C$28*(EOMONTH(D1470,0)-D1470)))</f>
        <v>0.5220457768</v>
      </c>
      <c r="T1470" s="15">
        <f t="shared" si="3"/>
        <v>0.2773500981</v>
      </c>
      <c r="U1470" s="15">
        <f t="shared" si="4"/>
        <v>0.06515525133</v>
      </c>
      <c r="V1470" s="16">
        <f>IF(AND(L1470="Among all respondents",NOT(OR(K1470="Online poll in Telegram channel",K1470="Website online poll",K1470="CAWI (Computer Assisted Web Interviewing)"))),1/(1-MIN(MAX(Formula!$C$33+(YEAR(D1470)-Formula!$C$34)/(Formula!$C$35-Formula!$C$34)*(Formula!$C$32-Formula!$C$33),Formula!$C$33),Formula!$C$32)),1)</f>
        <v>1</v>
      </c>
      <c r="W1470" s="17">
        <f t="shared" si="5"/>
        <v>7.6</v>
      </c>
    </row>
    <row r="1471" ht="15.75" customHeight="1">
      <c r="A1471" s="8" t="s">
        <v>2280</v>
      </c>
      <c r="B1471" s="7" t="s">
        <v>2272</v>
      </c>
      <c r="C1471" s="13" t="s">
        <v>2273</v>
      </c>
      <c r="D1471" s="7" t="s">
        <v>206</v>
      </c>
      <c r="E1471" s="8" t="s">
        <v>40</v>
      </c>
      <c r="F1471" s="8" t="s">
        <v>318</v>
      </c>
      <c r="G1471" s="7" t="s">
        <v>2274</v>
      </c>
      <c r="H1471" s="7" t="s">
        <v>2275</v>
      </c>
      <c r="I1471" s="8">
        <v>2500.0</v>
      </c>
      <c r="J1471" s="8">
        <v>2.0</v>
      </c>
      <c r="K1471" s="8" t="s">
        <v>321</v>
      </c>
      <c r="L1471" s="8" t="s">
        <v>322</v>
      </c>
      <c r="M1471" s="8" t="s">
        <v>1153</v>
      </c>
      <c r="N1471" s="8">
        <v>5.1</v>
      </c>
      <c r="O1471" s="14">
        <f t="shared" si="1"/>
        <v>44317</v>
      </c>
      <c r="P1471" s="15">
        <f>IFERROR(VLOOKUP(K1471,Formula!$A$11:$B$20,2,FALSE),Formula!$C$26)</f>
        <v>0.9</v>
      </c>
      <c r="Q1471" s="15">
        <f>IF(AND(ISNUMBER(J1471),J1471&gt;0),1/J1471,IF(AND(ISNUMBER(I1471),I1471&gt;0),SQRT(MIN(I1471,Formula!$C$27))/Formula!$C$24,1/Formula!$C$25))</f>
        <v>0.5</v>
      </c>
      <c r="R1471" s="15">
        <f t="shared" si="2"/>
        <v>0.45</v>
      </c>
      <c r="S1471" s="15">
        <f>IF(H1471&lt;&gt;"",EXP(-Formula!$C$28*(EOMONTH(H1471,0)-H1471)),EXP(-Formula!$C$28*(EOMONTH(D1471,0)-D1471)))</f>
        <v>0.5220457768</v>
      </c>
      <c r="T1471" s="15">
        <f t="shared" si="3"/>
        <v>0.2773500981</v>
      </c>
      <c r="U1471" s="15">
        <f t="shared" si="4"/>
        <v>0.06515525133</v>
      </c>
      <c r="V1471" s="16">
        <f>IF(AND(L1471="Among all respondents",NOT(OR(K1471="Online poll in Telegram channel",K1471="Website online poll",K1471="CAWI (Computer Assisted Web Interviewing)"))),1/(1-MIN(MAX(Formula!$C$33+(YEAR(D1471)-Formula!$C$34)/(Formula!$C$35-Formula!$C$34)*(Formula!$C$32-Formula!$C$33),Formula!$C$33),Formula!$C$32)),1)</f>
        <v>1</v>
      </c>
      <c r="W1471" s="17">
        <f t="shared" si="5"/>
        <v>5.1</v>
      </c>
    </row>
    <row r="1472" ht="15.75" customHeight="1">
      <c r="A1472" s="8" t="s">
        <v>2281</v>
      </c>
      <c r="B1472" s="7" t="s">
        <v>2272</v>
      </c>
      <c r="C1472" s="13" t="s">
        <v>2273</v>
      </c>
      <c r="D1472" s="7" t="s">
        <v>206</v>
      </c>
      <c r="E1472" s="8" t="s">
        <v>40</v>
      </c>
      <c r="F1472" s="8" t="s">
        <v>318</v>
      </c>
      <c r="G1472" s="7" t="s">
        <v>2274</v>
      </c>
      <c r="H1472" s="7" t="s">
        <v>2275</v>
      </c>
      <c r="I1472" s="8">
        <v>2500.0</v>
      </c>
      <c r="J1472" s="8">
        <v>2.0</v>
      </c>
      <c r="K1472" s="8" t="s">
        <v>321</v>
      </c>
      <c r="L1472" s="8" t="s">
        <v>322</v>
      </c>
      <c r="M1472" s="8" t="s">
        <v>386</v>
      </c>
      <c r="N1472" s="8">
        <v>4.8</v>
      </c>
      <c r="O1472" s="14">
        <f t="shared" si="1"/>
        <v>44317</v>
      </c>
      <c r="P1472" s="15">
        <f>IFERROR(VLOOKUP(K1472,Formula!$A$11:$B$20,2,FALSE),Formula!$C$26)</f>
        <v>0.9</v>
      </c>
      <c r="Q1472" s="15">
        <f>IF(AND(ISNUMBER(J1472),J1472&gt;0),1/J1472,IF(AND(ISNUMBER(I1472),I1472&gt;0),SQRT(MIN(I1472,Formula!$C$27))/Formula!$C$24,1/Formula!$C$25))</f>
        <v>0.5</v>
      </c>
      <c r="R1472" s="15">
        <f t="shared" si="2"/>
        <v>0.45</v>
      </c>
      <c r="S1472" s="15">
        <f>IF(H1472&lt;&gt;"",EXP(-Formula!$C$28*(EOMONTH(H1472,0)-H1472)),EXP(-Formula!$C$28*(EOMONTH(D1472,0)-D1472)))</f>
        <v>0.5220457768</v>
      </c>
      <c r="T1472" s="15">
        <f t="shared" si="3"/>
        <v>0.2773500981</v>
      </c>
      <c r="U1472" s="15">
        <f t="shared" si="4"/>
        <v>0.06515525133</v>
      </c>
      <c r="V1472" s="16">
        <f>IF(AND(L1472="Among all respondents",NOT(OR(K1472="Online poll in Telegram channel",K1472="Website online poll",K1472="CAWI (Computer Assisted Web Interviewing)"))),1/(1-MIN(MAX(Formula!$C$33+(YEAR(D1472)-Formula!$C$34)/(Formula!$C$35-Formula!$C$34)*(Formula!$C$32-Formula!$C$33),Formula!$C$33),Formula!$C$32)),1)</f>
        <v>1</v>
      </c>
      <c r="W1472" s="17">
        <f t="shared" si="5"/>
        <v>4.8</v>
      </c>
    </row>
    <row r="1473" ht="15.75" customHeight="1">
      <c r="A1473" s="8" t="s">
        <v>2282</v>
      </c>
      <c r="B1473" s="7" t="s">
        <v>2272</v>
      </c>
      <c r="C1473" s="13" t="s">
        <v>2273</v>
      </c>
      <c r="D1473" s="7" t="s">
        <v>206</v>
      </c>
      <c r="E1473" s="8" t="s">
        <v>40</v>
      </c>
      <c r="F1473" s="8" t="s">
        <v>318</v>
      </c>
      <c r="G1473" s="7" t="s">
        <v>2274</v>
      </c>
      <c r="H1473" s="7" t="s">
        <v>2275</v>
      </c>
      <c r="I1473" s="8">
        <v>2500.0</v>
      </c>
      <c r="J1473" s="8">
        <v>2.0</v>
      </c>
      <c r="K1473" s="8" t="s">
        <v>321</v>
      </c>
      <c r="L1473" s="8" t="s">
        <v>322</v>
      </c>
      <c r="M1473" s="8" t="s">
        <v>836</v>
      </c>
      <c r="N1473" s="8">
        <v>3.4</v>
      </c>
      <c r="O1473" s="14">
        <f t="shared" si="1"/>
        <v>44317</v>
      </c>
      <c r="P1473" s="15">
        <f>IFERROR(VLOOKUP(K1473,Formula!$A$11:$B$20,2,FALSE),Formula!$C$26)</f>
        <v>0.9</v>
      </c>
      <c r="Q1473" s="15">
        <f>IF(AND(ISNUMBER(J1473),J1473&gt;0),1/J1473,IF(AND(ISNUMBER(I1473),I1473&gt;0),SQRT(MIN(I1473,Formula!$C$27))/Formula!$C$24,1/Formula!$C$25))</f>
        <v>0.5</v>
      </c>
      <c r="R1473" s="15">
        <f t="shared" si="2"/>
        <v>0.45</v>
      </c>
      <c r="S1473" s="15">
        <f>IF(H1473&lt;&gt;"",EXP(-Formula!$C$28*(EOMONTH(H1473,0)-H1473)),EXP(-Formula!$C$28*(EOMONTH(D1473,0)-D1473)))</f>
        <v>0.5220457768</v>
      </c>
      <c r="T1473" s="15">
        <f t="shared" si="3"/>
        <v>0.2773500981</v>
      </c>
      <c r="U1473" s="15">
        <f t="shared" si="4"/>
        <v>0.06515525133</v>
      </c>
      <c r="V1473" s="16">
        <f>IF(AND(L1473="Among all respondents",NOT(OR(K1473="Online poll in Telegram channel",K1473="Website online poll",K1473="CAWI (Computer Assisted Web Interviewing)"))),1/(1-MIN(MAX(Formula!$C$33+(YEAR(D1473)-Formula!$C$34)/(Formula!$C$35-Formula!$C$34)*(Formula!$C$32-Formula!$C$33),Formula!$C$33),Formula!$C$32)),1)</f>
        <v>1</v>
      </c>
      <c r="W1473" s="17">
        <f t="shared" si="5"/>
        <v>3.4</v>
      </c>
    </row>
    <row r="1474" ht="15.75" customHeight="1">
      <c r="A1474" s="8" t="s">
        <v>2283</v>
      </c>
      <c r="B1474" s="7" t="s">
        <v>2272</v>
      </c>
      <c r="C1474" s="13" t="s">
        <v>2273</v>
      </c>
      <c r="D1474" s="7" t="s">
        <v>206</v>
      </c>
      <c r="E1474" s="8" t="s">
        <v>40</v>
      </c>
      <c r="F1474" s="8" t="s">
        <v>318</v>
      </c>
      <c r="G1474" s="7" t="s">
        <v>2274</v>
      </c>
      <c r="H1474" s="7" t="s">
        <v>2275</v>
      </c>
      <c r="I1474" s="8">
        <v>2500.0</v>
      </c>
      <c r="J1474" s="8">
        <v>2.0</v>
      </c>
      <c r="K1474" s="8" t="s">
        <v>321</v>
      </c>
      <c r="L1474" s="8" t="s">
        <v>322</v>
      </c>
      <c r="M1474" s="8" t="s">
        <v>388</v>
      </c>
      <c r="N1474" s="8">
        <v>3.0</v>
      </c>
      <c r="O1474" s="14">
        <f t="shared" si="1"/>
        <v>44317</v>
      </c>
      <c r="P1474" s="15">
        <f>IFERROR(VLOOKUP(K1474,Formula!$A$11:$B$20,2,FALSE),Formula!$C$26)</f>
        <v>0.9</v>
      </c>
      <c r="Q1474" s="15">
        <f>IF(AND(ISNUMBER(J1474),J1474&gt;0),1/J1474,IF(AND(ISNUMBER(I1474),I1474&gt;0),SQRT(MIN(I1474,Formula!$C$27))/Formula!$C$24,1/Formula!$C$25))</f>
        <v>0.5</v>
      </c>
      <c r="R1474" s="15">
        <f t="shared" si="2"/>
        <v>0.45</v>
      </c>
      <c r="S1474" s="15">
        <f>IF(H1474&lt;&gt;"",EXP(-Formula!$C$28*(EOMONTH(H1474,0)-H1474)),EXP(-Formula!$C$28*(EOMONTH(D1474,0)-D1474)))</f>
        <v>0.5220457768</v>
      </c>
      <c r="T1474" s="15">
        <f t="shared" si="3"/>
        <v>0.2773500981</v>
      </c>
      <c r="U1474" s="15">
        <f t="shared" si="4"/>
        <v>0.06515525133</v>
      </c>
      <c r="V1474" s="16">
        <f>IF(AND(L1474="Among all respondents",NOT(OR(K1474="Online poll in Telegram channel",K1474="Website online poll",K1474="CAWI (Computer Assisted Web Interviewing)"))),1/(1-MIN(MAX(Formula!$C$33+(YEAR(D1474)-Formula!$C$34)/(Formula!$C$35-Formula!$C$34)*(Formula!$C$32-Formula!$C$33),Formula!$C$33),Formula!$C$32)),1)</f>
        <v>1</v>
      </c>
      <c r="W1474" s="17">
        <f t="shared" si="5"/>
        <v>3</v>
      </c>
    </row>
    <row r="1475" ht="15.75" customHeight="1">
      <c r="A1475" s="8" t="s">
        <v>2284</v>
      </c>
      <c r="B1475" s="7" t="s">
        <v>2272</v>
      </c>
      <c r="C1475" s="13" t="s">
        <v>2273</v>
      </c>
      <c r="D1475" s="7" t="s">
        <v>206</v>
      </c>
      <c r="E1475" s="8" t="s">
        <v>40</v>
      </c>
      <c r="F1475" s="8" t="s">
        <v>318</v>
      </c>
      <c r="G1475" s="7" t="s">
        <v>2274</v>
      </c>
      <c r="H1475" s="7" t="s">
        <v>2275</v>
      </c>
      <c r="I1475" s="8">
        <v>2500.0</v>
      </c>
      <c r="J1475" s="8">
        <v>2.0</v>
      </c>
      <c r="K1475" s="8" t="s">
        <v>321</v>
      </c>
      <c r="L1475" s="8" t="s">
        <v>322</v>
      </c>
      <c r="M1475" s="8" t="s">
        <v>343</v>
      </c>
      <c r="N1475" s="8">
        <v>2.4</v>
      </c>
      <c r="O1475" s="14">
        <f t="shared" si="1"/>
        <v>44317</v>
      </c>
      <c r="P1475" s="15">
        <f>IFERROR(VLOOKUP(K1475,Formula!$A$11:$B$20,2,FALSE),Formula!$C$26)</f>
        <v>0.9</v>
      </c>
      <c r="Q1475" s="15">
        <f>IF(AND(ISNUMBER(J1475),J1475&gt;0),1/J1475,IF(AND(ISNUMBER(I1475),I1475&gt;0),SQRT(MIN(I1475,Formula!$C$27))/Formula!$C$24,1/Formula!$C$25))</f>
        <v>0.5</v>
      </c>
      <c r="R1475" s="15">
        <f t="shared" si="2"/>
        <v>0.45</v>
      </c>
      <c r="S1475" s="15">
        <f>IF(H1475&lt;&gt;"",EXP(-Formula!$C$28*(EOMONTH(H1475,0)-H1475)),EXP(-Formula!$C$28*(EOMONTH(D1475,0)-D1475)))</f>
        <v>0.5220457768</v>
      </c>
      <c r="T1475" s="15">
        <f t="shared" si="3"/>
        <v>0.2773500981</v>
      </c>
      <c r="U1475" s="15">
        <f t="shared" si="4"/>
        <v>0.06515525133</v>
      </c>
      <c r="V1475" s="16">
        <f>IF(AND(L1475="Among all respondents",NOT(OR(K1475="Online poll in Telegram channel",K1475="Website online poll",K1475="CAWI (Computer Assisted Web Interviewing)"))),1/(1-MIN(MAX(Formula!$C$33+(YEAR(D1475)-Formula!$C$34)/(Formula!$C$35-Formula!$C$34)*(Formula!$C$32-Formula!$C$33),Formula!$C$33),Formula!$C$32)),1)</f>
        <v>1</v>
      </c>
      <c r="W1475" s="17">
        <f t="shared" si="5"/>
        <v>2.4</v>
      </c>
    </row>
    <row r="1476" ht="15.75" customHeight="1">
      <c r="A1476" s="8" t="s">
        <v>2285</v>
      </c>
      <c r="B1476" s="7" t="s">
        <v>2272</v>
      </c>
      <c r="C1476" s="13" t="s">
        <v>2273</v>
      </c>
      <c r="D1476" s="7" t="s">
        <v>206</v>
      </c>
      <c r="E1476" s="8" t="s">
        <v>40</v>
      </c>
      <c r="F1476" s="8" t="s">
        <v>318</v>
      </c>
      <c r="G1476" s="7" t="s">
        <v>2274</v>
      </c>
      <c r="H1476" s="7" t="s">
        <v>2275</v>
      </c>
      <c r="I1476" s="8">
        <v>2500.0</v>
      </c>
      <c r="J1476" s="8">
        <v>2.0</v>
      </c>
      <c r="K1476" s="8" t="s">
        <v>321</v>
      </c>
      <c r="L1476" s="8" t="s">
        <v>322</v>
      </c>
      <c r="M1476" s="8" t="s">
        <v>743</v>
      </c>
      <c r="N1476" s="8">
        <v>1.9</v>
      </c>
      <c r="O1476" s="14">
        <f t="shared" si="1"/>
        <v>44317</v>
      </c>
      <c r="P1476" s="15">
        <f>IFERROR(VLOOKUP(K1476,Formula!$A$11:$B$20,2,FALSE),Formula!$C$26)</f>
        <v>0.9</v>
      </c>
      <c r="Q1476" s="15">
        <f>IF(AND(ISNUMBER(J1476),J1476&gt;0),1/J1476,IF(AND(ISNUMBER(I1476),I1476&gt;0),SQRT(MIN(I1476,Formula!$C$27))/Formula!$C$24,1/Formula!$C$25))</f>
        <v>0.5</v>
      </c>
      <c r="R1476" s="15">
        <f t="shared" si="2"/>
        <v>0.45</v>
      </c>
      <c r="S1476" s="15">
        <f>IF(H1476&lt;&gt;"",EXP(-Formula!$C$28*(EOMONTH(H1476,0)-H1476)),EXP(-Formula!$C$28*(EOMONTH(D1476,0)-D1476)))</f>
        <v>0.5220457768</v>
      </c>
      <c r="T1476" s="15">
        <f t="shared" si="3"/>
        <v>0.2773500981</v>
      </c>
      <c r="U1476" s="15">
        <f t="shared" si="4"/>
        <v>0.06515525133</v>
      </c>
      <c r="V1476" s="16">
        <f>IF(AND(L1476="Among all respondents",NOT(OR(K1476="Online poll in Telegram channel",K1476="Website online poll",K1476="CAWI (Computer Assisted Web Interviewing)"))),1/(1-MIN(MAX(Formula!$C$33+(YEAR(D1476)-Formula!$C$34)/(Formula!$C$35-Formula!$C$34)*(Formula!$C$32-Formula!$C$33),Formula!$C$33),Formula!$C$32)),1)</f>
        <v>1</v>
      </c>
      <c r="W1476" s="17">
        <f t="shared" si="5"/>
        <v>1.9</v>
      </c>
    </row>
    <row r="1477" ht="15.75" customHeight="1">
      <c r="A1477" s="8" t="s">
        <v>2286</v>
      </c>
      <c r="B1477" s="7" t="s">
        <v>2272</v>
      </c>
      <c r="C1477" s="13" t="s">
        <v>2273</v>
      </c>
      <c r="D1477" s="7" t="s">
        <v>206</v>
      </c>
      <c r="E1477" s="8" t="s">
        <v>40</v>
      </c>
      <c r="F1477" s="8" t="s">
        <v>318</v>
      </c>
      <c r="G1477" s="7" t="s">
        <v>2274</v>
      </c>
      <c r="H1477" s="7" t="s">
        <v>2275</v>
      </c>
      <c r="I1477" s="8">
        <v>2500.0</v>
      </c>
      <c r="J1477" s="8">
        <v>2.0</v>
      </c>
      <c r="K1477" s="8" t="s">
        <v>321</v>
      </c>
      <c r="L1477" s="8" t="s">
        <v>322</v>
      </c>
      <c r="M1477" s="8" t="s">
        <v>740</v>
      </c>
      <c r="N1477" s="8">
        <v>1.6</v>
      </c>
      <c r="O1477" s="14">
        <f t="shared" si="1"/>
        <v>44317</v>
      </c>
      <c r="P1477" s="15">
        <f>IFERROR(VLOOKUP(K1477,Formula!$A$11:$B$20,2,FALSE),Formula!$C$26)</f>
        <v>0.9</v>
      </c>
      <c r="Q1477" s="15">
        <f>IF(AND(ISNUMBER(J1477),J1477&gt;0),1/J1477,IF(AND(ISNUMBER(I1477),I1477&gt;0),SQRT(MIN(I1477,Formula!$C$27))/Formula!$C$24,1/Formula!$C$25))</f>
        <v>0.5</v>
      </c>
      <c r="R1477" s="15">
        <f t="shared" si="2"/>
        <v>0.45</v>
      </c>
      <c r="S1477" s="15">
        <f>IF(H1477&lt;&gt;"",EXP(-Formula!$C$28*(EOMONTH(H1477,0)-H1477)),EXP(-Formula!$C$28*(EOMONTH(D1477,0)-D1477)))</f>
        <v>0.5220457768</v>
      </c>
      <c r="T1477" s="15">
        <f t="shared" si="3"/>
        <v>0.2773500981</v>
      </c>
      <c r="U1477" s="15">
        <f t="shared" si="4"/>
        <v>0.06515525133</v>
      </c>
      <c r="V1477" s="16">
        <f>IF(AND(L1477="Among all respondents",NOT(OR(K1477="Online poll in Telegram channel",K1477="Website online poll",K1477="CAWI (Computer Assisted Web Interviewing)"))),1/(1-MIN(MAX(Formula!$C$33+(YEAR(D1477)-Formula!$C$34)/(Formula!$C$35-Formula!$C$34)*(Formula!$C$32-Formula!$C$33),Formula!$C$33),Formula!$C$32)),1)</f>
        <v>1</v>
      </c>
      <c r="W1477" s="17">
        <f t="shared" si="5"/>
        <v>1.6</v>
      </c>
    </row>
    <row r="1478" ht="15.75" customHeight="1">
      <c r="A1478" s="8" t="s">
        <v>2287</v>
      </c>
      <c r="B1478" s="7" t="s">
        <v>2272</v>
      </c>
      <c r="C1478" s="13" t="s">
        <v>2273</v>
      </c>
      <c r="D1478" s="7" t="s">
        <v>206</v>
      </c>
      <c r="E1478" s="8" t="s">
        <v>40</v>
      </c>
      <c r="F1478" s="8" t="s">
        <v>318</v>
      </c>
      <c r="G1478" s="7" t="s">
        <v>2274</v>
      </c>
      <c r="H1478" s="7" t="s">
        <v>2275</v>
      </c>
      <c r="I1478" s="8">
        <v>2500.0</v>
      </c>
      <c r="J1478" s="8">
        <v>2.0</v>
      </c>
      <c r="K1478" s="8" t="s">
        <v>321</v>
      </c>
      <c r="L1478" s="8" t="s">
        <v>322</v>
      </c>
      <c r="M1478" s="8" t="s">
        <v>1171</v>
      </c>
      <c r="N1478" s="8">
        <v>0.1</v>
      </c>
      <c r="O1478" s="14">
        <f t="shared" si="1"/>
        <v>44317</v>
      </c>
      <c r="P1478" s="15">
        <f>IFERROR(VLOOKUP(K1478,Formula!$A$11:$B$20,2,FALSE),Formula!$C$26)</f>
        <v>0.9</v>
      </c>
      <c r="Q1478" s="15">
        <f>IF(AND(ISNUMBER(J1478),J1478&gt;0),1/J1478,IF(AND(ISNUMBER(I1478),I1478&gt;0),SQRT(MIN(I1478,Formula!$C$27))/Formula!$C$24,1/Formula!$C$25))</f>
        <v>0.5</v>
      </c>
      <c r="R1478" s="15">
        <f t="shared" si="2"/>
        <v>0.45</v>
      </c>
      <c r="S1478" s="15">
        <f>IF(H1478&lt;&gt;"",EXP(-Formula!$C$28*(EOMONTH(H1478,0)-H1478)),EXP(-Formula!$C$28*(EOMONTH(D1478,0)-D1478)))</f>
        <v>0.5220457768</v>
      </c>
      <c r="T1478" s="15">
        <f t="shared" si="3"/>
        <v>0.2773500981</v>
      </c>
      <c r="U1478" s="15">
        <f t="shared" si="4"/>
        <v>0.06515525133</v>
      </c>
      <c r="V1478" s="16">
        <f>IF(AND(L1478="Among all respondents",NOT(OR(K1478="Online poll in Telegram channel",K1478="Website online poll",K1478="CAWI (Computer Assisted Web Interviewing)"))),1/(1-MIN(MAX(Formula!$C$33+(YEAR(D1478)-Formula!$C$34)/(Formula!$C$35-Formula!$C$34)*(Formula!$C$32-Formula!$C$33),Formula!$C$33),Formula!$C$32)),1)</f>
        <v>1</v>
      </c>
      <c r="W1478" s="17">
        <f t="shared" si="5"/>
        <v>0.1</v>
      </c>
    </row>
    <row r="1479" ht="15.75" customHeight="1">
      <c r="A1479" s="8" t="s">
        <v>2288</v>
      </c>
      <c r="B1479" s="7" t="s">
        <v>2289</v>
      </c>
      <c r="C1479" s="13" t="s">
        <v>2290</v>
      </c>
      <c r="D1479" s="7" t="s">
        <v>204</v>
      </c>
      <c r="E1479" s="8" t="s">
        <v>158</v>
      </c>
      <c r="F1479" s="8" t="s">
        <v>318</v>
      </c>
      <c r="G1479" s="7" t="s">
        <v>2291</v>
      </c>
      <c r="H1479" s="7" t="s">
        <v>2164</v>
      </c>
      <c r="I1479" s="8">
        <v>2026.0</v>
      </c>
      <c r="J1479" s="8">
        <v>3.0</v>
      </c>
      <c r="K1479" s="8" t="s">
        <v>583</v>
      </c>
      <c r="L1479" s="8" t="s">
        <v>322</v>
      </c>
      <c r="M1479" s="8" t="s">
        <v>323</v>
      </c>
      <c r="N1479" s="8">
        <v>23.2</v>
      </c>
      <c r="O1479" s="14">
        <f t="shared" si="1"/>
        <v>44317</v>
      </c>
      <c r="P1479" s="15">
        <f>IFERROR(VLOOKUP(K1479,Formula!$A$11:$B$20,2,FALSE),Formula!$C$26)</f>
        <v>0.95</v>
      </c>
      <c r="Q1479" s="15">
        <f>IF(AND(ISNUMBER(J1479),J1479&gt;0),1/J1479,IF(AND(ISNUMBER(I1479),I1479&gt;0),SQRT(MIN(I1479,Formula!$C$27))/Formula!$C$24,1/Formula!$C$25))</f>
        <v>0.3333333333</v>
      </c>
      <c r="R1479" s="15">
        <f t="shared" si="2"/>
        <v>0.3166666667</v>
      </c>
      <c r="S1479" s="15">
        <f>IF(H1479&lt;&gt;"",EXP(-Formula!$C$28*(EOMONTH(H1479,0)-H1479)),EXP(-Formula!$C$28*(EOMONTH(D1479,0)-D1479)))</f>
        <v>0.9512294245</v>
      </c>
      <c r="T1479" s="15">
        <f t="shared" si="3"/>
        <v>0.2886751346</v>
      </c>
      <c r="U1479" s="15">
        <f t="shared" si="4"/>
        <v>0.08695548935</v>
      </c>
      <c r="V1479" s="16">
        <f>IF(AND(L1479="Among all respondents",NOT(OR(K1479="Online poll in Telegram channel",K1479="Website online poll",K1479="CAWI (Computer Assisted Web Interviewing)"))),1/(1-MIN(MAX(Formula!$C$33+(YEAR(D1479)-Formula!$C$34)/(Formula!$C$35-Formula!$C$34)*(Formula!$C$32-Formula!$C$33),Formula!$C$33),Formula!$C$32)),1)</f>
        <v>1</v>
      </c>
      <c r="W1479" s="17">
        <f t="shared" si="5"/>
        <v>23.2</v>
      </c>
    </row>
    <row r="1480" ht="15.75" customHeight="1">
      <c r="A1480" s="8" t="s">
        <v>2292</v>
      </c>
      <c r="B1480" s="7" t="s">
        <v>2289</v>
      </c>
      <c r="C1480" s="13" t="s">
        <v>2290</v>
      </c>
      <c r="D1480" s="7" t="s">
        <v>204</v>
      </c>
      <c r="E1480" s="8" t="s">
        <v>158</v>
      </c>
      <c r="F1480" s="8" t="s">
        <v>318</v>
      </c>
      <c r="G1480" s="7" t="s">
        <v>2291</v>
      </c>
      <c r="H1480" s="7" t="s">
        <v>2164</v>
      </c>
      <c r="I1480" s="8">
        <v>2026.0</v>
      </c>
      <c r="J1480" s="8">
        <v>3.0</v>
      </c>
      <c r="K1480" s="8" t="s">
        <v>583</v>
      </c>
      <c r="L1480" s="8" t="s">
        <v>322</v>
      </c>
      <c r="M1480" s="8" t="s">
        <v>329</v>
      </c>
      <c r="N1480" s="8">
        <v>17.3</v>
      </c>
      <c r="O1480" s="14">
        <f t="shared" si="1"/>
        <v>44317</v>
      </c>
      <c r="P1480" s="15">
        <f>IFERROR(VLOOKUP(K1480,Formula!$A$11:$B$20,2,FALSE),Formula!$C$26)</f>
        <v>0.95</v>
      </c>
      <c r="Q1480" s="15">
        <f>IF(AND(ISNUMBER(J1480),J1480&gt;0),1/J1480,IF(AND(ISNUMBER(I1480),I1480&gt;0),SQRT(MIN(I1480,Formula!$C$27))/Formula!$C$24,1/Formula!$C$25))</f>
        <v>0.3333333333</v>
      </c>
      <c r="R1480" s="15">
        <f t="shared" si="2"/>
        <v>0.3166666667</v>
      </c>
      <c r="S1480" s="15">
        <f>IF(H1480&lt;&gt;"",EXP(-Formula!$C$28*(EOMONTH(H1480,0)-H1480)),EXP(-Formula!$C$28*(EOMONTH(D1480,0)-D1480)))</f>
        <v>0.9512294245</v>
      </c>
      <c r="T1480" s="15">
        <f t="shared" si="3"/>
        <v>0.2886751346</v>
      </c>
      <c r="U1480" s="15">
        <f t="shared" si="4"/>
        <v>0.08695548935</v>
      </c>
      <c r="V1480" s="16">
        <f>IF(AND(L1480="Among all respondents",NOT(OR(K1480="Online poll in Telegram channel",K1480="Website online poll",K1480="CAWI (Computer Assisted Web Interviewing)"))),1/(1-MIN(MAX(Formula!$C$33+(YEAR(D1480)-Formula!$C$34)/(Formula!$C$35-Formula!$C$34)*(Formula!$C$32-Formula!$C$33),Formula!$C$33),Formula!$C$32)),1)</f>
        <v>1</v>
      </c>
      <c r="W1480" s="17">
        <f t="shared" si="5"/>
        <v>17.3</v>
      </c>
    </row>
    <row r="1481" ht="15.75" customHeight="1">
      <c r="A1481" s="8" t="s">
        <v>2293</v>
      </c>
      <c r="B1481" s="7" t="s">
        <v>2289</v>
      </c>
      <c r="C1481" s="13" t="s">
        <v>2290</v>
      </c>
      <c r="D1481" s="7" t="s">
        <v>204</v>
      </c>
      <c r="E1481" s="8" t="s">
        <v>158</v>
      </c>
      <c r="F1481" s="8" t="s">
        <v>318</v>
      </c>
      <c r="G1481" s="7" t="s">
        <v>2291</v>
      </c>
      <c r="H1481" s="7" t="s">
        <v>2164</v>
      </c>
      <c r="I1481" s="8">
        <v>2026.0</v>
      </c>
      <c r="J1481" s="8">
        <v>3.0</v>
      </c>
      <c r="K1481" s="8" t="s">
        <v>583</v>
      </c>
      <c r="L1481" s="8" t="s">
        <v>322</v>
      </c>
      <c r="M1481" s="8" t="s">
        <v>365</v>
      </c>
      <c r="N1481" s="8">
        <v>15.6</v>
      </c>
      <c r="O1481" s="14">
        <f t="shared" si="1"/>
        <v>44317</v>
      </c>
      <c r="P1481" s="15">
        <f>IFERROR(VLOOKUP(K1481,Formula!$A$11:$B$20,2,FALSE),Formula!$C$26)</f>
        <v>0.95</v>
      </c>
      <c r="Q1481" s="15">
        <f>IF(AND(ISNUMBER(J1481),J1481&gt;0),1/J1481,IF(AND(ISNUMBER(I1481),I1481&gt;0),SQRT(MIN(I1481,Formula!$C$27))/Formula!$C$24,1/Formula!$C$25))</f>
        <v>0.3333333333</v>
      </c>
      <c r="R1481" s="15">
        <f t="shared" si="2"/>
        <v>0.3166666667</v>
      </c>
      <c r="S1481" s="15">
        <f>IF(H1481&lt;&gt;"",EXP(-Formula!$C$28*(EOMONTH(H1481,0)-H1481)),EXP(-Formula!$C$28*(EOMONTH(D1481,0)-D1481)))</f>
        <v>0.9512294245</v>
      </c>
      <c r="T1481" s="15">
        <f t="shared" si="3"/>
        <v>0.2886751346</v>
      </c>
      <c r="U1481" s="15">
        <f t="shared" si="4"/>
        <v>0.08695548935</v>
      </c>
      <c r="V1481" s="16">
        <f>IF(AND(L1481="Among all respondents",NOT(OR(K1481="Online poll in Telegram channel",K1481="Website online poll",K1481="CAWI (Computer Assisted Web Interviewing)"))),1/(1-MIN(MAX(Formula!$C$33+(YEAR(D1481)-Formula!$C$34)/(Formula!$C$35-Formula!$C$34)*(Formula!$C$32-Formula!$C$33),Formula!$C$33),Formula!$C$32)),1)</f>
        <v>1</v>
      </c>
      <c r="W1481" s="17">
        <f t="shared" si="5"/>
        <v>15.6</v>
      </c>
    </row>
    <row r="1482" ht="15.75" customHeight="1">
      <c r="A1482" s="8" t="s">
        <v>2294</v>
      </c>
      <c r="B1482" s="7" t="s">
        <v>2289</v>
      </c>
      <c r="C1482" s="13" t="s">
        <v>2290</v>
      </c>
      <c r="D1482" s="7" t="s">
        <v>204</v>
      </c>
      <c r="E1482" s="8" t="s">
        <v>158</v>
      </c>
      <c r="F1482" s="8" t="s">
        <v>318</v>
      </c>
      <c r="G1482" s="7" t="s">
        <v>2291</v>
      </c>
      <c r="H1482" s="7" t="s">
        <v>2164</v>
      </c>
      <c r="I1482" s="8">
        <v>2026.0</v>
      </c>
      <c r="J1482" s="8">
        <v>3.0</v>
      </c>
      <c r="K1482" s="8" t="s">
        <v>583</v>
      </c>
      <c r="L1482" s="8" t="s">
        <v>322</v>
      </c>
      <c r="M1482" s="8" t="s">
        <v>337</v>
      </c>
      <c r="N1482" s="8">
        <v>13.8</v>
      </c>
      <c r="O1482" s="14">
        <f t="shared" si="1"/>
        <v>44317</v>
      </c>
      <c r="P1482" s="15">
        <f>IFERROR(VLOOKUP(K1482,Formula!$A$11:$B$20,2,FALSE),Formula!$C$26)</f>
        <v>0.95</v>
      </c>
      <c r="Q1482" s="15">
        <f>IF(AND(ISNUMBER(J1482),J1482&gt;0),1/J1482,IF(AND(ISNUMBER(I1482),I1482&gt;0),SQRT(MIN(I1482,Formula!$C$27))/Formula!$C$24,1/Formula!$C$25))</f>
        <v>0.3333333333</v>
      </c>
      <c r="R1482" s="15">
        <f t="shared" si="2"/>
        <v>0.3166666667</v>
      </c>
      <c r="S1482" s="15">
        <f>IF(H1482&lt;&gt;"",EXP(-Formula!$C$28*(EOMONTH(H1482,0)-H1482)),EXP(-Formula!$C$28*(EOMONTH(D1482,0)-D1482)))</f>
        <v>0.9512294245</v>
      </c>
      <c r="T1482" s="15">
        <f t="shared" si="3"/>
        <v>0.2886751346</v>
      </c>
      <c r="U1482" s="15">
        <f t="shared" si="4"/>
        <v>0.08695548935</v>
      </c>
      <c r="V1482" s="16">
        <f>IF(AND(L1482="Among all respondents",NOT(OR(K1482="Online poll in Telegram channel",K1482="Website online poll",K1482="CAWI (Computer Assisted Web Interviewing)"))),1/(1-MIN(MAX(Formula!$C$33+(YEAR(D1482)-Formula!$C$34)/(Formula!$C$35-Formula!$C$34)*(Formula!$C$32-Formula!$C$33),Formula!$C$33),Formula!$C$32)),1)</f>
        <v>1</v>
      </c>
      <c r="W1482" s="17">
        <f t="shared" si="5"/>
        <v>13.8</v>
      </c>
    </row>
    <row r="1483" ht="15.75" customHeight="1">
      <c r="A1483" s="8" t="s">
        <v>2295</v>
      </c>
      <c r="B1483" s="7" t="s">
        <v>2289</v>
      </c>
      <c r="C1483" s="13" t="s">
        <v>2290</v>
      </c>
      <c r="D1483" s="7" t="s">
        <v>204</v>
      </c>
      <c r="E1483" s="8" t="s">
        <v>158</v>
      </c>
      <c r="F1483" s="8" t="s">
        <v>318</v>
      </c>
      <c r="G1483" s="7" t="s">
        <v>2291</v>
      </c>
      <c r="H1483" s="7" t="s">
        <v>2164</v>
      </c>
      <c r="I1483" s="8">
        <v>2026.0</v>
      </c>
      <c r="J1483" s="8">
        <v>3.0</v>
      </c>
      <c r="K1483" s="8" t="s">
        <v>583</v>
      </c>
      <c r="L1483" s="8" t="s">
        <v>322</v>
      </c>
      <c r="M1483" s="8" t="s">
        <v>828</v>
      </c>
      <c r="N1483" s="8">
        <v>6.4</v>
      </c>
      <c r="O1483" s="14">
        <f t="shared" si="1"/>
        <v>44317</v>
      </c>
      <c r="P1483" s="15">
        <f>IFERROR(VLOOKUP(K1483,Formula!$A$11:$B$20,2,FALSE),Formula!$C$26)</f>
        <v>0.95</v>
      </c>
      <c r="Q1483" s="15">
        <f>IF(AND(ISNUMBER(J1483),J1483&gt;0),1/J1483,IF(AND(ISNUMBER(I1483),I1483&gt;0),SQRT(MIN(I1483,Formula!$C$27))/Formula!$C$24,1/Formula!$C$25))</f>
        <v>0.3333333333</v>
      </c>
      <c r="R1483" s="15">
        <f t="shared" si="2"/>
        <v>0.3166666667</v>
      </c>
      <c r="S1483" s="15">
        <f>IF(H1483&lt;&gt;"",EXP(-Formula!$C$28*(EOMONTH(H1483,0)-H1483)),EXP(-Formula!$C$28*(EOMONTH(D1483,0)-D1483)))</f>
        <v>0.9512294245</v>
      </c>
      <c r="T1483" s="15">
        <f t="shared" si="3"/>
        <v>0.2886751346</v>
      </c>
      <c r="U1483" s="15">
        <f t="shared" si="4"/>
        <v>0.08695548935</v>
      </c>
      <c r="V1483" s="16">
        <f>IF(AND(L1483="Among all respondents",NOT(OR(K1483="Online poll in Telegram channel",K1483="Website online poll",K1483="CAWI (Computer Assisted Web Interviewing)"))),1/(1-MIN(MAX(Formula!$C$33+(YEAR(D1483)-Formula!$C$34)/(Formula!$C$35-Formula!$C$34)*(Formula!$C$32-Formula!$C$33),Formula!$C$33),Formula!$C$32)),1)</f>
        <v>1</v>
      </c>
      <c r="W1483" s="17">
        <f t="shared" si="5"/>
        <v>6.4</v>
      </c>
    </row>
    <row r="1484" ht="15.75" customHeight="1">
      <c r="A1484" s="8" t="s">
        <v>2296</v>
      </c>
      <c r="B1484" s="7" t="s">
        <v>2289</v>
      </c>
      <c r="C1484" s="13" t="s">
        <v>2290</v>
      </c>
      <c r="D1484" s="7" t="s">
        <v>204</v>
      </c>
      <c r="E1484" s="8" t="s">
        <v>158</v>
      </c>
      <c r="F1484" s="8" t="s">
        <v>318</v>
      </c>
      <c r="G1484" s="7" t="s">
        <v>2291</v>
      </c>
      <c r="H1484" s="7" t="s">
        <v>2164</v>
      </c>
      <c r="I1484" s="8">
        <v>2026.0</v>
      </c>
      <c r="J1484" s="8">
        <v>3.0</v>
      </c>
      <c r="K1484" s="8" t="s">
        <v>583</v>
      </c>
      <c r="L1484" s="8" t="s">
        <v>322</v>
      </c>
      <c r="M1484" s="8" t="s">
        <v>386</v>
      </c>
      <c r="N1484" s="8">
        <v>4.6</v>
      </c>
      <c r="O1484" s="14">
        <f t="shared" si="1"/>
        <v>44317</v>
      </c>
      <c r="P1484" s="15">
        <f>IFERROR(VLOOKUP(K1484,Formula!$A$11:$B$20,2,FALSE),Formula!$C$26)</f>
        <v>0.95</v>
      </c>
      <c r="Q1484" s="15">
        <f>IF(AND(ISNUMBER(J1484),J1484&gt;0),1/J1484,IF(AND(ISNUMBER(I1484),I1484&gt;0),SQRT(MIN(I1484,Formula!$C$27))/Formula!$C$24,1/Formula!$C$25))</f>
        <v>0.3333333333</v>
      </c>
      <c r="R1484" s="15">
        <f t="shared" si="2"/>
        <v>0.3166666667</v>
      </c>
      <c r="S1484" s="15">
        <f>IF(H1484&lt;&gt;"",EXP(-Formula!$C$28*(EOMONTH(H1484,0)-H1484)),EXP(-Formula!$C$28*(EOMONTH(D1484,0)-D1484)))</f>
        <v>0.9512294245</v>
      </c>
      <c r="T1484" s="15">
        <f t="shared" si="3"/>
        <v>0.2886751346</v>
      </c>
      <c r="U1484" s="15">
        <f t="shared" si="4"/>
        <v>0.08695548935</v>
      </c>
      <c r="V1484" s="16">
        <f>IF(AND(L1484="Among all respondents",NOT(OR(K1484="Online poll in Telegram channel",K1484="Website online poll",K1484="CAWI (Computer Assisted Web Interviewing)"))),1/(1-MIN(MAX(Formula!$C$33+(YEAR(D1484)-Formula!$C$34)/(Formula!$C$35-Formula!$C$34)*(Formula!$C$32-Formula!$C$33),Formula!$C$33),Formula!$C$32)),1)</f>
        <v>1</v>
      </c>
      <c r="W1484" s="17">
        <f t="shared" si="5"/>
        <v>4.6</v>
      </c>
    </row>
    <row r="1485" ht="15.75" customHeight="1">
      <c r="A1485" s="8" t="s">
        <v>2297</v>
      </c>
      <c r="B1485" s="7" t="s">
        <v>2289</v>
      </c>
      <c r="C1485" s="13" t="s">
        <v>2290</v>
      </c>
      <c r="D1485" s="7" t="s">
        <v>204</v>
      </c>
      <c r="E1485" s="8" t="s">
        <v>158</v>
      </c>
      <c r="F1485" s="8" t="s">
        <v>318</v>
      </c>
      <c r="G1485" s="7" t="s">
        <v>2291</v>
      </c>
      <c r="H1485" s="7" t="s">
        <v>2164</v>
      </c>
      <c r="I1485" s="8">
        <v>2026.0</v>
      </c>
      <c r="J1485" s="8">
        <v>3.0</v>
      </c>
      <c r="K1485" s="8" t="s">
        <v>583</v>
      </c>
      <c r="L1485" s="8" t="s">
        <v>322</v>
      </c>
      <c r="M1485" s="8" t="s">
        <v>1153</v>
      </c>
      <c r="N1485" s="8">
        <v>3.1</v>
      </c>
      <c r="O1485" s="14">
        <f t="shared" si="1"/>
        <v>44317</v>
      </c>
      <c r="P1485" s="15">
        <f>IFERROR(VLOOKUP(K1485,Formula!$A$11:$B$20,2,FALSE),Formula!$C$26)</f>
        <v>0.95</v>
      </c>
      <c r="Q1485" s="15">
        <f>IF(AND(ISNUMBER(J1485),J1485&gt;0),1/J1485,IF(AND(ISNUMBER(I1485),I1485&gt;0),SQRT(MIN(I1485,Formula!$C$27))/Formula!$C$24,1/Formula!$C$25))</f>
        <v>0.3333333333</v>
      </c>
      <c r="R1485" s="15">
        <f t="shared" si="2"/>
        <v>0.3166666667</v>
      </c>
      <c r="S1485" s="15">
        <f>IF(H1485&lt;&gt;"",EXP(-Formula!$C$28*(EOMONTH(H1485,0)-H1485)),EXP(-Formula!$C$28*(EOMONTH(D1485,0)-D1485)))</f>
        <v>0.9512294245</v>
      </c>
      <c r="T1485" s="15">
        <f t="shared" si="3"/>
        <v>0.2886751346</v>
      </c>
      <c r="U1485" s="15">
        <f t="shared" si="4"/>
        <v>0.08695548935</v>
      </c>
      <c r="V1485" s="16">
        <f>IF(AND(L1485="Among all respondents",NOT(OR(K1485="Online poll in Telegram channel",K1485="Website online poll",K1485="CAWI (Computer Assisted Web Interviewing)"))),1/(1-MIN(MAX(Formula!$C$33+(YEAR(D1485)-Formula!$C$34)/(Formula!$C$35-Formula!$C$34)*(Formula!$C$32-Formula!$C$33),Formula!$C$33),Formula!$C$32)),1)</f>
        <v>1</v>
      </c>
      <c r="W1485" s="17">
        <f t="shared" si="5"/>
        <v>3.1</v>
      </c>
    </row>
    <row r="1486" ht="15.75" customHeight="1">
      <c r="A1486" s="8" t="s">
        <v>2298</v>
      </c>
      <c r="B1486" s="7" t="s">
        <v>2289</v>
      </c>
      <c r="C1486" s="13" t="s">
        <v>2290</v>
      </c>
      <c r="D1486" s="7" t="s">
        <v>204</v>
      </c>
      <c r="E1486" s="8" t="s">
        <v>158</v>
      </c>
      <c r="F1486" s="8" t="s">
        <v>318</v>
      </c>
      <c r="G1486" s="7" t="s">
        <v>2291</v>
      </c>
      <c r="H1486" s="7" t="s">
        <v>2164</v>
      </c>
      <c r="I1486" s="8">
        <v>2026.0</v>
      </c>
      <c r="J1486" s="8">
        <v>3.0</v>
      </c>
      <c r="K1486" s="8" t="s">
        <v>583</v>
      </c>
      <c r="L1486" s="8" t="s">
        <v>322</v>
      </c>
      <c r="M1486" s="8" t="s">
        <v>333</v>
      </c>
      <c r="N1486" s="8">
        <v>3.0</v>
      </c>
      <c r="O1486" s="14">
        <f t="shared" si="1"/>
        <v>44317</v>
      </c>
      <c r="P1486" s="15">
        <f>IFERROR(VLOOKUP(K1486,Formula!$A$11:$B$20,2,FALSE),Formula!$C$26)</f>
        <v>0.95</v>
      </c>
      <c r="Q1486" s="15">
        <f>IF(AND(ISNUMBER(J1486),J1486&gt;0),1/J1486,IF(AND(ISNUMBER(I1486),I1486&gt;0),SQRT(MIN(I1486,Formula!$C$27))/Formula!$C$24,1/Formula!$C$25))</f>
        <v>0.3333333333</v>
      </c>
      <c r="R1486" s="15">
        <f t="shared" si="2"/>
        <v>0.3166666667</v>
      </c>
      <c r="S1486" s="15">
        <f>IF(H1486&lt;&gt;"",EXP(-Formula!$C$28*(EOMONTH(H1486,0)-H1486)),EXP(-Formula!$C$28*(EOMONTH(D1486,0)-D1486)))</f>
        <v>0.9512294245</v>
      </c>
      <c r="T1486" s="15">
        <f t="shared" si="3"/>
        <v>0.2886751346</v>
      </c>
      <c r="U1486" s="15">
        <f t="shared" si="4"/>
        <v>0.08695548935</v>
      </c>
      <c r="V1486" s="16">
        <f>IF(AND(L1486="Among all respondents",NOT(OR(K1486="Online poll in Telegram channel",K1486="Website online poll",K1486="CAWI (Computer Assisted Web Interviewing)"))),1/(1-MIN(MAX(Formula!$C$33+(YEAR(D1486)-Formula!$C$34)/(Formula!$C$35-Formula!$C$34)*(Formula!$C$32-Formula!$C$33),Formula!$C$33),Formula!$C$32)),1)</f>
        <v>1</v>
      </c>
      <c r="W1486" s="17">
        <f t="shared" si="5"/>
        <v>3</v>
      </c>
    </row>
    <row r="1487" ht="15.75" customHeight="1">
      <c r="A1487" s="8" t="s">
        <v>2299</v>
      </c>
      <c r="B1487" s="7" t="s">
        <v>2289</v>
      </c>
      <c r="C1487" s="13" t="s">
        <v>2290</v>
      </c>
      <c r="D1487" s="7" t="s">
        <v>204</v>
      </c>
      <c r="E1487" s="8" t="s">
        <v>158</v>
      </c>
      <c r="F1487" s="8" t="s">
        <v>318</v>
      </c>
      <c r="G1487" s="7" t="s">
        <v>2291</v>
      </c>
      <c r="H1487" s="7" t="s">
        <v>2164</v>
      </c>
      <c r="I1487" s="8">
        <v>2026.0</v>
      </c>
      <c r="J1487" s="8">
        <v>3.0</v>
      </c>
      <c r="K1487" s="8" t="s">
        <v>583</v>
      </c>
      <c r="L1487" s="8" t="s">
        <v>322</v>
      </c>
      <c r="M1487" s="8" t="s">
        <v>1452</v>
      </c>
      <c r="N1487" s="8">
        <v>3.0</v>
      </c>
      <c r="O1487" s="14">
        <f t="shared" si="1"/>
        <v>44317</v>
      </c>
      <c r="P1487" s="15">
        <f>IFERROR(VLOOKUP(K1487,Formula!$A$11:$B$20,2,FALSE),Formula!$C$26)</f>
        <v>0.95</v>
      </c>
      <c r="Q1487" s="15">
        <f>IF(AND(ISNUMBER(J1487),J1487&gt;0),1/J1487,IF(AND(ISNUMBER(I1487),I1487&gt;0),SQRT(MIN(I1487,Formula!$C$27))/Formula!$C$24,1/Formula!$C$25))</f>
        <v>0.3333333333</v>
      </c>
      <c r="R1487" s="15">
        <f t="shared" si="2"/>
        <v>0.3166666667</v>
      </c>
      <c r="S1487" s="15">
        <f>IF(H1487&lt;&gt;"",EXP(-Formula!$C$28*(EOMONTH(H1487,0)-H1487)),EXP(-Formula!$C$28*(EOMONTH(D1487,0)-D1487)))</f>
        <v>0.9512294245</v>
      </c>
      <c r="T1487" s="15">
        <f t="shared" si="3"/>
        <v>0.2886751346</v>
      </c>
      <c r="U1487" s="15">
        <f t="shared" si="4"/>
        <v>0.08695548935</v>
      </c>
      <c r="V1487" s="16">
        <f>IF(AND(L1487="Among all respondents",NOT(OR(K1487="Online poll in Telegram channel",K1487="Website online poll",K1487="CAWI (Computer Assisted Web Interviewing)"))),1/(1-MIN(MAX(Formula!$C$33+(YEAR(D1487)-Formula!$C$34)/(Formula!$C$35-Formula!$C$34)*(Formula!$C$32-Formula!$C$33),Formula!$C$33),Formula!$C$32)),1)</f>
        <v>1</v>
      </c>
      <c r="W1487" s="17">
        <f t="shared" si="5"/>
        <v>3</v>
      </c>
    </row>
    <row r="1488" ht="15.75" customHeight="1">
      <c r="A1488" s="8" t="s">
        <v>2300</v>
      </c>
      <c r="B1488" s="7" t="s">
        <v>2289</v>
      </c>
      <c r="C1488" s="13" t="s">
        <v>2290</v>
      </c>
      <c r="D1488" s="7" t="s">
        <v>204</v>
      </c>
      <c r="E1488" s="8" t="s">
        <v>158</v>
      </c>
      <c r="F1488" s="8" t="s">
        <v>318</v>
      </c>
      <c r="G1488" s="7" t="s">
        <v>2291</v>
      </c>
      <c r="H1488" s="7" t="s">
        <v>2164</v>
      </c>
      <c r="I1488" s="8">
        <v>2026.0</v>
      </c>
      <c r="J1488" s="8">
        <v>3.0</v>
      </c>
      <c r="K1488" s="8" t="s">
        <v>583</v>
      </c>
      <c r="L1488" s="8" t="s">
        <v>322</v>
      </c>
      <c r="M1488" s="8" t="s">
        <v>388</v>
      </c>
      <c r="N1488" s="8">
        <v>2.9</v>
      </c>
      <c r="O1488" s="14">
        <f t="shared" si="1"/>
        <v>44317</v>
      </c>
      <c r="P1488" s="15">
        <f>IFERROR(VLOOKUP(K1488,Formula!$A$11:$B$20,2,FALSE),Formula!$C$26)</f>
        <v>0.95</v>
      </c>
      <c r="Q1488" s="15">
        <f>IF(AND(ISNUMBER(J1488),J1488&gt;0),1/J1488,IF(AND(ISNUMBER(I1488),I1488&gt;0),SQRT(MIN(I1488,Formula!$C$27))/Formula!$C$24,1/Formula!$C$25))</f>
        <v>0.3333333333</v>
      </c>
      <c r="R1488" s="15">
        <f t="shared" si="2"/>
        <v>0.3166666667</v>
      </c>
      <c r="S1488" s="15">
        <f>IF(H1488&lt;&gt;"",EXP(-Formula!$C$28*(EOMONTH(H1488,0)-H1488)),EXP(-Formula!$C$28*(EOMONTH(D1488,0)-D1488)))</f>
        <v>0.9512294245</v>
      </c>
      <c r="T1488" s="15">
        <f t="shared" si="3"/>
        <v>0.2886751346</v>
      </c>
      <c r="U1488" s="15">
        <f t="shared" si="4"/>
        <v>0.08695548935</v>
      </c>
      <c r="V1488" s="16">
        <f>IF(AND(L1488="Among all respondents",NOT(OR(K1488="Online poll in Telegram channel",K1488="Website online poll",K1488="CAWI (Computer Assisted Web Interviewing)"))),1/(1-MIN(MAX(Formula!$C$33+(YEAR(D1488)-Formula!$C$34)/(Formula!$C$35-Formula!$C$34)*(Formula!$C$32-Formula!$C$33),Formula!$C$33),Formula!$C$32)),1)</f>
        <v>1</v>
      </c>
      <c r="W1488" s="17">
        <f t="shared" si="5"/>
        <v>2.9</v>
      </c>
    </row>
    <row r="1489" ht="15.75" customHeight="1">
      <c r="A1489" s="8" t="s">
        <v>2301</v>
      </c>
      <c r="B1489" s="7" t="s">
        <v>2289</v>
      </c>
      <c r="C1489" s="13" t="s">
        <v>2290</v>
      </c>
      <c r="D1489" s="7" t="s">
        <v>204</v>
      </c>
      <c r="E1489" s="8" t="s">
        <v>158</v>
      </c>
      <c r="F1489" s="8" t="s">
        <v>318</v>
      </c>
      <c r="G1489" s="7" t="s">
        <v>2291</v>
      </c>
      <c r="H1489" s="7" t="s">
        <v>2164</v>
      </c>
      <c r="I1489" s="8">
        <v>2026.0</v>
      </c>
      <c r="J1489" s="8">
        <v>3.0</v>
      </c>
      <c r="K1489" s="8" t="s">
        <v>583</v>
      </c>
      <c r="L1489" s="8" t="s">
        <v>322</v>
      </c>
      <c r="M1489" s="8" t="s">
        <v>343</v>
      </c>
      <c r="N1489" s="8">
        <v>1.5</v>
      </c>
      <c r="O1489" s="14">
        <f t="shared" si="1"/>
        <v>44317</v>
      </c>
      <c r="P1489" s="15">
        <f>IFERROR(VLOOKUP(K1489,Formula!$A$11:$B$20,2,FALSE),Formula!$C$26)</f>
        <v>0.95</v>
      </c>
      <c r="Q1489" s="15">
        <f>IF(AND(ISNUMBER(J1489),J1489&gt;0),1/J1489,IF(AND(ISNUMBER(I1489),I1489&gt;0),SQRT(MIN(I1489,Formula!$C$27))/Formula!$C$24,1/Formula!$C$25))</f>
        <v>0.3333333333</v>
      </c>
      <c r="R1489" s="15">
        <f t="shared" si="2"/>
        <v>0.3166666667</v>
      </c>
      <c r="S1489" s="15">
        <f>IF(H1489&lt;&gt;"",EXP(-Formula!$C$28*(EOMONTH(H1489,0)-H1489)),EXP(-Formula!$C$28*(EOMONTH(D1489,0)-D1489)))</f>
        <v>0.9512294245</v>
      </c>
      <c r="T1489" s="15">
        <f t="shared" si="3"/>
        <v>0.2886751346</v>
      </c>
      <c r="U1489" s="15">
        <f t="shared" si="4"/>
        <v>0.08695548935</v>
      </c>
      <c r="V1489" s="16">
        <f>IF(AND(L1489="Among all respondents",NOT(OR(K1489="Online poll in Telegram channel",K1489="Website online poll",K1489="CAWI (Computer Assisted Web Interviewing)"))),1/(1-MIN(MAX(Formula!$C$33+(YEAR(D1489)-Formula!$C$34)/(Formula!$C$35-Formula!$C$34)*(Formula!$C$32-Formula!$C$33),Formula!$C$33),Formula!$C$32)),1)</f>
        <v>1</v>
      </c>
      <c r="W1489" s="17">
        <f t="shared" si="5"/>
        <v>1.5</v>
      </c>
    </row>
    <row r="1490" ht="15.75" customHeight="1">
      <c r="A1490" s="8" t="s">
        <v>2302</v>
      </c>
      <c r="B1490" s="7" t="s">
        <v>2289</v>
      </c>
      <c r="C1490" s="13" t="s">
        <v>2290</v>
      </c>
      <c r="D1490" s="7" t="s">
        <v>204</v>
      </c>
      <c r="E1490" s="8" t="s">
        <v>158</v>
      </c>
      <c r="F1490" s="8" t="s">
        <v>318</v>
      </c>
      <c r="G1490" s="7" t="s">
        <v>2291</v>
      </c>
      <c r="H1490" s="7" t="s">
        <v>2164</v>
      </c>
      <c r="I1490" s="8">
        <v>2026.0</v>
      </c>
      <c r="J1490" s="8">
        <v>3.0</v>
      </c>
      <c r="K1490" s="8" t="s">
        <v>583</v>
      </c>
      <c r="L1490" s="8" t="s">
        <v>322</v>
      </c>
      <c r="M1490" s="8" t="s">
        <v>1663</v>
      </c>
      <c r="N1490" s="8">
        <v>0.5</v>
      </c>
      <c r="O1490" s="14">
        <f t="shared" si="1"/>
        <v>44317</v>
      </c>
      <c r="P1490" s="15">
        <f>IFERROR(VLOOKUP(K1490,Formula!$A$11:$B$20,2,FALSE),Formula!$C$26)</f>
        <v>0.95</v>
      </c>
      <c r="Q1490" s="15">
        <f>IF(AND(ISNUMBER(J1490),J1490&gt;0),1/J1490,IF(AND(ISNUMBER(I1490),I1490&gt;0),SQRT(MIN(I1490,Formula!$C$27))/Formula!$C$24,1/Formula!$C$25))</f>
        <v>0.3333333333</v>
      </c>
      <c r="R1490" s="15">
        <f t="shared" si="2"/>
        <v>0.3166666667</v>
      </c>
      <c r="S1490" s="15">
        <f>IF(H1490&lt;&gt;"",EXP(-Formula!$C$28*(EOMONTH(H1490,0)-H1490)),EXP(-Formula!$C$28*(EOMONTH(D1490,0)-D1490)))</f>
        <v>0.9512294245</v>
      </c>
      <c r="T1490" s="15">
        <f t="shared" si="3"/>
        <v>0.2886751346</v>
      </c>
      <c r="U1490" s="15">
        <f t="shared" si="4"/>
        <v>0.08695548935</v>
      </c>
      <c r="V1490" s="16">
        <f>IF(AND(L1490="Among all respondents",NOT(OR(K1490="Online poll in Telegram channel",K1490="Website online poll",K1490="CAWI (Computer Assisted Web Interviewing)"))),1/(1-MIN(MAX(Formula!$C$33+(YEAR(D1490)-Formula!$C$34)/(Formula!$C$35-Formula!$C$34)*(Formula!$C$32-Formula!$C$33),Formula!$C$33),Formula!$C$32)),1)</f>
        <v>1</v>
      </c>
      <c r="W1490" s="17">
        <f t="shared" si="5"/>
        <v>0.5</v>
      </c>
    </row>
    <row r="1491" ht="15.75" customHeight="1">
      <c r="A1491" s="8" t="s">
        <v>2303</v>
      </c>
      <c r="B1491" s="7" t="s">
        <v>2304</v>
      </c>
      <c r="C1491" s="13" t="s">
        <v>2305</v>
      </c>
      <c r="D1491" s="7" t="s">
        <v>210</v>
      </c>
      <c r="E1491" s="8" t="s">
        <v>106</v>
      </c>
      <c r="F1491" s="8" t="s">
        <v>318</v>
      </c>
      <c r="G1491" s="7" t="s">
        <v>2306</v>
      </c>
      <c r="H1491" s="7" t="s">
        <v>2307</v>
      </c>
      <c r="I1491" s="8">
        <v>2021.0</v>
      </c>
      <c r="J1491" s="8">
        <v>2.3</v>
      </c>
      <c r="K1491" s="8" t="s">
        <v>583</v>
      </c>
      <c r="L1491" s="8" t="s">
        <v>322</v>
      </c>
      <c r="M1491" s="8" t="s">
        <v>323</v>
      </c>
      <c r="N1491" s="8">
        <v>28.3</v>
      </c>
      <c r="O1491" s="14">
        <f t="shared" si="1"/>
        <v>44317</v>
      </c>
      <c r="P1491" s="15">
        <f>IFERROR(VLOOKUP(K1491,Formula!$A$11:$B$20,2,FALSE),Formula!$C$26)</f>
        <v>0.95</v>
      </c>
      <c r="Q1491" s="15">
        <f>IF(AND(ISNUMBER(J1491),J1491&gt;0),1/J1491,IF(AND(ISNUMBER(I1491),I1491&gt;0),SQRT(MIN(I1491,Formula!$C$27))/Formula!$C$24,1/Formula!$C$25))</f>
        <v>0.4347826087</v>
      </c>
      <c r="R1491" s="15">
        <f t="shared" si="2"/>
        <v>0.4130434783</v>
      </c>
      <c r="S1491" s="15">
        <f>IF(H1491&lt;&gt;"",EXP(-Formula!$C$28*(EOMONTH(H1491,0)-H1491)),EXP(-Formula!$C$28*(EOMONTH(D1491,0)-D1491)))</f>
        <v>0.9512294245</v>
      </c>
      <c r="T1491" s="15">
        <f t="shared" si="3"/>
        <v>0.2886751346</v>
      </c>
      <c r="U1491" s="15">
        <f t="shared" si="4"/>
        <v>0.1134202035</v>
      </c>
      <c r="V1491" s="16">
        <f>IF(AND(L1491="Among all respondents",NOT(OR(K1491="Online poll in Telegram channel",K1491="Website online poll",K1491="CAWI (Computer Assisted Web Interviewing)"))),1/(1-MIN(MAX(Formula!$C$33+(YEAR(D1491)-Formula!$C$34)/(Formula!$C$35-Formula!$C$34)*(Formula!$C$32-Formula!$C$33),Formula!$C$33),Formula!$C$32)),1)</f>
        <v>1</v>
      </c>
      <c r="W1491" s="17">
        <f t="shared" si="5"/>
        <v>28.3</v>
      </c>
    </row>
    <row r="1492" ht="15.75" customHeight="1">
      <c r="A1492" s="8" t="s">
        <v>2308</v>
      </c>
      <c r="B1492" s="7" t="s">
        <v>2304</v>
      </c>
      <c r="C1492" s="13" t="s">
        <v>2305</v>
      </c>
      <c r="D1492" s="7" t="s">
        <v>210</v>
      </c>
      <c r="E1492" s="8" t="s">
        <v>106</v>
      </c>
      <c r="F1492" s="8" t="s">
        <v>318</v>
      </c>
      <c r="G1492" s="7" t="s">
        <v>2306</v>
      </c>
      <c r="H1492" s="7" t="s">
        <v>2307</v>
      </c>
      <c r="I1492" s="8">
        <v>2021.0</v>
      </c>
      <c r="J1492" s="8">
        <v>2.3</v>
      </c>
      <c r="K1492" s="8" t="s">
        <v>583</v>
      </c>
      <c r="L1492" s="8" t="s">
        <v>322</v>
      </c>
      <c r="M1492" s="8" t="s">
        <v>329</v>
      </c>
      <c r="N1492" s="8">
        <v>18.1</v>
      </c>
      <c r="O1492" s="14">
        <f t="shared" si="1"/>
        <v>44317</v>
      </c>
      <c r="P1492" s="15">
        <f>IFERROR(VLOOKUP(K1492,Formula!$A$11:$B$20,2,FALSE),Formula!$C$26)</f>
        <v>0.95</v>
      </c>
      <c r="Q1492" s="15">
        <f>IF(AND(ISNUMBER(J1492),J1492&gt;0),1/J1492,IF(AND(ISNUMBER(I1492),I1492&gt;0),SQRT(MIN(I1492,Formula!$C$27))/Formula!$C$24,1/Formula!$C$25))</f>
        <v>0.4347826087</v>
      </c>
      <c r="R1492" s="15">
        <f t="shared" si="2"/>
        <v>0.4130434783</v>
      </c>
      <c r="S1492" s="15">
        <f>IF(H1492&lt;&gt;"",EXP(-Formula!$C$28*(EOMONTH(H1492,0)-H1492)),EXP(-Formula!$C$28*(EOMONTH(D1492,0)-D1492)))</f>
        <v>0.9512294245</v>
      </c>
      <c r="T1492" s="15">
        <f t="shared" si="3"/>
        <v>0.2886751346</v>
      </c>
      <c r="U1492" s="15">
        <f t="shared" si="4"/>
        <v>0.1134202035</v>
      </c>
      <c r="V1492" s="16">
        <f>IF(AND(L1492="Among all respondents",NOT(OR(K1492="Online poll in Telegram channel",K1492="Website online poll",K1492="CAWI (Computer Assisted Web Interviewing)"))),1/(1-MIN(MAX(Formula!$C$33+(YEAR(D1492)-Formula!$C$34)/(Formula!$C$35-Formula!$C$34)*(Formula!$C$32-Formula!$C$33),Formula!$C$33),Formula!$C$32)),1)</f>
        <v>1</v>
      </c>
      <c r="W1492" s="17">
        <f t="shared" si="5"/>
        <v>18.1</v>
      </c>
    </row>
    <row r="1493" ht="15.75" customHeight="1">
      <c r="A1493" s="8" t="s">
        <v>2309</v>
      </c>
      <c r="B1493" s="7" t="s">
        <v>2304</v>
      </c>
      <c r="C1493" s="13" t="s">
        <v>2305</v>
      </c>
      <c r="D1493" s="7" t="s">
        <v>210</v>
      </c>
      <c r="E1493" s="8" t="s">
        <v>106</v>
      </c>
      <c r="F1493" s="8" t="s">
        <v>318</v>
      </c>
      <c r="G1493" s="7" t="s">
        <v>2306</v>
      </c>
      <c r="H1493" s="7" t="s">
        <v>2307</v>
      </c>
      <c r="I1493" s="8">
        <v>2021.0</v>
      </c>
      <c r="J1493" s="8">
        <v>2.3</v>
      </c>
      <c r="K1493" s="8" t="s">
        <v>583</v>
      </c>
      <c r="L1493" s="8" t="s">
        <v>322</v>
      </c>
      <c r="M1493" s="8" t="s">
        <v>365</v>
      </c>
      <c r="N1493" s="8">
        <v>14.5</v>
      </c>
      <c r="O1493" s="14">
        <f t="shared" si="1"/>
        <v>44317</v>
      </c>
      <c r="P1493" s="15">
        <f>IFERROR(VLOOKUP(K1493,Formula!$A$11:$B$20,2,FALSE),Formula!$C$26)</f>
        <v>0.95</v>
      </c>
      <c r="Q1493" s="15">
        <f>IF(AND(ISNUMBER(J1493),J1493&gt;0),1/J1493,IF(AND(ISNUMBER(I1493),I1493&gt;0),SQRT(MIN(I1493,Formula!$C$27))/Formula!$C$24,1/Formula!$C$25))</f>
        <v>0.4347826087</v>
      </c>
      <c r="R1493" s="15">
        <f t="shared" si="2"/>
        <v>0.4130434783</v>
      </c>
      <c r="S1493" s="15">
        <f>IF(H1493&lt;&gt;"",EXP(-Formula!$C$28*(EOMONTH(H1493,0)-H1493)),EXP(-Formula!$C$28*(EOMONTH(D1493,0)-D1493)))</f>
        <v>0.9512294245</v>
      </c>
      <c r="T1493" s="15">
        <f t="shared" si="3"/>
        <v>0.2886751346</v>
      </c>
      <c r="U1493" s="15">
        <f t="shared" si="4"/>
        <v>0.1134202035</v>
      </c>
      <c r="V1493" s="16">
        <f>IF(AND(L1493="Among all respondents",NOT(OR(K1493="Online poll in Telegram channel",K1493="Website online poll",K1493="CAWI (Computer Assisted Web Interviewing)"))),1/(1-MIN(MAX(Formula!$C$33+(YEAR(D1493)-Formula!$C$34)/(Formula!$C$35-Formula!$C$34)*(Formula!$C$32-Formula!$C$33),Formula!$C$33),Formula!$C$32)),1)</f>
        <v>1</v>
      </c>
      <c r="W1493" s="17">
        <f t="shared" si="5"/>
        <v>14.5</v>
      </c>
    </row>
    <row r="1494" ht="15.75" customHeight="1">
      <c r="A1494" s="8" t="s">
        <v>2310</v>
      </c>
      <c r="B1494" s="7" t="s">
        <v>2304</v>
      </c>
      <c r="C1494" s="13" t="s">
        <v>2305</v>
      </c>
      <c r="D1494" s="7" t="s">
        <v>210</v>
      </c>
      <c r="E1494" s="8" t="s">
        <v>106</v>
      </c>
      <c r="F1494" s="8" t="s">
        <v>318</v>
      </c>
      <c r="G1494" s="7" t="s">
        <v>2306</v>
      </c>
      <c r="H1494" s="7" t="s">
        <v>2307</v>
      </c>
      <c r="I1494" s="8">
        <v>2021.0</v>
      </c>
      <c r="J1494" s="8">
        <v>2.3</v>
      </c>
      <c r="K1494" s="8" t="s">
        <v>583</v>
      </c>
      <c r="L1494" s="8" t="s">
        <v>322</v>
      </c>
      <c r="M1494" s="8" t="s">
        <v>337</v>
      </c>
      <c r="N1494" s="8">
        <v>10.5</v>
      </c>
      <c r="O1494" s="14">
        <f t="shared" si="1"/>
        <v>44317</v>
      </c>
      <c r="P1494" s="15">
        <f>IFERROR(VLOOKUP(K1494,Formula!$A$11:$B$20,2,FALSE),Formula!$C$26)</f>
        <v>0.95</v>
      </c>
      <c r="Q1494" s="15">
        <f>IF(AND(ISNUMBER(J1494),J1494&gt;0),1/J1494,IF(AND(ISNUMBER(I1494),I1494&gt;0),SQRT(MIN(I1494,Formula!$C$27))/Formula!$C$24,1/Formula!$C$25))</f>
        <v>0.4347826087</v>
      </c>
      <c r="R1494" s="15">
        <f t="shared" si="2"/>
        <v>0.4130434783</v>
      </c>
      <c r="S1494" s="15">
        <f>IF(H1494&lt;&gt;"",EXP(-Formula!$C$28*(EOMONTH(H1494,0)-H1494)),EXP(-Formula!$C$28*(EOMONTH(D1494,0)-D1494)))</f>
        <v>0.9512294245</v>
      </c>
      <c r="T1494" s="15">
        <f t="shared" si="3"/>
        <v>0.2886751346</v>
      </c>
      <c r="U1494" s="15">
        <f t="shared" si="4"/>
        <v>0.1134202035</v>
      </c>
      <c r="V1494" s="16">
        <f>IF(AND(L1494="Among all respondents",NOT(OR(K1494="Online poll in Telegram channel",K1494="Website online poll",K1494="CAWI (Computer Assisted Web Interviewing)"))),1/(1-MIN(MAX(Formula!$C$33+(YEAR(D1494)-Formula!$C$34)/(Formula!$C$35-Formula!$C$34)*(Formula!$C$32-Formula!$C$33),Formula!$C$33),Formula!$C$32)),1)</f>
        <v>1</v>
      </c>
      <c r="W1494" s="17">
        <f t="shared" si="5"/>
        <v>10.5</v>
      </c>
    </row>
    <row r="1495" ht="15.75" customHeight="1">
      <c r="A1495" s="8" t="s">
        <v>2311</v>
      </c>
      <c r="B1495" s="7" t="s">
        <v>2304</v>
      </c>
      <c r="C1495" s="13" t="s">
        <v>2305</v>
      </c>
      <c r="D1495" s="7" t="s">
        <v>210</v>
      </c>
      <c r="E1495" s="8" t="s">
        <v>106</v>
      </c>
      <c r="F1495" s="8" t="s">
        <v>318</v>
      </c>
      <c r="G1495" s="7" t="s">
        <v>2306</v>
      </c>
      <c r="H1495" s="7" t="s">
        <v>2307</v>
      </c>
      <c r="I1495" s="8">
        <v>2021.0</v>
      </c>
      <c r="J1495" s="8">
        <v>2.3</v>
      </c>
      <c r="K1495" s="8" t="s">
        <v>583</v>
      </c>
      <c r="L1495" s="8" t="s">
        <v>322</v>
      </c>
      <c r="M1495" s="8" t="s">
        <v>828</v>
      </c>
      <c r="N1495" s="8">
        <v>6.2</v>
      </c>
      <c r="O1495" s="14">
        <f t="shared" si="1"/>
        <v>44317</v>
      </c>
      <c r="P1495" s="15">
        <f>IFERROR(VLOOKUP(K1495,Formula!$A$11:$B$20,2,FALSE),Formula!$C$26)</f>
        <v>0.95</v>
      </c>
      <c r="Q1495" s="15">
        <f>IF(AND(ISNUMBER(J1495),J1495&gt;0),1/J1495,IF(AND(ISNUMBER(I1495),I1495&gt;0),SQRT(MIN(I1495,Formula!$C$27))/Formula!$C$24,1/Formula!$C$25))</f>
        <v>0.4347826087</v>
      </c>
      <c r="R1495" s="15">
        <f t="shared" si="2"/>
        <v>0.4130434783</v>
      </c>
      <c r="S1495" s="15">
        <f>IF(H1495&lt;&gt;"",EXP(-Formula!$C$28*(EOMONTH(H1495,0)-H1495)),EXP(-Formula!$C$28*(EOMONTH(D1495,0)-D1495)))</f>
        <v>0.9512294245</v>
      </c>
      <c r="T1495" s="15">
        <f t="shared" si="3"/>
        <v>0.2886751346</v>
      </c>
      <c r="U1495" s="15">
        <f t="shared" si="4"/>
        <v>0.1134202035</v>
      </c>
      <c r="V1495" s="16">
        <f>IF(AND(L1495="Among all respondents",NOT(OR(K1495="Online poll in Telegram channel",K1495="Website online poll",K1495="CAWI (Computer Assisted Web Interviewing)"))),1/(1-MIN(MAX(Formula!$C$33+(YEAR(D1495)-Formula!$C$34)/(Formula!$C$35-Formula!$C$34)*(Formula!$C$32-Formula!$C$33),Formula!$C$33),Formula!$C$32)),1)</f>
        <v>1</v>
      </c>
      <c r="W1495" s="17">
        <f t="shared" si="5"/>
        <v>6.2</v>
      </c>
    </row>
    <row r="1496" ht="15.75" customHeight="1">
      <c r="A1496" s="8" t="s">
        <v>2312</v>
      </c>
      <c r="B1496" s="7" t="s">
        <v>2304</v>
      </c>
      <c r="C1496" s="13" t="s">
        <v>2305</v>
      </c>
      <c r="D1496" s="7" t="s">
        <v>210</v>
      </c>
      <c r="E1496" s="8" t="s">
        <v>106</v>
      </c>
      <c r="F1496" s="8" t="s">
        <v>318</v>
      </c>
      <c r="G1496" s="7" t="s">
        <v>2306</v>
      </c>
      <c r="H1496" s="7" t="s">
        <v>2307</v>
      </c>
      <c r="I1496" s="8">
        <v>2021.0</v>
      </c>
      <c r="J1496" s="8">
        <v>2.3</v>
      </c>
      <c r="K1496" s="8" t="s">
        <v>583</v>
      </c>
      <c r="L1496" s="8" t="s">
        <v>322</v>
      </c>
      <c r="M1496" s="8" t="s">
        <v>386</v>
      </c>
      <c r="N1496" s="8">
        <v>3.3</v>
      </c>
      <c r="O1496" s="14">
        <f t="shared" si="1"/>
        <v>44317</v>
      </c>
      <c r="P1496" s="15">
        <f>IFERROR(VLOOKUP(K1496,Formula!$A$11:$B$20,2,FALSE),Formula!$C$26)</f>
        <v>0.95</v>
      </c>
      <c r="Q1496" s="15">
        <f>IF(AND(ISNUMBER(J1496),J1496&gt;0),1/J1496,IF(AND(ISNUMBER(I1496),I1496&gt;0),SQRT(MIN(I1496,Formula!$C$27))/Formula!$C$24,1/Formula!$C$25))</f>
        <v>0.4347826087</v>
      </c>
      <c r="R1496" s="15">
        <f t="shared" si="2"/>
        <v>0.4130434783</v>
      </c>
      <c r="S1496" s="15">
        <f>IF(H1496&lt;&gt;"",EXP(-Formula!$C$28*(EOMONTH(H1496,0)-H1496)),EXP(-Formula!$C$28*(EOMONTH(D1496,0)-D1496)))</f>
        <v>0.9512294245</v>
      </c>
      <c r="T1496" s="15">
        <f t="shared" si="3"/>
        <v>0.2886751346</v>
      </c>
      <c r="U1496" s="15">
        <f t="shared" si="4"/>
        <v>0.1134202035</v>
      </c>
      <c r="V1496" s="16">
        <f>IF(AND(L1496="Among all respondents",NOT(OR(K1496="Online poll in Telegram channel",K1496="Website online poll",K1496="CAWI (Computer Assisted Web Interviewing)"))),1/(1-MIN(MAX(Formula!$C$33+(YEAR(D1496)-Formula!$C$34)/(Formula!$C$35-Formula!$C$34)*(Formula!$C$32-Formula!$C$33),Formula!$C$33),Formula!$C$32)),1)</f>
        <v>1</v>
      </c>
      <c r="W1496" s="17">
        <f t="shared" si="5"/>
        <v>3.3</v>
      </c>
    </row>
    <row r="1497" ht="15.75" customHeight="1">
      <c r="A1497" s="8" t="s">
        <v>2313</v>
      </c>
      <c r="B1497" s="7" t="s">
        <v>2304</v>
      </c>
      <c r="C1497" s="13" t="s">
        <v>2305</v>
      </c>
      <c r="D1497" s="7" t="s">
        <v>210</v>
      </c>
      <c r="E1497" s="8" t="s">
        <v>106</v>
      </c>
      <c r="F1497" s="8" t="s">
        <v>318</v>
      </c>
      <c r="G1497" s="7" t="s">
        <v>2306</v>
      </c>
      <c r="H1497" s="7" t="s">
        <v>2307</v>
      </c>
      <c r="I1497" s="8">
        <v>2021.0</v>
      </c>
      <c r="J1497" s="8">
        <v>2.3</v>
      </c>
      <c r="K1497" s="8" t="s">
        <v>583</v>
      </c>
      <c r="L1497" s="8" t="s">
        <v>322</v>
      </c>
      <c r="M1497" s="8" t="s">
        <v>388</v>
      </c>
      <c r="N1497" s="8">
        <v>2.6</v>
      </c>
      <c r="O1497" s="14">
        <f t="shared" si="1"/>
        <v>44317</v>
      </c>
      <c r="P1497" s="15">
        <f>IFERROR(VLOOKUP(K1497,Formula!$A$11:$B$20,2,FALSE),Formula!$C$26)</f>
        <v>0.95</v>
      </c>
      <c r="Q1497" s="15">
        <f>IF(AND(ISNUMBER(J1497),J1497&gt;0),1/J1497,IF(AND(ISNUMBER(I1497),I1497&gt;0),SQRT(MIN(I1497,Formula!$C$27))/Formula!$C$24,1/Formula!$C$25))</f>
        <v>0.4347826087</v>
      </c>
      <c r="R1497" s="15">
        <f t="shared" si="2"/>
        <v>0.4130434783</v>
      </c>
      <c r="S1497" s="15">
        <f>IF(H1497&lt;&gt;"",EXP(-Formula!$C$28*(EOMONTH(H1497,0)-H1497)),EXP(-Formula!$C$28*(EOMONTH(D1497,0)-D1497)))</f>
        <v>0.9512294245</v>
      </c>
      <c r="T1497" s="15">
        <f t="shared" si="3"/>
        <v>0.2886751346</v>
      </c>
      <c r="U1497" s="15">
        <f t="shared" si="4"/>
        <v>0.1134202035</v>
      </c>
      <c r="V1497" s="16">
        <f>IF(AND(L1497="Among all respondents",NOT(OR(K1497="Online poll in Telegram channel",K1497="Website online poll",K1497="CAWI (Computer Assisted Web Interviewing)"))),1/(1-MIN(MAX(Formula!$C$33+(YEAR(D1497)-Formula!$C$34)/(Formula!$C$35-Formula!$C$34)*(Formula!$C$32-Formula!$C$33),Formula!$C$33),Formula!$C$32)),1)</f>
        <v>1</v>
      </c>
      <c r="W1497" s="17">
        <f t="shared" si="5"/>
        <v>2.6</v>
      </c>
    </row>
    <row r="1498" ht="15.75" customHeight="1">
      <c r="A1498" s="8" t="s">
        <v>2314</v>
      </c>
      <c r="B1498" s="7" t="s">
        <v>2304</v>
      </c>
      <c r="C1498" s="13" t="s">
        <v>2305</v>
      </c>
      <c r="D1498" s="7" t="s">
        <v>210</v>
      </c>
      <c r="E1498" s="8" t="s">
        <v>106</v>
      </c>
      <c r="F1498" s="8" t="s">
        <v>318</v>
      </c>
      <c r="G1498" s="7" t="s">
        <v>2306</v>
      </c>
      <c r="H1498" s="7" t="s">
        <v>2307</v>
      </c>
      <c r="I1498" s="8">
        <v>2021.0</v>
      </c>
      <c r="J1498" s="8">
        <v>2.3</v>
      </c>
      <c r="K1498" s="8" t="s">
        <v>583</v>
      </c>
      <c r="L1498" s="8" t="s">
        <v>322</v>
      </c>
      <c r="M1498" s="8" t="s">
        <v>333</v>
      </c>
      <c r="N1498" s="8">
        <v>2.4</v>
      </c>
      <c r="O1498" s="14">
        <f t="shared" si="1"/>
        <v>44317</v>
      </c>
      <c r="P1498" s="15">
        <f>IFERROR(VLOOKUP(K1498,Formula!$A$11:$B$20,2,FALSE),Formula!$C$26)</f>
        <v>0.95</v>
      </c>
      <c r="Q1498" s="15">
        <f>IF(AND(ISNUMBER(J1498),J1498&gt;0),1/J1498,IF(AND(ISNUMBER(I1498),I1498&gt;0),SQRT(MIN(I1498,Formula!$C$27))/Formula!$C$24,1/Formula!$C$25))</f>
        <v>0.4347826087</v>
      </c>
      <c r="R1498" s="15">
        <f t="shared" si="2"/>
        <v>0.4130434783</v>
      </c>
      <c r="S1498" s="15">
        <f>IF(H1498&lt;&gt;"",EXP(-Formula!$C$28*(EOMONTH(H1498,0)-H1498)),EXP(-Formula!$C$28*(EOMONTH(D1498,0)-D1498)))</f>
        <v>0.9512294245</v>
      </c>
      <c r="T1498" s="15">
        <f t="shared" si="3"/>
        <v>0.2886751346</v>
      </c>
      <c r="U1498" s="15">
        <f t="shared" si="4"/>
        <v>0.1134202035</v>
      </c>
      <c r="V1498" s="16">
        <f>IF(AND(L1498="Among all respondents",NOT(OR(K1498="Online poll in Telegram channel",K1498="Website online poll",K1498="CAWI (Computer Assisted Web Interviewing)"))),1/(1-MIN(MAX(Formula!$C$33+(YEAR(D1498)-Formula!$C$34)/(Formula!$C$35-Formula!$C$34)*(Formula!$C$32-Formula!$C$33),Formula!$C$33),Formula!$C$32)),1)</f>
        <v>1</v>
      </c>
      <c r="W1498" s="17">
        <f t="shared" si="5"/>
        <v>2.4</v>
      </c>
    </row>
    <row r="1499" ht="15.75" customHeight="1">
      <c r="A1499" s="8" t="s">
        <v>2315</v>
      </c>
      <c r="B1499" s="7" t="s">
        <v>2304</v>
      </c>
      <c r="C1499" s="13" t="s">
        <v>2305</v>
      </c>
      <c r="D1499" s="7" t="s">
        <v>210</v>
      </c>
      <c r="E1499" s="8" t="s">
        <v>106</v>
      </c>
      <c r="F1499" s="8" t="s">
        <v>318</v>
      </c>
      <c r="G1499" s="7" t="s">
        <v>2306</v>
      </c>
      <c r="H1499" s="7" t="s">
        <v>2307</v>
      </c>
      <c r="I1499" s="8">
        <v>2021.0</v>
      </c>
      <c r="J1499" s="8">
        <v>2.3</v>
      </c>
      <c r="K1499" s="8" t="s">
        <v>583</v>
      </c>
      <c r="L1499" s="8" t="s">
        <v>322</v>
      </c>
      <c r="M1499" s="8" t="s">
        <v>838</v>
      </c>
      <c r="N1499" s="8">
        <v>2.2</v>
      </c>
      <c r="O1499" s="14">
        <f t="shared" si="1"/>
        <v>44317</v>
      </c>
      <c r="P1499" s="15">
        <f>IFERROR(VLOOKUP(K1499,Formula!$A$11:$B$20,2,FALSE),Formula!$C$26)</f>
        <v>0.95</v>
      </c>
      <c r="Q1499" s="15">
        <f>IF(AND(ISNUMBER(J1499),J1499&gt;0),1/J1499,IF(AND(ISNUMBER(I1499),I1499&gt;0),SQRT(MIN(I1499,Formula!$C$27))/Formula!$C$24,1/Formula!$C$25))</f>
        <v>0.4347826087</v>
      </c>
      <c r="R1499" s="15">
        <f t="shared" si="2"/>
        <v>0.4130434783</v>
      </c>
      <c r="S1499" s="15">
        <f>IF(H1499&lt;&gt;"",EXP(-Formula!$C$28*(EOMONTH(H1499,0)-H1499)),EXP(-Formula!$C$28*(EOMONTH(D1499,0)-D1499)))</f>
        <v>0.9512294245</v>
      </c>
      <c r="T1499" s="15">
        <f t="shared" si="3"/>
        <v>0.2886751346</v>
      </c>
      <c r="U1499" s="15">
        <f t="shared" si="4"/>
        <v>0.1134202035</v>
      </c>
      <c r="V1499" s="16">
        <f>IF(AND(L1499="Among all respondents",NOT(OR(K1499="Online poll in Telegram channel",K1499="Website online poll",K1499="CAWI (Computer Assisted Web Interviewing)"))),1/(1-MIN(MAX(Formula!$C$33+(YEAR(D1499)-Formula!$C$34)/(Formula!$C$35-Formula!$C$34)*(Formula!$C$32-Formula!$C$33),Formula!$C$33),Formula!$C$32)),1)</f>
        <v>1</v>
      </c>
      <c r="W1499" s="17">
        <f t="shared" si="5"/>
        <v>2.2</v>
      </c>
    </row>
    <row r="1500" ht="15.75" customHeight="1">
      <c r="A1500" s="8" t="s">
        <v>2316</v>
      </c>
      <c r="B1500" s="7" t="s">
        <v>2304</v>
      </c>
      <c r="C1500" s="13" t="s">
        <v>2305</v>
      </c>
      <c r="D1500" s="7" t="s">
        <v>210</v>
      </c>
      <c r="E1500" s="8" t="s">
        <v>106</v>
      </c>
      <c r="F1500" s="8" t="s">
        <v>318</v>
      </c>
      <c r="G1500" s="7" t="s">
        <v>2306</v>
      </c>
      <c r="H1500" s="7" t="s">
        <v>2307</v>
      </c>
      <c r="I1500" s="8">
        <v>2021.0</v>
      </c>
      <c r="J1500" s="8">
        <v>2.3</v>
      </c>
      <c r="K1500" s="8" t="s">
        <v>583</v>
      </c>
      <c r="L1500" s="8" t="s">
        <v>322</v>
      </c>
      <c r="M1500" s="8" t="s">
        <v>1398</v>
      </c>
      <c r="N1500" s="8">
        <v>1.9</v>
      </c>
      <c r="O1500" s="14">
        <f t="shared" si="1"/>
        <v>44317</v>
      </c>
      <c r="P1500" s="15">
        <f>IFERROR(VLOOKUP(K1500,Formula!$A$11:$B$20,2,FALSE),Formula!$C$26)</f>
        <v>0.95</v>
      </c>
      <c r="Q1500" s="15">
        <f>IF(AND(ISNUMBER(J1500),J1500&gt;0),1/J1500,IF(AND(ISNUMBER(I1500),I1500&gt;0),SQRT(MIN(I1500,Formula!$C$27))/Formula!$C$24,1/Formula!$C$25))</f>
        <v>0.4347826087</v>
      </c>
      <c r="R1500" s="15">
        <f t="shared" si="2"/>
        <v>0.4130434783</v>
      </c>
      <c r="S1500" s="15">
        <f>IF(H1500&lt;&gt;"",EXP(-Formula!$C$28*(EOMONTH(H1500,0)-H1500)),EXP(-Formula!$C$28*(EOMONTH(D1500,0)-D1500)))</f>
        <v>0.9512294245</v>
      </c>
      <c r="T1500" s="15">
        <f t="shared" si="3"/>
        <v>0.2886751346</v>
      </c>
      <c r="U1500" s="15">
        <f t="shared" si="4"/>
        <v>0.1134202035</v>
      </c>
      <c r="V1500" s="16">
        <f>IF(AND(L1500="Among all respondents",NOT(OR(K1500="Online poll in Telegram channel",K1500="Website online poll",K1500="CAWI (Computer Assisted Web Interviewing)"))),1/(1-MIN(MAX(Formula!$C$33+(YEAR(D1500)-Formula!$C$34)/(Formula!$C$35-Formula!$C$34)*(Formula!$C$32-Formula!$C$33),Formula!$C$33),Formula!$C$32)),1)</f>
        <v>1</v>
      </c>
      <c r="W1500" s="17">
        <f t="shared" si="5"/>
        <v>1.9</v>
      </c>
    </row>
    <row r="1501" ht="15.75" customHeight="1">
      <c r="A1501" s="8" t="s">
        <v>2317</v>
      </c>
      <c r="B1501" s="7" t="s">
        <v>2304</v>
      </c>
      <c r="C1501" s="13" t="s">
        <v>2305</v>
      </c>
      <c r="D1501" s="7" t="s">
        <v>210</v>
      </c>
      <c r="E1501" s="8" t="s">
        <v>106</v>
      </c>
      <c r="F1501" s="8" t="s">
        <v>318</v>
      </c>
      <c r="G1501" s="7" t="s">
        <v>2306</v>
      </c>
      <c r="H1501" s="7" t="s">
        <v>2307</v>
      </c>
      <c r="I1501" s="8">
        <v>2021.0</v>
      </c>
      <c r="J1501" s="8">
        <v>2.3</v>
      </c>
      <c r="K1501" s="8" t="s">
        <v>583</v>
      </c>
      <c r="L1501" s="8" t="s">
        <v>322</v>
      </c>
      <c r="M1501" s="8" t="s">
        <v>343</v>
      </c>
      <c r="N1501" s="8">
        <v>1.1</v>
      </c>
      <c r="O1501" s="14">
        <f t="shared" si="1"/>
        <v>44317</v>
      </c>
      <c r="P1501" s="15">
        <f>IFERROR(VLOOKUP(K1501,Formula!$A$11:$B$20,2,FALSE),Formula!$C$26)</f>
        <v>0.95</v>
      </c>
      <c r="Q1501" s="15">
        <f>IF(AND(ISNUMBER(J1501),J1501&gt;0),1/J1501,IF(AND(ISNUMBER(I1501),I1501&gt;0),SQRT(MIN(I1501,Formula!$C$27))/Formula!$C$24,1/Formula!$C$25))</f>
        <v>0.4347826087</v>
      </c>
      <c r="R1501" s="15">
        <f t="shared" si="2"/>
        <v>0.4130434783</v>
      </c>
      <c r="S1501" s="15">
        <f>IF(H1501&lt;&gt;"",EXP(-Formula!$C$28*(EOMONTH(H1501,0)-H1501)),EXP(-Formula!$C$28*(EOMONTH(D1501,0)-D1501)))</f>
        <v>0.9512294245</v>
      </c>
      <c r="T1501" s="15">
        <f t="shared" si="3"/>
        <v>0.2886751346</v>
      </c>
      <c r="U1501" s="15">
        <f t="shared" si="4"/>
        <v>0.1134202035</v>
      </c>
      <c r="V1501" s="16">
        <f>IF(AND(L1501="Among all respondents",NOT(OR(K1501="Online poll in Telegram channel",K1501="Website online poll",K1501="CAWI (Computer Assisted Web Interviewing)"))),1/(1-MIN(MAX(Formula!$C$33+(YEAR(D1501)-Formula!$C$34)/(Formula!$C$35-Formula!$C$34)*(Formula!$C$32-Formula!$C$33),Formula!$C$33),Formula!$C$32)),1)</f>
        <v>1</v>
      </c>
      <c r="W1501" s="17">
        <f t="shared" si="5"/>
        <v>1.1</v>
      </c>
    </row>
    <row r="1502" ht="15.75" customHeight="1">
      <c r="A1502" s="8" t="s">
        <v>2318</v>
      </c>
      <c r="B1502" s="7" t="s">
        <v>2304</v>
      </c>
      <c r="C1502" s="13" t="s">
        <v>2305</v>
      </c>
      <c r="D1502" s="7" t="s">
        <v>210</v>
      </c>
      <c r="E1502" s="8" t="s">
        <v>106</v>
      </c>
      <c r="F1502" s="8" t="s">
        <v>318</v>
      </c>
      <c r="G1502" s="7" t="s">
        <v>2306</v>
      </c>
      <c r="H1502" s="7" t="s">
        <v>2307</v>
      </c>
      <c r="I1502" s="8">
        <v>2021.0</v>
      </c>
      <c r="J1502" s="8">
        <v>2.3</v>
      </c>
      <c r="K1502" s="8" t="s">
        <v>583</v>
      </c>
      <c r="L1502" s="8" t="s">
        <v>322</v>
      </c>
      <c r="M1502" s="8" t="s">
        <v>345</v>
      </c>
      <c r="N1502" s="8">
        <v>1.1</v>
      </c>
      <c r="O1502" s="14">
        <f t="shared" si="1"/>
        <v>44317</v>
      </c>
      <c r="P1502" s="15">
        <f>IFERROR(VLOOKUP(K1502,Formula!$A$11:$B$20,2,FALSE),Formula!$C$26)</f>
        <v>0.95</v>
      </c>
      <c r="Q1502" s="15">
        <f>IF(AND(ISNUMBER(J1502),J1502&gt;0),1/J1502,IF(AND(ISNUMBER(I1502),I1502&gt;0),SQRT(MIN(I1502,Formula!$C$27))/Formula!$C$24,1/Formula!$C$25))</f>
        <v>0.4347826087</v>
      </c>
      <c r="R1502" s="15">
        <f t="shared" si="2"/>
        <v>0.4130434783</v>
      </c>
      <c r="S1502" s="15">
        <f>IF(H1502&lt;&gt;"",EXP(-Formula!$C$28*(EOMONTH(H1502,0)-H1502)),EXP(-Formula!$C$28*(EOMONTH(D1502,0)-D1502)))</f>
        <v>0.9512294245</v>
      </c>
      <c r="T1502" s="15">
        <f t="shared" si="3"/>
        <v>0.2886751346</v>
      </c>
      <c r="U1502" s="15">
        <f t="shared" si="4"/>
        <v>0.1134202035</v>
      </c>
      <c r="V1502" s="16">
        <f>IF(AND(L1502="Among all respondents",NOT(OR(K1502="Online poll in Telegram channel",K1502="Website online poll",K1502="CAWI (Computer Assisted Web Interviewing)"))),1/(1-MIN(MAX(Formula!$C$33+(YEAR(D1502)-Formula!$C$34)/(Formula!$C$35-Formula!$C$34)*(Formula!$C$32-Formula!$C$33),Formula!$C$33),Formula!$C$32)),1)</f>
        <v>1</v>
      </c>
      <c r="W1502" s="17">
        <f t="shared" si="5"/>
        <v>1.1</v>
      </c>
    </row>
    <row r="1503" ht="15.75" customHeight="1">
      <c r="A1503" s="8" t="s">
        <v>2319</v>
      </c>
      <c r="B1503" s="7" t="s">
        <v>2320</v>
      </c>
      <c r="C1503" s="13" t="s">
        <v>2321</v>
      </c>
      <c r="D1503" s="7" t="s">
        <v>208</v>
      </c>
      <c r="E1503" s="8" t="s">
        <v>72</v>
      </c>
      <c r="F1503" s="8" t="s">
        <v>318</v>
      </c>
      <c r="G1503" s="7" t="s">
        <v>2322</v>
      </c>
      <c r="H1503" s="7" t="s">
        <v>2306</v>
      </c>
      <c r="I1503" s="8">
        <v>2003.0</v>
      </c>
      <c r="J1503" s="8">
        <v>2.4</v>
      </c>
      <c r="K1503" s="8" t="s">
        <v>583</v>
      </c>
      <c r="L1503" s="8" t="s">
        <v>322</v>
      </c>
      <c r="M1503" s="8" t="s">
        <v>323</v>
      </c>
      <c r="N1503" s="8">
        <v>31.4</v>
      </c>
      <c r="O1503" s="14">
        <f t="shared" si="1"/>
        <v>44317</v>
      </c>
      <c r="P1503" s="15">
        <f>IFERROR(VLOOKUP(K1503,Formula!$A$11:$B$20,2,FALSE),Formula!$C$26)</f>
        <v>0.95</v>
      </c>
      <c r="Q1503" s="15">
        <f>IF(AND(ISNUMBER(J1503),J1503&gt;0),1/J1503,IF(AND(ISNUMBER(I1503),I1503&gt;0),SQRT(MIN(I1503,Formula!$C$27))/Formula!$C$24,1/Formula!$C$25))</f>
        <v>0.4166666667</v>
      </c>
      <c r="R1503" s="15">
        <f t="shared" si="2"/>
        <v>0.3958333333</v>
      </c>
      <c r="S1503" s="15">
        <f>IF(H1503&lt;&gt;"",EXP(-Formula!$C$28*(EOMONTH(H1503,0)-H1503)),EXP(-Formula!$C$28*(EOMONTH(D1503,0)-D1503)))</f>
        <v>0.670320046</v>
      </c>
      <c r="T1503" s="15">
        <f t="shared" si="3"/>
        <v>0.316227766</v>
      </c>
      <c r="U1503" s="15">
        <f t="shared" si="4"/>
        <v>0.08390630006</v>
      </c>
      <c r="V1503" s="16">
        <f>IF(AND(L1503="Among all respondents",NOT(OR(K1503="Online poll in Telegram channel",K1503="Website online poll",K1503="CAWI (Computer Assisted Web Interviewing)"))),1/(1-MIN(MAX(Formula!$C$33+(YEAR(D1503)-Formula!$C$34)/(Formula!$C$35-Formula!$C$34)*(Formula!$C$32-Formula!$C$33),Formula!$C$33),Formula!$C$32)),1)</f>
        <v>1</v>
      </c>
      <c r="W1503" s="17">
        <f t="shared" si="5"/>
        <v>31.4</v>
      </c>
    </row>
    <row r="1504" ht="15.75" customHeight="1">
      <c r="A1504" s="8" t="s">
        <v>2323</v>
      </c>
      <c r="B1504" s="7" t="s">
        <v>2320</v>
      </c>
      <c r="C1504" s="13" t="s">
        <v>2321</v>
      </c>
      <c r="D1504" s="7" t="s">
        <v>208</v>
      </c>
      <c r="E1504" s="8" t="s">
        <v>72</v>
      </c>
      <c r="F1504" s="8" t="s">
        <v>318</v>
      </c>
      <c r="G1504" s="7" t="s">
        <v>2322</v>
      </c>
      <c r="H1504" s="7" t="s">
        <v>2306</v>
      </c>
      <c r="I1504" s="8">
        <v>2003.0</v>
      </c>
      <c r="J1504" s="8">
        <v>2.4</v>
      </c>
      <c r="K1504" s="8" t="s">
        <v>583</v>
      </c>
      <c r="L1504" s="8" t="s">
        <v>322</v>
      </c>
      <c r="M1504" s="8" t="s">
        <v>329</v>
      </c>
      <c r="N1504" s="8">
        <v>18.1</v>
      </c>
      <c r="O1504" s="14">
        <f t="shared" si="1"/>
        <v>44317</v>
      </c>
      <c r="P1504" s="15">
        <f>IFERROR(VLOOKUP(K1504,Formula!$A$11:$B$20,2,FALSE),Formula!$C$26)</f>
        <v>0.95</v>
      </c>
      <c r="Q1504" s="15">
        <f>IF(AND(ISNUMBER(J1504),J1504&gt;0),1/J1504,IF(AND(ISNUMBER(I1504),I1504&gt;0),SQRT(MIN(I1504,Formula!$C$27))/Formula!$C$24,1/Formula!$C$25))</f>
        <v>0.4166666667</v>
      </c>
      <c r="R1504" s="15">
        <f t="shared" si="2"/>
        <v>0.3958333333</v>
      </c>
      <c r="S1504" s="15">
        <f>IF(H1504&lt;&gt;"",EXP(-Formula!$C$28*(EOMONTH(H1504,0)-H1504)),EXP(-Formula!$C$28*(EOMONTH(D1504,0)-D1504)))</f>
        <v>0.670320046</v>
      </c>
      <c r="T1504" s="15">
        <f t="shared" si="3"/>
        <v>0.316227766</v>
      </c>
      <c r="U1504" s="15">
        <f t="shared" si="4"/>
        <v>0.08390630006</v>
      </c>
      <c r="V1504" s="16">
        <f>IF(AND(L1504="Among all respondents",NOT(OR(K1504="Online poll in Telegram channel",K1504="Website online poll",K1504="CAWI (Computer Assisted Web Interviewing)"))),1/(1-MIN(MAX(Formula!$C$33+(YEAR(D1504)-Formula!$C$34)/(Formula!$C$35-Formula!$C$34)*(Formula!$C$32-Formula!$C$33),Formula!$C$33),Formula!$C$32)),1)</f>
        <v>1</v>
      </c>
      <c r="W1504" s="17">
        <f t="shared" si="5"/>
        <v>18.1</v>
      </c>
    </row>
    <row r="1505" ht="15.75" customHeight="1">
      <c r="A1505" s="8" t="s">
        <v>2324</v>
      </c>
      <c r="B1505" s="7" t="s">
        <v>2320</v>
      </c>
      <c r="C1505" s="13" t="s">
        <v>2321</v>
      </c>
      <c r="D1505" s="7" t="s">
        <v>208</v>
      </c>
      <c r="E1505" s="8" t="s">
        <v>72</v>
      </c>
      <c r="F1505" s="8" t="s">
        <v>318</v>
      </c>
      <c r="G1505" s="7" t="s">
        <v>2322</v>
      </c>
      <c r="H1505" s="7" t="s">
        <v>2306</v>
      </c>
      <c r="I1505" s="8">
        <v>2003.0</v>
      </c>
      <c r="J1505" s="8">
        <v>2.4</v>
      </c>
      <c r="K1505" s="8" t="s">
        <v>583</v>
      </c>
      <c r="L1505" s="8" t="s">
        <v>322</v>
      </c>
      <c r="M1505" s="8" t="s">
        <v>337</v>
      </c>
      <c r="N1505" s="8">
        <v>11.9</v>
      </c>
      <c r="O1505" s="14">
        <f t="shared" si="1"/>
        <v>44317</v>
      </c>
      <c r="P1505" s="15">
        <f>IFERROR(VLOOKUP(K1505,Formula!$A$11:$B$20,2,FALSE),Formula!$C$26)</f>
        <v>0.95</v>
      </c>
      <c r="Q1505" s="15">
        <f>IF(AND(ISNUMBER(J1505),J1505&gt;0),1/J1505,IF(AND(ISNUMBER(I1505),I1505&gt;0),SQRT(MIN(I1505,Formula!$C$27))/Formula!$C$24,1/Formula!$C$25))</f>
        <v>0.4166666667</v>
      </c>
      <c r="R1505" s="15">
        <f t="shared" si="2"/>
        <v>0.3958333333</v>
      </c>
      <c r="S1505" s="15">
        <f>IF(H1505&lt;&gt;"",EXP(-Formula!$C$28*(EOMONTH(H1505,0)-H1505)),EXP(-Formula!$C$28*(EOMONTH(D1505,0)-D1505)))</f>
        <v>0.670320046</v>
      </c>
      <c r="T1505" s="15">
        <f t="shared" si="3"/>
        <v>0.316227766</v>
      </c>
      <c r="U1505" s="15">
        <f t="shared" si="4"/>
        <v>0.08390630006</v>
      </c>
      <c r="V1505" s="16">
        <f>IF(AND(L1505="Among all respondents",NOT(OR(K1505="Online poll in Telegram channel",K1505="Website online poll",K1505="CAWI (Computer Assisted Web Interviewing)"))),1/(1-MIN(MAX(Formula!$C$33+(YEAR(D1505)-Formula!$C$34)/(Formula!$C$35-Formula!$C$34)*(Formula!$C$32-Formula!$C$33),Formula!$C$33),Formula!$C$32)),1)</f>
        <v>1</v>
      </c>
      <c r="W1505" s="17">
        <f t="shared" si="5"/>
        <v>11.9</v>
      </c>
    </row>
    <row r="1506" ht="15.75" customHeight="1">
      <c r="A1506" s="8" t="s">
        <v>2325</v>
      </c>
      <c r="B1506" s="7" t="s">
        <v>2320</v>
      </c>
      <c r="C1506" s="13" t="s">
        <v>2321</v>
      </c>
      <c r="D1506" s="7" t="s">
        <v>208</v>
      </c>
      <c r="E1506" s="8" t="s">
        <v>72</v>
      </c>
      <c r="F1506" s="8" t="s">
        <v>318</v>
      </c>
      <c r="G1506" s="7" t="s">
        <v>2322</v>
      </c>
      <c r="H1506" s="7" t="s">
        <v>2306</v>
      </c>
      <c r="I1506" s="8">
        <v>2003.0</v>
      </c>
      <c r="J1506" s="8">
        <v>2.4</v>
      </c>
      <c r="K1506" s="8" t="s">
        <v>583</v>
      </c>
      <c r="L1506" s="8" t="s">
        <v>322</v>
      </c>
      <c r="M1506" s="8" t="s">
        <v>828</v>
      </c>
      <c r="N1506" s="8">
        <v>10.4</v>
      </c>
      <c r="O1506" s="14">
        <f t="shared" si="1"/>
        <v>44317</v>
      </c>
      <c r="P1506" s="15">
        <f>IFERROR(VLOOKUP(K1506,Formula!$A$11:$B$20,2,FALSE),Formula!$C$26)</f>
        <v>0.95</v>
      </c>
      <c r="Q1506" s="15">
        <f>IF(AND(ISNUMBER(J1506),J1506&gt;0),1/J1506,IF(AND(ISNUMBER(I1506),I1506&gt;0),SQRT(MIN(I1506,Formula!$C$27))/Formula!$C$24,1/Formula!$C$25))</f>
        <v>0.4166666667</v>
      </c>
      <c r="R1506" s="15">
        <f t="shared" si="2"/>
        <v>0.3958333333</v>
      </c>
      <c r="S1506" s="15">
        <f>IF(H1506&lt;&gt;"",EXP(-Formula!$C$28*(EOMONTH(H1506,0)-H1506)),EXP(-Formula!$C$28*(EOMONTH(D1506,0)-D1506)))</f>
        <v>0.670320046</v>
      </c>
      <c r="T1506" s="15">
        <f t="shared" si="3"/>
        <v>0.316227766</v>
      </c>
      <c r="U1506" s="15">
        <f t="shared" si="4"/>
        <v>0.08390630006</v>
      </c>
      <c r="V1506" s="16">
        <f>IF(AND(L1506="Among all respondents",NOT(OR(K1506="Online poll in Telegram channel",K1506="Website online poll",K1506="CAWI (Computer Assisted Web Interviewing)"))),1/(1-MIN(MAX(Formula!$C$33+(YEAR(D1506)-Formula!$C$34)/(Formula!$C$35-Formula!$C$34)*(Formula!$C$32-Formula!$C$33),Formula!$C$33),Formula!$C$32)),1)</f>
        <v>1</v>
      </c>
      <c r="W1506" s="17">
        <f t="shared" si="5"/>
        <v>10.4</v>
      </c>
    </row>
    <row r="1507" ht="15.75" customHeight="1">
      <c r="A1507" s="8" t="s">
        <v>2326</v>
      </c>
      <c r="B1507" s="7" t="s">
        <v>2320</v>
      </c>
      <c r="C1507" s="13" t="s">
        <v>2321</v>
      </c>
      <c r="D1507" s="7" t="s">
        <v>208</v>
      </c>
      <c r="E1507" s="8" t="s">
        <v>72</v>
      </c>
      <c r="F1507" s="8" t="s">
        <v>318</v>
      </c>
      <c r="G1507" s="7" t="s">
        <v>2322</v>
      </c>
      <c r="H1507" s="7" t="s">
        <v>2306</v>
      </c>
      <c r="I1507" s="8">
        <v>2003.0</v>
      </c>
      <c r="J1507" s="8">
        <v>2.4</v>
      </c>
      <c r="K1507" s="8" t="s">
        <v>583</v>
      </c>
      <c r="L1507" s="8" t="s">
        <v>322</v>
      </c>
      <c r="M1507" s="8" t="s">
        <v>365</v>
      </c>
      <c r="N1507" s="8">
        <v>9.6</v>
      </c>
      <c r="O1507" s="14">
        <f t="shared" si="1"/>
        <v>44317</v>
      </c>
      <c r="P1507" s="15">
        <f>IFERROR(VLOOKUP(K1507,Formula!$A$11:$B$20,2,FALSE),Formula!$C$26)</f>
        <v>0.95</v>
      </c>
      <c r="Q1507" s="15">
        <f>IF(AND(ISNUMBER(J1507),J1507&gt;0),1/J1507,IF(AND(ISNUMBER(I1507),I1507&gt;0),SQRT(MIN(I1507,Formula!$C$27))/Formula!$C$24,1/Formula!$C$25))</f>
        <v>0.4166666667</v>
      </c>
      <c r="R1507" s="15">
        <f t="shared" si="2"/>
        <v>0.3958333333</v>
      </c>
      <c r="S1507" s="15">
        <f>IF(H1507&lt;&gt;"",EXP(-Formula!$C$28*(EOMONTH(H1507,0)-H1507)),EXP(-Formula!$C$28*(EOMONTH(D1507,0)-D1507)))</f>
        <v>0.670320046</v>
      </c>
      <c r="T1507" s="15">
        <f t="shared" si="3"/>
        <v>0.316227766</v>
      </c>
      <c r="U1507" s="15">
        <f t="shared" si="4"/>
        <v>0.08390630006</v>
      </c>
      <c r="V1507" s="16">
        <f>IF(AND(L1507="Among all respondents",NOT(OR(K1507="Online poll in Telegram channel",K1507="Website online poll",K1507="CAWI (Computer Assisted Web Interviewing)"))),1/(1-MIN(MAX(Formula!$C$33+(YEAR(D1507)-Formula!$C$34)/(Formula!$C$35-Formula!$C$34)*(Formula!$C$32-Formula!$C$33),Formula!$C$33),Formula!$C$32)),1)</f>
        <v>1</v>
      </c>
      <c r="W1507" s="17">
        <f t="shared" si="5"/>
        <v>9.6</v>
      </c>
    </row>
    <row r="1508" ht="15.75" customHeight="1">
      <c r="A1508" s="8" t="s">
        <v>2327</v>
      </c>
      <c r="B1508" s="7" t="s">
        <v>2320</v>
      </c>
      <c r="C1508" s="13" t="s">
        <v>2321</v>
      </c>
      <c r="D1508" s="7" t="s">
        <v>208</v>
      </c>
      <c r="E1508" s="8" t="s">
        <v>72</v>
      </c>
      <c r="F1508" s="8" t="s">
        <v>318</v>
      </c>
      <c r="G1508" s="7" t="s">
        <v>2322</v>
      </c>
      <c r="H1508" s="7" t="s">
        <v>2306</v>
      </c>
      <c r="I1508" s="8">
        <v>2003.0</v>
      </c>
      <c r="J1508" s="8">
        <v>2.4</v>
      </c>
      <c r="K1508" s="8" t="s">
        <v>583</v>
      </c>
      <c r="L1508" s="8" t="s">
        <v>322</v>
      </c>
      <c r="M1508" s="8" t="s">
        <v>386</v>
      </c>
      <c r="N1508" s="8">
        <v>5.3</v>
      </c>
      <c r="O1508" s="14">
        <f t="shared" si="1"/>
        <v>44317</v>
      </c>
      <c r="P1508" s="15">
        <f>IFERROR(VLOOKUP(K1508,Formula!$A$11:$B$20,2,FALSE),Formula!$C$26)</f>
        <v>0.95</v>
      </c>
      <c r="Q1508" s="15">
        <f>IF(AND(ISNUMBER(J1508),J1508&gt;0),1/J1508,IF(AND(ISNUMBER(I1508),I1508&gt;0),SQRT(MIN(I1508,Formula!$C$27))/Formula!$C$24,1/Formula!$C$25))</f>
        <v>0.4166666667</v>
      </c>
      <c r="R1508" s="15">
        <f t="shared" si="2"/>
        <v>0.3958333333</v>
      </c>
      <c r="S1508" s="15">
        <f>IF(H1508&lt;&gt;"",EXP(-Formula!$C$28*(EOMONTH(H1508,0)-H1508)),EXP(-Formula!$C$28*(EOMONTH(D1508,0)-D1508)))</f>
        <v>0.670320046</v>
      </c>
      <c r="T1508" s="15">
        <f t="shared" si="3"/>
        <v>0.316227766</v>
      </c>
      <c r="U1508" s="15">
        <f t="shared" si="4"/>
        <v>0.08390630006</v>
      </c>
      <c r="V1508" s="16">
        <f>IF(AND(L1508="Among all respondents",NOT(OR(K1508="Online poll in Telegram channel",K1508="Website online poll",K1508="CAWI (Computer Assisted Web Interviewing)"))),1/(1-MIN(MAX(Formula!$C$33+(YEAR(D1508)-Formula!$C$34)/(Formula!$C$35-Formula!$C$34)*(Formula!$C$32-Formula!$C$33),Formula!$C$33),Formula!$C$32)),1)</f>
        <v>1</v>
      </c>
      <c r="W1508" s="17">
        <f t="shared" si="5"/>
        <v>5.3</v>
      </c>
    </row>
    <row r="1509" ht="15.75" customHeight="1">
      <c r="A1509" s="8" t="s">
        <v>2328</v>
      </c>
      <c r="B1509" s="7" t="s">
        <v>2320</v>
      </c>
      <c r="C1509" s="13" t="s">
        <v>2321</v>
      </c>
      <c r="D1509" s="7" t="s">
        <v>208</v>
      </c>
      <c r="E1509" s="8" t="s">
        <v>72</v>
      </c>
      <c r="F1509" s="8" t="s">
        <v>318</v>
      </c>
      <c r="G1509" s="7" t="s">
        <v>2322</v>
      </c>
      <c r="H1509" s="7" t="s">
        <v>2306</v>
      </c>
      <c r="I1509" s="8">
        <v>2003.0</v>
      </c>
      <c r="J1509" s="8">
        <v>2.4</v>
      </c>
      <c r="K1509" s="8" t="s">
        <v>583</v>
      </c>
      <c r="L1509" s="8" t="s">
        <v>322</v>
      </c>
      <c r="M1509" s="8" t="s">
        <v>1153</v>
      </c>
      <c r="N1509" s="8">
        <v>5.0</v>
      </c>
      <c r="O1509" s="14">
        <f t="shared" si="1"/>
        <v>44317</v>
      </c>
      <c r="P1509" s="15">
        <f>IFERROR(VLOOKUP(K1509,Formula!$A$11:$B$20,2,FALSE),Formula!$C$26)</f>
        <v>0.95</v>
      </c>
      <c r="Q1509" s="15">
        <f>IF(AND(ISNUMBER(J1509),J1509&gt;0),1/J1509,IF(AND(ISNUMBER(I1509),I1509&gt;0),SQRT(MIN(I1509,Formula!$C$27))/Formula!$C$24,1/Formula!$C$25))</f>
        <v>0.4166666667</v>
      </c>
      <c r="R1509" s="15">
        <f t="shared" si="2"/>
        <v>0.3958333333</v>
      </c>
      <c r="S1509" s="15">
        <f>IF(H1509&lt;&gt;"",EXP(-Formula!$C$28*(EOMONTH(H1509,0)-H1509)),EXP(-Formula!$C$28*(EOMONTH(D1509,0)-D1509)))</f>
        <v>0.670320046</v>
      </c>
      <c r="T1509" s="15">
        <f t="shared" si="3"/>
        <v>0.316227766</v>
      </c>
      <c r="U1509" s="15">
        <f t="shared" si="4"/>
        <v>0.08390630006</v>
      </c>
      <c r="V1509" s="16">
        <f>IF(AND(L1509="Among all respondents",NOT(OR(K1509="Online poll in Telegram channel",K1509="Website online poll",K1509="CAWI (Computer Assisted Web Interviewing)"))),1/(1-MIN(MAX(Formula!$C$33+(YEAR(D1509)-Formula!$C$34)/(Formula!$C$35-Formula!$C$34)*(Formula!$C$32-Formula!$C$33),Formula!$C$33),Formula!$C$32)),1)</f>
        <v>1</v>
      </c>
      <c r="W1509" s="17">
        <f t="shared" si="5"/>
        <v>5</v>
      </c>
    </row>
    <row r="1510" ht="15.75" customHeight="1">
      <c r="A1510" s="8" t="s">
        <v>2329</v>
      </c>
      <c r="B1510" s="7" t="s">
        <v>2320</v>
      </c>
      <c r="C1510" s="13" t="s">
        <v>2321</v>
      </c>
      <c r="D1510" s="7" t="s">
        <v>208</v>
      </c>
      <c r="E1510" s="8" t="s">
        <v>72</v>
      </c>
      <c r="F1510" s="8" t="s">
        <v>318</v>
      </c>
      <c r="G1510" s="7" t="s">
        <v>2322</v>
      </c>
      <c r="H1510" s="7" t="s">
        <v>2306</v>
      </c>
      <c r="I1510" s="8">
        <v>2003.0</v>
      </c>
      <c r="J1510" s="8">
        <v>2.4</v>
      </c>
      <c r="K1510" s="8" t="s">
        <v>583</v>
      </c>
      <c r="L1510" s="8" t="s">
        <v>322</v>
      </c>
      <c r="M1510" s="8" t="s">
        <v>388</v>
      </c>
      <c r="N1510" s="8">
        <v>4.0</v>
      </c>
      <c r="O1510" s="14">
        <f t="shared" si="1"/>
        <v>44317</v>
      </c>
      <c r="P1510" s="15">
        <f>IFERROR(VLOOKUP(K1510,Formula!$A$11:$B$20,2,FALSE),Formula!$C$26)</f>
        <v>0.95</v>
      </c>
      <c r="Q1510" s="15">
        <f>IF(AND(ISNUMBER(J1510),J1510&gt;0),1/J1510,IF(AND(ISNUMBER(I1510),I1510&gt;0),SQRT(MIN(I1510,Formula!$C$27))/Formula!$C$24,1/Formula!$C$25))</f>
        <v>0.4166666667</v>
      </c>
      <c r="R1510" s="15">
        <f t="shared" si="2"/>
        <v>0.3958333333</v>
      </c>
      <c r="S1510" s="15">
        <f>IF(H1510&lt;&gt;"",EXP(-Formula!$C$28*(EOMONTH(H1510,0)-H1510)),EXP(-Formula!$C$28*(EOMONTH(D1510,0)-D1510)))</f>
        <v>0.670320046</v>
      </c>
      <c r="T1510" s="15">
        <f t="shared" si="3"/>
        <v>0.316227766</v>
      </c>
      <c r="U1510" s="15">
        <f t="shared" si="4"/>
        <v>0.08390630006</v>
      </c>
      <c r="V1510" s="16">
        <f>IF(AND(L1510="Among all respondents",NOT(OR(K1510="Online poll in Telegram channel",K1510="Website online poll",K1510="CAWI (Computer Assisted Web Interviewing)"))),1/(1-MIN(MAX(Formula!$C$33+(YEAR(D1510)-Formula!$C$34)/(Formula!$C$35-Formula!$C$34)*(Formula!$C$32-Formula!$C$33),Formula!$C$33),Formula!$C$32)),1)</f>
        <v>1</v>
      </c>
      <c r="W1510" s="17">
        <f t="shared" si="5"/>
        <v>4</v>
      </c>
    </row>
    <row r="1511" ht="15.75" customHeight="1">
      <c r="A1511" s="8" t="s">
        <v>2330</v>
      </c>
      <c r="B1511" s="7" t="s">
        <v>2320</v>
      </c>
      <c r="C1511" s="13" t="s">
        <v>2321</v>
      </c>
      <c r="D1511" s="7" t="s">
        <v>208</v>
      </c>
      <c r="E1511" s="8" t="s">
        <v>72</v>
      </c>
      <c r="F1511" s="8" t="s">
        <v>318</v>
      </c>
      <c r="G1511" s="7" t="s">
        <v>2322</v>
      </c>
      <c r="H1511" s="7" t="s">
        <v>2306</v>
      </c>
      <c r="I1511" s="8">
        <v>2003.0</v>
      </c>
      <c r="J1511" s="8">
        <v>2.4</v>
      </c>
      <c r="K1511" s="8" t="s">
        <v>583</v>
      </c>
      <c r="L1511" s="8" t="s">
        <v>322</v>
      </c>
      <c r="M1511" s="8" t="s">
        <v>345</v>
      </c>
      <c r="N1511" s="8">
        <v>1.2</v>
      </c>
      <c r="O1511" s="14">
        <f t="shared" si="1"/>
        <v>44317</v>
      </c>
      <c r="P1511" s="15">
        <f>IFERROR(VLOOKUP(K1511,Formula!$A$11:$B$20,2,FALSE),Formula!$C$26)</f>
        <v>0.95</v>
      </c>
      <c r="Q1511" s="15">
        <f>IF(AND(ISNUMBER(J1511),J1511&gt;0),1/J1511,IF(AND(ISNUMBER(I1511),I1511&gt;0),SQRT(MIN(I1511,Formula!$C$27))/Formula!$C$24,1/Formula!$C$25))</f>
        <v>0.4166666667</v>
      </c>
      <c r="R1511" s="15">
        <f t="shared" si="2"/>
        <v>0.3958333333</v>
      </c>
      <c r="S1511" s="15">
        <f>IF(H1511&lt;&gt;"",EXP(-Formula!$C$28*(EOMONTH(H1511,0)-H1511)),EXP(-Formula!$C$28*(EOMONTH(D1511,0)-D1511)))</f>
        <v>0.670320046</v>
      </c>
      <c r="T1511" s="15">
        <f t="shared" si="3"/>
        <v>0.316227766</v>
      </c>
      <c r="U1511" s="15">
        <f t="shared" si="4"/>
        <v>0.08390630006</v>
      </c>
      <c r="V1511" s="16">
        <f>IF(AND(L1511="Among all respondents",NOT(OR(K1511="Online poll in Telegram channel",K1511="Website online poll",K1511="CAWI (Computer Assisted Web Interviewing)"))),1/(1-MIN(MAX(Formula!$C$33+(YEAR(D1511)-Formula!$C$34)/(Formula!$C$35-Formula!$C$34)*(Formula!$C$32-Formula!$C$33),Formula!$C$33),Formula!$C$32)),1)</f>
        <v>1</v>
      </c>
      <c r="W1511" s="17">
        <f t="shared" si="5"/>
        <v>1.2</v>
      </c>
    </row>
    <row r="1512" ht="15.75" customHeight="1">
      <c r="A1512" s="8" t="s">
        <v>2331</v>
      </c>
      <c r="B1512" s="7" t="s">
        <v>2320</v>
      </c>
      <c r="C1512" s="13" t="s">
        <v>2321</v>
      </c>
      <c r="D1512" s="7" t="s">
        <v>208</v>
      </c>
      <c r="E1512" s="8" t="s">
        <v>72</v>
      </c>
      <c r="F1512" s="8" t="s">
        <v>318</v>
      </c>
      <c r="G1512" s="7" t="s">
        <v>2322</v>
      </c>
      <c r="H1512" s="7" t="s">
        <v>2306</v>
      </c>
      <c r="I1512" s="8">
        <v>2003.0</v>
      </c>
      <c r="J1512" s="8">
        <v>2.4</v>
      </c>
      <c r="K1512" s="8" t="s">
        <v>583</v>
      </c>
      <c r="L1512" s="8" t="s">
        <v>322</v>
      </c>
      <c r="M1512" s="8" t="s">
        <v>1171</v>
      </c>
      <c r="N1512" s="8">
        <v>0.1</v>
      </c>
      <c r="O1512" s="14">
        <f t="shared" si="1"/>
        <v>44317</v>
      </c>
      <c r="P1512" s="15">
        <f>IFERROR(VLOOKUP(K1512,Formula!$A$11:$B$20,2,FALSE),Formula!$C$26)</f>
        <v>0.95</v>
      </c>
      <c r="Q1512" s="15">
        <f>IF(AND(ISNUMBER(J1512),J1512&gt;0),1/J1512,IF(AND(ISNUMBER(I1512),I1512&gt;0),SQRT(MIN(I1512,Formula!$C$27))/Formula!$C$24,1/Formula!$C$25))</f>
        <v>0.4166666667</v>
      </c>
      <c r="R1512" s="15">
        <f t="shared" si="2"/>
        <v>0.3958333333</v>
      </c>
      <c r="S1512" s="15">
        <f>IF(H1512&lt;&gt;"",EXP(-Formula!$C$28*(EOMONTH(H1512,0)-H1512)),EXP(-Formula!$C$28*(EOMONTH(D1512,0)-D1512)))</f>
        <v>0.670320046</v>
      </c>
      <c r="T1512" s="15">
        <f t="shared" si="3"/>
        <v>0.316227766</v>
      </c>
      <c r="U1512" s="15">
        <f t="shared" si="4"/>
        <v>0.08390630006</v>
      </c>
      <c r="V1512" s="16">
        <f>IF(AND(L1512="Among all respondents",NOT(OR(K1512="Online poll in Telegram channel",K1512="Website online poll",K1512="CAWI (Computer Assisted Web Interviewing)"))),1/(1-MIN(MAX(Formula!$C$33+(YEAR(D1512)-Formula!$C$34)/(Formula!$C$35-Formula!$C$34)*(Formula!$C$32-Formula!$C$33),Formula!$C$33),Formula!$C$32)),1)</f>
        <v>1</v>
      </c>
      <c r="W1512" s="17">
        <f t="shared" si="5"/>
        <v>0.1</v>
      </c>
    </row>
    <row r="1513" ht="15.75" customHeight="1">
      <c r="A1513" s="8" t="s">
        <v>2332</v>
      </c>
      <c r="B1513" s="7" t="s">
        <v>2333</v>
      </c>
      <c r="C1513" s="13" t="s">
        <v>2334</v>
      </c>
      <c r="D1513" s="7" t="s">
        <v>208</v>
      </c>
      <c r="E1513" s="8" t="s">
        <v>150</v>
      </c>
      <c r="F1513" s="8" t="s">
        <v>318</v>
      </c>
      <c r="G1513" s="7" t="s">
        <v>2335</v>
      </c>
      <c r="H1513" s="7" t="s">
        <v>2336</v>
      </c>
      <c r="I1513" s="8">
        <v>1220.0</v>
      </c>
      <c r="J1513" s="8">
        <v>3.0</v>
      </c>
      <c r="K1513" s="8" t="s">
        <v>583</v>
      </c>
      <c r="L1513" s="8" t="s">
        <v>322</v>
      </c>
      <c r="M1513" s="8" t="s">
        <v>323</v>
      </c>
      <c r="N1513" s="8">
        <v>23.8</v>
      </c>
      <c r="O1513" s="14">
        <f t="shared" si="1"/>
        <v>44317</v>
      </c>
      <c r="P1513" s="15">
        <f>IFERROR(VLOOKUP(K1513,Formula!$A$11:$B$20,2,FALSE),Formula!$C$26)</f>
        <v>0.95</v>
      </c>
      <c r="Q1513" s="15">
        <f>IF(AND(ISNUMBER(J1513),J1513&gt;0),1/J1513,IF(AND(ISNUMBER(I1513),I1513&gt;0),SQRT(MIN(I1513,Formula!$C$27))/Formula!$C$24,1/Formula!$C$25))</f>
        <v>0.3333333333</v>
      </c>
      <c r="R1513" s="15">
        <f t="shared" si="2"/>
        <v>0.3166666667</v>
      </c>
      <c r="S1513" s="15">
        <f>IF(H1513&lt;&gt;"",EXP(-Formula!$C$28*(EOMONTH(H1513,0)-H1513)),EXP(-Formula!$C$28*(EOMONTH(D1513,0)-D1513)))</f>
        <v>0.2345702881</v>
      </c>
      <c r="T1513" s="15">
        <f t="shared" si="3"/>
        <v>0.316227766</v>
      </c>
      <c r="U1513" s="15">
        <f t="shared" si="4"/>
        <v>0.02348958542</v>
      </c>
      <c r="V1513" s="16">
        <f>IF(AND(L1513="Among all respondents",NOT(OR(K1513="Online poll in Telegram channel",K1513="Website online poll",K1513="CAWI (Computer Assisted Web Interviewing)"))),1/(1-MIN(MAX(Formula!$C$33+(YEAR(D1513)-Formula!$C$34)/(Formula!$C$35-Formula!$C$34)*(Formula!$C$32-Formula!$C$33),Formula!$C$33),Formula!$C$32)),1)</f>
        <v>1</v>
      </c>
      <c r="W1513" s="17">
        <f t="shared" si="5"/>
        <v>23.8</v>
      </c>
    </row>
    <row r="1514" ht="15.75" customHeight="1">
      <c r="A1514" s="8" t="s">
        <v>2337</v>
      </c>
      <c r="B1514" s="7" t="s">
        <v>2333</v>
      </c>
      <c r="C1514" s="13" t="s">
        <v>2334</v>
      </c>
      <c r="D1514" s="7" t="s">
        <v>208</v>
      </c>
      <c r="E1514" s="8" t="s">
        <v>150</v>
      </c>
      <c r="F1514" s="8" t="s">
        <v>318</v>
      </c>
      <c r="G1514" s="7" t="s">
        <v>2335</v>
      </c>
      <c r="H1514" s="7" t="s">
        <v>2336</v>
      </c>
      <c r="I1514" s="8">
        <v>1220.0</v>
      </c>
      <c r="J1514" s="8">
        <v>3.0</v>
      </c>
      <c r="K1514" s="8" t="s">
        <v>583</v>
      </c>
      <c r="L1514" s="8" t="s">
        <v>322</v>
      </c>
      <c r="M1514" s="8" t="s">
        <v>365</v>
      </c>
      <c r="N1514" s="8">
        <v>18.2</v>
      </c>
      <c r="O1514" s="14">
        <f t="shared" si="1"/>
        <v>44317</v>
      </c>
      <c r="P1514" s="15">
        <f>IFERROR(VLOOKUP(K1514,Formula!$A$11:$B$20,2,FALSE),Formula!$C$26)</f>
        <v>0.95</v>
      </c>
      <c r="Q1514" s="15">
        <f>IF(AND(ISNUMBER(J1514),J1514&gt;0),1/J1514,IF(AND(ISNUMBER(I1514),I1514&gt;0),SQRT(MIN(I1514,Formula!$C$27))/Formula!$C$24,1/Formula!$C$25))</f>
        <v>0.3333333333</v>
      </c>
      <c r="R1514" s="15">
        <f t="shared" si="2"/>
        <v>0.3166666667</v>
      </c>
      <c r="S1514" s="15">
        <f>IF(H1514&lt;&gt;"",EXP(-Formula!$C$28*(EOMONTH(H1514,0)-H1514)),EXP(-Formula!$C$28*(EOMONTH(D1514,0)-D1514)))</f>
        <v>0.2345702881</v>
      </c>
      <c r="T1514" s="15">
        <f t="shared" si="3"/>
        <v>0.316227766</v>
      </c>
      <c r="U1514" s="15">
        <f t="shared" si="4"/>
        <v>0.02348958542</v>
      </c>
      <c r="V1514" s="16">
        <f>IF(AND(L1514="Among all respondents",NOT(OR(K1514="Online poll in Telegram channel",K1514="Website online poll",K1514="CAWI (Computer Assisted Web Interviewing)"))),1/(1-MIN(MAX(Formula!$C$33+(YEAR(D1514)-Formula!$C$34)/(Formula!$C$35-Formula!$C$34)*(Formula!$C$32-Formula!$C$33),Formula!$C$33),Formula!$C$32)),1)</f>
        <v>1</v>
      </c>
      <c r="W1514" s="17">
        <f t="shared" si="5"/>
        <v>18.2</v>
      </c>
    </row>
    <row r="1515" ht="15.75" customHeight="1">
      <c r="A1515" s="8" t="s">
        <v>2338</v>
      </c>
      <c r="B1515" s="7" t="s">
        <v>2333</v>
      </c>
      <c r="C1515" s="13" t="s">
        <v>2334</v>
      </c>
      <c r="D1515" s="7" t="s">
        <v>208</v>
      </c>
      <c r="E1515" s="8" t="s">
        <v>150</v>
      </c>
      <c r="F1515" s="8" t="s">
        <v>318</v>
      </c>
      <c r="G1515" s="7" t="s">
        <v>2335</v>
      </c>
      <c r="H1515" s="7" t="s">
        <v>2336</v>
      </c>
      <c r="I1515" s="8">
        <v>1220.0</v>
      </c>
      <c r="J1515" s="8">
        <v>3.0</v>
      </c>
      <c r="K1515" s="8" t="s">
        <v>583</v>
      </c>
      <c r="L1515" s="8" t="s">
        <v>322</v>
      </c>
      <c r="M1515" s="8" t="s">
        <v>329</v>
      </c>
      <c r="N1515" s="8">
        <v>17.4</v>
      </c>
      <c r="O1515" s="14">
        <f t="shared" si="1"/>
        <v>44317</v>
      </c>
      <c r="P1515" s="15">
        <f>IFERROR(VLOOKUP(K1515,Formula!$A$11:$B$20,2,FALSE),Formula!$C$26)</f>
        <v>0.95</v>
      </c>
      <c r="Q1515" s="15">
        <f>IF(AND(ISNUMBER(J1515),J1515&gt;0),1/J1515,IF(AND(ISNUMBER(I1515),I1515&gt;0),SQRT(MIN(I1515,Formula!$C$27))/Formula!$C$24,1/Formula!$C$25))</f>
        <v>0.3333333333</v>
      </c>
      <c r="R1515" s="15">
        <f t="shared" si="2"/>
        <v>0.3166666667</v>
      </c>
      <c r="S1515" s="15">
        <f>IF(H1515&lt;&gt;"",EXP(-Formula!$C$28*(EOMONTH(H1515,0)-H1515)),EXP(-Formula!$C$28*(EOMONTH(D1515,0)-D1515)))</f>
        <v>0.2345702881</v>
      </c>
      <c r="T1515" s="15">
        <f t="shared" si="3"/>
        <v>0.316227766</v>
      </c>
      <c r="U1515" s="15">
        <f t="shared" si="4"/>
        <v>0.02348958542</v>
      </c>
      <c r="V1515" s="16">
        <f>IF(AND(L1515="Among all respondents",NOT(OR(K1515="Online poll in Telegram channel",K1515="Website online poll",K1515="CAWI (Computer Assisted Web Interviewing)"))),1/(1-MIN(MAX(Formula!$C$33+(YEAR(D1515)-Formula!$C$34)/(Formula!$C$35-Formula!$C$34)*(Formula!$C$32-Formula!$C$33),Formula!$C$33),Formula!$C$32)),1)</f>
        <v>1</v>
      </c>
      <c r="W1515" s="17">
        <f t="shared" si="5"/>
        <v>17.4</v>
      </c>
    </row>
    <row r="1516" ht="15.75" customHeight="1">
      <c r="A1516" s="8" t="s">
        <v>2339</v>
      </c>
      <c r="B1516" s="7" t="s">
        <v>2333</v>
      </c>
      <c r="C1516" s="13" t="s">
        <v>2334</v>
      </c>
      <c r="D1516" s="7" t="s">
        <v>208</v>
      </c>
      <c r="E1516" s="8" t="s">
        <v>150</v>
      </c>
      <c r="F1516" s="8" t="s">
        <v>318</v>
      </c>
      <c r="G1516" s="7" t="s">
        <v>2335</v>
      </c>
      <c r="H1516" s="7" t="s">
        <v>2336</v>
      </c>
      <c r="I1516" s="8">
        <v>1220.0</v>
      </c>
      <c r="J1516" s="8">
        <v>3.0</v>
      </c>
      <c r="K1516" s="8" t="s">
        <v>583</v>
      </c>
      <c r="L1516" s="8" t="s">
        <v>322</v>
      </c>
      <c r="M1516" s="8" t="s">
        <v>337</v>
      </c>
      <c r="N1516" s="8">
        <v>12.4</v>
      </c>
      <c r="O1516" s="14">
        <f t="shared" si="1"/>
        <v>44317</v>
      </c>
      <c r="P1516" s="15">
        <f>IFERROR(VLOOKUP(K1516,Formula!$A$11:$B$20,2,FALSE),Formula!$C$26)</f>
        <v>0.95</v>
      </c>
      <c r="Q1516" s="15">
        <f>IF(AND(ISNUMBER(J1516),J1516&gt;0),1/J1516,IF(AND(ISNUMBER(I1516),I1516&gt;0),SQRT(MIN(I1516,Formula!$C$27))/Formula!$C$24,1/Formula!$C$25))</f>
        <v>0.3333333333</v>
      </c>
      <c r="R1516" s="15">
        <f t="shared" si="2"/>
        <v>0.3166666667</v>
      </c>
      <c r="S1516" s="15">
        <f>IF(H1516&lt;&gt;"",EXP(-Formula!$C$28*(EOMONTH(H1516,0)-H1516)),EXP(-Formula!$C$28*(EOMONTH(D1516,0)-D1516)))</f>
        <v>0.2345702881</v>
      </c>
      <c r="T1516" s="15">
        <f t="shared" si="3"/>
        <v>0.316227766</v>
      </c>
      <c r="U1516" s="15">
        <f t="shared" si="4"/>
        <v>0.02348958542</v>
      </c>
      <c r="V1516" s="16">
        <f>IF(AND(L1516="Among all respondents",NOT(OR(K1516="Online poll in Telegram channel",K1516="Website online poll",K1516="CAWI (Computer Assisted Web Interviewing)"))),1/(1-MIN(MAX(Formula!$C$33+(YEAR(D1516)-Formula!$C$34)/(Formula!$C$35-Formula!$C$34)*(Formula!$C$32-Formula!$C$33),Formula!$C$33),Formula!$C$32)),1)</f>
        <v>1</v>
      </c>
      <c r="W1516" s="17">
        <f t="shared" si="5"/>
        <v>12.4</v>
      </c>
    </row>
    <row r="1517" ht="15.75" customHeight="1">
      <c r="A1517" s="8" t="s">
        <v>2340</v>
      </c>
      <c r="B1517" s="7" t="s">
        <v>2333</v>
      </c>
      <c r="C1517" s="13" t="s">
        <v>2334</v>
      </c>
      <c r="D1517" s="7" t="s">
        <v>208</v>
      </c>
      <c r="E1517" s="8" t="s">
        <v>150</v>
      </c>
      <c r="F1517" s="8" t="s">
        <v>318</v>
      </c>
      <c r="G1517" s="7" t="s">
        <v>2335</v>
      </c>
      <c r="H1517" s="7" t="s">
        <v>2336</v>
      </c>
      <c r="I1517" s="8">
        <v>1220.0</v>
      </c>
      <c r="J1517" s="8">
        <v>3.0</v>
      </c>
      <c r="K1517" s="8" t="s">
        <v>583</v>
      </c>
      <c r="L1517" s="8" t="s">
        <v>322</v>
      </c>
      <c r="M1517" s="8" t="s">
        <v>828</v>
      </c>
      <c r="N1517" s="8">
        <v>6.4</v>
      </c>
      <c r="O1517" s="14">
        <f t="shared" si="1"/>
        <v>44317</v>
      </c>
      <c r="P1517" s="15">
        <f>IFERROR(VLOOKUP(K1517,Formula!$A$11:$B$20,2,FALSE),Formula!$C$26)</f>
        <v>0.95</v>
      </c>
      <c r="Q1517" s="15">
        <f>IF(AND(ISNUMBER(J1517),J1517&gt;0),1/J1517,IF(AND(ISNUMBER(I1517),I1517&gt;0),SQRT(MIN(I1517,Formula!$C$27))/Formula!$C$24,1/Formula!$C$25))</f>
        <v>0.3333333333</v>
      </c>
      <c r="R1517" s="15">
        <f t="shared" si="2"/>
        <v>0.3166666667</v>
      </c>
      <c r="S1517" s="15">
        <f>IF(H1517&lt;&gt;"",EXP(-Formula!$C$28*(EOMONTH(H1517,0)-H1517)),EXP(-Formula!$C$28*(EOMONTH(D1517,0)-D1517)))</f>
        <v>0.2345702881</v>
      </c>
      <c r="T1517" s="15">
        <f t="shared" si="3"/>
        <v>0.316227766</v>
      </c>
      <c r="U1517" s="15">
        <f t="shared" si="4"/>
        <v>0.02348958542</v>
      </c>
      <c r="V1517" s="16">
        <f>IF(AND(L1517="Among all respondents",NOT(OR(K1517="Online poll in Telegram channel",K1517="Website online poll",K1517="CAWI (Computer Assisted Web Interviewing)"))),1/(1-MIN(MAX(Formula!$C$33+(YEAR(D1517)-Formula!$C$34)/(Formula!$C$35-Formula!$C$34)*(Formula!$C$32-Formula!$C$33),Formula!$C$33),Formula!$C$32)),1)</f>
        <v>1</v>
      </c>
      <c r="W1517" s="17">
        <f t="shared" si="5"/>
        <v>6.4</v>
      </c>
    </row>
    <row r="1518" ht="15.75" customHeight="1">
      <c r="A1518" s="8" t="s">
        <v>2341</v>
      </c>
      <c r="B1518" s="7" t="s">
        <v>2333</v>
      </c>
      <c r="C1518" s="13" t="s">
        <v>2334</v>
      </c>
      <c r="D1518" s="7" t="s">
        <v>208</v>
      </c>
      <c r="E1518" s="8" t="s">
        <v>150</v>
      </c>
      <c r="F1518" s="8" t="s">
        <v>318</v>
      </c>
      <c r="G1518" s="7" t="s">
        <v>2335</v>
      </c>
      <c r="H1518" s="7" t="s">
        <v>2336</v>
      </c>
      <c r="I1518" s="8">
        <v>1220.0</v>
      </c>
      <c r="J1518" s="8">
        <v>3.0</v>
      </c>
      <c r="K1518" s="8" t="s">
        <v>583</v>
      </c>
      <c r="L1518" s="8" t="s">
        <v>322</v>
      </c>
      <c r="M1518" s="8" t="s">
        <v>386</v>
      </c>
      <c r="N1518" s="8">
        <v>5.1</v>
      </c>
      <c r="O1518" s="14">
        <f t="shared" si="1"/>
        <v>44317</v>
      </c>
      <c r="P1518" s="15">
        <f>IFERROR(VLOOKUP(K1518,Formula!$A$11:$B$20,2,FALSE),Formula!$C$26)</f>
        <v>0.95</v>
      </c>
      <c r="Q1518" s="15">
        <f>IF(AND(ISNUMBER(J1518),J1518&gt;0),1/J1518,IF(AND(ISNUMBER(I1518),I1518&gt;0),SQRT(MIN(I1518,Formula!$C$27))/Formula!$C$24,1/Formula!$C$25))</f>
        <v>0.3333333333</v>
      </c>
      <c r="R1518" s="15">
        <f t="shared" si="2"/>
        <v>0.3166666667</v>
      </c>
      <c r="S1518" s="15">
        <f>IF(H1518&lt;&gt;"",EXP(-Formula!$C$28*(EOMONTH(H1518,0)-H1518)),EXP(-Formula!$C$28*(EOMONTH(D1518,0)-D1518)))</f>
        <v>0.2345702881</v>
      </c>
      <c r="T1518" s="15">
        <f t="shared" si="3"/>
        <v>0.316227766</v>
      </c>
      <c r="U1518" s="15">
        <f t="shared" si="4"/>
        <v>0.02348958542</v>
      </c>
      <c r="V1518" s="16">
        <f>IF(AND(L1518="Among all respondents",NOT(OR(K1518="Online poll in Telegram channel",K1518="Website online poll",K1518="CAWI (Computer Assisted Web Interviewing)"))),1/(1-MIN(MAX(Formula!$C$33+(YEAR(D1518)-Formula!$C$34)/(Formula!$C$35-Formula!$C$34)*(Formula!$C$32-Formula!$C$33),Formula!$C$33),Formula!$C$32)),1)</f>
        <v>1</v>
      </c>
      <c r="W1518" s="17">
        <f t="shared" si="5"/>
        <v>5.1</v>
      </c>
    </row>
    <row r="1519" ht="15.75" customHeight="1">
      <c r="A1519" s="8" t="s">
        <v>2342</v>
      </c>
      <c r="B1519" s="7" t="s">
        <v>2333</v>
      </c>
      <c r="C1519" s="13" t="s">
        <v>2334</v>
      </c>
      <c r="D1519" s="7" t="s">
        <v>208</v>
      </c>
      <c r="E1519" s="8" t="s">
        <v>150</v>
      </c>
      <c r="F1519" s="8" t="s">
        <v>318</v>
      </c>
      <c r="G1519" s="7" t="s">
        <v>2335</v>
      </c>
      <c r="H1519" s="7" t="s">
        <v>2336</v>
      </c>
      <c r="I1519" s="8">
        <v>1220.0</v>
      </c>
      <c r="J1519" s="8">
        <v>3.0</v>
      </c>
      <c r="K1519" s="8" t="s">
        <v>583</v>
      </c>
      <c r="L1519" s="8" t="s">
        <v>322</v>
      </c>
      <c r="M1519" s="8" t="s">
        <v>333</v>
      </c>
      <c r="N1519" s="8">
        <v>4.6</v>
      </c>
      <c r="O1519" s="14">
        <f t="shared" si="1"/>
        <v>44317</v>
      </c>
      <c r="P1519" s="15">
        <f>IFERROR(VLOOKUP(K1519,Formula!$A$11:$B$20,2,FALSE),Formula!$C$26)</f>
        <v>0.95</v>
      </c>
      <c r="Q1519" s="15">
        <f>IF(AND(ISNUMBER(J1519),J1519&gt;0),1/J1519,IF(AND(ISNUMBER(I1519),I1519&gt;0),SQRT(MIN(I1519,Formula!$C$27))/Formula!$C$24,1/Formula!$C$25))</f>
        <v>0.3333333333</v>
      </c>
      <c r="R1519" s="15">
        <f t="shared" si="2"/>
        <v>0.3166666667</v>
      </c>
      <c r="S1519" s="15">
        <f>IF(H1519&lt;&gt;"",EXP(-Formula!$C$28*(EOMONTH(H1519,0)-H1519)),EXP(-Formula!$C$28*(EOMONTH(D1519,0)-D1519)))</f>
        <v>0.2345702881</v>
      </c>
      <c r="T1519" s="15">
        <f t="shared" si="3"/>
        <v>0.316227766</v>
      </c>
      <c r="U1519" s="15">
        <f t="shared" si="4"/>
        <v>0.02348958542</v>
      </c>
      <c r="V1519" s="16">
        <f>IF(AND(L1519="Among all respondents",NOT(OR(K1519="Online poll in Telegram channel",K1519="Website online poll",K1519="CAWI (Computer Assisted Web Interviewing)"))),1/(1-MIN(MAX(Formula!$C$33+(YEAR(D1519)-Formula!$C$34)/(Formula!$C$35-Formula!$C$34)*(Formula!$C$32-Formula!$C$33),Formula!$C$33),Formula!$C$32)),1)</f>
        <v>1</v>
      </c>
      <c r="W1519" s="17">
        <f t="shared" si="5"/>
        <v>4.6</v>
      </c>
    </row>
    <row r="1520" ht="15.75" customHeight="1">
      <c r="A1520" s="8" t="s">
        <v>2343</v>
      </c>
      <c r="B1520" s="7" t="s">
        <v>2333</v>
      </c>
      <c r="C1520" s="13" t="s">
        <v>2334</v>
      </c>
      <c r="D1520" s="7" t="s">
        <v>208</v>
      </c>
      <c r="E1520" s="8" t="s">
        <v>150</v>
      </c>
      <c r="F1520" s="8" t="s">
        <v>318</v>
      </c>
      <c r="G1520" s="7" t="s">
        <v>2335</v>
      </c>
      <c r="H1520" s="7" t="s">
        <v>2336</v>
      </c>
      <c r="I1520" s="8">
        <v>1220.0</v>
      </c>
      <c r="J1520" s="8">
        <v>3.0</v>
      </c>
      <c r="K1520" s="8" t="s">
        <v>583</v>
      </c>
      <c r="L1520" s="8" t="s">
        <v>322</v>
      </c>
      <c r="M1520" s="8" t="s">
        <v>339</v>
      </c>
      <c r="N1520" s="8">
        <v>2.9</v>
      </c>
      <c r="O1520" s="14">
        <f t="shared" si="1"/>
        <v>44317</v>
      </c>
      <c r="P1520" s="15">
        <f>IFERROR(VLOOKUP(K1520,Formula!$A$11:$B$20,2,FALSE),Formula!$C$26)</f>
        <v>0.95</v>
      </c>
      <c r="Q1520" s="15">
        <f>IF(AND(ISNUMBER(J1520),J1520&gt;0),1/J1520,IF(AND(ISNUMBER(I1520),I1520&gt;0),SQRT(MIN(I1520,Formula!$C$27))/Formula!$C$24,1/Formula!$C$25))</f>
        <v>0.3333333333</v>
      </c>
      <c r="R1520" s="15">
        <f t="shared" si="2"/>
        <v>0.3166666667</v>
      </c>
      <c r="S1520" s="15">
        <f>IF(H1520&lt;&gt;"",EXP(-Formula!$C$28*(EOMONTH(H1520,0)-H1520)),EXP(-Formula!$C$28*(EOMONTH(D1520,0)-D1520)))</f>
        <v>0.2345702881</v>
      </c>
      <c r="T1520" s="15">
        <f t="shared" si="3"/>
        <v>0.316227766</v>
      </c>
      <c r="U1520" s="15">
        <f t="shared" si="4"/>
        <v>0.02348958542</v>
      </c>
      <c r="V1520" s="16">
        <f>IF(AND(L1520="Among all respondents",NOT(OR(K1520="Online poll in Telegram channel",K1520="Website online poll",K1520="CAWI (Computer Assisted Web Interviewing)"))),1/(1-MIN(MAX(Formula!$C$33+(YEAR(D1520)-Formula!$C$34)/(Formula!$C$35-Formula!$C$34)*(Formula!$C$32-Formula!$C$33),Formula!$C$33),Formula!$C$32)),1)</f>
        <v>1</v>
      </c>
      <c r="W1520" s="17">
        <f t="shared" si="5"/>
        <v>2.9</v>
      </c>
    </row>
    <row r="1521" ht="15.75" customHeight="1">
      <c r="A1521" s="8" t="s">
        <v>2344</v>
      </c>
      <c r="B1521" s="7" t="s">
        <v>2333</v>
      </c>
      <c r="C1521" s="13" t="s">
        <v>2334</v>
      </c>
      <c r="D1521" s="7" t="s">
        <v>208</v>
      </c>
      <c r="E1521" s="8" t="s">
        <v>150</v>
      </c>
      <c r="F1521" s="8" t="s">
        <v>318</v>
      </c>
      <c r="G1521" s="7" t="s">
        <v>2335</v>
      </c>
      <c r="H1521" s="7" t="s">
        <v>2336</v>
      </c>
      <c r="I1521" s="8">
        <v>1220.0</v>
      </c>
      <c r="J1521" s="8">
        <v>3.0</v>
      </c>
      <c r="K1521" s="8" t="s">
        <v>583</v>
      </c>
      <c r="L1521" s="8" t="s">
        <v>322</v>
      </c>
      <c r="M1521" s="8" t="s">
        <v>388</v>
      </c>
      <c r="N1521" s="8">
        <v>1.8</v>
      </c>
      <c r="O1521" s="14">
        <f t="shared" si="1"/>
        <v>44317</v>
      </c>
      <c r="P1521" s="15">
        <f>IFERROR(VLOOKUP(K1521,Formula!$A$11:$B$20,2,FALSE),Formula!$C$26)</f>
        <v>0.95</v>
      </c>
      <c r="Q1521" s="15">
        <f>IF(AND(ISNUMBER(J1521),J1521&gt;0),1/J1521,IF(AND(ISNUMBER(I1521),I1521&gt;0),SQRT(MIN(I1521,Formula!$C$27))/Formula!$C$24,1/Formula!$C$25))</f>
        <v>0.3333333333</v>
      </c>
      <c r="R1521" s="15">
        <f t="shared" si="2"/>
        <v>0.3166666667</v>
      </c>
      <c r="S1521" s="15">
        <f>IF(H1521&lt;&gt;"",EXP(-Formula!$C$28*(EOMONTH(H1521,0)-H1521)),EXP(-Formula!$C$28*(EOMONTH(D1521,0)-D1521)))</f>
        <v>0.2345702881</v>
      </c>
      <c r="T1521" s="15">
        <f t="shared" si="3"/>
        <v>0.316227766</v>
      </c>
      <c r="U1521" s="15">
        <f t="shared" si="4"/>
        <v>0.02348958542</v>
      </c>
      <c r="V1521" s="16">
        <f>IF(AND(L1521="Among all respondents",NOT(OR(K1521="Online poll in Telegram channel",K1521="Website online poll",K1521="CAWI (Computer Assisted Web Interviewing)"))),1/(1-MIN(MAX(Formula!$C$33+(YEAR(D1521)-Formula!$C$34)/(Formula!$C$35-Formula!$C$34)*(Formula!$C$32-Formula!$C$33),Formula!$C$33),Formula!$C$32)),1)</f>
        <v>1</v>
      </c>
      <c r="W1521" s="17">
        <f t="shared" si="5"/>
        <v>1.8</v>
      </c>
    </row>
    <row r="1522" ht="15.75" customHeight="1">
      <c r="A1522" s="8" t="s">
        <v>2345</v>
      </c>
      <c r="B1522" s="7" t="s">
        <v>2333</v>
      </c>
      <c r="C1522" s="13" t="s">
        <v>2334</v>
      </c>
      <c r="D1522" s="7" t="s">
        <v>208</v>
      </c>
      <c r="E1522" s="8" t="s">
        <v>150</v>
      </c>
      <c r="F1522" s="8" t="s">
        <v>318</v>
      </c>
      <c r="G1522" s="7" t="s">
        <v>2335</v>
      </c>
      <c r="H1522" s="7" t="s">
        <v>2336</v>
      </c>
      <c r="I1522" s="8">
        <v>1220.0</v>
      </c>
      <c r="J1522" s="8">
        <v>3.0</v>
      </c>
      <c r="K1522" s="8" t="s">
        <v>583</v>
      </c>
      <c r="L1522" s="8" t="s">
        <v>322</v>
      </c>
      <c r="M1522" s="8" t="s">
        <v>740</v>
      </c>
      <c r="N1522" s="8">
        <v>1.3</v>
      </c>
      <c r="O1522" s="14">
        <f t="shared" si="1"/>
        <v>44317</v>
      </c>
      <c r="P1522" s="15">
        <f>IFERROR(VLOOKUP(K1522,Formula!$A$11:$B$20,2,FALSE),Formula!$C$26)</f>
        <v>0.95</v>
      </c>
      <c r="Q1522" s="15">
        <f>IF(AND(ISNUMBER(J1522),J1522&gt;0),1/J1522,IF(AND(ISNUMBER(I1522),I1522&gt;0),SQRT(MIN(I1522,Formula!$C$27))/Formula!$C$24,1/Formula!$C$25))</f>
        <v>0.3333333333</v>
      </c>
      <c r="R1522" s="15">
        <f t="shared" si="2"/>
        <v>0.3166666667</v>
      </c>
      <c r="S1522" s="15">
        <f>IF(H1522&lt;&gt;"",EXP(-Formula!$C$28*(EOMONTH(H1522,0)-H1522)),EXP(-Formula!$C$28*(EOMONTH(D1522,0)-D1522)))</f>
        <v>0.2345702881</v>
      </c>
      <c r="T1522" s="15">
        <f t="shared" si="3"/>
        <v>0.316227766</v>
      </c>
      <c r="U1522" s="15">
        <f t="shared" si="4"/>
        <v>0.02348958542</v>
      </c>
      <c r="V1522" s="16">
        <f>IF(AND(L1522="Among all respondents",NOT(OR(K1522="Online poll in Telegram channel",K1522="Website online poll",K1522="CAWI (Computer Assisted Web Interviewing)"))),1/(1-MIN(MAX(Formula!$C$33+(YEAR(D1522)-Formula!$C$34)/(Formula!$C$35-Formula!$C$34)*(Formula!$C$32-Formula!$C$33),Formula!$C$33),Formula!$C$32)),1)</f>
        <v>1</v>
      </c>
      <c r="W1522" s="17">
        <f t="shared" si="5"/>
        <v>1.3</v>
      </c>
    </row>
    <row r="1523" ht="15.75" customHeight="1">
      <c r="A1523" s="8" t="s">
        <v>2346</v>
      </c>
      <c r="B1523" s="7" t="s">
        <v>2347</v>
      </c>
      <c r="C1523" s="13" t="s">
        <v>2348</v>
      </c>
      <c r="D1523" s="7" t="s">
        <v>212</v>
      </c>
      <c r="E1523" s="8" t="s">
        <v>137</v>
      </c>
      <c r="F1523" s="8" t="s">
        <v>318</v>
      </c>
      <c r="G1523" s="7" t="s">
        <v>214</v>
      </c>
      <c r="H1523" s="7" t="s">
        <v>2349</v>
      </c>
      <c r="I1523" s="8">
        <v>2400.0</v>
      </c>
      <c r="J1523" s="8">
        <v>2.1</v>
      </c>
      <c r="K1523" s="8" t="s">
        <v>583</v>
      </c>
      <c r="L1523" s="8" t="s">
        <v>322</v>
      </c>
      <c r="M1523" s="8" t="s">
        <v>323</v>
      </c>
      <c r="N1523" s="8">
        <v>28.0</v>
      </c>
      <c r="O1523" s="14">
        <f t="shared" si="1"/>
        <v>44287</v>
      </c>
      <c r="P1523" s="15">
        <f>IFERROR(VLOOKUP(K1523,Formula!$A$11:$B$20,2,FALSE),Formula!$C$26)</f>
        <v>0.95</v>
      </c>
      <c r="Q1523" s="15">
        <f>IF(AND(ISNUMBER(J1523),J1523&gt;0),1/J1523,IF(AND(ISNUMBER(I1523),I1523&gt;0),SQRT(MIN(I1523,Formula!$C$27))/Formula!$C$24,1/Formula!$C$25))</f>
        <v>0.4761904762</v>
      </c>
      <c r="R1523" s="15">
        <f t="shared" si="2"/>
        <v>0.4523809524</v>
      </c>
      <c r="S1523" s="15">
        <f>IF(H1523&lt;&gt;"",EXP(-Formula!$C$28*(EOMONTH(H1523,0)-H1523)),EXP(-Formula!$C$28*(EOMONTH(D1523,0)-D1523)))</f>
        <v>0.5488116361</v>
      </c>
      <c r="T1523" s="15">
        <f t="shared" si="3"/>
        <v>0.316227766</v>
      </c>
      <c r="U1523" s="15">
        <f t="shared" si="4"/>
        <v>0.07851047798</v>
      </c>
      <c r="V1523" s="16">
        <f>IF(AND(L1523="Among all respondents",NOT(OR(K1523="Online poll in Telegram channel",K1523="Website online poll",K1523="CAWI (Computer Assisted Web Interviewing)"))),1/(1-MIN(MAX(Formula!$C$33+(YEAR(D1523)-Formula!$C$34)/(Formula!$C$35-Formula!$C$34)*(Formula!$C$32-Formula!$C$33),Formula!$C$33),Formula!$C$32)),1)</f>
        <v>1</v>
      </c>
      <c r="W1523" s="17">
        <f t="shared" si="5"/>
        <v>28</v>
      </c>
    </row>
    <row r="1524" ht="15.75" customHeight="1">
      <c r="A1524" s="8" t="s">
        <v>2350</v>
      </c>
      <c r="B1524" s="7" t="s">
        <v>2347</v>
      </c>
      <c r="C1524" s="13" t="s">
        <v>2348</v>
      </c>
      <c r="D1524" s="7" t="s">
        <v>212</v>
      </c>
      <c r="E1524" s="8" t="s">
        <v>137</v>
      </c>
      <c r="F1524" s="8" t="s">
        <v>318</v>
      </c>
      <c r="G1524" s="7" t="s">
        <v>214</v>
      </c>
      <c r="H1524" s="7" t="s">
        <v>2349</v>
      </c>
      <c r="I1524" s="8">
        <v>2400.0</v>
      </c>
      <c r="J1524" s="8">
        <v>2.1</v>
      </c>
      <c r="K1524" s="8" t="s">
        <v>583</v>
      </c>
      <c r="L1524" s="8" t="s">
        <v>322</v>
      </c>
      <c r="M1524" s="8" t="s">
        <v>329</v>
      </c>
      <c r="N1524" s="8">
        <v>15.0</v>
      </c>
      <c r="O1524" s="14">
        <f t="shared" si="1"/>
        <v>44287</v>
      </c>
      <c r="P1524" s="15">
        <f>IFERROR(VLOOKUP(K1524,Formula!$A$11:$B$20,2,FALSE),Formula!$C$26)</f>
        <v>0.95</v>
      </c>
      <c r="Q1524" s="15">
        <f>IF(AND(ISNUMBER(J1524),J1524&gt;0),1/J1524,IF(AND(ISNUMBER(I1524),I1524&gt;0),SQRT(MIN(I1524,Formula!$C$27))/Formula!$C$24,1/Formula!$C$25))</f>
        <v>0.4761904762</v>
      </c>
      <c r="R1524" s="15">
        <f t="shared" si="2"/>
        <v>0.4523809524</v>
      </c>
      <c r="S1524" s="15">
        <f>IF(H1524&lt;&gt;"",EXP(-Formula!$C$28*(EOMONTH(H1524,0)-H1524)),EXP(-Formula!$C$28*(EOMONTH(D1524,0)-D1524)))</f>
        <v>0.5488116361</v>
      </c>
      <c r="T1524" s="15">
        <f t="shared" si="3"/>
        <v>0.316227766</v>
      </c>
      <c r="U1524" s="15">
        <f t="shared" si="4"/>
        <v>0.07851047798</v>
      </c>
      <c r="V1524" s="16">
        <f>IF(AND(L1524="Among all respondents",NOT(OR(K1524="Online poll in Telegram channel",K1524="Website online poll",K1524="CAWI (Computer Assisted Web Interviewing)"))),1/(1-MIN(MAX(Formula!$C$33+(YEAR(D1524)-Formula!$C$34)/(Formula!$C$35-Formula!$C$34)*(Formula!$C$32-Formula!$C$33),Formula!$C$33),Formula!$C$32)),1)</f>
        <v>1</v>
      </c>
      <c r="W1524" s="17">
        <f t="shared" si="5"/>
        <v>15</v>
      </c>
    </row>
    <row r="1525" ht="15.75" customHeight="1">
      <c r="A1525" s="8" t="s">
        <v>2351</v>
      </c>
      <c r="B1525" s="7" t="s">
        <v>2347</v>
      </c>
      <c r="C1525" s="13" t="s">
        <v>2348</v>
      </c>
      <c r="D1525" s="7" t="s">
        <v>212</v>
      </c>
      <c r="E1525" s="8" t="s">
        <v>137</v>
      </c>
      <c r="F1525" s="8" t="s">
        <v>318</v>
      </c>
      <c r="G1525" s="7" t="s">
        <v>214</v>
      </c>
      <c r="H1525" s="7" t="s">
        <v>2349</v>
      </c>
      <c r="I1525" s="8">
        <v>2400.0</v>
      </c>
      <c r="J1525" s="8">
        <v>2.1</v>
      </c>
      <c r="K1525" s="8" t="s">
        <v>583</v>
      </c>
      <c r="L1525" s="8" t="s">
        <v>322</v>
      </c>
      <c r="M1525" s="8" t="s">
        <v>365</v>
      </c>
      <c r="N1525" s="8">
        <v>14.0</v>
      </c>
      <c r="O1525" s="14">
        <f t="shared" si="1"/>
        <v>44287</v>
      </c>
      <c r="P1525" s="15">
        <f>IFERROR(VLOOKUP(K1525,Formula!$A$11:$B$20,2,FALSE),Formula!$C$26)</f>
        <v>0.95</v>
      </c>
      <c r="Q1525" s="15">
        <f>IF(AND(ISNUMBER(J1525),J1525&gt;0),1/J1525,IF(AND(ISNUMBER(I1525),I1525&gt;0),SQRT(MIN(I1525,Formula!$C$27))/Formula!$C$24,1/Formula!$C$25))</f>
        <v>0.4761904762</v>
      </c>
      <c r="R1525" s="15">
        <f t="shared" si="2"/>
        <v>0.4523809524</v>
      </c>
      <c r="S1525" s="15">
        <f>IF(H1525&lt;&gt;"",EXP(-Formula!$C$28*(EOMONTH(H1525,0)-H1525)),EXP(-Formula!$C$28*(EOMONTH(D1525,0)-D1525)))</f>
        <v>0.5488116361</v>
      </c>
      <c r="T1525" s="15">
        <f t="shared" si="3"/>
        <v>0.316227766</v>
      </c>
      <c r="U1525" s="15">
        <f t="shared" si="4"/>
        <v>0.07851047798</v>
      </c>
      <c r="V1525" s="16">
        <f>IF(AND(L1525="Among all respondents",NOT(OR(K1525="Online poll in Telegram channel",K1525="Website online poll",K1525="CAWI (Computer Assisted Web Interviewing)"))),1/(1-MIN(MAX(Formula!$C$33+(YEAR(D1525)-Formula!$C$34)/(Formula!$C$35-Formula!$C$34)*(Formula!$C$32-Formula!$C$33),Formula!$C$33),Formula!$C$32)),1)</f>
        <v>1</v>
      </c>
      <c r="W1525" s="17">
        <f t="shared" si="5"/>
        <v>14</v>
      </c>
    </row>
    <row r="1526" ht="15.75" customHeight="1">
      <c r="A1526" s="8" t="s">
        <v>2352</v>
      </c>
      <c r="B1526" s="7" t="s">
        <v>2347</v>
      </c>
      <c r="C1526" s="13" t="s">
        <v>2348</v>
      </c>
      <c r="D1526" s="7" t="s">
        <v>212</v>
      </c>
      <c r="E1526" s="8" t="s">
        <v>137</v>
      </c>
      <c r="F1526" s="8" t="s">
        <v>318</v>
      </c>
      <c r="G1526" s="7" t="s">
        <v>214</v>
      </c>
      <c r="H1526" s="7" t="s">
        <v>2349</v>
      </c>
      <c r="I1526" s="8">
        <v>2400.0</v>
      </c>
      <c r="J1526" s="8">
        <v>2.1</v>
      </c>
      <c r="K1526" s="8" t="s">
        <v>583</v>
      </c>
      <c r="L1526" s="8" t="s">
        <v>322</v>
      </c>
      <c r="M1526" s="8" t="s">
        <v>337</v>
      </c>
      <c r="N1526" s="8">
        <v>11.0</v>
      </c>
      <c r="O1526" s="14">
        <f t="shared" si="1"/>
        <v>44287</v>
      </c>
      <c r="P1526" s="15">
        <f>IFERROR(VLOOKUP(K1526,Formula!$A$11:$B$20,2,FALSE),Formula!$C$26)</f>
        <v>0.95</v>
      </c>
      <c r="Q1526" s="15">
        <f>IF(AND(ISNUMBER(J1526),J1526&gt;0),1/J1526,IF(AND(ISNUMBER(I1526),I1526&gt;0),SQRT(MIN(I1526,Formula!$C$27))/Formula!$C$24,1/Formula!$C$25))</f>
        <v>0.4761904762</v>
      </c>
      <c r="R1526" s="15">
        <f t="shared" si="2"/>
        <v>0.4523809524</v>
      </c>
      <c r="S1526" s="15">
        <f>IF(H1526&lt;&gt;"",EXP(-Formula!$C$28*(EOMONTH(H1526,0)-H1526)),EXP(-Formula!$C$28*(EOMONTH(D1526,0)-D1526)))</f>
        <v>0.5488116361</v>
      </c>
      <c r="T1526" s="15">
        <f t="shared" si="3"/>
        <v>0.316227766</v>
      </c>
      <c r="U1526" s="15">
        <f t="shared" si="4"/>
        <v>0.07851047798</v>
      </c>
      <c r="V1526" s="16">
        <f>IF(AND(L1526="Among all respondents",NOT(OR(K1526="Online poll in Telegram channel",K1526="Website online poll",K1526="CAWI (Computer Assisted Web Interviewing)"))),1/(1-MIN(MAX(Formula!$C$33+(YEAR(D1526)-Formula!$C$34)/(Formula!$C$35-Formula!$C$34)*(Formula!$C$32-Formula!$C$33),Formula!$C$33),Formula!$C$32)),1)</f>
        <v>1</v>
      </c>
      <c r="W1526" s="17">
        <f t="shared" si="5"/>
        <v>11</v>
      </c>
    </row>
    <row r="1527" ht="15.75" customHeight="1">
      <c r="A1527" s="8" t="s">
        <v>2353</v>
      </c>
      <c r="B1527" s="7" t="s">
        <v>2347</v>
      </c>
      <c r="C1527" s="13" t="s">
        <v>2348</v>
      </c>
      <c r="D1527" s="7" t="s">
        <v>212</v>
      </c>
      <c r="E1527" s="8" t="s">
        <v>137</v>
      </c>
      <c r="F1527" s="8" t="s">
        <v>318</v>
      </c>
      <c r="G1527" s="7" t="s">
        <v>214</v>
      </c>
      <c r="H1527" s="7" t="s">
        <v>2349</v>
      </c>
      <c r="I1527" s="8">
        <v>2400.0</v>
      </c>
      <c r="J1527" s="8">
        <v>2.1</v>
      </c>
      <c r="K1527" s="8" t="s">
        <v>583</v>
      </c>
      <c r="L1527" s="8" t="s">
        <v>322</v>
      </c>
      <c r="M1527" s="8" t="s">
        <v>828</v>
      </c>
      <c r="N1527" s="8">
        <v>8.0</v>
      </c>
      <c r="O1527" s="14">
        <f t="shared" si="1"/>
        <v>44287</v>
      </c>
      <c r="P1527" s="15">
        <f>IFERROR(VLOOKUP(K1527,Formula!$A$11:$B$20,2,FALSE),Formula!$C$26)</f>
        <v>0.95</v>
      </c>
      <c r="Q1527" s="15">
        <f>IF(AND(ISNUMBER(J1527),J1527&gt;0),1/J1527,IF(AND(ISNUMBER(I1527),I1527&gt;0),SQRT(MIN(I1527,Formula!$C$27))/Formula!$C$24,1/Formula!$C$25))</f>
        <v>0.4761904762</v>
      </c>
      <c r="R1527" s="15">
        <f t="shared" si="2"/>
        <v>0.4523809524</v>
      </c>
      <c r="S1527" s="15">
        <f>IF(H1527&lt;&gt;"",EXP(-Formula!$C$28*(EOMONTH(H1527,0)-H1527)),EXP(-Formula!$C$28*(EOMONTH(D1527,0)-D1527)))</f>
        <v>0.5488116361</v>
      </c>
      <c r="T1527" s="15">
        <f t="shared" si="3"/>
        <v>0.316227766</v>
      </c>
      <c r="U1527" s="15">
        <f t="shared" si="4"/>
        <v>0.07851047798</v>
      </c>
      <c r="V1527" s="16">
        <f>IF(AND(L1527="Among all respondents",NOT(OR(K1527="Online poll in Telegram channel",K1527="Website online poll",K1527="CAWI (Computer Assisted Web Interviewing)"))),1/(1-MIN(MAX(Formula!$C$33+(YEAR(D1527)-Formula!$C$34)/(Formula!$C$35-Formula!$C$34)*(Formula!$C$32-Formula!$C$33),Formula!$C$33),Formula!$C$32)),1)</f>
        <v>1</v>
      </c>
      <c r="W1527" s="17">
        <f t="shared" si="5"/>
        <v>8</v>
      </c>
    </row>
    <row r="1528" ht="15.75" customHeight="1">
      <c r="A1528" s="8" t="s">
        <v>2354</v>
      </c>
      <c r="B1528" s="7" t="s">
        <v>2347</v>
      </c>
      <c r="C1528" s="13" t="s">
        <v>2348</v>
      </c>
      <c r="D1528" s="7" t="s">
        <v>212</v>
      </c>
      <c r="E1528" s="8" t="s">
        <v>137</v>
      </c>
      <c r="F1528" s="8" t="s">
        <v>318</v>
      </c>
      <c r="G1528" s="7" t="s">
        <v>214</v>
      </c>
      <c r="H1528" s="7" t="s">
        <v>2349</v>
      </c>
      <c r="I1528" s="8">
        <v>2400.0</v>
      </c>
      <c r="J1528" s="8">
        <v>2.1</v>
      </c>
      <c r="K1528" s="8" t="s">
        <v>583</v>
      </c>
      <c r="L1528" s="8" t="s">
        <v>322</v>
      </c>
      <c r="M1528" s="8" t="s">
        <v>386</v>
      </c>
      <c r="N1528" s="8">
        <v>5.0</v>
      </c>
      <c r="O1528" s="14">
        <f t="shared" si="1"/>
        <v>44287</v>
      </c>
      <c r="P1528" s="15">
        <f>IFERROR(VLOOKUP(K1528,Formula!$A$11:$B$20,2,FALSE),Formula!$C$26)</f>
        <v>0.95</v>
      </c>
      <c r="Q1528" s="15">
        <f>IF(AND(ISNUMBER(J1528),J1528&gt;0),1/J1528,IF(AND(ISNUMBER(I1528),I1528&gt;0),SQRT(MIN(I1528,Formula!$C$27))/Formula!$C$24,1/Formula!$C$25))</f>
        <v>0.4761904762</v>
      </c>
      <c r="R1528" s="15">
        <f t="shared" si="2"/>
        <v>0.4523809524</v>
      </c>
      <c r="S1528" s="15">
        <f>IF(H1528&lt;&gt;"",EXP(-Formula!$C$28*(EOMONTH(H1528,0)-H1528)),EXP(-Formula!$C$28*(EOMONTH(D1528,0)-D1528)))</f>
        <v>0.5488116361</v>
      </c>
      <c r="T1528" s="15">
        <f t="shared" si="3"/>
        <v>0.316227766</v>
      </c>
      <c r="U1528" s="15">
        <f t="shared" si="4"/>
        <v>0.07851047798</v>
      </c>
      <c r="V1528" s="16">
        <f>IF(AND(L1528="Among all respondents",NOT(OR(K1528="Online poll in Telegram channel",K1528="Website online poll",K1528="CAWI (Computer Assisted Web Interviewing)"))),1/(1-MIN(MAX(Formula!$C$33+(YEAR(D1528)-Formula!$C$34)/(Formula!$C$35-Formula!$C$34)*(Formula!$C$32-Formula!$C$33),Formula!$C$33),Formula!$C$32)),1)</f>
        <v>1</v>
      </c>
      <c r="W1528" s="17">
        <f t="shared" si="5"/>
        <v>5</v>
      </c>
    </row>
    <row r="1529" ht="15.75" customHeight="1">
      <c r="A1529" s="8" t="s">
        <v>2355</v>
      </c>
      <c r="B1529" s="7" t="s">
        <v>2347</v>
      </c>
      <c r="C1529" s="13" t="s">
        <v>2348</v>
      </c>
      <c r="D1529" s="7" t="s">
        <v>212</v>
      </c>
      <c r="E1529" s="8" t="s">
        <v>137</v>
      </c>
      <c r="F1529" s="8" t="s">
        <v>318</v>
      </c>
      <c r="G1529" s="7" t="s">
        <v>214</v>
      </c>
      <c r="H1529" s="7" t="s">
        <v>2349</v>
      </c>
      <c r="I1529" s="8">
        <v>2400.0</v>
      </c>
      <c r="J1529" s="8">
        <v>2.1</v>
      </c>
      <c r="K1529" s="8" t="s">
        <v>583</v>
      </c>
      <c r="L1529" s="8" t="s">
        <v>322</v>
      </c>
      <c r="M1529" s="8" t="s">
        <v>1334</v>
      </c>
      <c r="N1529" s="8">
        <v>3.0</v>
      </c>
      <c r="O1529" s="14">
        <f t="shared" si="1"/>
        <v>44287</v>
      </c>
      <c r="P1529" s="15">
        <f>IFERROR(VLOOKUP(K1529,Formula!$A$11:$B$20,2,FALSE),Formula!$C$26)</f>
        <v>0.95</v>
      </c>
      <c r="Q1529" s="15">
        <f>IF(AND(ISNUMBER(J1529),J1529&gt;0),1/J1529,IF(AND(ISNUMBER(I1529),I1529&gt;0),SQRT(MIN(I1529,Formula!$C$27))/Formula!$C$24,1/Formula!$C$25))</f>
        <v>0.4761904762</v>
      </c>
      <c r="R1529" s="15">
        <f t="shared" si="2"/>
        <v>0.4523809524</v>
      </c>
      <c r="S1529" s="15">
        <f>IF(H1529&lt;&gt;"",EXP(-Formula!$C$28*(EOMONTH(H1529,0)-H1529)),EXP(-Formula!$C$28*(EOMONTH(D1529,0)-D1529)))</f>
        <v>0.5488116361</v>
      </c>
      <c r="T1529" s="15">
        <f t="shared" si="3"/>
        <v>0.316227766</v>
      </c>
      <c r="U1529" s="15">
        <f t="shared" si="4"/>
        <v>0.07851047798</v>
      </c>
      <c r="V1529" s="16">
        <f>IF(AND(L1529="Among all respondents",NOT(OR(K1529="Online poll in Telegram channel",K1529="Website online poll",K1529="CAWI (Computer Assisted Web Interviewing)"))),1/(1-MIN(MAX(Formula!$C$33+(YEAR(D1529)-Formula!$C$34)/(Formula!$C$35-Formula!$C$34)*(Formula!$C$32-Formula!$C$33),Formula!$C$33),Formula!$C$32)),1)</f>
        <v>1</v>
      </c>
      <c r="W1529" s="17">
        <f t="shared" si="5"/>
        <v>3</v>
      </c>
    </row>
    <row r="1530" ht="15.75" customHeight="1">
      <c r="A1530" s="8" t="s">
        <v>2356</v>
      </c>
      <c r="B1530" s="7" t="s">
        <v>2347</v>
      </c>
      <c r="C1530" s="13" t="s">
        <v>2348</v>
      </c>
      <c r="D1530" s="7" t="s">
        <v>212</v>
      </c>
      <c r="E1530" s="8" t="s">
        <v>137</v>
      </c>
      <c r="F1530" s="8" t="s">
        <v>318</v>
      </c>
      <c r="G1530" s="7" t="s">
        <v>214</v>
      </c>
      <c r="H1530" s="7" t="s">
        <v>2349</v>
      </c>
      <c r="I1530" s="8">
        <v>2400.0</v>
      </c>
      <c r="J1530" s="8">
        <v>2.1</v>
      </c>
      <c r="K1530" s="8" t="s">
        <v>583</v>
      </c>
      <c r="L1530" s="8" t="s">
        <v>322</v>
      </c>
      <c r="M1530" s="8" t="s">
        <v>333</v>
      </c>
      <c r="N1530" s="8">
        <v>3.0</v>
      </c>
      <c r="O1530" s="14">
        <f t="shared" si="1"/>
        <v>44287</v>
      </c>
      <c r="P1530" s="15">
        <f>IFERROR(VLOOKUP(K1530,Formula!$A$11:$B$20,2,FALSE),Formula!$C$26)</f>
        <v>0.95</v>
      </c>
      <c r="Q1530" s="15">
        <f>IF(AND(ISNUMBER(J1530),J1530&gt;0),1/J1530,IF(AND(ISNUMBER(I1530),I1530&gt;0),SQRT(MIN(I1530,Formula!$C$27))/Formula!$C$24,1/Formula!$C$25))</f>
        <v>0.4761904762</v>
      </c>
      <c r="R1530" s="15">
        <f t="shared" si="2"/>
        <v>0.4523809524</v>
      </c>
      <c r="S1530" s="15">
        <f>IF(H1530&lt;&gt;"",EXP(-Formula!$C$28*(EOMONTH(H1530,0)-H1530)),EXP(-Formula!$C$28*(EOMONTH(D1530,0)-D1530)))</f>
        <v>0.5488116361</v>
      </c>
      <c r="T1530" s="15">
        <f t="shared" si="3"/>
        <v>0.316227766</v>
      </c>
      <c r="U1530" s="15">
        <f t="shared" si="4"/>
        <v>0.07851047798</v>
      </c>
      <c r="V1530" s="16">
        <f>IF(AND(L1530="Among all respondents",NOT(OR(K1530="Online poll in Telegram channel",K1530="Website online poll",K1530="CAWI (Computer Assisted Web Interviewing)"))),1/(1-MIN(MAX(Formula!$C$33+(YEAR(D1530)-Formula!$C$34)/(Formula!$C$35-Formula!$C$34)*(Formula!$C$32-Formula!$C$33),Formula!$C$33),Formula!$C$32)),1)</f>
        <v>1</v>
      </c>
      <c r="W1530" s="17">
        <f t="shared" si="5"/>
        <v>3</v>
      </c>
    </row>
    <row r="1531" ht="15.75" customHeight="1">
      <c r="A1531" s="8" t="s">
        <v>2357</v>
      </c>
      <c r="B1531" s="7" t="s">
        <v>2347</v>
      </c>
      <c r="C1531" s="13" t="s">
        <v>2348</v>
      </c>
      <c r="D1531" s="7" t="s">
        <v>212</v>
      </c>
      <c r="E1531" s="8" t="s">
        <v>137</v>
      </c>
      <c r="F1531" s="8" t="s">
        <v>318</v>
      </c>
      <c r="G1531" s="7" t="s">
        <v>214</v>
      </c>
      <c r="H1531" s="7" t="s">
        <v>2349</v>
      </c>
      <c r="I1531" s="8">
        <v>2400.0</v>
      </c>
      <c r="J1531" s="8">
        <v>2.1</v>
      </c>
      <c r="K1531" s="8" t="s">
        <v>583</v>
      </c>
      <c r="L1531" s="8" t="s">
        <v>322</v>
      </c>
      <c r="M1531" s="8" t="s">
        <v>1539</v>
      </c>
      <c r="N1531" s="8">
        <v>3.0</v>
      </c>
      <c r="O1531" s="14">
        <f t="shared" si="1"/>
        <v>44287</v>
      </c>
      <c r="P1531" s="15">
        <f>IFERROR(VLOOKUP(K1531,Formula!$A$11:$B$20,2,FALSE),Formula!$C$26)</f>
        <v>0.95</v>
      </c>
      <c r="Q1531" s="15">
        <f>IF(AND(ISNUMBER(J1531),J1531&gt;0),1/J1531,IF(AND(ISNUMBER(I1531),I1531&gt;0),SQRT(MIN(I1531,Formula!$C$27))/Formula!$C$24,1/Formula!$C$25))</f>
        <v>0.4761904762</v>
      </c>
      <c r="R1531" s="15">
        <f t="shared" si="2"/>
        <v>0.4523809524</v>
      </c>
      <c r="S1531" s="15">
        <f>IF(H1531&lt;&gt;"",EXP(-Formula!$C$28*(EOMONTH(H1531,0)-H1531)),EXP(-Formula!$C$28*(EOMONTH(D1531,0)-D1531)))</f>
        <v>0.5488116361</v>
      </c>
      <c r="T1531" s="15">
        <f t="shared" si="3"/>
        <v>0.316227766</v>
      </c>
      <c r="U1531" s="15">
        <f t="shared" si="4"/>
        <v>0.07851047798</v>
      </c>
      <c r="V1531" s="16">
        <f>IF(AND(L1531="Among all respondents",NOT(OR(K1531="Online poll in Telegram channel",K1531="Website online poll",K1531="CAWI (Computer Assisted Web Interviewing)"))),1/(1-MIN(MAX(Formula!$C$33+(YEAR(D1531)-Formula!$C$34)/(Formula!$C$35-Formula!$C$34)*(Formula!$C$32-Formula!$C$33),Formula!$C$33),Formula!$C$32)),1)</f>
        <v>1</v>
      </c>
      <c r="W1531" s="17">
        <f t="shared" si="5"/>
        <v>3</v>
      </c>
    </row>
    <row r="1532" ht="15.75" customHeight="1">
      <c r="A1532" s="8" t="s">
        <v>2358</v>
      </c>
      <c r="B1532" s="7" t="s">
        <v>2347</v>
      </c>
      <c r="C1532" s="13" t="s">
        <v>2348</v>
      </c>
      <c r="D1532" s="7" t="s">
        <v>212</v>
      </c>
      <c r="E1532" s="8" t="s">
        <v>137</v>
      </c>
      <c r="F1532" s="8" t="s">
        <v>318</v>
      </c>
      <c r="G1532" s="7" t="s">
        <v>214</v>
      </c>
      <c r="H1532" s="7" t="s">
        <v>2349</v>
      </c>
      <c r="I1532" s="8">
        <v>2400.0</v>
      </c>
      <c r="J1532" s="8">
        <v>2.1</v>
      </c>
      <c r="K1532" s="8" t="s">
        <v>583</v>
      </c>
      <c r="L1532" s="8" t="s">
        <v>322</v>
      </c>
      <c r="M1532" s="8" t="s">
        <v>343</v>
      </c>
      <c r="N1532" s="8">
        <v>2.0</v>
      </c>
      <c r="O1532" s="14">
        <f t="shared" si="1"/>
        <v>44287</v>
      </c>
      <c r="P1532" s="15">
        <f>IFERROR(VLOOKUP(K1532,Formula!$A$11:$B$20,2,FALSE),Formula!$C$26)</f>
        <v>0.95</v>
      </c>
      <c r="Q1532" s="15">
        <f>IF(AND(ISNUMBER(J1532),J1532&gt;0),1/J1532,IF(AND(ISNUMBER(I1532),I1532&gt;0),SQRT(MIN(I1532,Formula!$C$27))/Formula!$C$24,1/Formula!$C$25))</f>
        <v>0.4761904762</v>
      </c>
      <c r="R1532" s="15">
        <f t="shared" si="2"/>
        <v>0.4523809524</v>
      </c>
      <c r="S1532" s="15">
        <f>IF(H1532&lt;&gt;"",EXP(-Formula!$C$28*(EOMONTH(H1532,0)-H1532)),EXP(-Formula!$C$28*(EOMONTH(D1532,0)-D1532)))</f>
        <v>0.5488116361</v>
      </c>
      <c r="T1532" s="15">
        <f t="shared" si="3"/>
        <v>0.316227766</v>
      </c>
      <c r="U1532" s="15">
        <f t="shared" si="4"/>
        <v>0.07851047798</v>
      </c>
      <c r="V1532" s="16">
        <f>IF(AND(L1532="Among all respondents",NOT(OR(K1532="Online poll in Telegram channel",K1532="Website online poll",K1532="CAWI (Computer Assisted Web Interviewing)"))),1/(1-MIN(MAX(Formula!$C$33+(YEAR(D1532)-Formula!$C$34)/(Formula!$C$35-Formula!$C$34)*(Formula!$C$32-Formula!$C$33),Formula!$C$33),Formula!$C$32)),1)</f>
        <v>1</v>
      </c>
      <c r="W1532" s="17">
        <f t="shared" si="5"/>
        <v>2</v>
      </c>
    </row>
    <row r="1533" ht="15.75" customHeight="1">
      <c r="A1533" s="8" t="s">
        <v>2359</v>
      </c>
      <c r="B1533" s="7" t="s">
        <v>2360</v>
      </c>
      <c r="C1533" s="13" t="s">
        <v>2361</v>
      </c>
      <c r="D1533" s="7" t="s">
        <v>211</v>
      </c>
      <c r="E1533" s="8" t="s">
        <v>158</v>
      </c>
      <c r="F1533" s="8" t="s">
        <v>318</v>
      </c>
      <c r="G1533" s="7" t="s">
        <v>2362</v>
      </c>
      <c r="H1533" s="7" t="s">
        <v>2363</v>
      </c>
      <c r="I1533" s="8">
        <v>2018.0</v>
      </c>
      <c r="J1533" s="8">
        <v>3.0</v>
      </c>
      <c r="K1533" s="8" t="s">
        <v>583</v>
      </c>
      <c r="L1533" s="8" t="s">
        <v>322</v>
      </c>
      <c r="M1533" s="8" t="s">
        <v>323</v>
      </c>
      <c r="N1533" s="8">
        <v>23.4</v>
      </c>
      <c r="O1533" s="14">
        <f t="shared" si="1"/>
        <v>44287</v>
      </c>
      <c r="P1533" s="15">
        <f>IFERROR(VLOOKUP(K1533,Formula!$A$11:$B$20,2,FALSE),Formula!$C$26)</f>
        <v>0.95</v>
      </c>
      <c r="Q1533" s="15">
        <f>IF(AND(ISNUMBER(J1533),J1533&gt;0),1/J1533,IF(AND(ISNUMBER(I1533),I1533&gt;0),SQRT(MIN(I1533,Formula!$C$27))/Formula!$C$24,1/Formula!$C$25))</f>
        <v>0.3333333333</v>
      </c>
      <c r="R1533" s="15">
        <f t="shared" si="2"/>
        <v>0.3166666667</v>
      </c>
      <c r="S1533" s="15">
        <f>IF(H1533&lt;&gt;"",EXP(-Formula!$C$28*(EOMONTH(H1533,0)-H1533)),EXP(-Formula!$C$28*(EOMONTH(D1533,0)-D1533)))</f>
        <v>0.5769498104</v>
      </c>
      <c r="T1533" s="15">
        <f t="shared" si="3"/>
        <v>0.316227766</v>
      </c>
      <c r="U1533" s="15">
        <f t="shared" si="4"/>
        <v>0.05777505739</v>
      </c>
      <c r="V1533" s="16">
        <f>IF(AND(L1533="Among all respondents",NOT(OR(K1533="Online poll in Telegram channel",K1533="Website online poll",K1533="CAWI (Computer Assisted Web Interviewing)"))),1/(1-MIN(MAX(Formula!$C$33+(YEAR(D1533)-Formula!$C$34)/(Formula!$C$35-Formula!$C$34)*(Formula!$C$32-Formula!$C$33),Formula!$C$33),Formula!$C$32)),1)</f>
        <v>1</v>
      </c>
      <c r="W1533" s="17">
        <f t="shared" si="5"/>
        <v>23.4</v>
      </c>
    </row>
    <row r="1534" ht="15.75" customHeight="1">
      <c r="A1534" s="8" t="s">
        <v>2364</v>
      </c>
      <c r="B1534" s="7" t="s">
        <v>2360</v>
      </c>
      <c r="C1534" s="13" t="s">
        <v>2361</v>
      </c>
      <c r="D1534" s="7" t="s">
        <v>211</v>
      </c>
      <c r="E1534" s="8" t="s">
        <v>158</v>
      </c>
      <c r="F1534" s="8" t="s">
        <v>318</v>
      </c>
      <c r="G1534" s="7" t="s">
        <v>2362</v>
      </c>
      <c r="H1534" s="7" t="s">
        <v>2363</v>
      </c>
      <c r="I1534" s="8">
        <v>2018.0</v>
      </c>
      <c r="J1534" s="8">
        <v>3.0</v>
      </c>
      <c r="K1534" s="8" t="s">
        <v>583</v>
      </c>
      <c r="L1534" s="8" t="s">
        <v>322</v>
      </c>
      <c r="M1534" s="8" t="s">
        <v>329</v>
      </c>
      <c r="N1534" s="8">
        <v>18.6</v>
      </c>
      <c r="O1534" s="14">
        <f t="shared" si="1"/>
        <v>44287</v>
      </c>
      <c r="P1534" s="15">
        <f>IFERROR(VLOOKUP(K1534,Formula!$A$11:$B$20,2,FALSE),Formula!$C$26)</f>
        <v>0.95</v>
      </c>
      <c r="Q1534" s="15">
        <f>IF(AND(ISNUMBER(J1534),J1534&gt;0),1/J1534,IF(AND(ISNUMBER(I1534),I1534&gt;0),SQRT(MIN(I1534,Formula!$C$27))/Formula!$C$24,1/Formula!$C$25))</f>
        <v>0.3333333333</v>
      </c>
      <c r="R1534" s="15">
        <f t="shared" si="2"/>
        <v>0.3166666667</v>
      </c>
      <c r="S1534" s="15">
        <f>IF(H1534&lt;&gt;"",EXP(-Formula!$C$28*(EOMONTH(H1534,0)-H1534)),EXP(-Formula!$C$28*(EOMONTH(D1534,0)-D1534)))</f>
        <v>0.5769498104</v>
      </c>
      <c r="T1534" s="15">
        <f t="shared" si="3"/>
        <v>0.316227766</v>
      </c>
      <c r="U1534" s="15">
        <f t="shared" si="4"/>
        <v>0.05777505739</v>
      </c>
      <c r="V1534" s="16">
        <f>IF(AND(L1534="Among all respondents",NOT(OR(K1534="Online poll in Telegram channel",K1534="Website online poll",K1534="CAWI (Computer Assisted Web Interviewing)"))),1/(1-MIN(MAX(Formula!$C$33+(YEAR(D1534)-Formula!$C$34)/(Formula!$C$35-Formula!$C$34)*(Formula!$C$32-Formula!$C$33),Formula!$C$33),Formula!$C$32)),1)</f>
        <v>1</v>
      </c>
      <c r="W1534" s="17">
        <f t="shared" si="5"/>
        <v>18.6</v>
      </c>
    </row>
    <row r="1535" ht="15.75" customHeight="1">
      <c r="A1535" s="8" t="s">
        <v>2365</v>
      </c>
      <c r="B1535" s="7" t="s">
        <v>2360</v>
      </c>
      <c r="C1535" s="13" t="s">
        <v>2361</v>
      </c>
      <c r="D1535" s="7" t="s">
        <v>211</v>
      </c>
      <c r="E1535" s="8" t="s">
        <v>158</v>
      </c>
      <c r="F1535" s="8" t="s">
        <v>318</v>
      </c>
      <c r="G1535" s="7" t="s">
        <v>2362</v>
      </c>
      <c r="H1535" s="7" t="s">
        <v>2363</v>
      </c>
      <c r="I1535" s="8">
        <v>2018.0</v>
      </c>
      <c r="J1535" s="8">
        <v>3.0</v>
      </c>
      <c r="K1535" s="8" t="s">
        <v>583</v>
      </c>
      <c r="L1535" s="8" t="s">
        <v>322</v>
      </c>
      <c r="M1535" s="8" t="s">
        <v>365</v>
      </c>
      <c r="N1535" s="8">
        <v>17.9</v>
      </c>
      <c r="O1535" s="14">
        <f t="shared" si="1"/>
        <v>44287</v>
      </c>
      <c r="P1535" s="15">
        <f>IFERROR(VLOOKUP(K1535,Formula!$A$11:$B$20,2,FALSE),Formula!$C$26)</f>
        <v>0.95</v>
      </c>
      <c r="Q1535" s="15">
        <f>IF(AND(ISNUMBER(J1535),J1535&gt;0),1/J1535,IF(AND(ISNUMBER(I1535),I1535&gt;0),SQRT(MIN(I1535,Formula!$C$27))/Formula!$C$24,1/Formula!$C$25))</f>
        <v>0.3333333333</v>
      </c>
      <c r="R1535" s="15">
        <f t="shared" si="2"/>
        <v>0.3166666667</v>
      </c>
      <c r="S1535" s="15">
        <f>IF(H1535&lt;&gt;"",EXP(-Formula!$C$28*(EOMONTH(H1535,0)-H1535)),EXP(-Formula!$C$28*(EOMONTH(D1535,0)-D1535)))</f>
        <v>0.5769498104</v>
      </c>
      <c r="T1535" s="15">
        <f t="shared" si="3"/>
        <v>0.316227766</v>
      </c>
      <c r="U1535" s="15">
        <f t="shared" si="4"/>
        <v>0.05777505739</v>
      </c>
      <c r="V1535" s="16">
        <f>IF(AND(L1535="Among all respondents",NOT(OR(K1535="Online poll in Telegram channel",K1535="Website online poll",K1535="CAWI (Computer Assisted Web Interviewing)"))),1/(1-MIN(MAX(Formula!$C$33+(YEAR(D1535)-Formula!$C$34)/(Formula!$C$35-Formula!$C$34)*(Formula!$C$32-Formula!$C$33),Formula!$C$33),Formula!$C$32)),1)</f>
        <v>1</v>
      </c>
      <c r="W1535" s="17">
        <f t="shared" si="5"/>
        <v>17.9</v>
      </c>
    </row>
    <row r="1536" ht="15.75" customHeight="1">
      <c r="A1536" s="8" t="s">
        <v>2366</v>
      </c>
      <c r="B1536" s="7" t="s">
        <v>2360</v>
      </c>
      <c r="C1536" s="13" t="s">
        <v>2361</v>
      </c>
      <c r="D1536" s="7" t="s">
        <v>211</v>
      </c>
      <c r="E1536" s="8" t="s">
        <v>158</v>
      </c>
      <c r="F1536" s="8" t="s">
        <v>318</v>
      </c>
      <c r="G1536" s="7" t="s">
        <v>2362</v>
      </c>
      <c r="H1536" s="7" t="s">
        <v>2363</v>
      </c>
      <c r="I1536" s="8">
        <v>2018.0</v>
      </c>
      <c r="J1536" s="8">
        <v>3.0</v>
      </c>
      <c r="K1536" s="8" t="s">
        <v>583</v>
      </c>
      <c r="L1536" s="8" t="s">
        <v>322</v>
      </c>
      <c r="M1536" s="8" t="s">
        <v>337</v>
      </c>
      <c r="N1536" s="8">
        <v>13.6</v>
      </c>
      <c r="O1536" s="14">
        <f t="shared" si="1"/>
        <v>44287</v>
      </c>
      <c r="P1536" s="15">
        <f>IFERROR(VLOOKUP(K1536,Formula!$A$11:$B$20,2,FALSE),Formula!$C$26)</f>
        <v>0.95</v>
      </c>
      <c r="Q1536" s="15">
        <f>IF(AND(ISNUMBER(J1536),J1536&gt;0),1/J1536,IF(AND(ISNUMBER(I1536),I1536&gt;0),SQRT(MIN(I1536,Formula!$C$27))/Formula!$C$24,1/Formula!$C$25))</f>
        <v>0.3333333333</v>
      </c>
      <c r="R1536" s="15">
        <f t="shared" si="2"/>
        <v>0.3166666667</v>
      </c>
      <c r="S1536" s="15">
        <f>IF(H1536&lt;&gt;"",EXP(-Formula!$C$28*(EOMONTH(H1536,0)-H1536)),EXP(-Formula!$C$28*(EOMONTH(D1536,0)-D1536)))</f>
        <v>0.5769498104</v>
      </c>
      <c r="T1536" s="15">
        <f t="shared" si="3"/>
        <v>0.316227766</v>
      </c>
      <c r="U1536" s="15">
        <f t="shared" si="4"/>
        <v>0.05777505739</v>
      </c>
      <c r="V1536" s="16">
        <f>IF(AND(L1536="Among all respondents",NOT(OR(K1536="Online poll in Telegram channel",K1536="Website online poll",K1536="CAWI (Computer Assisted Web Interviewing)"))),1/(1-MIN(MAX(Formula!$C$33+(YEAR(D1536)-Formula!$C$34)/(Formula!$C$35-Formula!$C$34)*(Formula!$C$32-Formula!$C$33),Formula!$C$33),Formula!$C$32)),1)</f>
        <v>1</v>
      </c>
      <c r="W1536" s="17">
        <f t="shared" si="5"/>
        <v>13.6</v>
      </c>
    </row>
    <row r="1537" ht="15.75" customHeight="1">
      <c r="A1537" s="8" t="s">
        <v>2367</v>
      </c>
      <c r="B1537" s="7" t="s">
        <v>2360</v>
      </c>
      <c r="C1537" s="13" t="s">
        <v>2361</v>
      </c>
      <c r="D1537" s="7" t="s">
        <v>211</v>
      </c>
      <c r="E1537" s="8" t="s">
        <v>158</v>
      </c>
      <c r="F1537" s="8" t="s">
        <v>318</v>
      </c>
      <c r="G1537" s="7" t="s">
        <v>2362</v>
      </c>
      <c r="H1537" s="7" t="s">
        <v>2363</v>
      </c>
      <c r="I1537" s="8">
        <v>2018.0</v>
      </c>
      <c r="J1537" s="8">
        <v>3.0</v>
      </c>
      <c r="K1537" s="8" t="s">
        <v>583</v>
      </c>
      <c r="L1537" s="8" t="s">
        <v>322</v>
      </c>
      <c r="M1537" s="8" t="s">
        <v>386</v>
      </c>
      <c r="N1537" s="8">
        <v>5.1</v>
      </c>
      <c r="O1537" s="14">
        <f t="shared" si="1"/>
        <v>44287</v>
      </c>
      <c r="P1537" s="15">
        <f>IFERROR(VLOOKUP(K1537,Formula!$A$11:$B$20,2,FALSE),Formula!$C$26)</f>
        <v>0.95</v>
      </c>
      <c r="Q1537" s="15">
        <f>IF(AND(ISNUMBER(J1537),J1537&gt;0),1/J1537,IF(AND(ISNUMBER(I1537),I1537&gt;0),SQRT(MIN(I1537,Formula!$C$27))/Formula!$C$24,1/Formula!$C$25))</f>
        <v>0.3333333333</v>
      </c>
      <c r="R1537" s="15">
        <f t="shared" si="2"/>
        <v>0.3166666667</v>
      </c>
      <c r="S1537" s="15">
        <f>IF(H1537&lt;&gt;"",EXP(-Formula!$C$28*(EOMONTH(H1537,0)-H1537)),EXP(-Formula!$C$28*(EOMONTH(D1537,0)-D1537)))</f>
        <v>0.5769498104</v>
      </c>
      <c r="T1537" s="15">
        <f t="shared" si="3"/>
        <v>0.316227766</v>
      </c>
      <c r="U1537" s="15">
        <f t="shared" si="4"/>
        <v>0.05777505739</v>
      </c>
      <c r="V1537" s="16">
        <f>IF(AND(L1537="Among all respondents",NOT(OR(K1537="Online poll in Telegram channel",K1537="Website online poll",K1537="CAWI (Computer Assisted Web Interviewing)"))),1/(1-MIN(MAX(Formula!$C$33+(YEAR(D1537)-Formula!$C$34)/(Formula!$C$35-Formula!$C$34)*(Formula!$C$32-Formula!$C$33),Formula!$C$33),Formula!$C$32)),1)</f>
        <v>1</v>
      </c>
      <c r="W1537" s="17">
        <f t="shared" si="5"/>
        <v>5.1</v>
      </c>
    </row>
    <row r="1538" ht="15.75" customHeight="1">
      <c r="A1538" s="8" t="s">
        <v>2368</v>
      </c>
      <c r="B1538" s="7" t="s">
        <v>2360</v>
      </c>
      <c r="C1538" s="13" t="s">
        <v>2361</v>
      </c>
      <c r="D1538" s="7" t="s">
        <v>211</v>
      </c>
      <c r="E1538" s="8" t="s">
        <v>158</v>
      </c>
      <c r="F1538" s="8" t="s">
        <v>318</v>
      </c>
      <c r="G1538" s="7" t="s">
        <v>2362</v>
      </c>
      <c r="H1538" s="7" t="s">
        <v>2363</v>
      </c>
      <c r="I1538" s="8">
        <v>2018.0</v>
      </c>
      <c r="J1538" s="8">
        <v>3.0</v>
      </c>
      <c r="K1538" s="8" t="s">
        <v>583</v>
      </c>
      <c r="L1538" s="8" t="s">
        <v>322</v>
      </c>
      <c r="M1538" s="8" t="s">
        <v>828</v>
      </c>
      <c r="N1538" s="8">
        <v>5.0</v>
      </c>
      <c r="O1538" s="14">
        <f t="shared" si="1"/>
        <v>44287</v>
      </c>
      <c r="P1538" s="15">
        <f>IFERROR(VLOOKUP(K1538,Formula!$A$11:$B$20,2,FALSE),Formula!$C$26)</f>
        <v>0.95</v>
      </c>
      <c r="Q1538" s="15">
        <f>IF(AND(ISNUMBER(J1538),J1538&gt;0),1/J1538,IF(AND(ISNUMBER(I1538),I1538&gt;0),SQRT(MIN(I1538,Formula!$C$27))/Formula!$C$24,1/Formula!$C$25))</f>
        <v>0.3333333333</v>
      </c>
      <c r="R1538" s="15">
        <f t="shared" si="2"/>
        <v>0.3166666667</v>
      </c>
      <c r="S1538" s="15">
        <f>IF(H1538&lt;&gt;"",EXP(-Formula!$C$28*(EOMONTH(H1538,0)-H1538)),EXP(-Formula!$C$28*(EOMONTH(D1538,0)-D1538)))</f>
        <v>0.5769498104</v>
      </c>
      <c r="T1538" s="15">
        <f t="shared" si="3"/>
        <v>0.316227766</v>
      </c>
      <c r="U1538" s="15">
        <f t="shared" si="4"/>
        <v>0.05777505739</v>
      </c>
      <c r="V1538" s="16">
        <f>IF(AND(L1538="Among all respondents",NOT(OR(K1538="Online poll in Telegram channel",K1538="Website online poll",K1538="CAWI (Computer Assisted Web Interviewing)"))),1/(1-MIN(MAX(Formula!$C$33+(YEAR(D1538)-Formula!$C$34)/(Formula!$C$35-Formula!$C$34)*(Formula!$C$32-Formula!$C$33),Formula!$C$33),Formula!$C$32)),1)</f>
        <v>1</v>
      </c>
      <c r="W1538" s="17">
        <f t="shared" si="5"/>
        <v>5</v>
      </c>
    </row>
    <row r="1539" ht="15.75" customHeight="1">
      <c r="A1539" s="8" t="s">
        <v>2369</v>
      </c>
      <c r="B1539" s="7" t="s">
        <v>2360</v>
      </c>
      <c r="C1539" s="13" t="s">
        <v>2361</v>
      </c>
      <c r="D1539" s="7" t="s">
        <v>211</v>
      </c>
      <c r="E1539" s="8" t="s">
        <v>158</v>
      </c>
      <c r="F1539" s="8" t="s">
        <v>318</v>
      </c>
      <c r="G1539" s="7" t="s">
        <v>2362</v>
      </c>
      <c r="H1539" s="7" t="s">
        <v>2363</v>
      </c>
      <c r="I1539" s="8">
        <v>2018.0</v>
      </c>
      <c r="J1539" s="8">
        <v>3.0</v>
      </c>
      <c r="K1539" s="8" t="s">
        <v>583</v>
      </c>
      <c r="L1539" s="8" t="s">
        <v>322</v>
      </c>
      <c r="M1539" s="8" t="s">
        <v>333</v>
      </c>
      <c r="N1539" s="8">
        <v>3.4</v>
      </c>
      <c r="O1539" s="14">
        <f t="shared" si="1"/>
        <v>44287</v>
      </c>
      <c r="P1539" s="15">
        <f>IFERROR(VLOOKUP(K1539,Formula!$A$11:$B$20,2,FALSE),Formula!$C$26)</f>
        <v>0.95</v>
      </c>
      <c r="Q1539" s="15">
        <f>IF(AND(ISNUMBER(J1539),J1539&gt;0),1/J1539,IF(AND(ISNUMBER(I1539),I1539&gt;0),SQRT(MIN(I1539,Formula!$C$27))/Formula!$C$24,1/Formula!$C$25))</f>
        <v>0.3333333333</v>
      </c>
      <c r="R1539" s="15">
        <f t="shared" si="2"/>
        <v>0.3166666667</v>
      </c>
      <c r="S1539" s="15">
        <f>IF(H1539&lt;&gt;"",EXP(-Formula!$C$28*(EOMONTH(H1539,0)-H1539)),EXP(-Formula!$C$28*(EOMONTH(D1539,0)-D1539)))</f>
        <v>0.5769498104</v>
      </c>
      <c r="T1539" s="15">
        <f t="shared" si="3"/>
        <v>0.316227766</v>
      </c>
      <c r="U1539" s="15">
        <f t="shared" si="4"/>
        <v>0.05777505739</v>
      </c>
      <c r="V1539" s="16">
        <f>IF(AND(L1539="Among all respondents",NOT(OR(K1539="Online poll in Telegram channel",K1539="Website online poll",K1539="CAWI (Computer Assisted Web Interviewing)"))),1/(1-MIN(MAX(Formula!$C$33+(YEAR(D1539)-Formula!$C$34)/(Formula!$C$35-Formula!$C$34)*(Formula!$C$32-Formula!$C$33),Formula!$C$33),Formula!$C$32)),1)</f>
        <v>1</v>
      </c>
      <c r="W1539" s="17">
        <f t="shared" si="5"/>
        <v>3.4</v>
      </c>
    </row>
    <row r="1540" ht="15.75" customHeight="1">
      <c r="A1540" s="8" t="s">
        <v>2370</v>
      </c>
      <c r="B1540" s="7" t="s">
        <v>2360</v>
      </c>
      <c r="C1540" s="13" t="s">
        <v>2361</v>
      </c>
      <c r="D1540" s="7" t="s">
        <v>211</v>
      </c>
      <c r="E1540" s="8" t="s">
        <v>158</v>
      </c>
      <c r="F1540" s="8" t="s">
        <v>318</v>
      </c>
      <c r="G1540" s="7" t="s">
        <v>2362</v>
      </c>
      <c r="H1540" s="7" t="s">
        <v>2363</v>
      </c>
      <c r="I1540" s="8">
        <v>2018.0</v>
      </c>
      <c r="J1540" s="8">
        <v>3.0</v>
      </c>
      <c r="K1540" s="8" t="s">
        <v>583</v>
      </c>
      <c r="L1540" s="8" t="s">
        <v>322</v>
      </c>
      <c r="M1540" s="8" t="s">
        <v>388</v>
      </c>
      <c r="N1540" s="8">
        <v>2.9</v>
      </c>
      <c r="O1540" s="14">
        <f t="shared" si="1"/>
        <v>44287</v>
      </c>
      <c r="P1540" s="15">
        <f>IFERROR(VLOOKUP(K1540,Formula!$A$11:$B$20,2,FALSE),Formula!$C$26)</f>
        <v>0.95</v>
      </c>
      <c r="Q1540" s="15">
        <f>IF(AND(ISNUMBER(J1540),J1540&gt;0),1/J1540,IF(AND(ISNUMBER(I1540),I1540&gt;0),SQRT(MIN(I1540,Formula!$C$27))/Formula!$C$24,1/Formula!$C$25))</f>
        <v>0.3333333333</v>
      </c>
      <c r="R1540" s="15">
        <f t="shared" si="2"/>
        <v>0.3166666667</v>
      </c>
      <c r="S1540" s="15">
        <f>IF(H1540&lt;&gt;"",EXP(-Formula!$C$28*(EOMONTH(H1540,0)-H1540)),EXP(-Formula!$C$28*(EOMONTH(D1540,0)-D1540)))</f>
        <v>0.5769498104</v>
      </c>
      <c r="T1540" s="15">
        <f t="shared" si="3"/>
        <v>0.316227766</v>
      </c>
      <c r="U1540" s="15">
        <f t="shared" si="4"/>
        <v>0.05777505739</v>
      </c>
      <c r="V1540" s="16">
        <f>IF(AND(L1540="Among all respondents",NOT(OR(K1540="Online poll in Telegram channel",K1540="Website online poll",K1540="CAWI (Computer Assisted Web Interviewing)"))),1/(1-MIN(MAX(Formula!$C$33+(YEAR(D1540)-Formula!$C$34)/(Formula!$C$35-Formula!$C$34)*(Formula!$C$32-Formula!$C$33),Formula!$C$33),Formula!$C$32)),1)</f>
        <v>1</v>
      </c>
      <c r="W1540" s="17">
        <f t="shared" si="5"/>
        <v>2.9</v>
      </c>
    </row>
    <row r="1541" ht="15.75" customHeight="1">
      <c r="A1541" s="8" t="s">
        <v>2371</v>
      </c>
      <c r="B1541" s="7" t="s">
        <v>2360</v>
      </c>
      <c r="C1541" s="13" t="s">
        <v>2361</v>
      </c>
      <c r="D1541" s="7" t="s">
        <v>211</v>
      </c>
      <c r="E1541" s="8" t="s">
        <v>158</v>
      </c>
      <c r="F1541" s="8" t="s">
        <v>318</v>
      </c>
      <c r="G1541" s="7" t="s">
        <v>2362</v>
      </c>
      <c r="H1541" s="7" t="s">
        <v>2363</v>
      </c>
      <c r="I1541" s="8">
        <v>2018.0</v>
      </c>
      <c r="J1541" s="8">
        <v>3.0</v>
      </c>
      <c r="K1541" s="8" t="s">
        <v>583</v>
      </c>
      <c r="L1541" s="8" t="s">
        <v>322</v>
      </c>
      <c r="M1541" s="8" t="s">
        <v>343</v>
      </c>
      <c r="N1541" s="8">
        <v>1.5</v>
      </c>
      <c r="O1541" s="14">
        <f t="shared" si="1"/>
        <v>44287</v>
      </c>
      <c r="P1541" s="15">
        <f>IFERROR(VLOOKUP(K1541,Formula!$A$11:$B$20,2,FALSE),Formula!$C$26)</f>
        <v>0.95</v>
      </c>
      <c r="Q1541" s="15">
        <f>IF(AND(ISNUMBER(J1541),J1541&gt;0),1/J1541,IF(AND(ISNUMBER(I1541),I1541&gt;0),SQRT(MIN(I1541,Formula!$C$27))/Formula!$C$24,1/Formula!$C$25))</f>
        <v>0.3333333333</v>
      </c>
      <c r="R1541" s="15">
        <f t="shared" si="2"/>
        <v>0.3166666667</v>
      </c>
      <c r="S1541" s="15">
        <f>IF(H1541&lt;&gt;"",EXP(-Formula!$C$28*(EOMONTH(H1541,0)-H1541)),EXP(-Formula!$C$28*(EOMONTH(D1541,0)-D1541)))</f>
        <v>0.5769498104</v>
      </c>
      <c r="T1541" s="15">
        <f t="shared" si="3"/>
        <v>0.316227766</v>
      </c>
      <c r="U1541" s="15">
        <f t="shared" si="4"/>
        <v>0.05777505739</v>
      </c>
      <c r="V1541" s="16">
        <f>IF(AND(L1541="Among all respondents",NOT(OR(K1541="Online poll in Telegram channel",K1541="Website online poll",K1541="CAWI (Computer Assisted Web Interviewing)"))),1/(1-MIN(MAX(Formula!$C$33+(YEAR(D1541)-Formula!$C$34)/(Formula!$C$35-Formula!$C$34)*(Formula!$C$32-Formula!$C$33),Formula!$C$33),Formula!$C$32)),1)</f>
        <v>1</v>
      </c>
      <c r="W1541" s="17">
        <f t="shared" si="5"/>
        <v>1.5</v>
      </c>
    </row>
    <row r="1542" ht="15.75" customHeight="1">
      <c r="A1542" s="8" t="s">
        <v>2372</v>
      </c>
      <c r="B1542" s="7" t="s">
        <v>2360</v>
      </c>
      <c r="C1542" s="13" t="s">
        <v>2361</v>
      </c>
      <c r="D1542" s="7" t="s">
        <v>211</v>
      </c>
      <c r="E1542" s="8" t="s">
        <v>158</v>
      </c>
      <c r="F1542" s="8" t="s">
        <v>318</v>
      </c>
      <c r="G1542" s="7" t="s">
        <v>2362</v>
      </c>
      <c r="H1542" s="7" t="s">
        <v>2363</v>
      </c>
      <c r="I1542" s="8">
        <v>2018.0</v>
      </c>
      <c r="J1542" s="8">
        <v>3.0</v>
      </c>
      <c r="K1542" s="8" t="s">
        <v>583</v>
      </c>
      <c r="L1542" s="8" t="s">
        <v>322</v>
      </c>
      <c r="M1542" s="8" t="s">
        <v>1663</v>
      </c>
      <c r="N1542" s="8">
        <v>0.5</v>
      </c>
      <c r="O1542" s="14">
        <f t="shared" si="1"/>
        <v>44287</v>
      </c>
      <c r="P1542" s="15">
        <f>IFERROR(VLOOKUP(K1542,Formula!$A$11:$B$20,2,FALSE),Formula!$C$26)</f>
        <v>0.95</v>
      </c>
      <c r="Q1542" s="15">
        <f>IF(AND(ISNUMBER(J1542),J1542&gt;0),1/J1542,IF(AND(ISNUMBER(I1542),I1542&gt;0),SQRT(MIN(I1542,Formula!$C$27))/Formula!$C$24,1/Formula!$C$25))</f>
        <v>0.3333333333</v>
      </c>
      <c r="R1542" s="15">
        <f t="shared" si="2"/>
        <v>0.3166666667</v>
      </c>
      <c r="S1542" s="15">
        <f>IF(H1542&lt;&gt;"",EXP(-Formula!$C$28*(EOMONTH(H1542,0)-H1542)),EXP(-Formula!$C$28*(EOMONTH(D1542,0)-D1542)))</f>
        <v>0.5769498104</v>
      </c>
      <c r="T1542" s="15">
        <f t="shared" si="3"/>
        <v>0.316227766</v>
      </c>
      <c r="U1542" s="15">
        <f t="shared" si="4"/>
        <v>0.05777505739</v>
      </c>
      <c r="V1542" s="16">
        <f>IF(AND(L1542="Among all respondents",NOT(OR(K1542="Online poll in Telegram channel",K1542="Website online poll",K1542="CAWI (Computer Assisted Web Interviewing)"))),1/(1-MIN(MAX(Formula!$C$33+(YEAR(D1542)-Formula!$C$34)/(Formula!$C$35-Formula!$C$34)*(Formula!$C$32-Formula!$C$33),Formula!$C$33),Formula!$C$32)),1)</f>
        <v>1</v>
      </c>
      <c r="W1542" s="17">
        <f t="shared" si="5"/>
        <v>0.5</v>
      </c>
    </row>
    <row r="1543" ht="15.75" customHeight="1">
      <c r="A1543" s="8" t="s">
        <v>2373</v>
      </c>
      <c r="B1543" s="7" t="s">
        <v>2374</v>
      </c>
      <c r="C1543" s="13" t="s">
        <v>2375</v>
      </c>
      <c r="D1543" s="7" t="s">
        <v>213</v>
      </c>
      <c r="E1543" s="8" t="s">
        <v>17</v>
      </c>
      <c r="F1543" s="8" t="s">
        <v>318</v>
      </c>
      <c r="G1543" s="7" t="s">
        <v>2376</v>
      </c>
      <c r="H1543" s="7" t="s">
        <v>2362</v>
      </c>
      <c r="I1543" s="8">
        <v>2000.0</v>
      </c>
      <c r="J1543" s="8">
        <v>2.4</v>
      </c>
      <c r="K1543" s="8" t="s">
        <v>321</v>
      </c>
      <c r="L1543" s="8" t="s">
        <v>322</v>
      </c>
      <c r="M1543" s="8" t="s">
        <v>323</v>
      </c>
      <c r="N1543" s="8">
        <v>26.7</v>
      </c>
      <c r="O1543" s="14">
        <f t="shared" si="1"/>
        <v>44287</v>
      </c>
      <c r="P1543" s="15">
        <f>IFERROR(VLOOKUP(K1543,Formula!$A$11:$B$20,2,FALSE),Formula!$C$26)</f>
        <v>0.9</v>
      </c>
      <c r="Q1543" s="15">
        <f>IF(AND(ISNUMBER(J1543),J1543&gt;0),1/J1543,IF(AND(ISNUMBER(I1543),I1543&gt;0),SQRT(MIN(I1543,Formula!$C$27))/Formula!$C$24,1/Formula!$C$25))</f>
        <v>0.4166666667</v>
      </c>
      <c r="R1543" s="15">
        <f t="shared" si="2"/>
        <v>0.375</v>
      </c>
      <c r="S1543" s="15">
        <f>IF(H1543&lt;&gt;"",EXP(-Formula!$C$28*(EOMONTH(H1543,0)-H1543)),EXP(-Formula!$C$28*(EOMONTH(D1543,0)-D1543)))</f>
        <v>0.4065696597</v>
      </c>
      <c r="T1543" s="15">
        <f t="shared" si="3"/>
        <v>0.2773500981</v>
      </c>
      <c r="U1543" s="15">
        <f t="shared" si="4"/>
        <v>0.04228580063</v>
      </c>
      <c r="V1543" s="16">
        <f>IF(AND(L1543="Among all respondents",NOT(OR(K1543="Online poll in Telegram channel",K1543="Website online poll",K1543="CAWI (Computer Assisted Web Interviewing)"))),1/(1-MIN(MAX(Formula!$C$33+(YEAR(D1543)-Formula!$C$34)/(Formula!$C$35-Formula!$C$34)*(Formula!$C$32-Formula!$C$33),Formula!$C$33),Formula!$C$32)),1)</f>
        <v>1</v>
      </c>
      <c r="W1543" s="17">
        <f t="shared" si="5"/>
        <v>26.7</v>
      </c>
    </row>
    <row r="1544" ht="15.75" customHeight="1">
      <c r="A1544" s="8" t="s">
        <v>2377</v>
      </c>
      <c r="B1544" s="7" t="s">
        <v>2374</v>
      </c>
      <c r="C1544" s="13" t="s">
        <v>2375</v>
      </c>
      <c r="D1544" s="7" t="s">
        <v>213</v>
      </c>
      <c r="E1544" s="8" t="s">
        <v>17</v>
      </c>
      <c r="F1544" s="8" t="s">
        <v>318</v>
      </c>
      <c r="G1544" s="7" t="s">
        <v>2376</v>
      </c>
      <c r="H1544" s="7" t="s">
        <v>2362</v>
      </c>
      <c r="I1544" s="8">
        <v>2000.0</v>
      </c>
      <c r="J1544" s="8">
        <v>2.4</v>
      </c>
      <c r="K1544" s="8" t="s">
        <v>321</v>
      </c>
      <c r="L1544" s="8" t="s">
        <v>322</v>
      </c>
      <c r="M1544" s="8" t="s">
        <v>329</v>
      </c>
      <c r="N1544" s="8">
        <v>19.6</v>
      </c>
      <c r="O1544" s="14">
        <f t="shared" si="1"/>
        <v>44287</v>
      </c>
      <c r="P1544" s="15">
        <f>IFERROR(VLOOKUP(K1544,Formula!$A$11:$B$20,2,FALSE),Formula!$C$26)</f>
        <v>0.9</v>
      </c>
      <c r="Q1544" s="15">
        <f>IF(AND(ISNUMBER(J1544),J1544&gt;0),1/J1544,IF(AND(ISNUMBER(I1544),I1544&gt;0),SQRT(MIN(I1544,Formula!$C$27))/Formula!$C$24,1/Formula!$C$25))</f>
        <v>0.4166666667</v>
      </c>
      <c r="R1544" s="15">
        <f t="shared" si="2"/>
        <v>0.375</v>
      </c>
      <c r="S1544" s="15">
        <f>IF(H1544&lt;&gt;"",EXP(-Formula!$C$28*(EOMONTH(H1544,0)-H1544)),EXP(-Formula!$C$28*(EOMONTH(D1544,0)-D1544)))</f>
        <v>0.4065696597</v>
      </c>
      <c r="T1544" s="15">
        <f t="shared" si="3"/>
        <v>0.2773500981</v>
      </c>
      <c r="U1544" s="15">
        <f t="shared" si="4"/>
        <v>0.04228580063</v>
      </c>
      <c r="V1544" s="16">
        <f>IF(AND(L1544="Among all respondents",NOT(OR(K1544="Online poll in Telegram channel",K1544="Website online poll",K1544="CAWI (Computer Assisted Web Interviewing)"))),1/(1-MIN(MAX(Formula!$C$33+(YEAR(D1544)-Formula!$C$34)/(Formula!$C$35-Formula!$C$34)*(Formula!$C$32-Formula!$C$33),Formula!$C$33),Formula!$C$32)),1)</f>
        <v>1</v>
      </c>
      <c r="W1544" s="17">
        <f t="shared" si="5"/>
        <v>19.6</v>
      </c>
    </row>
    <row r="1545" ht="15.75" customHeight="1">
      <c r="A1545" s="8" t="s">
        <v>2378</v>
      </c>
      <c r="B1545" s="7" t="s">
        <v>2374</v>
      </c>
      <c r="C1545" s="13" t="s">
        <v>2375</v>
      </c>
      <c r="D1545" s="7" t="s">
        <v>213</v>
      </c>
      <c r="E1545" s="8" t="s">
        <v>17</v>
      </c>
      <c r="F1545" s="8" t="s">
        <v>318</v>
      </c>
      <c r="G1545" s="7" t="s">
        <v>2376</v>
      </c>
      <c r="H1545" s="7" t="s">
        <v>2362</v>
      </c>
      <c r="I1545" s="8">
        <v>2000.0</v>
      </c>
      <c r="J1545" s="8">
        <v>2.4</v>
      </c>
      <c r="K1545" s="8" t="s">
        <v>321</v>
      </c>
      <c r="L1545" s="8" t="s">
        <v>322</v>
      </c>
      <c r="M1545" s="8" t="s">
        <v>337</v>
      </c>
      <c r="N1545" s="8">
        <v>10.1</v>
      </c>
      <c r="O1545" s="14">
        <f t="shared" si="1"/>
        <v>44287</v>
      </c>
      <c r="P1545" s="15">
        <f>IFERROR(VLOOKUP(K1545,Formula!$A$11:$B$20,2,FALSE),Formula!$C$26)</f>
        <v>0.9</v>
      </c>
      <c r="Q1545" s="15">
        <f>IF(AND(ISNUMBER(J1545),J1545&gt;0),1/J1545,IF(AND(ISNUMBER(I1545),I1545&gt;0),SQRT(MIN(I1545,Formula!$C$27))/Formula!$C$24,1/Formula!$C$25))</f>
        <v>0.4166666667</v>
      </c>
      <c r="R1545" s="15">
        <f t="shared" si="2"/>
        <v>0.375</v>
      </c>
      <c r="S1545" s="15">
        <f>IF(H1545&lt;&gt;"",EXP(-Formula!$C$28*(EOMONTH(H1545,0)-H1545)),EXP(-Formula!$C$28*(EOMONTH(D1545,0)-D1545)))</f>
        <v>0.4065696597</v>
      </c>
      <c r="T1545" s="15">
        <f t="shared" si="3"/>
        <v>0.2773500981</v>
      </c>
      <c r="U1545" s="15">
        <f t="shared" si="4"/>
        <v>0.04228580063</v>
      </c>
      <c r="V1545" s="16">
        <f>IF(AND(L1545="Among all respondents",NOT(OR(K1545="Online poll in Telegram channel",K1545="Website online poll",K1545="CAWI (Computer Assisted Web Interviewing)"))),1/(1-MIN(MAX(Formula!$C$33+(YEAR(D1545)-Formula!$C$34)/(Formula!$C$35-Formula!$C$34)*(Formula!$C$32-Formula!$C$33),Formula!$C$33),Formula!$C$32)),1)</f>
        <v>1</v>
      </c>
      <c r="W1545" s="17">
        <f t="shared" si="5"/>
        <v>10.1</v>
      </c>
    </row>
    <row r="1546" ht="15.75" customHeight="1">
      <c r="A1546" s="8" t="s">
        <v>2379</v>
      </c>
      <c r="B1546" s="7" t="s">
        <v>2374</v>
      </c>
      <c r="C1546" s="13" t="s">
        <v>2375</v>
      </c>
      <c r="D1546" s="7" t="s">
        <v>213</v>
      </c>
      <c r="E1546" s="8" t="s">
        <v>17</v>
      </c>
      <c r="F1546" s="8" t="s">
        <v>318</v>
      </c>
      <c r="G1546" s="7" t="s">
        <v>2376</v>
      </c>
      <c r="H1546" s="7" t="s">
        <v>2362</v>
      </c>
      <c r="I1546" s="8">
        <v>2000.0</v>
      </c>
      <c r="J1546" s="8">
        <v>2.4</v>
      </c>
      <c r="K1546" s="8" t="s">
        <v>321</v>
      </c>
      <c r="L1546" s="8" t="s">
        <v>322</v>
      </c>
      <c r="M1546" s="8" t="s">
        <v>365</v>
      </c>
      <c r="N1546" s="8">
        <v>9.7</v>
      </c>
      <c r="O1546" s="14">
        <f t="shared" si="1"/>
        <v>44287</v>
      </c>
      <c r="P1546" s="15">
        <f>IFERROR(VLOOKUP(K1546,Formula!$A$11:$B$20,2,FALSE),Formula!$C$26)</f>
        <v>0.9</v>
      </c>
      <c r="Q1546" s="15">
        <f>IF(AND(ISNUMBER(J1546),J1546&gt;0),1/J1546,IF(AND(ISNUMBER(I1546),I1546&gt;0),SQRT(MIN(I1546,Formula!$C$27))/Formula!$C$24,1/Formula!$C$25))</f>
        <v>0.4166666667</v>
      </c>
      <c r="R1546" s="15">
        <f t="shared" si="2"/>
        <v>0.375</v>
      </c>
      <c r="S1546" s="15">
        <f>IF(H1546&lt;&gt;"",EXP(-Formula!$C$28*(EOMONTH(H1546,0)-H1546)),EXP(-Formula!$C$28*(EOMONTH(D1546,0)-D1546)))</f>
        <v>0.4065696597</v>
      </c>
      <c r="T1546" s="15">
        <f t="shared" si="3"/>
        <v>0.2773500981</v>
      </c>
      <c r="U1546" s="15">
        <f t="shared" si="4"/>
        <v>0.04228580063</v>
      </c>
      <c r="V1546" s="16">
        <f>IF(AND(L1546="Among all respondents",NOT(OR(K1546="Online poll in Telegram channel",K1546="Website online poll",K1546="CAWI (Computer Assisted Web Interviewing)"))),1/(1-MIN(MAX(Formula!$C$33+(YEAR(D1546)-Formula!$C$34)/(Formula!$C$35-Formula!$C$34)*(Formula!$C$32-Formula!$C$33),Formula!$C$33),Formula!$C$32)),1)</f>
        <v>1</v>
      </c>
      <c r="W1546" s="17">
        <f t="shared" si="5"/>
        <v>9.7</v>
      </c>
    </row>
    <row r="1547" ht="15.75" customHeight="1">
      <c r="A1547" s="8" t="s">
        <v>2380</v>
      </c>
      <c r="B1547" s="7" t="s">
        <v>2374</v>
      </c>
      <c r="C1547" s="13" t="s">
        <v>2375</v>
      </c>
      <c r="D1547" s="7" t="s">
        <v>213</v>
      </c>
      <c r="E1547" s="8" t="s">
        <v>17</v>
      </c>
      <c r="F1547" s="8" t="s">
        <v>318</v>
      </c>
      <c r="G1547" s="7" t="s">
        <v>2376</v>
      </c>
      <c r="H1547" s="7" t="s">
        <v>2362</v>
      </c>
      <c r="I1547" s="8">
        <v>2000.0</v>
      </c>
      <c r="J1547" s="8">
        <v>2.4</v>
      </c>
      <c r="K1547" s="8" t="s">
        <v>321</v>
      </c>
      <c r="L1547" s="8" t="s">
        <v>322</v>
      </c>
      <c r="M1547" s="8" t="s">
        <v>828</v>
      </c>
      <c r="N1547" s="8">
        <v>7.5</v>
      </c>
      <c r="O1547" s="14">
        <f t="shared" si="1"/>
        <v>44287</v>
      </c>
      <c r="P1547" s="15">
        <f>IFERROR(VLOOKUP(K1547,Formula!$A$11:$B$20,2,FALSE),Formula!$C$26)</f>
        <v>0.9</v>
      </c>
      <c r="Q1547" s="15">
        <f>IF(AND(ISNUMBER(J1547),J1547&gt;0),1/J1547,IF(AND(ISNUMBER(I1547),I1547&gt;0),SQRT(MIN(I1547,Formula!$C$27))/Formula!$C$24,1/Formula!$C$25))</f>
        <v>0.4166666667</v>
      </c>
      <c r="R1547" s="15">
        <f t="shared" si="2"/>
        <v>0.375</v>
      </c>
      <c r="S1547" s="15">
        <f>IF(H1547&lt;&gt;"",EXP(-Formula!$C$28*(EOMONTH(H1547,0)-H1547)),EXP(-Formula!$C$28*(EOMONTH(D1547,0)-D1547)))</f>
        <v>0.4065696597</v>
      </c>
      <c r="T1547" s="15">
        <f t="shared" si="3"/>
        <v>0.2773500981</v>
      </c>
      <c r="U1547" s="15">
        <f t="shared" si="4"/>
        <v>0.04228580063</v>
      </c>
      <c r="V1547" s="16">
        <f>IF(AND(L1547="Among all respondents",NOT(OR(K1547="Online poll in Telegram channel",K1547="Website online poll",K1547="CAWI (Computer Assisted Web Interviewing)"))),1/(1-MIN(MAX(Formula!$C$33+(YEAR(D1547)-Formula!$C$34)/(Formula!$C$35-Formula!$C$34)*(Formula!$C$32-Formula!$C$33),Formula!$C$33),Formula!$C$32)),1)</f>
        <v>1</v>
      </c>
      <c r="W1547" s="17">
        <f t="shared" si="5"/>
        <v>7.5</v>
      </c>
    </row>
    <row r="1548" ht="15.75" customHeight="1">
      <c r="A1548" s="8" t="s">
        <v>2381</v>
      </c>
      <c r="B1548" s="7" t="s">
        <v>2374</v>
      </c>
      <c r="C1548" s="13" t="s">
        <v>2375</v>
      </c>
      <c r="D1548" s="7" t="s">
        <v>213</v>
      </c>
      <c r="E1548" s="8" t="s">
        <v>17</v>
      </c>
      <c r="F1548" s="8" t="s">
        <v>318</v>
      </c>
      <c r="G1548" s="7" t="s">
        <v>2376</v>
      </c>
      <c r="H1548" s="7" t="s">
        <v>2362</v>
      </c>
      <c r="I1548" s="8">
        <v>2000.0</v>
      </c>
      <c r="J1548" s="8">
        <v>2.4</v>
      </c>
      <c r="K1548" s="8" t="s">
        <v>321</v>
      </c>
      <c r="L1548" s="8" t="s">
        <v>322</v>
      </c>
      <c r="M1548" s="8" t="s">
        <v>386</v>
      </c>
      <c r="N1548" s="8">
        <v>4.5</v>
      </c>
      <c r="O1548" s="14">
        <f t="shared" si="1"/>
        <v>44287</v>
      </c>
      <c r="P1548" s="15">
        <f>IFERROR(VLOOKUP(K1548,Formula!$A$11:$B$20,2,FALSE),Formula!$C$26)</f>
        <v>0.9</v>
      </c>
      <c r="Q1548" s="15">
        <f>IF(AND(ISNUMBER(J1548),J1548&gt;0),1/J1548,IF(AND(ISNUMBER(I1548),I1548&gt;0),SQRT(MIN(I1548,Formula!$C$27))/Formula!$C$24,1/Formula!$C$25))</f>
        <v>0.4166666667</v>
      </c>
      <c r="R1548" s="15">
        <f t="shared" si="2"/>
        <v>0.375</v>
      </c>
      <c r="S1548" s="15">
        <f>IF(H1548&lt;&gt;"",EXP(-Formula!$C$28*(EOMONTH(H1548,0)-H1548)),EXP(-Formula!$C$28*(EOMONTH(D1548,0)-D1548)))</f>
        <v>0.4065696597</v>
      </c>
      <c r="T1548" s="15">
        <f t="shared" si="3"/>
        <v>0.2773500981</v>
      </c>
      <c r="U1548" s="15">
        <f t="shared" si="4"/>
        <v>0.04228580063</v>
      </c>
      <c r="V1548" s="16">
        <f>IF(AND(L1548="Among all respondents",NOT(OR(K1548="Online poll in Telegram channel",K1548="Website online poll",K1548="CAWI (Computer Assisted Web Interviewing)"))),1/(1-MIN(MAX(Formula!$C$33+(YEAR(D1548)-Formula!$C$34)/(Formula!$C$35-Formula!$C$34)*(Formula!$C$32-Formula!$C$33),Formula!$C$33),Formula!$C$32)),1)</f>
        <v>1</v>
      </c>
      <c r="W1548" s="17">
        <f t="shared" si="5"/>
        <v>4.5</v>
      </c>
    </row>
    <row r="1549" ht="15.75" customHeight="1">
      <c r="A1549" s="8" t="s">
        <v>2382</v>
      </c>
      <c r="B1549" s="7" t="s">
        <v>2374</v>
      </c>
      <c r="C1549" s="13" t="s">
        <v>2375</v>
      </c>
      <c r="D1549" s="7" t="s">
        <v>213</v>
      </c>
      <c r="E1549" s="8" t="s">
        <v>17</v>
      </c>
      <c r="F1549" s="8" t="s">
        <v>318</v>
      </c>
      <c r="G1549" s="7" t="s">
        <v>2376</v>
      </c>
      <c r="H1549" s="7" t="s">
        <v>2362</v>
      </c>
      <c r="I1549" s="8">
        <v>2000.0</v>
      </c>
      <c r="J1549" s="8">
        <v>2.4</v>
      </c>
      <c r="K1549" s="8" t="s">
        <v>321</v>
      </c>
      <c r="L1549" s="8" t="s">
        <v>322</v>
      </c>
      <c r="M1549" s="8" t="s">
        <v>1153</v>
      </c>
      <c r="N1549" s="8">
        <v>3.0</v>
      </c>
      <c r="O1549" s="14">
        <f t="shared" si="1"/>
        <v>44287</v>
      </c>
      <c r="P1549" s="15">
        <f>IFERROR(VLOOKUP(K1549,Formula!$A$11:$B$20,2,FALSE),Formula!$C$26)</f>
        <v>0.9</v>
      </c>
      <c r="Q1549" s="15">
        <f>IF(AND(ISNUMBER(J1549),J1549&gt;0),1/J1549,IF(AND(ISNUMBER(I1549),I1549&gt;0),SQRT(MIN(I1549,Formula!$C$27))/Formula!$C$24,1/Formula!$C$25))</f>
        <v>0.4166666667</v>
      </c>
      <c r="R1549" s="15">
        <f t="shared" si="2"/>
        <v>0.375</v>
      </c>
      <c r="S1549" s="15">
        <f>IF(H1549&lt;&gt;"",EXP(-Formula!$C$28*(EOMONTH(H1549,0)-H1549)),EXP(-Formula!$C$28*(EOMONTH(D1549,0)-D1549)))</f>
        <v>0.4065696597</v>
      </c>
      <c r="T1549" s="15">
        <f t="shared" si="3"/>
        <v>0.2773500981</v>
      </c>
      <c r="U1549" s="15">
        <f t="shared" si="4"/>
        <v>0.04228580063</v>
      </c>
      <c r="V1549" s="16">
        <f>IF(AND(L1549="Among all respondents",NOT(OR(K1549="Online poll in Telegram channel",K1549="Website online poll",K1549="CAWI (Computer Assisted Web Interviewing)"))),1/(1-MIN(MAX(Formula!$C$33+(YEAR(D1549)-Formula!$C$34)/(Formula!$C$35-Formula!$C$34)*(Formula!$C$32-Formula!$C$33),Formula!$C$33),Formula!$C$32)),1)</f>
        <v>1</v>
      </c>
      <c r="W1549" s="17">
        <f t="shared" si="5"/>
        <v>3</v>
      </c>
    </row>
    <row r="1550" ht="15.75" customHeight="1">
      <c r="A1550" s="8" t="s">
        <v>2383</v>
      </c>
      <c r="B1550" s="7" t="s">
        <v>2374</v>
      </c>
      <c r="C1550" s="13" t="s">
        <v>2375</v>
      </c>
      <c r="D1550" s="7" t="s">
        <v>213</v>
      </c>
      <c r="E1550" s="8" t="s">
        <v>17</v>
      </c>
      <c r="F1550" s="8" t="s">
        <v>318</v>
      </c>
      <c r="G1550" s="7" t="s">
        <v>2376</v>
      </c>
      <c r="H1550" s="7" t="s">
        <v>2362</v>
      </c>
      <c r="I1550" s="8">
        <v>2000.0</v>
      </c>
      <c r="J1550" s="8">
        <v>2.4</v>
      </c>
      <c r="K1550" s="8" t="s">
        <v>321</v>
      </c>
      <c r="L1550" s="8" t="s">
        <v>322</v>
      </c>
      <c r="M1550" s="8" t="s">
        <v>388</v>
      </c>
      <c r="N1550" s="8">
        <v>2.7</v>
      </c>
      <c r="O1550" s="14">
        <f t="shared" si="1"/>
        <v>44287</v>
      </c>
      <c r="P1550" s="15">
        <f>IFERROR(VLOOKUP(K1550,Formula!$A$11:$B$20,2,FALSE),Formula!$C$26)</f>
        <v>0.9</v>
      </c>
      <c r="Q1550" s="15">
        <f>IF(AND(ISNUMBER(J1550),J1550&gt;0),1/J1550,IF(AND(ISNUMBER(I1550),I1550&gt;0),SQRT(MIN(I1550,Formula!$C$27))/Formula!$C$24,1/Formula!$C$25))</f>
        <v>0.4166666667</v>
      </c>
      <c r="R1550" s="15">
        <f t="shared" si="2"/>
        <v>0.375</v>
      </c>
      <c r="S1550" s="15">
        <f>IF(H1550&lt;&gt;"",EXP(-Formula!$C$28*(EOMONTH(H1550,0)-H1550)),EXP(-Formula!$C$28*(EOMONTH(D1550,0)-D1550)))</f>
        <v>0.4065696597</v>
      </c>
      <c r="T1550" s="15">
        <f t="shared" si="3"/>
        <v>0.2773500981</v>
      </c>
      <c r="U1550" s="15">
        <f t="shared" si="4"/>
        <v>0.04228580063</v>
      </c>
      <c r="V1550" s="16">
        <f>IF(AND(L1550="Among all respondents",NOT(OR(K1550="Online poll in Telegram channel",K1550="Website online poll",K1550="CAWI (Computer Assisted Web Interviewing)"))),1/(1-MIN(MAX(Formula!$C$33+(YEAR(D1550)-Formula!$C$34)/(Formula!$C$35-Formula!$C$34)*(Formula!$C$32-Formula!$C$33),Formula!$C$33),Formula!$C$32)),1)</f>
        <v>1</v>
      </c>
      <c r="W1550" s="17">
        <f t="shared" si="5"/>
        <v>2.7</v>
      </c>
    </row>
    <row r="1551" ht="15.75" customHeight="1">
      <c r="A1551" s="8" t="s">
        <v>2384</v>
      </c>
      <c r="B1551" s="7" t="s">
        <v>2374</v>
      </c>
      <c r="C1551" s="13" t="s">
        <v>2375</v>
      </c>
      <c r="D1551" s="7" t="s">
        <v>213</v>
      </c>
      <c r="E1551" s="8" t="s">
        <v>17</v>
      </c>
      <c r="F1551" s="8" t="s">
        <v>318</v>
      </c>
      <c r="G1551" s="7" t="s">
        <v>2376</v>
      </c>
      <c r="H1551" s="7" t="s">
        <v>2362</v>
      </c>
      <c r="I1551" s="8">
        <v>2000.0</v>
      </c>
      <c r="J1551" s="8">
        <v>2.4</v>
      </c>
      <c r="K1551" s="8" t="s">
        <v>321</v>
      </c>
      <c r="L1551" s="8" t="s">
        <v>322</v>
      </c>
      <c r="M1551" s="8" t="s">
        <v>333</v>
      </c>
      <c r="N1551" s="8">
        <v>2.5</v>
      </c>
      <c r="O1551" s="14">
        <f t="shared" si="1"/>
        <v>44287</v>
      </c>
      <c r="P1551" s="15">
        <f>IFERROR(VLOOKUP(K1551,Formula!$A$11:$B$20,2,FALSE),Formula!$C$26)</f>
        <v>0.9</v>
      </c>
      <c r="Q1551" s="15">
        <f>IF(AND(ISNUMBER(J1551),J1551&gt;0),1/J1551,IF(AND(ISNUMBER(I1551),I1551&gt;0),SQRT(MIN(I1551,Formula!$C$27))/Formula!$C$24,1/Formula!$C$25))</f>
        <v>0.4166666667</v>
      </c>
      <c r="R1551" s="15">
        <f t="shared" si="2"/>
        <v>0.375</v>
      </c>
      <c r="S1551" s="15">
        <f>IF(H1551&lt;&gt;"",EXP(-Formula!$C$28*(EOMONTH(H1551,0)-H1551)),EXP(-Formula!$C$28*(EOMONTH(D1551,0)-D1551)))</f>
        <v>0.4065696597</v>
      </c>
      <c r="T1551" s="15">
        <f t="shared" si="3"/>
        <v>0.2773500981</v>
      </c>
      <c r="U1551" s="15">
        <f t="shared" si="4"/>
        <v>0.04228580063</v>
      </c>
      <c r="V1551" s="16">
        <f>IF(AND(L1551="Among all respondents",NOT(OR(K1551="Online poll in Telegram channel",K1551="Website online poll",K1551="CAWI (Computer Assisted Web Interviewing)"))),1/(1-MIN(MAX(Formula!$C$33+(YEAR(D1551)-Formula!$C$34)/(Formula!$C$35-Formula!$C$34)*(Formula!$C$32-Formula!$C$33),Formula!$C$33),Formula!$C$32)),1)</f>
        <v>1</v>
      </c>
      <c r="W1551" s="17">
        <f t="shared" si="5"/>
        <v>2.5</v>
      </c>
    </row>
    <row r="1552" ht="15.75" customHeight="1">
      <c r="A1552" s="8" t="s">
        <v>2385</v>
      </c>
      <c r="B1552" s="7" t="s">
        <v>2374</v>
      </c>
      <c r="C1552" s="13" t="s">
        <v>2375</v>
      </c>
      <c r="D1552" s="7" t="s">
        <v>213</v>
      </c>
      <c r="E1552" s="8" t="s">
        <v>17</v>
      </c>
      <c r="F1552" s="8" t="s">
        <v>318</v>
      </c>
      <c r="G1552" s="7" t="s">
        <v>2376</v>
      </c>
      <c r="H1552" s="7" t="s">
        <v>2362</v>
      </c>
      <c r="I1552" s="8">
        <v>2000.0</v>
      </c>
      <c r="J1552" s="8">
        <v>2.4</v>
      </c>
      <c r="K1552" s="8" t="s">
        <v>321</v>
      </c>
      <c r="L1552" s="8" t="s">
        <v>322</v>
      </c>
      <c r="M1552" s="8" t="s">
        <v>1334</v>
      </c>
      <c r="N1552" s="8">
        <v>2.2</v>
      </c>
      <c r="O1552" s="14">
        <f t="shared" si="1"/>
        <v>44287</v>
      </c>
      <c r="P1552" s="15">
        <f>IFERROR(VLOOKUP(K1552,Formula!$A$11:$B$20,2,FALSE),Formula!$C$26)</f>
        <v>0.9</v>
      </c>
      <c r="Q1552" s="15">
        <f>IF(AND(ISNUMBER(J1552),J1552&gt;0),1/J1552,IF(AND(ISNUMBER(I1552),I1552&gt;0),SQRT(MIN(I1552,Formula!$C$27))/Formula!$C$24,1/Formula!$C$25))</f>
        <v>0.4166666667</v>
      </c>
      <c r="R1552" s="15">
        <f t="shared" si="2"/>
        <v>0.375</v>
      </c>
      <c r="S1552" s="15">
        <f>IF(H1552&lt;&gt;"",EXP(-Formula!$C$28*(EOMONTH(H1552,0)-H1552)),EXP(-Formula!$C$28*(EOMONTH(D1552,0)-D1552)))</f>
        <v>0.4065696597</v>
      </c>
      <c r="T1552" s="15">
        <f t="shared" si="3"/>
        <v>0.2773500981</v>
      </c>
      <c r="U1552" s="15">
        <f t="shared" si="4"/>
        <v>0.04228580063</v>
      </c>
      <c r="V1552" s="16">
        <f>IF(AND(L1552="Among all respondents",NOT(OR(K1552="Online poll in Telegram channel",K1552="Website online poll",K1552="CAWI (Computer Assisted Web Interviewing)"))),1/(1-MIN(MAX(Formula!$C$33+(YEAR(D1552)-Formula!$C$34)/(Formula!$C$35-Formula!$C$34)*(Formula!$C$32-Formula!$C$33),Formula!$C$33),Formula!$C$32)),1)</f>
        <v>1</v>
      </c>
      <c r="W1552" s="17">
        <f t="shared" si="5"/>
        <v>2.2</v>
      </c>
    </row>
    <row r="1553" ht="15.75" customHeight="1">
      <c r="A1553" s="8" t="s">
        <v>2386</v>
      </c>
      <c r="B1553" s="7" t="s">
        <v>2374</v>
      </c>
      <c r="C1553" s="13" t="s">
        <v>2375</v>
      </c>
      <c r="D1553" s="7" t="s">
        <v>213</v>
      </c>
      <c r="E1553" s="8" t="s">
        <v>17</v>
      </c>
      <c r="F1553" s="8" t="s">
        <v>318</v>
      </c>
      <c r="G1553" s="7" t="s">
        <v>2376</v>
      </c>
      <c r="H1553" s="7" t="s">
        <v>2362</v>
      </c>
      <c r="I1553" s="8">
        <v>2000.0</v>
      </c>
      <c r="J1553" s="8">
        <v>2.4</v>
      </c>
      <c r="K1553" s="8" t="s">
        <v>321</v>
      </c>
      <c r="L1553" s="8" t="s">
        <v>322</v>
      </c>
      <c r="M1553" s="8" t="s">
        <v>343</v>
      </c>
      <c r="N1553" s="8">
        <v>1.3</v>
      </c>
      <c r="O1553" s="14">
        <f t="shared" si="1"/>
        <v>44287</v>
      </c>
      <c r="P1553" s="15">
        <f>IFERROR(VLOOKUP(K1553,Formula!$A$11:$B$20,2,FALSE),Formula!$C$26)</f>
        <v>0.9</v>
      </c>
      <c r="Q1553" s="15">
        <f>IF(AND(ISNUMBER(J1553),J1553&gt;0),1/J1553,IF(AND(ISNUMBER(I1553),I1553&gt;0),SQRT(MIN(I1553,Formula!$C$27))/Formula!$C$24,1/Formula!$C$25))</f>
        <v>0.4166666667</v>
      </c>
      <c r="R1553" s="15">
        <f t="shared" si="2"/>
        <v>0.375</v>
      </c>
      <c r="S1553" s="15">
        <f>IF(H1553&lt;&gt;"",EXP(-Formula!$C$28*(EOMONTH(H1553,0)-H1553)),EXP(-Formula!$C$28*(EOMONTH(D1553,0)-D1553)))</f>
        <v>0.4065696597</v>
      </c>
      <c r="T1553" s="15">
        <f t="shared" si="3"/>
        <v>0.2773500981</v>
      </c>
      <c r="U1553" s="15">
        <f t="shared" si="4"/>
        <v>0.04228580063</v>
      </c>
      <c r="V1553" s="16">
        <f>IF(AND(L1553="Among all respondents",NOT(OR(K1553="Online poll in Telegram channel",K1553="Website online poll",K1553="CAWI (Computer Assisted Web Interviewing)"))),1/(1-MIN(MAX(Formula!$C$33+(YEAR(D1553)-Formula!$C$34)/(Formula!$C$35-Formula!$C$34)*(Formula!$C$32-Formula!$C$33),Formula!$C$33),Formula!$C$32)),1)</f>
        <v>1</v>
      </c>
      <c r="W1553" s="17">
        <f t="shared" si="5"/>
        <v>1.3</v>
      </c>
    </row>
    <row r="1554" ht="15.75" customHeight="1">
      <c r="A1554" s="8" t="s">
        <v>2387</v>
      </c>
      <c r="B1554" s="7" t="s">
        <v>2374</v>
      </c>
      <c r="C1554" s="13" t="s">
        <v>2375</v>
      </c>
      <c r="D1554" s="7" t="s">
        <v>213</v>
      </c>
      <c r="E1554" s="8" t="s">
        <v>17</v>
      </c>
      <c r="F1554" s="8" t="s">
        <v>318</v>
      </c>
      <c r="G1554" s="7" t="s">
        <v>2376</v>
      </c>
      <c r="H1554" s="7" t="s">
        <v>2362</v>
      </c>
      <c r="I1554" s="8">
        <v>2000.0</v>
      </c>
      <c r="J1554" s="8">
        <v>2.4</v>
      </c>
      <c r="K1554" s="8" t="s">
        <v>321</v>
      </c>
      <c r="L1554" s="8" t="s">
        <v>322</v>
      </c>
      <c r="M1554" s="8" t="s">
        <v>740</v>
      </c>
      <c r="N1554" s="8">
        <v>0.9</v>
      </c>
      <c r="O1554" s="14">
        <f t="shared" si="1"/>
        <v>44287</v>
      </c>
      <c r="P1554" s="15">
        <f>IFERROR(VLOOKUP(K1554,Formula!$A$11:$B$20,2,FALSE),Formula!$C$26)</f>
        <v>0.9</v>
      </c>
      <c r="Q1554" s="15">
        <f>IF(AND(ISNUMBER(J1554),J1554&gt;0),1/J1554,IF(AND(ISNUMBER(I1554),I1554&gt;0),SQRT(MIN(I1554,Formula!$C$27))/Formula!$C$24,1/Formula!$C$25))</f>
        <v>0.4166666667</v>
      </c>
      <c r="R1554" s="15">
        <f t="shared" si="2"/>
        <v>0.375</v>
      </c>
      <c r="S1554" s="15">
        <f>IF(H1554&lt;&gt;"",EXP(-Formula!$C$28*(EOMONTH(H1554,0)-H1554)),EXP(-Formula!$C$28*(EOMONTH(D1554,0)-D1554)))</f>
        <v>0.4065696597</v>
      </c>
      <c r="T1554" s="15">
        <f t="shared" si="3"/>
        <v>0.2773500981</v>
      </c>
      <c r="U1554" s="15">
        <f t="shared" si="4"/>
        <v>0.04228580063</v>
      </c>
      <c r="V1554" s="16">
        <f>IF(AND(L1554="Among all respondents",NOT(OR(K1554="Online poll in Telegram channel",K1554="Website online poll",K1554="CAWI (Computer Assisted Web Interviewing)"))),1/(1-MIN(MAX(Formula!$C$33+(YEAR(D1554)-Formula!$C$34)/(Formula!$C$35-Formula!$C$34)*(Formula!$C$32-Formula!$C$33),Formula!$C$33),Formula!$C$32)),1)</f>
        <v>1</v>
      </c>
      <c r="W1554" s="17">
        <f t="shared" si="5"/>
        <v>0.9</v>
      </c>
    </row>
    <row r="1555" ht="15.75" customHeight="1">
      <c r="A1555" s="8" t="s">
        <v>2388</v>
      </c>
      <c r="B1555" s="7" t="s">
        <v>2374</v>
      </c>
      <c r="C1555" s="13" t="s">
        <v>2375</v>
      </c>
      <c r="D1555" s="7" t="s">
        <v>213</v>
      </c>
      <c r="E1555" s="8" t="s">
        <v>17</v>
      </c>
      <c r="F1555" s="8" t="s">
        <v>318</v>
      </c>
      <c r="G1555" s="7" t="s">
        <v>2376</v>
      </c>
      <c r="H1555" s="7" t="s">
        <v>2362</v>
      </c>
      <c r="I1555" s="8">
        <v>2000.0</v>
      </c>
      <c r="J1555" s="8">
        <v>2.4</v>
      </c>
      <c r="K1555" s="8" t="s">
        <v>321</v>
      </c>
      <c r="L1555" s="8" t="s">
        <v>322</v>
      </c>
      <c r="M1555" s="8" t="s">
        <v>1171</v>
      </c>
      <c r="N1555" s="8">
        <v>0.4</v>
      </c>
      <c r="O1555" s="14">
        <f t="shared" si="1"/>
        <v>44287</v>
      </c>
      <c r="P1555" s="15">
        <f>IFERROR(VLOOKUP(K1555,Formula!$A$11:$B$20,2,FALSE),Formula!$C$26)</f>
        <v>0.9</v>
      </c>
      <c r="Q1555" s="15">
        <f>IF(AND(ISNUMBER(J1555),J1555&gt;0),1/J1555,IF(AND(ISNUMBER(I1555),I1555&gt;0),SQRT(MIN(I1555,Formula!$C$27))/Formula!$C$24,1/Formula!$C$25))</f>
        <v>0.4166666667</v>
      </c>
      <c r="R1555" s="15">
        <f t="shared" si="2"/>
        <v>0.375</v>
      </c>
      <c r="S1555" s="15">
        <f>IF(H1555&lt;&gt;"",EXP(-Formula!$C$28*(EOMONTH(H1555,0)-H1555)),EXP(-Formula!$C$28*(EOMONTH(D1555,0)-D1555)))</f>
        <v>0.4065696597</v>
      </c>
      <c r="T1555" s="15">
        <f t="shared" si="3"/>
        <v>0.2773500981</v>
      </c>
      <c r="U1555" s="15">
        <f t="shared" si="4"/>
        <v>0.04228580063</v>
      </c>
      <c r="V1555" s="16">
        <f>IF(AND(L1555="Among all respondents",NOT(OR(K1555="Online poll in Telegram channel",K1555="Website online poll",K1555="CAWI (Computer Assisted Web Interviewing)"))),1/(1-MIN(MAX(Formula!$C$33+(YEAR(D1555)-Formula!$C$34)/(Formula!$C$35-Formula!$C$34)*(Formula!$C$32-Formula!$C$33),Formula!$C$33),Formula!$C$32)),1)</f>
        <v>1</v>
      </c>
      <c r="W1555" s="17">
        <f t="shared" si="5"/>
        <v>0.4</v>
      </c>
    </row>
    <row r="1556" ht="15.75" customHeight="1">
      <c r="A1556" s="8" t="s">
        <v>2389</v>
      </c>
      <c r="B1556" s="7" t="s">
        <v>2390</v>
      </c>
      <c r="C1556" s="13" t="s">
        <v>2391</v>
      </c>
      <c r="D1556" s="7" t="s">
        <v>214</v>
      </c>
      <c r="E1556" s="8" t="s">
        <v>40</v>
      </c>
      <c r="F1556" s="8" t="s">
        <v>318</v>
      </c>
      <c r="G1556" s="7" t="s">
        <v>2392</v>
      </c>
      <c r="H1556" s="7" t="s">
        <v>2393</v>
      </c>
      <c r="I1556" s="8">
        <v>2500.0</v>
      </c>
      <c r="J1556" s="8">
        <v>2.0</v>
      </c>
      <c r="K1556" s="8" t="s">
        <v>321</v>
      </c>
      <c r="L1556" s="8" t="s">
        <v>322</v>
      </c>
      <c r="M1556" s="8" t="s">
        <v>323</v>
      </c>
      <c r="N1556" s="8">
        <v>24.9</v>
      </c>
      <c r="O1556" s="14">
        <f t="shared" si="1"/>
        <v>44287</v>
      </c>
      <c r="P1556" s="15">
        <f>IFERROR(VLOOKUP(K1556,Formula!$A$11:$B$20,2,FALSE),Formula!$C$26)</f>
        <v>0.9</v>
      </c>
      <c r="Q1556" s="15">
        <f>IF(AND(ISNUMBER(J1556),J1556&gt;0),1/J1556,IF(AND(ISNUMBER(I1556),I1556&gt;0),SQRT(MIN(I1556,Formula!$C$27))/Formula!$C$24,1/Formula!$C$25))</f>
        <v>0.5</v>
      </c>
      <c r="R1556" s="15">
        <f t="shared" si="2"/>
        <v>0.45</v>
      </c>
      <c r="S1556" s="15">
        <f>IF(H1556&lt;&gt;"",EXP(-Formula!$C$28*(EOMONTH(H1556,0)-H1556)),EXP(-Formula!$C$28*(EOMONTH(D1556,0)-D1556)))</f>
        <v>0.3166367694</v>
      </c>
      <c r="T1556" s="15">
        <f t="shared" si="3"/>
        <v>0.2773500981</v>
      </c>
      <c r="U1556" s="15">
        <f t="shared" si="4"/>
        <v>0.03951865757</v>
      </c>
      <c r="V1556" s="16">
        <f>IF(AND(L1556="Among all respondents",NOT(OR(K1556="Online poll in Telegram channel",K1556="Website online poll",K1556="CAWI (Computer Assisted Web Interviewing)"))),1/(1-MIN(MAX(Formula!$C$33+(YEAR(D1556)-Formula!$C$34)/(Formula!$C$35-Formula!$C$34)*(Formula!$C$32-Formula!$C$33),Formula!$C$33),Formula!$C$32)),1)</f>
        <v>1</v>
      </c>
      <c r="W1556" s="17">
        <f t="shared" si="5"/>
        <v>24.9</v>
      </c>
    </row>
    <row r="1557" ht="15.75" customHeight="1">
      <c r="A1557" s="8" t="s">
        <v>2394</v>
      </c>
      <c r="B1557" s="7" t="s">
        <v>2390</v>
      </c>
      <c r="C1557" s="13" t="s">
        <v>2391</v>
      </c>
      <c r="D1557" s="7" t="s">
        <v>214</v>
      </c>
      <c r="E1557" s="8" t="s">
        <v>40</v>
      </c>
      <c r="F1557" s="8" t="s">
        <v>318</v>
      </c>
      <c r="G1557" s="7" t="s">
        <v>2392</v>
      </c>
      <c r="H1557" s="7" t="s">
        <v>2393</v>
      </c>
      <c r="I1557" s="8">
        <v>2500.0</v>
      </c>
      <c r="J1557" s="8">
        <v>2.0</v>
      </c>
      <c r="K1557" s="8" t="s">
        <v>321</v>
      </c>
      <c r="L1557" s="8" t="s">
        <v>322</v>
      </c>
      <c r="M1557" s="8" t="s">
        <v>329</v>
      </c>
      <c r="N1557" s="8">
        <v>13.1</v>
      </c>
      <c r="O1557" s="14">
        <f t="shared" si="1"/>
        <v>44287</v>
      </c>
      <c r="P1557" s="15">
        <f>IFERROR(VLOOKUP(K1557,Formula!$A$11:$B$20,2,FALSE),Formula!$C$26)</f>
        <v>0.9</v>
      </c>
      <c r="Q1557" s="15">
        <f>IF(AND(ISNUMBER(J1557),J1557&gt;0),1/J1557,IF(AND(ISNUMBER(I1557),I1557&gt;0),SQRT(MIN(I1557,Formula!$C$27))/Formula!$C$24,1/Formula!$C$25))</f>
        <v>0.5</v>
      </c>
      <c r="R1557" s="15">
        <f t="shared" si="2"/>
        <v>0.45</v>
      </c>
      <c r="S1557" s="15">
        <f>IF(H1557&lt;&gt;"",EXP(-Formula!$C$28*(EOMONTH(H1557,0)-H1557)),EXP(-Formula!$C$28*(EOMONTH(D1557,0)-D1557)))</f>
        <v>0.3166367694</v>
      </c>
      <c r="T1557" s="15">
        <f t="shared" si="3"/>
        <v>0.2773500981</v>
      </c>
      <c r="U1557" s="15">
        <f t="shared" si="4"/>
        <v>0.03951865757</v>
      </c>
      <c r="V1557" s="16">
        <f>IF(AND(L1557="Among all respondents",NOT(OR(K1557="Online poll in Telegram channel",K1557="Website online poll",K1557="CAWI (Computer Assisted Web Interviewing)"))),1/(1-MIN(MAX(Formula!$C$33+(YEAR(D1557)-Formula!$C$34)/(Formula!$C$35-Formula!$C$34)*(Formula!$C$32-Formula!$C$33),Formula!$C$33),Formula!$C$32)),1)</f>
        <v>1</v>
      </c>
      <c r="W1557" s="17">
        <f t="shared" si="5"/>
        <v>13.1</v>
      </c>
    </row>
    <row r="1558" ht="15.75" customHeight="1">
      <c r="A1558" s="8" t="s">
        <v>2395</v>
      </c>
      <c r="B1558" s="7" t="s">
        <v>2390</v>
      </c>
      <c r="C1558" s="13" t="s">
        <v>2391</v>
      </c>
      <c r="D1558" s="7" t="s">
        <v>214</v>
      </c>
      <c r="E1558" s="8" t="s">
        <v>40</v>
      </c>
      <c r="F1558" s="8" t="s">
        <v>318</v>
      </c>
      <c r="G1558" s="7" t="s">
        <v>2392</v>
      </c>
      <c r="H1558" s="7" t="s">
        <v>2393</v>
      </c>
      <c r="I1558" s="8">
        <v>2500.0</v>
      </c>
      <c r="J1558" s="8">
        <v>2.0</v>
      </c>
      <c r="K1558" s="8" t="s">
        <v>321</v>
      </c>
      <c r="L1558" s="8" t="s">
        <v>322</v>
      </c>
      <c r="M1558" s="8" t="s">
        <v>337</v>
      </c>
      <c r="N1558" s="8">
        <v>12.1</v>
      </c>
      <c r="O1558" s="14">
        <f t="shared" si="1"/>
        <v>44287</v>
      </c>
      <c r="P1558" s="15">
        <f>IFERROR(VLOOKUP(K1558,Formula!$A$11:$B$20,2,FALSE),Formula!$C$26)</f>
        <v>0.9</v>
      </c>
      <c r="Q1558" s="15">
        <f>IF(AND(ISNUMBER(J1558),J1558&gt;0),1/J1558,IF(AND(ISNUMBER(I1558),I1558&gt;0),SQRT(MIN(I1558,Formula!$C$27))/Formula!$C$24,1/Formula!$C$25))</f>
        <v>0.5</v>
      </c>
      <c r="R1558" s="15">
        <f t="shared" si="2"/>
        <v>0.45</v>
      </c>
      <c r="S1558" s="15">
        <f>IF(H1558&lt;&gt;"",EXP(-Formula!$C$28*(EOMONTH(H1558,0)-H1558)),EXP(-Formula!$C$28*(EOMONTH(D1558,0)-D1558)))</f>
        <v>0.3166367694</v>
      </c>
      <c r="T1558" s="15">
        <f t="shared" si="3"/>
        <v>0.2773500981</v>
      </c>
      <c r="U1558" s="15">
        <f t="shared" si="4"/>
        <v>0.03951865757</v>
      </c>
      <c r="V1558" s="16">
        <f>IF(AND(L1558="Among all respondents",NOT(OR(K1558="Online poll in Telegram channel",K1558="Website online poll",K1558="CAWI (Computer Assisted Web Interviewing)"))),1/(1-MIN(MAX(Formula!$C$33+(YEAR(D1558)-Formula!$C$34)/(Formula!$C$35-Formula!$C$34)*(Formula!$C$32-Formula!$C$33),Formula!$C$33),Formula!$C$32)),1)</f>
        <v>1</v>
      </c>
      <c r="W1558" s="17">
        <f t="shared" si="5"/>
        <v>12.1</v>
      </c>
    </row>
    <row r="1559" ht="15.75" customHeight="1">
      <c r="A1559" s="8" t="s">
        <v>2396</v>
      </c>
      <c r="B1559" s="7" t="s">
        <v>2390</v>
      </c>
      <c r="C1559" s="13" t="s">
        <v>2391</v>
      </c>
      <c r="D1559" s="7" t="s">
        <v>214</v>
      </c>
      <c r="E1559" s="8" t="s">
        <v>40</v>
      </c>
      <c r="F1559" s="8" t="s">
        <v>318</v>
      </c>
      <c r="G1559" s="7" t="s">
        <v>2392</v>
      </c>
      <c r="H1559" s="7" t="s">
        <v>2393</v>
      </c>
      <c r="I1559" s="8">
        <v>2500.0</v>
      </c>
      <c r="J1559" s="8">
        <v>2.0</v>
      </c>
      <c r="K1559" s="8" t="s">
        <v>321</v>
      </c>
      <c r="L1559" s="8" t="s">
        <v>322</v>
      </c>
      <c r="M1559" s="8" t="s">
        <v>365</v>
      </c>
      <c r="N1559" s="8">
        <v>11.9</v>
      </c>
      <c r="O1559" s="14">
        <f t="shared" si="1"/>
        <v>44287</v>
      </c>
      <c r="P1559" s="15">
        <f>IFERROR(VLOOKUP(K1559,Formula!$A$11:$B$20,2,FALSE),Formula!$C$26)</f>
        <v>0.9</v>
      </c>
      <c r="Q1559" s="15">
        <f>IF(AND(ISNUMBER(J1559),J1559&gt;0),1/J1559,IF(AND(ISNUMBER(I1559),I1559&gt;0),SQRT(MIN(I1559,Formula!$C$27))/Formula!$C$24,1/Formula!$C$25))</f>
        <v>0.5</v>
      </c>
      <c r="R1559" s="15">
        <f t="shared" si="2"/>
        <v>0.45</v>
      </c>
      <c r="S1559" s="15">
        <f>IF(H1559&lt;&gt;"",EXP(-Formula!$C$28*(EOMONTH(H1559,0)-H1559)),EXP(-Formula!$C$28*(EOMONTH(D1559,0)-D1559)))</f>
        <v>0.3166367694</v>
      </c>
      <c r="T1559" s="15">
        <f t="shared" si="3"/>
        <v>0.2773500981</v>
      </c>
      <c r="U1559" s="15">
        <f t="shared" si="4"/>
        <v>0.03951865757</v>
      </c>
      <c r="V1559" s="16">
        <f>IF(AND(L1559="Among all respondents",NOT(OR(K1559="Online poll in Telegram channel",K1559="Website online poll",K1559="CAWI (Computer Assisted Web Interviewing)"))),1/(1-MIN(MAX(Formula!$C$33+(YEAR(D1559)-Formula!$C$34)/(Formula!$C$35-Formula!$C$34)*(Formula!$C$32-Formula!$C$33),Formula!$C$33),Formula!$C$32)),1)</f>
        <v>1</v>
      </c>
      <c r="W1559" s="17">
        <f t="shared" si="5"/>
        <v>11.9</v>
      </c>
    </row>
    <row r="1560" ht="15.75" customHeight="1">
      <c r="A1560" s="8" t="s">
        <v>2397</v>
      </c>
      <c r="B1560" s="7" t="s">
        <v>2390</v>
      </c>
      <c r="C1560" s="13" t="s">
        <v>2391</v>
      </c>
      <c r="D1560" s="7" t="s">
        <v>214</v>
      </c>
      <c r="E1560" s="8" t="s">
        <v>40</v>
      </c>
      <c r="F1560" s="8" t="s">
        <v>318</v>
      </c>
      <c r="G1560" s="7" t="s">
        <v>2392</v>
      </c>
      <c r="H1560" s="7" t="s">
        <v>2393</v>
      </c>
      <c r="I1560" s="8">
        <v>2500.0</v>
      </c>
      <c r="J1560" s="8">
        <v>2.0</v>
      </c>
      <c r="K1560" s="8" t="s">
        <v>321</v>
      </c>
      <c r="L1560" s="8" t="s">
        <v>322</v>
      </c>
      <c r="M1560" s="8" t="s">
        <v>828</v>
      </c>
      <c r="N1560" s="8">
        <v>6.8</v>
      </c>
      <c r="O1560" s="14">
        <f t="shared" si="1"/>
        <v>44287</v>
      </c>
      <c r="P1560" s="15">
        <f>IFERROR(VLOOKUP(K1560,Formula!$A$11:$B$20,2,FALSE),Formula!$C$26)</f>
        <v>0.9</v>
      </c>
      <c r="Q1560" s="15">
        <f>IF(AND(ISNUMBER(J1560),J1560&gt;0),1/J1560,IF(AND(ISNUMBER(I1560),I1560&gt;0),SQRT(MIN(I1560,Formula!$C$27))/Formula!$C$24,1/Formula!$C$25))</f>
        <v>0.5</v>
      </c>
      <c r="R1560" s="15">
        <f t="shared" si="2"/>
        <v>0.45</v>
      </c>
      <c r="S1560" s="15">
        <f>IF(H1560&lt;&gt;"",EXP(-Formula!$C$28*(EOMONTH(H1560,0)-H1560)),EXP(-Formula!$C$28*(EOMONTH(D1560,0)-D1560)))</f>
        <v>0.3166367694</v>
      </c>
      <c r="T1560" s="15">
        <f t="shared" si="3"/>
        <v>0.2773500981</v>
      </c>
      <c r="U1560" s="15">
        <f t="shared" si="4"/>
        <v>0.03951865757</v>
      </c>
      <c r="V1560" s="16">
        <f>IF(AND(L1560="Among all respondents",NOT(OR(K1560="Online poll in Telegram channel",K1560="Website online poll",K1560="CAWI (Computer Assisted Web Interviewing)"))),1/(1-MIN(MAX(Formula!$C$33+(YEAR(D1560)-Formula!$C$34)/(Formula!$C$35-Formula!$C$34)*(Formula!$C$32-Formula!$C$33),Formula!$C$33),Formula!$C$32)),1)</f>
        <v>1</v>
      </c>
      <c r="W1560" s="17">
        <f t="shared" si="5"/>
        <v>6.8</v>
      </c>
    </row>
    <row r="1561" ht="15.75" customHeight="1">
      <c r="A1561" s="8" t="s">
        <v>2398</v>
      </c>
      <c r="B1561" s="7" t="s">
        <v>2390</v>
      </c>
      <c r="C1561" s="13" t="s">
        <v>2391</v>
      </c>
      <c r="D1561" s="7" t="s">
        <v>214</v>
      </c>
      <c r="E1561" s="8" t="s">
        <v>40</v>
      </c>
      <c r="F1561" s="8" t="s">
        <v>318</v>
      </c>
      <c r="G1561" s="7" t="s">
        <v>2392</v>
      </c>
      <c r="H1561" s="7" t="s">
        <v>2393</v>
      </c>
      <c r="I1561" s="8">
        <v>2500.0</v>
      </c>
      <c r="J1561" s="8">
        <v>2.0</v>
      </c>
      <c r="K1561" s="8" t="s">
        <v>321</v>
      </c>
      <c r="L1561" s="8" t="s">
        <v>322</v>
      </c>
      <c r="M1561" s="8" t="s">
        <v>386</v>
      </c>
      <c r="N1561" s="8">
        <v>5.1</v>
      </c>
      <c r="O1561" s="14">
        <f t="shared" si="1"/>
        <v>44287</v>
      </c>
      <c r="P1561" s="15">
        <f>IFERROR(VLOOKUP(K1561,Formula!$A$11:$B$20,2,FALSE),Formula!$C$26)</f>
        <v>0.9</v>
      </c>
      <c r="Q1561" s="15">
        <f>IF(AND(ISNUMBER(J1561),J1561&gt;0),1/J1561,IF(AND(ISNUMBER(I1561),I1561&gt;0),SQRT(MIN(I1561,Formula!$C$27))/Formula!$C$24,1/Formula!$C$25))</f>
        <v>0.5</v>
      </c>
      <c r="R1561" s="15">
        <f t="shared" si="2"/>
        <v>0.45</v>
      </c>
      <c r="S1561" s="15">
        <f>IF(H1561&lt;&gt;"",EXP(-Formula!$C$28*(EOMONTH(H1561,0)-H1561)),EXP(-Formula!$C$28*(EOMONTH(D1561,0)-D1561)))</f>
        <v>0.3166367694</v>
      </c>
      <c r="T1561" s="15">
        <f t="shared" si="3"/>
        <v>0.2773500981</v>
      </c>
      <c r="U1561" s="15">
        <f t="shared" si="4"/>
        <v>0.03951865757</v>
      </c>
      <c r="V1561" s="16">
        <f>IF(AND(L1561="Among all respondents",NOT(OR(K1561="Online poll in Telegram channel",K1561="Website online poll",K1561="CAWI (Computer Assisted Web Interviewing)"))),1/(1-MIN(MAX(Formula!$C$33+(YEAR(D1561)-Formula!$C$34)/(Formula!$C$35-Formula!$C$34)*(Formula!$C$32-Formula!$C$33),Formula!$C$33),Formula!$C$32)),1)</f>
        <v>1</v>
      </c>
      <c r="W1561" s="17">
        <f t="shared" si="5"/>
        <v>5.1</v>
      </c>
    </row>
    <row r="1562" ht="15.75" customHeight="1">
      <c r="A1562" s="8" t="s">
        <v>2399</v>
      </c>
      <c r="B1562" s="7" t="s">
        <v>2390</v>
      </c>
      <c r="C1562" s="13" t="s">
        <v>2391</v>
      </c>
      <c r="D1562" s="7" t="s">
        <v>214</v>
      </c>
      <c r="E1562" s="8" t="s">
        <v>40</v>
      </c>
      <c r="F1562" s="8" t="s">
        <v>318</v>
      </c>
      <c r="G1562" s="7" t="s">
        <v>2392</v>
      </c>
      <c r="H1562" s="7" t="s">
        <v>2393</v>
      </c>
      <c r="I1562" s="8">
        <v>2500.0</v>
      </c>
      <c r="J1562" s="8">
        <v>2.0</v>
      </c>
      <c r="K1562" s="8" t="s">
        <v>321</v>
      </c>
      <c r="L1562" s="8" t="s">
        <v>322</v>
      </c>
      <c r="M1562" s="8" t="s">
        <v>388</v>
      </c>
      <c r="N1562" s="8">
        <v>4.9</v>
      </c>
      <c r="O1562" s="14">
        <f t="shared" si="1"/>
        <v>44287</v>
      </c>
      <c r="P1562" s="15">
        <f>IFERROR(VLOOKUP(K1562,Formula!$A$11:$B$20,2,FALSE),Formula!$C$26)</f>
        <v>0.9</v>
      </c>
      <c r="Q1562" s="15">
        <f>IF(AND(ISNUMBER(J1562),J1562&gt;0),1/J1562,IF(AND(ISNUMBER(I1562),I1562&gt;0),SQRT(MIN(I1562,Formula!$C$27))/Formula!$C$24,1/Formula!$C$25))</f>
        <v>0.5</v>
      </c>
      <c r="R1562" s="15">
        <f t="shared" si="2"/>
        <v>0.45</v>
      </c>
      <c r="S1562" s="15">
        <f>IF(H1562&lt;&gt;"",EXP(-Formula!$C$28*(EOMONTH(H1562,0)-H1562)),EXP(-Formula!$C$28*(EOMONTH(D1562,0)-D1562)))</f>
        <v>0.3166367694</v>
      </c>
      <c r="T1562" s="15">
        <f t="shared" si="3"/>
        <v>0.2773500981</v>
      </c>
      <c r="U1562" s="15">
        <f t="shared" si="4"/>
        <v>0.03951865757</v>
      </c>
      <c r="V1562" s="16">
        <f>IF(AND(L1562="Among all respondents",NOT(OR(K1562="Online poll in Telegram channel",K1562="Website online poll",K1562="CAWI (Computer Assisted Web Interviewing)"))),1/(1-MIN(MAX(Formula!$C$33+(YEAR(D1562)-Formula!$C$34)/(Formula!$C$35-Formula!$C$34)*(Formula!$C$32-Formula!$C$33),Formula!$C$33),Formula!$C$32)),1)</f>
        <v>1</v>
      </c>
      <c r="W1562" s="17">
        <f t="shared" si="5"/>
        <v>4.9</v>
      </c>
    </row>
    <row r="1563" ht="15.75" customHeight="1">
      <c r="A1563" s="8" t="s">
        <v>2400</v>
      </c>
      <c r="B1563" s="7" t="s">
        <v>2390</v>
      </c>
      <c r="C1563" s="13" t="s">
        <v>2391</v>
      </c>
      <c r="D1563" s="7" t="s">
        <v>214</v>
      </c>
      <c r="E1563" s="8" t="s">
        <v>40</v>
      </c>
      <c r="F1563" s="8" t="s">
        <v>318</v>
      </c>
      <c r="G1563" s="7" t="s">
        <v>2392</v>
      </c>
      <c r="H1563" s="7" t="s">
        <v>2393</v>
      </c>
      <c r="I1563" s="8">
        <v>2500.0</v>
      </c>
      <c r="J1563" s="8">
        <v>2.0</v>
      </c>
      <c r="K1563" s="8" t="s">
        <v>321</v>
      </c>
      <c r="L1563" s="8" t="s">
        <v>322</v>
      </c>
      <c r="M1563" s="8" t="s">
        <v>333</v>
      </c>
      <c r="N1563" s="8">
        <v>4.8</v>
      </c>
      <c r="O1563" s="14">
        <f t="shared" si="1"/>
        <v>44287</v>
      </c>
      <c r="P1563" s="15">
        <f>IFERROR(VLOOKUP(K1563,Formula!$A$11:$B$20,2,FALSE),Formula!$C$26)</f>
        <v>0.9</v>
      </c>
      <c r="Q1563" s="15">
        <f>IF(AND(ISNUMBER(J1563),J1563&gt;0),1/J1563,IF(AND(ISNUMBER(I1563),I1563&gt;0),SQRT(MIN(I1563,Formula!$C$27))/Formula!$C$24,1/Formula!$C$25))</f>
        <v>0.5</v>
      </c>
      <c r="R1563" s="15">
        <f t="shared" si="2"/>
        <v>0.45</v>
      </c>
      <c r="S1563" s="15">
        <f>IF(H1563&lt;&gt;"",EXP(-Formula!$C$28*(EOMONTH(H1563,0)-H1563)),EXP(-Formula!$C$28*(EOMONTH(D1563,0)-D1563)))</f>
        <v>0.3166367694</v>
      </c>
      <c r="T1563" s="15">
        <f t="shared" si="3"/>
        <v>0.2773500981</v>
      </c>
      <c r="U1563" s="15">
        <f t="shared" si="4"/>
        <v>0.03951865757</v>
      </c>
      <c r="V1563" s="16">
        <f>IF(AND(L1563="Among all respondents",NOT(OR(K1563="Online poll in Telegram channel",K1563="Website online poll",K1563="CAWI (Computer Assisted Web Interviewing)"))),1/(1-MIN(MAX(Formula!$C$33+(YEAR(D1563)-Formula!$C$34)/(Formula!$C$35-Formula!$C$34)*(Formula!$C$32-Formula!$C$33),Formula!$C$33),Formula!$C$32)),1)</f>
        <v>1</v>
      </c>
      <c r="W1563" s="17">
        <f t="shared" si="5"/>
        <v>4.8</v>
      </c>
    </row>
    <row r="1564" ht="15.75" customHeight="1">
      <c r="A1564" s="8" t="s">
        <v>2401</v>
      </c>
      <c r="B1564" s="7" t="s">
        <v>2390</v>
      </c>
      <c r="C1564" s="13" t="s">
        <v>2391</v>
      </c>
      <c r="D1564" s="7" t="s">
        <v>214</v>
      </c>
      <c r="E1564" s="8" t="s">
        <v>40</v>
      </c>
      <c r="F1564" s="8" t="s">
        <v>318</v>
      </c>
      <c r="G1564" s="7" t="s">
        <v>2392</v>
      </c>
      <c r="H1564" s="7" t="s">
        <v>2393</v>
      </c>
      <c r="I1564" s="8">
        <v>2500.0</v>
      </c>
      <c r="J1564" s="8">
        <v>2.0</v>
      </c>
      <c r="K1564" s="8" t="s">
        <v>321</v>
      </c>
      <c r="L1564" s="8" t="s">
        <v>322</v>
      </c>
      <c r="M1564" s="8" t="s">
        <v>1153</v>
      </c>
      <c r="N1564" s="8">
        <v>4.6</v>
      </c>
      <c r="O1564" s="14">
        <f t="shared" si="1"/>
        <v>44287</v>
      </c>
      <c r="P1564" s="15">
        <f>IFERROR(VLOOKUP(K1564,Formula!$A$11:$B$20,2,FALSE),Formula!$C$26)</f>
        <v>0.9</v>
      </c>
      <c r="Q1564" s="15">
        <f>IF(AND(ISNUMBER(J1564),J1564&gt;0),1/J1564,IF(AND(ISNUMBER(I1564),I1564&gt;0),SQRT(MIN(I1564,Formula!$C$27))/Formula!$C$24,1/Formula!$C$25))</f>
        <v>0.5</v>
      </c>
      <c r="R1564" s="15">
        <f t="shared" si="2"/>
        <v>0.45</v>
      </c>
      <c r="S1564" s="15">
        <f>IF(H1564&lt;&gt;"",EXP(-Formula!$C$28*(EOMONTH(H1564,0)-H1564)),EXP(-Formula!$C$28*(EOMONTH(D1564,0)-D1564)))</f>
        <v>0.3166367694</v>
      </c>
      <c r="T1564" s="15">
        <f t="shared" si="3"/>
        <v>0.2773500981</v>
      </c>
      <c r="U1564" s="15">
        <f t="shared" si="4"/>
        <v>0.03951865757</v>
      </c>
      <c r="V1564" s="16">
        <f>IF(AND(L1564="Among all respondents",NOT(OR(K1564="Online poll in Telegram channel",K1564="Website online poll",K1564="CAWI (Computer Assisted Web Interviewing)"))),1/(1-MIN(MAX(Formula!$C$33+(YEAR(D1564)-Formula!$C$34)/(Formula!$C$35-Formula!$C$34)*(Formula!$C$32-Formula!$C$33),Formula!$C$33),Formula!$C$32)),1)</f>
        <v>1</v>
      </c>
      <c r="W1564" s="17">
        <f t="shared" si="5"/>
        <v>4.6</v>
      </c>
    </row>
    <row r="1565" ht="15.75" customHeight="1">
      <c r="A1565" s="8" t="s">
        <v>2402</v>
      </c>
      <c r="B1565" s="7" t="s">
        <v>2390</v>
      </c>
      <c r="C1565" s="13" t="s">
        <v>2391</v>
      </c>
      <c r="D1565" s="7" t="s">
        <v>214</v>
      </c>
      <c r="E1565" s="8" t="s">
        <v>40</v>
      </c>
      <c r="F1565" s="8" t="s">
        <v>318</v>
      </c>
      <c r="G1565" s="7" t="s">
        <v>2392</v>
      </c>
      <c r="H1565" s="7" t="s">
        <v>2393</v>
      </c>
      <c r="I1565" s="8">
        <v>2500.0</v>
      </c>
      <c r="J1565" s="8">
        <v>2.0</v>
      </c>
      <c r="K1565" s="8" t="s">
        <v>321</v>
      </c>
      <c r="L1565" s="8" t="s">
        <v>322</v>
      </c>
      <c r="M1565" s="8" t="s">
        <v>836</v>
      </c>
      <c r="N1565" s="8">
        <v>2.6</v>
      </c>
      <c r="O1565" s="14">
        <f t="shared" si="1"/>
        <v>44287</v>
      </c>
      <c r="P1565" s="15">
        <f>IFERROR(VLOOKUP(K1565,Formula!$A$11:$B$20,2,FALSE),Formula!$C$26)</f>
        <v>0.9</v>
      </c>
      <c r="Q1565" s="15">
        <f>IF(AND(ISNUMBER(J1565),J1565&gt;0),1/J1565,IF(AND(ISNUMBER(I1565),I1565&gt;0),SQRT(MIN(I1565,Formula!$C$27))/Formula!$C$24,1/Formula!$C$25))</f>
        <v>0.5</v>
      </c>
      <c r="R1565" s="15">
        <f t="shared" si="2"/>
        <v>0.45</v>
      </c>
      <c r="S1565" s="15">
        <f>IF(H1565&lt;&gt;"",EXP(-Formula!$C$28*(EOMONTH(H1565,0)-H1565)),EXP(-Formula!$C$28*(EOMONTH(D1565,0)-D1565)))</f>
        <v>0.3166367694</v>
      </c>
      <c r="T1565" s="15">
        <f t="shared" si="3"/>
        <v>0.2773500981</v>
      </c>
      <c r="U1565" s="15">
        <f t="shared" si="4"/>
        <v>0.03951865757</v>
      </c>
      <c r="V1565" s="16">
        <f>IF(AND(L1565="Among all respondents",NOT(OR(K1565="Online poll in Telegram channel",K1565="Website online poll",K1565="CAWI (Computer Assisted Web Interviewing)"))),1/(1-MIN(MAX(Formula!$C$33+(YEAR(D1565)-Formula!$C$34)/(Formula!$C$35-Formula!$C$34)*(Formula!$C$32-Formula!$C$33),Formula!$C$33),Formula!$C$32)),1)</f>
        <v>1</v>
      </c>
      <c r="W1565" s="17">
        <f t="shared" si="5"/>
        <v>2.6</v>
      </c>
    </row>
    <row r="1566" ht="15.75" customHeight="1">
      <c r="A1566" s="8" t="s">
        <v>2403</v>
      </c>
      <c r="B1566" s="7" t="s">
        <v>2390</v>
      </c>
      <c r="C1566" s="13" t="s">
        <v>2391</v>
      </c>
      <c r="D1566" s="7" t="s">
        <v>214</v>
      </c>
      <c r="E1566" s="8" t="s">
        <v>40</v>
      </c>
      <c r="F1566" s="8" t="s">
        <v>318</v>
      </c>
      <c r="G1566" s="7" t="s">
        <v>2392</v>
      </c>
      <c r="H1566" s="7" t="s">
        <v>2393</v>
      </c>
      <c r="I1566" s="8">
        <v>2500.0</v>
      </c>
      <c r="J1566" s="8">
        <v>2.0</v>
      </c>
      <c r="K1566" s="8" t="s">
        <v>321</v>
      </c>
      <c r="L1566" s="8" t="s">
        <v>322</v>
      </c>
      <c r="M1566" s="8" t="s">
        <v>743</v>
      </c>
      <c r="N1566" s="8">
        <v>2.2</v>
      </c>
      <c r="O1566" s="14">
        <f t="shared" si="1"/>
        <v>44287</v>
      </c>
      <c r="P1566" s="15">
        <f>IFERROR(VLOOKUP(K1566,Formula!$A$11:$B$20,2,FALSE),Formula!$C$26)</f>
        <v>0.9</v>
      </c>
      <c r="Q1566" s="15">
        <f>IF(AND(ISNUMBER(J1566),J1566&gt;0),1/J1566,IF(AND(ISNUMBER(I1566),I1566&gt;0),SQRT(MIN(I1566,Formula!$C$27))/Formula!$C$24,1/Formula!$C$25))</f>
        <v>0.5</v>
      </c>
      <c r="R1566" s="15">
        <f t="shared" si="2"/>
        <v>0.45</v>
      </c>
      <c r="S1566" s="15">
        <f>IF(H1566&lt;&gt;"",EXP(-Formula!$C$28*(EOMONTH(H1566,0)-H1566)),EXP(-Formula!$C$28*(EOMONTH(D1566,0)-D1566)))</f>
        <v>0.3166367694</v>
      </c>
      <c r="T1566" s="15">
        <f t="shared" si="3"/>
        <v>0.2773500981</v>
      </c>
      <c r="U1566" s="15">
        <f t="shared" si="4"/>
        <v>0.03951865757</v>
      </c>
      <c r="V1566" s="16">
        <f>IF(AND(L1566="Among all respondents",NOT(OR(K1566="Online poll in Telegram channel",K1566="Website online poll",K1566="CAWI (Computer Assisted Web Interviewing)"))),1/(1-MIN(MAX(Formula!$C$33+(YEAR(D1566)-Formula!$C$34)/(Formula!$C$35-Formula!$C$34)*(Formula!$C$32-Formula!$C$33),Formula!$C$33),Formula!$C$32)),1)</f>
        <v>1</v>
      </c>
      <c r="W1566" s="17">
        <f t="shared" si="5"/>
        <v>2.2</v>
      </c>
    </row>
    <row r="1567" ht="15.75" customHeight="1">
      <c r="A1567" s="8" t="s">
        <v>2404</v>
      </c>
      <c r="B1567" s="7" t="s">
        <v>2390</v>
      </c>
      <c r="C1567" s="13" t="s">
        <v>2391</v>
      </c>
      <c r="D1567" s="7" t="s">
        <v>214</v>
      </c>
      <c r="E1567" s="8" t="s">
        <v>40</v>
      </c>
      <c r="F1567" s="8" t="s">
        <v>318</v>
      </c>
      <c r="G1567" s="7" t="s">
        <v>2392</v>
      </c>
      <c r="H1567" s="7" t="s">
        <v>2393</v>
      </c>
      <c r="I1567" s="8">
        <v>2500.0</v>
      </c>
      <c r="J1567" s="8">
        <v>2.0</v>
      </c>
      <c r="K1567" s="8" t="s">
        <v>321</v>
      </c>
      <c r="L1567" s="8" t="s">
        <v>322</v>
      </c>
      <c r="M1567" s="8" t="s">
        <v>740</v>
      </c>
      <c r="N1567" s="8">
        <v>1.8</v>
      </c>
      <c r="O1567" s="14">
        <f t="shared" si="1"/>
        <v>44287</v>
      </c>
      <c r="P1567" s="15">
        <f>IFERROR(VLOOKUP(K1567,Formula!$A$11:$B$20,2,FALSE),Formula!$C$26)</f>
        <v>0.9</v>
      </c>
      <c r="Q1567" s="15">
        <f>IF(AND(ISNUMBER(J1567),J1567&gt;0),1/J1567,IF(AND(ISNUMBER(I1567),I1567&gt;0),SQRT(MIN(I1567,Formula!$C$27))/Formula!$C$24,1/Formula!$C$25))</f>
        <v>0.5</v>
      </c>
      <c r="R1567" s="15">
        <f t="shared" si="2"/>
        <v>0.45</v>
      </c>
      <c r="S1567" s="15">
        <f>IF(H1567&lt;&gt;"",EXP(-Formula!$C$28*(EOMONTH(H1567,0)-H1567)),EXP(-Formula!$C$28*(EOMONTH(D1567,0)-D1567)))</f>
        <v>0.3166367694</v>
      </c>
      <c r="T1567" s="15">
        <f t="shared" si="3"/>
        <v>0.2773500981</v>
      </c>
      <c r="U1567" s="15">
        <f t="shared" si="4"/>
        <v>0.03951865757</v>
      </c>
      <c r="V1567" s="16">
        <f>IF(AND(L1567="Among all respondents",NOT(OR(K1567="Online poll in Telegram channel",K1567="Website online poll",K1567="CAWI (Computer Assisted Web Interviewing)"))),1/(1-MIN(MAX(Formula!$C$33+(YEAR(D1567)-Formula!$C$34)/(Formula!$C$35-Formula!$C$34)*(Formula!$C$32-Formula!$C$33),Formula!$C$33),Formula!$C$32)),1)</f>
        <v>1</v>
      </c>
      <c r="W1567" s="17">
        <f t="shared" si="5"/>
        <v>1.8</v>
      </c>
    </row>
    <row r="1568" ht="15.75" customHeight="1">
      <c r="A1568" s="8" t="s">
        <v>2405</v>
      </c>
      <c r="B1568" s="7" t="s">
        <v>2390</v>
      </c>
      <c r="C1568" s="13" t="s">
        <v>2391</v>
      </c>
      <c r="D1568" s="7" t="s">
        <v>214</v>
      </c>
      <c r="E1568" s="8" t="s">
        <v>40</v>
      </c>
      <c r="F1568" s="8" t="s">
        <v>318</v>
      </c>
      <c r="G1568" s="7" t="s">
        <v>2392</v>
      </c>
      <c r="H1568" s="7" t="s">
        <v>2393</v>
      </c>
      <c r="I1568" s="8">
        <v>2500.0</v>
      </c>
      <c r="J1568" s="8">
        <v>2.0</v>
      </c>
      <c r="K1568" s="8" t="s">
        <v>321</v>
      </c>
      <c r="L1568" s="8" t="s">
        <v>322</v>
      </c>
      <c r="M1568" s="8" t="s">
        <v>1171</v>
      </c>
      <c r="N1568" s="8">
        <v>0.4</v>
      </c>
      <c r="O1568" s="14">
        <f t="shared" si="1"/>
        <v>44287</v>
      </c>
      <c r="P1568" s="15">
        <f>IFERROR(VLOOKUP(K1568,Formula!$A$11:$B$20,2,FALSE),Formula!$C$26)</f>
        <v>0.9</v>
      </c>
      <c r="Q1568" s="15">
        <f>IF(AND(ISNUMBER(J1568),J1568&gt;0),1/J1568,IF(AND(ISNUMBER(I1568),I1568&gt;0),SQRT(MIN(I1568,Formula!$C$27))/Formula!$C$24,1/Formula!$C$25))</f>
        <v>0.5</v>
      </c>
      <c r="R1568" s="15">
        <f t="shared" si="2"/>
        <v>0.45</v>
      </c>
      <c r="S1568" s="15">
        <f>IF(H1568&lt;&gt;"",EXP(-Formula!$C$28*(EOMONTH(H1568,0)-H1568)),EXP(-Formula!$C$28*(EOMONTH(D1568,0)-D1568)))</f>
        <v>0.3166367694</v>
      </c>
      <c r="T1568" s="15">
        <f t="shared" si="3"/>
        <v>0.2773500981</v>
      </c>
      <c r="U1568" s="15">
        <f t="shared" si="4"/>
        <v>0.03951865757</v>
      </c>
      <c r="V1568" s="16">
        <f>IF(AND(L1568="Among all respondents",NOT(OR(K1568="Online poll in Telegram channel",K1568="Website online poll",K1568="CAWI (Computer Assisted Web Interviewing)"))),1/(1-MIN(MAX(Formula!$C$33+(YEAR(D1568)-Formula!$C$34)/(Formula!$C$35-Formula!$C$34)*(Formula!$C$32-Formula!$C$33),Formula!$C$33),Formula!$C$32)),1)</f>
        <v>1</v>
      </c>
      <c r="W1568" s="17">
        <f t="shared" si="5"/>
        <v>0.4</v>
      </c>
    </row>
    <row r="1569" ht="15.75" customHeight="1">
      <c r="A1569" s="8" t="s">
        <v>2406</v>
      </c>
      <c r="B1569" s="7" t="s">
        <v>2407</v>
      </c>
      <c r="C1569" s="13" t="s">
        <v>2408</v>
      </c>
      <c r="D1569" s="7" t="s">
        <v>217</v>
      </c>
      <c r="E1569" s="8" t="s">
        <v>158</v>
      </c>
      <c r="F1569" s="8" t="s">
        <v>318</v>
      </c>
      <c r="G1569" s="7" t="s">
        <v>2409</v>
      </c>
      <c r="H1569" s="7" t="s">
        <v>2410</v>
      </c>
      <c r="I1569" s="8">
        <v>2023.0</v>
      </c>
      <c r="J1569" s="8">
        <v>3.0</v>
      </c>
      <c r="K1569" s="8" t="s">
        <v>583</v>
      </c>
      <c r="L1569" s="8" t="s">
        <v>322</v>
      </c>
      <c r="M1569" s="8" t="s">
        <v>323</v>
      </c>
      <c r="N1569" s="8">
        <v>23.8</v>
      </c>
      <c r="O1569" s="14">
        <f t="shared" si="1"/>
        <v>44256</v>
      </c>
      <c r="P1569" s="15">
        <f>IFERROR(VLOOKUP(K1569,Formula!$A$11:$B$20,2,FALSE),Formula!$C$26)</f>
        <v>0.95</v>
      </c>
      <c r="Q1569" s="15">
        <f>IF(AND(ISNUMBER(J1569),J1569&gt;0),1/J1569,IF(AND(ISNUMBER(I1569),I1569&gt;0),SQRT(MIN(I1569,Formula!$C$27))/Formula!$C$24,1/Formula!$C$25))</f>
        <v>0.3333333333</v>
      </c>
      <c r="R1569" s="15">
        <f t="shared" si="2"/>
        <v>0.3166666667</v>
      </c>
      <c r="S1569" s="15">
        <f>IF(H1569&lt;&gt;"",EXP(-Formula!$C$28*(EOMONTH(H1569,0)-H1569)),EXP(-Formula!$C$28*(EOMONTH(D1569,0)-D1569)))</f>
        <v>0.7046880897</v>
      </c>
      <c r="T1569" s="15">
        <f t="shared" si="3"/>
        <v>0.316227766</v>
      </c>
      <c r="U1569" s="15">
        <f t="shared" si="4"/>
        <v>0.07056661444</v>
      </c>
      <c r="V1569" s="16">
        <f>IF(AND(L1569="Among all respondents",NOT(OR(K1569="Online poll in Telegram channel",K1569="Website online poll",K1569="CAWI (Computer Assisted Web Interviewing)"))),1/(1-MIN(MAX(Formula!$C$33+(YEAR(D1569)-Formula!$C$34)/(Formula!$C$35-Formula!$C$34)*(Formula!$C$32-Formula!$C$33),Formula!$C$33),Formula!$C$32)),1)</f>
        <v>1</v>
      </c>
      <c r="W1569" s="17">
        <f t="shared" si="5"/>
        <v>23.8</v>
      </c>
    </row>
    <row r="1570" ht="15.75" customHeight="1">
      <c r="A1570" s="8" t="s">
        <v>2411</v>
      </c>
      <c r="B1570" s="7" t="s">
        <v>2407</v>
      </c>
      <c r="C1570" s="13" t="s">
        <v>2408</v>
      </c>
      <c r="D1570" s="7" t="s">
        <v>217</v>
      </c>
      <c r="E1570" s="8" t="s">
        <v>158</v>
      </c>
      <c r="F1570" s="8" t="s">
        <v>318</v>
      </c>
      <c r="G1570" s="7" t="s">
        <v>2409</v>
      </c>
      <c r="H1570" s="7" t="s">
        <v>2410</v>
      </c>
      <c r="I1570" s="8">
        <v>2023.0</v>
      </c>
      <c r="J1570" s="8">
        <v>3.0</v>
      </c>
      <c r="K1570" s="8" t="s">
        <v>583</v>
      </c>
      <c r="L1570" s="8" t="s">
        <v>322</v>
      </c>
      <c r="M1570" s="8" t="s">
        <v>365</v>
      </c>
      <c r="N1570" s="8">
        <v>17.2</v>
      </c>
      <c r="O1570" s="14">
        <f t="shared" si="1"/>
        <v>44256</v>
      </c>
      <c r="P1570" s="15">
        <f>IFERROR(VLOOKUP(K1570,Formula!$A$11:$B$20,2,FALSE),Formula!$C$26)</f>
        <v>0.95</v>
      </c>
      <c r="Q1570" s="15">
        <f>IF(AND(ISNUMBER(J1570),J1570&gt;0),1/J1570,IF(AND(ISNUMBER(I1570),I1570&gt;0),SQRT(MIN(I1570,Formula!$C$27))/Formula!$C$24,1/Formula!$C$25))</f>
        <v>0.3333333333</v>
      </c>
      <c r="R1570" s="15">
        <f t="shared" si="2"/>
        <v>0.3166666667</v>
      </c>
      <c r="S1570" s="15">
        <f>IF(H1570&lt;&gt;"",EXP(-Formula!$C$28*(EOMONTH(H1570,0)-H1570)),EXP(-Formula!$C$28*(EOMONTH(D1570,0)-D1570)))</f>
        <v>0.7046880897</v>
      </c>
      <c r="T1570" s="15">
        <f t="shared" si="3"/>
        <v>0.316227766</v>
      </c>
      <c r="U1570" s="15">
        <f t="shared" si="4"/>
        <v>0.07056661444</v>
      </c>
      <c r="V1570" s="16">
        <f>IF(AND(L1570="Among all respondents",NOT(OR(K1570="Online poll in Telegram channel",K1570="Website online poll",K1570="CAWI (Computer Assisted Web Interviewing)"))),1/(1-MIN(MAX(Formula!$C$33+(YEAR(D1570)-Formula!$C$34)/(Formula!$C$35-Formula!$C$34)*(Formula!$C$32-Formula!$C$33),Formula!$C$33),Formula!$C$32)),1)</f>
        <v>1</v>
      </c>
      <c r="W1570" s="17">
        <f t="shared" si="5"/>
        <v>17.2</v>
      </c>
    </row>
    <row r="1571" ht="15.75" customHeight="1">
      <c r="A1571" s="8" t="s">
        <v>2412</v>
      </c>
      <c r="B1571" s="7" t="s">
        <v>2407</v>
      </c>
      <c r="C1571" s="13" t="s">
        <v>2408</v>
      </c>
      <c r="D1571" s="7" t="s">
        <v>217</v>
      </c>
      <c r="E1571" s="8" t="s">
        <v>158</v>
      </c>
      <c r="F1571" s="8" t="s">
        <v>318</v>
      </c>
      <c r="G1571" s="7" t="s">
        <v>2409</v>
      </c>
      <c r="H1571" s="7" t="s">
        <v>2410</v>
      </c>
      <c r="I1571" s="8">
        <v>2023.0</v>
      </c>
      <c r="J1571" s="8">
        <v>3.0</v>
      </c>
      <c r="K1571" s="8" t="s">
        <v>583</v>
      </c>
      <c r="L1571" s="8" t="s">
        <v>322</v>
      </c>
      <c r="M1571" s="8" t="s">
        <v>329</v>
      </c>
      <c r="N1571" s="8">
        <v>16.9</v>
      </c>
      <c r="O1571" s="14">
        <f t="shared" si="1"/>
        <v>44256</v>
      </c>
      <c r="P1571" s="15">
        <f>IFERROR(VLOOKUP(K1571,Formula!$A$11:$B$20,2,FALSE),Formula!$C$26)</f>
        <v>0.95</v>
      </c>
      <c r="Q1571" s="15">
        <f>IF(AND(ISNUMBER(J1571),J1571&gt;0),1/J1571,IF(AND(ISNUMBER(I1571),I1571&gt;0),SQRT(MIN(I1571,Formula!$C$27))/Formula!$C$24,1/Formula!$C$25))</f>
        <v>0.3333333333</v>
      </c>
      <c r="R1571" s="15">
        <f t="shared" si="2"/>
        <v>0.3166666667</v>
      </c>
      <c r="S1571" s="15">
        <f>IF(H1571&lt;&gt;"",EXP(-Formula!$C$28*(EOMONTH(H1571,0)-H1571)),EXP(-Formula!$C$28*(EOMONTH(D1571,0)-D1571)))</f>
        <v>0.7046880897</v>
      </c>
      <c r="T1571" s="15">
        <f t="shared" si="3"/>
        <v>0.316227766</v>
      </c>
      <c r="U1571" s="15">
        <f t="shared" si="4"/>
        <v>0.07056661444</v>
      </c>
      <c r="V1571" s="16">
        <f>IF(AND(L1571="Among all respondents",NOT(OR(K1571="Online poll in Telegram channel",K1571="Website online poll",K1571="CAWI (Computer Assisted Web Interviewing)"))),1/(1-MIN(MAX(Formula!$C$33+(YEAR(D1571)-Formula!$C$34)/(Formula!$C$35-Formula!$C$34)*(Formula!$C$32-Formula!$C$33),Formula!$C$33),Formula!$C$32)),1)</f>
        <v>1</v>
      </c>
      <c r="W1571" s="17">
        <f t="shared" si="5"/>
        <v>16.9</v>
      </c>
    </row>
    <row r="1572" ht="15.75" customHeight="1">
      <c r="A1572" s="8" t="s">
        <v>2413</v>
      </c>
      <c r="B1572" s="7" t="s">
        <v>2407</v>
      </c>
      <c r="C1572" s="13" t="s">
        <v>2408</v>
      </c>
      <c r="D1572" s="7" t="s">
        <v>217</v>
      </c>
      <c r="E1572" s="8" t="s">
        <v>158</v>
      </c>
      <c r="F1572" s="8" t="s">
        <v>318</v>
      </c>
      <c r="G1572" s="7" t="s">
        <v>2409</v>
      </c>
      <c r="H1572" s="7" t="s">
        <v>2410</v>
      </c>
      <c r="I1572" s="8">
        <v>2023.0</v>
      </c>
      <c r="J1572" s="8">
        <v>3.0</v>
      </c>
      <c r="K1572" s="8" t="s">
        <v>583</v>
      </c>
      <c r="L1572" s="8" t="s">
        <v>322</v>
      </c>
      <c r="M1572" s="8" t="s">
        <v>337</v>
      </c>
      <c r="N1572" s="8">
        <v>13.4</v>
      </c>
      <c r="O1572" s="14">
        <f t="shared" si="1"/>
        <v>44256</v>
      </c>
      <c r="P1572" s="15">
        <f>IFERROR(VLOOKUP(K1572,Formula!$A$11:$B$20,2,FALSE),Formula!$C$26)</f>
        <v>0.95</v>
      </c>
      <c r="Q1572" s="15">
        <f>IF(AND(ISNUMBER(J1572),J1572&gt;0),1/J1572,IF(AND(ISNUMBER(I1572),I1572&gt;0),SQRT(MIN(I1572,Formula!$C$27))/Formula!$C$24,1/Formula!$C$25))</f>
        <v>0.3333333333</v>
      </c>
      <c r="R1572" s="15">
        <f t="shared" si="2"/>
        <v>0.3166666667</v>
      </c>
      <c r="S1572" s="15">
        <f>IF(H1572&lt;&gt;"",EXP(-Formula!$C$28*(EOMONTH(H1572,0)-H1572)),EXP(-Formula!$C$28*(EOMONTH(D1572,0)-D1572)))</f>
        <v>0.7046880897</v>
      </c>
      <c r="T1572" s="15">
        <f t="shared" si="3"/>
        <v>0.316227766</v>
      </c>
      <c r="U1572" s="15">
        <f t="shared" si="4"/>
        <v>0.07056661444</v>
      </c>
      <c r="V1572" s="16">
        <f>IF(AND(L1572="Among all respondents",NOT(OR(K1572="Online poll in Telegram channel",K1572="Website online poll",K1572="CAWI (Computer Assisted Web Interviewing)"))),1/(1-MIN(MAX(Formula!$C$33+(YEAR(D1572)-Formula!$C$34)/(Formula!$C$35-Formula!$C$34)*(Formula!$C$32-Formula!$C$33),Formula!$C$33),Formula!$C$32)),1)</f>
        <v>1</v>
      </c>
      <c r="W1572" s="17">
        <f t="shared" si="5"/>
        <v>13.4</v>
      </c>
    </row>
    <row r="1573" ht="15.75" customHeight="1">
      <c r="A1573" s="8" t="s">
        <v>2414</v>
      </c>
      <c r="B1573" s="7" t="s">
        <v>2407</v>
      </c>
      <c r="C1573" s="13" t="s">
        <v>2408</v>
      </c>
      <c r="D1573" s="7" t="s">
        <v>217</v>
      </c>
      <c r="E1573" s="8" t="s">
        <v>158</v>
      </c>
      <c r="F1573" s="8" t="s">
        <v>318</v>
      </c>
      <c r="G1573" s="7" t="s">
        <v>2409</v>
      </c>
      <c r="H1573" s="7" t="s">
        <v>2410</v>
      </c>
      <c r="I1573" s="8">
        <v>2023.0</v>
      </c>
      <c r="J1573" s="8">
        <v>3.0</v>
      </c>
      <c r="K1573" s="8" t="s">
        <v>583</v>
      </c>
      <c r="L1573" s="8" t="s">
        <v>322</v>
      </c>
      <c r="M1573" s="8" t="s">
        <v>828</v>
      </c>
      <c r="N1573" s="8">
        <v>6.3</v>
      </c>
      <c r="O1573" s="14">
        <f t="shared" si="1"/>
        <v>44256</v>
      </c>
      <c r="P1573" s="15">
        <f>IFERROR(VLOOKUP(K1573,Formula!$A$11:$B$20,2,FALSE),Formula!$C$26)</f>
        <v>0.95</v>
      </c>
      <c r="Q1573" s="15">
        <f>IF(AND(ISNUMBER(J1573),J1573&gt;0),1/J1573,IF(AND(ISNUMBER(I1573),I1573&gt;0),SQRT(MIN(I1573,Formula!$C$27))/Formula!$C$24,1/Formula!$C$25))</f>
        <v>0.3333333333</v>
      </c>
      <c r="R1573" s="15">
        <f t="shared" si="2"/>
        <v>0.3166666667</v>
      </c>
      <c r="S1573" s="15">
        <f>IF(H1573&lt;&gt;"",EXP(-Formula!$C$28*(EOMONTH(H1573,0)-H1573)),EXP(-Formula!$C$28*(EOMONTH(D1573,0)-D1573)))</f>
        <v>0.7046880897</v>
      </c>
      <c r="T1573" s="15">
        <f t="shared" si="3"/>
        <v>0.316227766</v>
      </c>
      <c r="U1573" s="15">
        <f t="shared" si="4"/>
        <v>0.07056661444</v>
      </c>
      <c r="V1573" s="16">
        <f>IF(AND(L1573="Among all respondents",NOT(OR(K1573="Online poll in Telegram channel",K1573="Website online poll",K1573="CAWI (Computer Assisted Web Interviewing)"))),1/(1-MIN(MAX(Formula!$C$33+(YEAR(D1573)-Formula!$C$34)/(Formula!$C$35-Formula!$C$34)*(Formula!$C$32-Formula!$C$33),Formula!$C$33),Formula!$C$32)),1)</f>
        <v>1</v>
      </c>
      <c r="W1573" s="17">
        <f t="shared" si="5"/>
        <v>6.3</v>
      </c>
    </row>
    <row r="1574" ht="15.75" customHeight="1">
      <c r="A1574" s="8" t="s">
        <v>2415</v>
      </c>
      <c r="B1574" s="7" t="s">
        <v>2407</v>
      </c>
      <c r="C1574" s="13" t="s">
        <v>2408</v>
      </c>
      <c r="D1574" s="7" t="s">
        <v>217</v>
      </c>
      <c r="E1574" s="8" t="s">
        <v>158</v>
      </c>
      <c r="F1574" s="8" t="s">
        <v>318</v>
      </c>
      <c r="G1574" s="7" t="s">
        <v>2409</v>
      </c>
      <c r="H1574" s="7" t="s">
        <v>2410</v>
      </c>
      <c r="I1574" s="8">
        <v>2023.0</v>
      </c>
      <c r="J1574" s="8">
        <v>3.0</v>
      </c>
      <c r="K1574" s="8" t="s">
        <v>583</v>
      </c>
      <c r="L1574" s="8" t="s">
        <v>322</v>
      </c>
      <c r="M1574" s="8" t="s">
        <v>333</v>
      </c>
      <c r="N1574" s="8">
        <v>5.1</v>
      </c>
      <c r="O1574" s="14">
        <f t="shared" si="1"/>
        <v>44256</v>
      </c>
      <c r="P1574" s="15">
        <f>IFERROR(VLOOKUP(K1574,Formula!$A$11:$B$20,2,FALSE),Formula!$C$26)</f>
        <v>0.95</v>
      </c>
      <c r="Q1574" s="15">
        <f>IF(AND(ISNUMBER(J1574),J1574&gt;0),1/J1574,IF(AND(ISNUMBER(I1574),I1574&gt;0),SQRT(MIN(I1574,Formula!$C$27))/Formula!$C$24,1/Formula!$C$25))</f>
        <v>0.3333333333</v>
      </c>
      <c r="R1574" s="15">
        <f t="shared" si="2"/>
        <v>0.3166666667</v>
      </c>
      <c r="S1574" s="15">
        <f>IF(H1574&lt;&gt;"",EXP(-Formula!$C$28*(EOMONTH(H1574,0)-H1574)),EXP(-Formula!$C$28*(EOMONTH(D1574,0)-D1574)))</f>
        <v>0.7046880897</v>
      </c>
      <c r="T1574" s="15">
        <f t="shared" si="3"/>
        <v>0.316227766</v>
      </c>
      <c r="U1574" s="15">
        <f t="shared" si="4"/>
        <v>0.07056661444</v>
      </c>
      <c r="V1574" s="16">
        <f>IF(AND(L1574="Among all respondents",NOT(OR(K1574="Online poll in Telegram channel",K1574="Website online poll",K1574="CAWI (Computer Assisted Web Interviewing)"))),1/(1-MIN(MAX(Formula!$C$33+(YEAR(D1574)-Formula!$C$34)/(Formula!$C$35-Formula!$C$34)*(Formula!$C$32-Formula!$C$33),Formula!$C$33),Formula!$C$32)),1)</f>
        <v>1</v>
      </c>
      <c r="W1574" s="17">
        <f t="shared" si="5"/>
        <v>5.1</v>
      </c>
    </row>
    <row r="1575" ht="15.75" customHeight="1">
      <c r="A1575" s="8" t="s">
        <v>2416</v>
      </c>
      <c r="B1575" s="7" t="s">
        <v>2407</v>
      </c>
      <c r="C1575" s="13" t="s">
        <v>2408</v>
      </c>
      <c r="D1575" s="7" t="s">
        <v>217</v>
      </c>
      <c r="E1575" s="8" t="s">
        <v>158</v>
      </c>
      <c r="F1575" s="8" t="s">
        <v>318</v>
      </c>
      <c r="G1575" s="7" t="s">
        <v>2409</v>
      </c>
      <c r="H1575" s="7" t="s">
        <v>2410</v>
      </c>
      <c r="I1575" s="8">
        <v>2023.0</v>
      </c>
      <c r="J1575" s="8">
        <v>3.0</v>
      </c>
      <c r="K1575" s="8" t="s">
        <v>583</v>
      </c>
      <c r="L1575" s="8" t="s">
        <v>322</v>
      </c>
      <c r="M1575" s="8" t="s">
        <v>386</v>
      </c>
      <c r="N1575" s="8">
        <v>4.8</v>
      </c>
      <c r="O1575" s="14">
        <f t="shared" si="1"/>
        <v>44256</v>
      </c>
      <c r="P1575" s="15">
        <f>IFERROR(VLOOKUP(K1575,Formula!$A$11:$B$20,2,FALSE),Formula!$C$26)</f>
        <v>0.95</v>
      </c>
      <c r="Q1575" s="15">
        <f>IF(AND(ISNUMBER(J1575),J1575&gt;0),1/J1575,IF(AND(ISNUMBER(I1575),I1575&gt;0),SQRT(MIN(I1575,Formula!$C$27))/Formula!$C$24,1/Formula!$C$25))</f>
        <v>0.3333333333</v>
      </c>
      <c r="R1575" s="15">
        <f t="shared" si="2"/>
        <v>0.3166666667</v>
      </c>
      <c r="S1575" s="15">
        <f>IF(H1575&lt;&gt;"",EXP(-Formula!$C$28*(EOMONTH(H1575,0)-H1575)),EXP(-Formula!$C$28*(EOMONTH(D1575,0)-D1575)))</f>
        <v>0.7046880897</v>
      </c>
      <c r="T1575" s="15">
        <f t="shared" si="3"/>
        <v>0.316227766</v>
      </c>
      <c r="U1575" s="15">
        <f t="shared" si="4"/>
        <v>0.07056661444</v>
      </c>
      <c r="V1575" s="16">
        <f>IF(AND(L1575="Among all respondents",NOT(OR(K1575="Online poll in Telegram channel",K1575="Website online poll",K1575="CAWI (Computer Assisted Web Interviewing)"))),1/(1-MIN(MAX(Formula!$C$33+(YEAR(D1575)-Formula!$C$34)/(Formula!$C$35-Formula!$C$34)*(Formula!$C$32-Formula!$C$33),Formula!$C$33),Formula!$C$32)),1)</f>
        <v>1</v>
      </c>
      <c r="W1575" s="17">
        <f t="shared" si="5"/>
        <v>4.8</v>
      </c>
    </row>
    <row r="1576" ht="15.75" customHeight="1">
      <c r="A1576" s="8" t="s">
        <v>2417</v>
      </c>
      <c r="B1576" s="7" t="s">
        <v>2407</v>
      </c>
      <c r="C1576" s="13" t="s">
        <v>2408</v>
      </c>
      <c r="D1576" s="7" t="s">
        <v>217</v>
      </c>
      <c r="E1576" s="8" t="s">
        <v>158</v>
      </c>
      <c r="F1576" s="8" t="s">
        <v>318</v>
      </c>
      <c r="G1576" s="7" t="s">
        <v>2409</v>
      </c>
      <c r="H1576" s="7" t="s">
        <v>2410</v>
      </c>
      <c r="I1576" s="8">
        <v>2023.0</v>
      </c>
      <c r="J1576" s="8">
        <v>3.0</v>
      </c>
      <c r="K1576" s="8" t="s">
        <v>583</v>
      </c>
      <c r="L1576" s="8" t="s">
        <v>322</v>
      </c>
      <c r="M1576" s="8" t="s">
        <v>388</v>
      </c>
      <c r="N1576" s="8">
        <v>3.5</v>
      </c>
      <c r="O1576" s="14">
        <f t="shared" si="1"/>
        <v>44256</v>
      </c>
      <c r="P1576" s="15">
        <f>IFERROR(VLOOKUP(K1576,Formula!$A$11:$B$20,2,FALSE),Formula!$C$26)</f>
        <v>0.95</v>
      </c>
      <c r="Q1576" s="15">
        <f>IF(AND(ISNUMBER(J1576),J1576&gt;0),1/J1576,IF(AND(ISNUMBER(I1576),I1576&gt;0),SQRT(MIN(I1576,Formula!$C$27))/Formula!$C$24,1/Formula!$C$25))</f>
        <v>0.3333333333</v>
      </c>
      <c r="R1576" s="15">
        <f t="shared" si="2"/>
        <v>0.3166666667</v>
      </c>
      <c r="S1576" s="15">
        <f>IF(H1576&lt;&gt;"",EXP(-Formula!$C$28*(EOMONTH(H1576,0)-H1576)),EXP(-Formula!$C$28*(EOMONTH(D1576,0)-D1576)))</f>
        <v>0.7046880897</v>
      </c>
      <c r="T1576" s="15">
        <f t="shared" si="3"/>
        <v>0.316227766</v>
      </c>
      <c r="U1576" s="15">
        <f t="shared" si="4"/>
        <v>0.07056661444</v>
      </c>
      <c r="V1576" s="16">
        <f>IF(AND(L1576="Among all respondents",NOT(OR(K1576="Online poll in Telegram channel",K1576="Website online poll",K1576="CAWI (Computer Assisted Web Interviewing)"))),1/(1-MIN(MAX(Formula!$C$33+(YEAR(D1576)-Formula!$C$34)/(Formula!$C$35-Formula!$C$34)*(Formula!$C$32-Formula!$C$33),Formula!$C$33),Formula!$C$32)),1)</f>
        <v>1</v>
      </c>
      <c r="W1576" s="17">
        <f t="shared" si="5"/>
        <v>3.5</v>
      </c>
    </row>
    <row r="1577" ht="15.75" customHeight="1">
      <c r="A1577" s="8" t="s">
        <v>2418</v>
      </c>
      <c r="B1577" s="7" t="s">
        <v>2407</v>
      </c>
      <c r="C1577" s="13" t="s">
        <v>2408</v>
      </c>
      <c r="D1577" s="7" t="s">
        <v>217</v>
      </c>
      <c r="E1577" s="8" t="s">
        <v>158</v>
      </c>
      <c r="F1577" s="8" t="s">
        <v>318</v>
      </c>
      <c r="G1577" s="7" t="s">
        <v>2409</v>
      </c>
      <c r="H1577" s="7" t="s">
        <v>2410</v>
      </c>
      <c r="I1577" s="8">
        <v>2023.0</v>
      </c>
      <c r="J1577" s="8">
        <v>3.0</v>
      </c>
      <c r="K1577" s="8" t="s">
        <v>583</v>
      </c>
      <c r="L1577" s="8" t="s">
        <v>322</v>
      </c>
      <c r="M1577" s="8" t="s">
        <v>343</v>
      </c>
      <c r="N1577" s="8">
        <v>2.4</v>
      </c>
      <c r="O1577" s="14">
        <f t="shared" si="1"/>
        <v>44256</v>
      </c>
      <c r="P1577" s="15">
        <f>IFERROR(VLOOKUP(K1577,Formula!$A$11:$B$20,2,FALSE),Formula!$C$26)</f>
        <v>0.95</v>
      </c>
      <c r="Q1577" s="15">
        <f>IF(AND(ISNUMBER(J1577),J1577&gt;0),1/J1577,IF(AND(ISNUMBER(I1577),I1577&gt;0),SQRT(MIN(I1577,Formula!$C$27))/Formula!$C$24,1/Formula!$C$25))</f>
        <v>0.3333333333</v>
      </c>
      <c r="R1577" s="15">
        <f t="shared" si="2"/>
        <v>0.3166666667</v>
      </c>
      <c r="S1577" s="15">
        <f>IF(H1577&lt;&gt;"",EXP(-Formula!$C$28*(EOMONTH(H1577,0)-H1577)),EXP(-Formula!$C$28*(EOMONTH(D1577,0)-D1577)))</f>
        <v>0.7046880897</v>
      </c>
      <c r="T1577" s="15">
        <f t="shared" si="3"/>
        <v>0.316227766</v>
      </c>
      <c r="U1577" s="15">
        <f t="shared" si="4"/>
        <v>0.07056661444</v>
      </c>
      <c r="V1577" s="16">
        <f>IF(AND(L1577="Among all respondents",NOT(OR(K1577="Online poll in Telegram channel",K1577="Website online poll",K1577="CAWI (Computer Assisted Web Interviewing)"))),1/(1-MIN(MAX(Formula!$C$33+(YEAR(D1577)-Formula!$C$34)/(Formula!$C$35-Formula!$C$34)*(Formula!$C$32-Formula!$C$33),Formula!$C$33),Formula!$C$32)),1)</f>
        <v>1</v>
      </c>
      <c r="W1577" s="17">
        <f t="shared" si="5"/>
        <v>2.4</v>
      </c>
    </row>
    <row r="1578" ht="15.75" customHeight="1">
      <c r="A1578" s="8" t="s">
        <v>2419</v>
      </c>
      <c r="B1578" s="7" t="s">
        <v>2407</v>
      </c>
      <c r="C1578" s="13" t="s">
        <v>2408</v>
      </c>
      <c r="D1578" s="7" t="s">
        <v>217</v>
      </c>
      <c r="E1578" s="8" t="s">
        <v>158</v>
      </c>
      <c r="F1578" s="8" t="s">
        <v>318</v>
      </c>
      <c r="G1578" s="7" t="s">
        <v>2409</v>
      </c>
      <c r="H1578" s="7" t="s">
        <v>2410</v>
      </c>
      <c r="I1578" s="8">
        <v>2023.0</v>
      </c>
      <c r="J1578" s="8">
        <v>3.0</v>
      </c>
      <c r="K1578" s="8" t="s">
        <v>583</v>
      </c>
      <c r="L1578" s="8" t="s">
        <v>322</v>
      </c>
      <c r="M1578" s="8" t="s">
        <v>1663</v>
      </c>
      <c r="N1578" s="8">
        <v>0.8</v>
      </c>
      <c r="O1578" s="14">
        <f t="shared" si="1"/>
        <v>44256</v>
      </c>
      <c r="P1578" s="15">
        <f>IFERROR(VLOOKUP(K1578,Formula!$A$11:$B$20,2,FALSE),Formula!$C$26)</f>
        <v>0.95</v>
      </c>
      <c r="Q1578" s="15">
        <f>IF(AND(ISNUMBER(J1578),J1578&gt;0),1/J1578,IF(AND(ISNUMBER(I1578),I1578&gt;0),SQRT(MIN(I1578,Formula!$C$27))/Formula!$C$24,1/Formula!$C$25))</f>
        <v>0.3333333333</v>
      </c>
      <c r="R1578" s="15">
        <f t="shared" si="2"/>
        <v>0.3166666667</v>
      </c>
      <c r="S1578" s="15">
        <f>IF(H1578&lt;&gt;"",EXP(-Formula!$C$28*(EOMONTH(H1578,0)-H1578)),EXP(-Formula!$C$28*(EOMONTH(D1578,0)-D1578)))</f>
        <v>0.7046880897</v>
      </c>
      <c r="T1578" s="15">
        <f t="shared" si="3"/>
        <v>0.316227766</v>
      </c>
      <c r="U1578" s="15">
        <f t="shared" si="4"/>
        <v>0.07056661444</v>
      </c>
      <c r="V1578" s="16">
        <f>IF(AND(L1578="Among all respondents",NOT(OR(K1578="Online poll in Telegram channel",K1578="Website online poll",K1578="CAWI (Computer Assisted Web Interviewing)"))),1/(1-MIN(MAX(Formula!$C$33+(YEAR(D1578)-Formula!$C$34)/(Formula!$C$35-Formula!$C$34)*(Formula!$C$32-Formula!$C$33),Formula!$C$33),Formula!$C$32)),1)</f>
        <v>1</v>
      </c>
      <c r="W1578" s="17">
        <f t="shared" si="5"/>
        <v>0.8</v>
      </c>
    </row>
    <row r="1579" ht="15.75" customHeight="1">
      <c r="A1579" s="8" t="s">
        <v>2420</v>
      </c>
      <c r="B1579" s="7" t="s">
        <v>2421</v>
      </c>
      <c r="C1579" s="13" t="s">
        <v>2422</v>
      </c>
      <c r="D1579" s="7" t="s">
        <v>215</v>
      </c>
      <c r="E1579" s="8" t="s">
        <v>40</v>
      </c>
      <c r="F1579" s="8" t="s">
        <v>318</v>
      </c>
      <c r="G1579" s="7" t="s">
        <v>2423</v>
      </c>
      <c r="H1579" s="7" t="s">
        <v>2410</v>
      </c>
      <c r="I1579" s="8">
        <v>2500.0</v>
      </c>
      <c r="J1579" s="8">
        <v>2.0</v>
      </c>
      <c r="K1579" s="8" t="s">
        <v>321</v>
      </c>
      <c r="L1579" s="8" t="s">
        <v>322</v>
      </c>
      <c r="M1579" s="8" t="s">
        <v>323</v>
      </c>
      <c r="N1579" s="8">
        <v>24.7</v>
      </c>
      <c r="O1579" s="14">
        <f t="shared" si="1"/>
        <v>44256</v>
      </c>
      <c r="P1579" s="15">
        <f>IFERROR(VLOOKUP(K1579,Formula!$A$11:$B$20,2,FALSE),Formula!$C$26)</f>
        <v>0.9</v>
      </c>
      <c r="Q1579" s="15">
        <f>IF(AND(ISNUMBER(J1579),J1579&gt;0),1/J1579,IF(AND(ISNUMBER(I1579),I1579&gt;0),SQRT(MIN(I1579,Formula!$C$27))/Formula!$C$24,1/Formula!$C$25))</f>
        <v>0.5</v>
      </c>
      <c r="R1579" s="15">
        <f t="shared" si="2"/>
        <v>0.45</v>
      </c>
      <c r="S1579" s="15">
        <f>IF(H1579&lt;&gt;"",EXP(-Formula!$C$28*(EOMONTH(H1579,0)-H1579)),EXP(-Formula!$C$28*(EOMONTH(D1579,0)-D1579)))</f>
        <v>0.7046880897</v>
      </c>
      <c r="T1579" s="15">
        <f t="shared" si="3"/>
        <v>0.1961161351</v>
      </c>
      <c r="U1579" s="15">
        <f t="shared" si="4"/>
        <v>0.06219031709</v>
      </c>
      <c r="V1579" s="16">
        <f>IF(AND(L1579="Among all respondents",NOT(OR(K1579="Online poll in Telegram channel",K1579="Website online poll",K1579="CAWI (Computer Assisted Web Interviewing)"))),1/(1-MIN(MAX(Formula!$C$33+(YEAR(D1579)-Formula!$C$34)/(Formula!$C$35-Formula!$C$34)*(Formula!$C$32-Formula!$C$33),Formula!$C$33),Formula!$C$32)),1)</f>
        <v>1</v>
      </c>
      <c r="W1579" s="17">
        <f t="shared" si="5"/>
        <v>24.7</v>
      </c>
    </row>
    <row r="1580" ht="15.75" customHeight="1">
      <c r="A1580" s="8" t="s">
        <v>2424</v>
      </c>
      <c r="B1580" s="7" t="s">
        <v>2421</v>
      </c>
      <c r="C1580" s="13" t="s">
        <v>2422</v>
      </c>
      <c r="D1580" s="7" t="s">
        <v>215</v>
      </c>
      <c r="E1580" s="8" t="s">
        <v>40</v>
      </c>
      <c r="F1580" s="8" t="s">
        <v>318</v>
      </c>
      <c r="G1580" s="7" t="s">
        <v>2423</v>
      </c>
      <c r="H1580" s="7" t="s">
        <v>2410</v>
      </c>
      <c r="I1580" s="8">
        <v>2500.0</v>
      </c>
      <c r="J1580" s="8">
        <v>2.0</v>
      </c>
      <c r="K1580" s="8" t="s">
        <v>321</v>
      </c>
      <c r="L1580" s="8" t="s">
        <v>322</v>
      </c>
      <c r="M1580" s="8" t="s">
        <v>329</v>
      </c>
      <c r="N1580" s="8">
        <v>13.9</v>
      </c>
      <c r="O1580" s="14">
        <f t="shared" si="1"/>
        <v>44256</v>
      </c>
      <c r="P1580" s="15">
        <f>IFERROR(VLOOKUP(K1580,Formula!$A$11:$B$20,2,FALSE),Formula!$C$26)</f>
        <v>0.9</v>
      </c>
      <c r="Q1580" s="15">
        <f>IF(AND(ISNUMBER(J1580),J1580&gt;0),1/J1580,IF(AND(ISNUMBER(I1580),I1580&gt;0),SQRT(MIN(I1580,Formula!$C$27))/Formula!$C$24,1/Formula!$C$25))</f>
        <v>0.5</v>
      </c>
      <c r="R1580" s="15">
        <f t="shared" si="2"/>
        <v>0.45</v>
      </c>
      <c r="S1580" s="15">
        <f>IF(H1580&lt;&gt;"",EXP(-Formula!$C$28*(EOMONTH(H1580,0)-H1580)),EXP(-Formula!$C$28*(EOMONTH(D1580,0)-D1580)))</f>
        <v>0.7046880897</v>
      </c>
      <c r="T1580" s="15">
        <f t="shared" si="3"/>
        <v>0.1961161351</v>
      </c>
      <c r="U1580" s="15">
        <f t="shared" si="4"/>
        <v>0.06219031709</v>
      </c>
      <c r="V1580" s="16">
        <f>IF(AND(L1580="Among all respondents",NOT(OR(K1580="Online poll in Telegram channel",K1580="Website online poll",K1580="CAWI (Computer Assisted Web Interviewing)"))),1/(1-MIN(MAX(Formula!$C$33+(YEAR(D1580)-Formula!$C$34)/(Formula!$C$35-Formula!$C$34)*(Formula!$C$32-Formula!$C$33),Formula!$C$33),Formula!$C$32)),1)</f>
        <v>1</v>
      </c>
      <c r="W1580" s="17">
        <f t="shared" si="5"/>
        <v>13.9</v>
      </c>
    </row>
    <row r="1581" ht="15.75" customHeight="1">
      <c r="A1581" s="8" t="s">
        <v>2425</v>
      </c>
      <c r="B1581" s="7" t="s">
        <v>2421</v>
      </c>
      <c r="C1581" s="13" t="s">
        <v>2422</v>
      </c>
      <c r="D1581" s="7" t="s">
        <v>215</v>
      </c>
      <c r="E1581" s="8" t="s">
        <v>40</v>
      </c>
      <c r="F1581" s="8" t="s">
        <v>318</v>
      </c>
      <c r="G1581" s="7" t="s">
        <v>2423</v>
      </c>
      <c r="H1581" s="7" t="s">
        <v>2410</v>
      </c>
      <c r="I1581" s="8">
        <v>2500.0</v>
      </c>
      <c r="J1581" s="8">
        <v>2.0</v>
      </c>
      <c r="K1581" s="8" t="s">
        <v>321</v>
      </c>
      <c r="L1581" s="8" t="s">
        <v>322</v>
      </c>
      <c r="M1581" s="8" t="s">
        <v>365</v>
      </c>
      <c r="N1581" s="8">
        <v>12.6</v>
      </c>
      <c r="O1581" s="14">
        <f t="shared" si="1"/>
        <v>44256</v>
      </c>
      <c r="P1581" s="15">
        <f>IFERROR(VLOOKUP(K1581,Formula!$A$11:$B$20,2,FALSE),Formula!$C$26)</f>
        <v>0.9</v>
      </c>
      <c r="Q1581" s="15">
        <f>IF(AND(ISNUMBER(J1581),J1581&gt;0),1/J1581,IF(AND(ISNUMBER(I1581),I1581&gt;0),SQRT(MIN(I1581,Formula!$C$27))/Formula!$C$24,1/Formula!$C$25))</f>
        <v>0.5</v>
      </c>
      <c r="R1581" s="15">
        <f t="shared" si="2"/>
        <v>0.45</v>
      </c>
      <c r="S1581" s="15">
        <f>IF(H1581&lt;&gt;"",EXP(-Formula!$C$28*(EOMONTH(H1581,0)-H1581)),EXP(-Formula!$C$28*(EOMONTH(D1581,0)-D1581)))</f>
        <v>0.7046880897</v>
      </c>
      <c r="T1581" s="15">
        <f t="shared" si="3"/>
        <v>0.1961161351</v>
      </c>
      <c r="U1581" s="15">
        <f t="shared" si="4"/>
        <v>0.06219031709</v>
      </c>
      <c r="V1581" s="16">
        <f>IF(AND(L1581="Among all respondents",NOT(OR(K1581="Online poll in Telegram channel",K1581="Website online poll",K1581="CAWI (Computer Assisted Web Interviewing)"))),1/(1-MIN(MAX(Formula!$C$33+(YEAR(D1581)-Formula!$C$34)/(Formula!$C$35-Formula!$C$34)*(Formula!$C$32-Formula!$C$33),Formula!$C$33),Formula!$C$32)),1)</f>
        <v>1</v>
      </c>
      <c r="W1581" s="17">
        <f t="shared" si="5"/>
        <v>12.6</v>
      </c>
    </row>
    <row r="1582" ht="15.75" customHeight="1">
      <c r="A1582" s="8" t="s">
        <v>2426</v>
      </c>
      <c r="B1582" s="7" t="s">
        <v>2421</v>
      </c>
      <c r="C1582" s="13" t="s">
        <v>2422</v>
      </c>
      <c r="D1582" s="7" t="s">
        <v>215</v>
      </c>
      <c r="E1582" s="8" t="s">
        <v>40</v>
      </c>
      <c r="F1582" s="8" t="s">
        <v>318</v>
      </c>
      <c r="G1582" s="7" t="s">
        <v>2423</v>
      </c>
      <c r="H1582" s="7" t="s">
        <v>2410</v>
      </c>
      <c r="I1582" s="8">
        <v>2500.0</v>
      </c>
      <c r="J1582" s="8">
        <v>2.0</v>
      </c>
      <c r="K1582" s="8" t="s">
        <v>321</v>
      </c>
      <c r="L1582" s="8" t="s">
        <v>322</v>
      </c>
      <c r="M1582" s="8" t="s">
        <v>337</v>
      </c>
      <c r="N1582" s="8">
        <v>11.8</v>
      </c>
      <c r="O1582" s="14">
        <f t="shared" si="1"/>
        <v>44256</v>
      </c>
      <c r="P1582" s="15">
        <f>IFERROR(VLOOKUP(K1582,Formula!$A$11:$B$20,2,FALSE),Formula!$C$26)</f>
        <v>0.9</v>
      </c>
      <c r="Q1582" s="15">
        <f>IF(AND(ISNUMBER(J1582),J1582&gt;0),1/J1582,IF(AND(ISNUMBER(I1582),I1582&gt;0),SQRT(MIN(I1582,Formula!$C$27))/Formula!$C$24,1/Formula!$C$25))</f>
        <v>0.5</v>
      </c>
      <c r="R1582" s="15">
        <f t="shared" si="2"/>
        <v>0.45</v>
      </c>
      <c r="S1582" s="15">
        <f>IF(H1582&lt;&gt;"",EXP(-Formula!$C$28*(EOMONTH(H1582,0)-H1582)),EXP(-Formula!$C$28*(EOMONTH(D1582,0)-D1582)))</f>
        <v>0.7046880897</v>
      </c>
      <c r="T1582" s="15">
        <f t="shared" si="3"/>
        <v>0.1961161351</v>
      </c>
      <c r="U1582" s="15">
        <f t="shared" si="4"/>
        <v>0.06219031709</v>
      </c>
      <c r="V1582" s="16">
        <f>IF(AND(L1582="Among all respondents",NOT(OR(K1582="Online poll in Telegram channel",K1582="Website online poll",K1582="CAWI (Computer Assisted Web Interviewing)"))),1/(1-MIN(MAX(Formula!$C$33+(YEAR(D1582)-Formula!$C$34)/(Formula!$C$35-Formula!$C$34)*(Formula!$C$32-Formula!$C$33),Formula!$C$33),Formula!$C$32)),1)</f>
        <v>1</v>
      </c>
      <c r="W1582" s="17">
        <f t="shared" si="5"/>
        <v>11.8</v>
      </c>
    </row>
    <row r="1583" ht="15.75" customHeight="1">
      <c r="A1583" s="8" t="s">
        <v>2427</v>
      </c>
      <c r="B1583" s="7" t="s">
        <v>2421</v>
      </c>
      <c r="C1583" s="13" t="s">
        <v>2422</v>
      </c>
      <c r="D1583" s="7" t="s">
        <v>215</v>
      </c>
      <c r="E1583" s="8" t="s">
        <v>40</v>
      </c>
      <c r="F1583" s="8" t="s">
        <v>318</v>
      </c>
      <c r="G1583" s="7" t="s">
        <v>2423</v>
      </c>
      <c r="H1583" s="7" t="s">
        <v>2410</v>
      </c>
      <c r="I1583" s="8">
        <v>2500.0</v>
      </c>
      <c r="J1583" s="8">
        <v>2.0</v>
      </c>
      <c r="K1583" s="8" t="s">
        <v>321</v>
      </c>
      <c r="L1583" s="8" t="s">
        <v>322</v>
      </c>
      <c r="M1583" s="8" t="s">
        <v>828</v>
      </c>
      <c r="N1583" s="8">
        <v>7.7</v>
      </c>
      <c r="O1583" s="14">
        <f t="shared" si="1"/>
        <v>44256</v>
      </c>
      <c r="P1583" s="15">
        <f>IFERROR(VLOOKUP(K1583,Formula!$A$11:$B$20,2,FALSE),Formula!$C$26)</f>
        <v>0.9</v>
      </c>
      <c r="Q1583" s="15">
        <f>IF(AND(ISNUMBER(J1583),J1583&gt;0),1/J1583,IF(AND(ISNUMBER(I1583),I1583&gt;0),SQRT(MIN(I1583,Formula!$C$27))/Formula!$C$24,1/Formula!$C$25))</f>
        <v>0.5</v>
      </c>
      <c r="R1583" s="15">
        <f t="shared" si="2"/>
        <v>0.45</v>
      </c>
      <c r="S1583" s="15">
        <f>IF(H1583&lt;&gt;"",EXP(-Formula!$C$28*(EOMONTH(H1583,0)-H1583)),EXP(-Formula!$C$28*(EOMONTH(D1583,0)-D1583)))</f>
        <v>0.7046880897</v>
      </c>
      <c r="T1583" s="15">
        <f t="shared" si="3"/>
        <v>0.1961161351</v>
      </c>
      <c r="U1583" s="15">
        <f t="shared" si="4"/>
        <v>0.06219031709</v>
      </c>
      <c r="V1583" s="16">
        <f>IF(AND(L1583="Among all respondents",NOT(OR(K1583="Online poll in Telegram channel",K1583="Website online poll",K1583="CAWI (Computer Assisted Web Interviewing)"))),1/(1-MIN(MAX(Formula!$C$33+(YEAR(D1583)-Formula!$C$34)/(Formula!$C$35-Formula!$C$34)*(Formula!$C$32-Formula!$C$33),Formula!$C$33),Formula!$C$32)),1)</f>
        <v>1</v>
      </c>
      <c r="W1583" s="17">
        <f t="shared" si="5"/>
        <v>7.7</v>
      </c>
    </row>
    <row r="1584" ht="15.75" customHeight="1">
      <c r="A1584" s="8" t="s">
        <v>2428</v>
      </c>
      <c r="B1584" s="7" t="s">
        <v>2421</v>
      </c>
      <c r="C1584" s="13" t="s">
        <v>2422</v>
      </c>
      <c r="D1584" s="7" t="s">
        <v>215</v>
      </c>
      <c r="E1584" s="8" t="s">
        <v>40</v>
      </c>
      <c r="F1584" s="8" t="s">
        <v>318</v>
      </c>
      <c r="G1584" s="7" t="s">
        <v>2423</v>
      </c>
      <c r="H1584" s="7" t="s">
        <v>2410</v>
      </c>
      <c r="I1584" s="8">
        <v>2500.0</v>
      </c>
      <c r="J1584" s="8">
        <v>2.0</v>
      </c>
      <c r="K1584" s="8" t="s">
        <v>321</v>
      </c>
      <c r="L1584" s="8" t="s">
        <v>322</v>
      </c>
      <c r="M1584" s="8" t="s">
        <v>386</v>
      </c>
      <c r="N1584" s="8">
        <v>5.2</v>
      </c>
      <c r="O1584" s="14">
        <f t="shared" si="1"/>
        <v>44256</v>
      </c>
      <c r="P1584" s="15">
        <f>IFERROR(VLOOKUP(K1584,Formula!$A$11:$B$20,2,FALSE),Formula!$C$26)</f>
        <v>0.9</v>
      </c>
      <c r="Q1584" s="15">
        <f>IF(AND(ISNUMBER(J1584),J1584&gt;0),1/J1584,IF(AND(ISNUMBER(I1584),I1584&gt;0),SQRT(MIN(I1584,Formula!$C$27))/Formula!$C$24,1/Formula!$C$25))</f>
        <v>0.5</v>
      </c>
      <c r="R1584" s="15">
        <f t="shared" si="2"/>
        <v>0.45</v>
      </c>
      <c r="S1584" s="15">
        <f>IF(H1584&lt;&gt;"",EXP(-Formula!$C$28*(EOMONTH(H1584,0)-H1584)),EXP(-Formula!$C$28*(EOMONTH(D1584,0)-D1584)))</f>
        <v>0.7046880897</v>
      </c>
      <c r="T1584" s="15">
        <f t="shared" si="3"/>
        <v>0.1961161351</v>
      </c>
      <c r="U1584" s="15">
        <f t="shared" si="4"/>
        <v>0.06219031709</v>
      </c>
      <c r="V1584" s="16">
        <f>IF(AND(L1584="Among all respondents",NOT(OR(K1584="Online poll in Telegram channel",K1584="Website online poll",K1584="CAWI (Computer Assisted Web Interviewing)"))),1/(1-MIN(MAX(Formula!$C$33+(YEAR(D1584)-Formula!$C$34)/(Formula!$C$35-Formula!$C$34)*(Formula!$C$32-Formula!$C$33),Formula!$C$33),Formula!$C$32)),1)</f>
        <v>1</v>
      </c>
      <c r="W1584" s="17">
        <f t="shared" si="5"/>
        <v>5.2</v>
      </c>
    </row>
    <row r="1585" ht="15.75" customHeight="1">
      <c r="A1585" s="8" t="s">
        <v>2429</v>
      </c>
      <c r="B1585" s="7" t="s">
        <v>2421</v>
      </c>
      <c r="C1585" s="13" t="s">
        <v>2422</v>
      </c>
      <c r="D1585" s="7" t="s">
        <v>215</v>
      </c>
      <c r="E1585" s="8" t="s">
        <v>40</v>
      </c>
      <c r="F1585" s="8" t="s">
        <v>318</v>
      </c>
      <c r="G1585" s="7" t="s">
        <v>2423</v>
      </c>
      <c r="H1585" s="7" t="s">
        <v>2410</v>
      </c>
      <c r="I1585" s="8">
        <v>2500.0</v>
      </c>
      <c r="J1585" s="8">
        <v>2.0</v>
      </c>
      <c r="K1585" s="8" t="s">
        <v>321</v>
      </c>
      <c r="L1585" s="8" t="s">
        <v>322</v>
      </c>
      <c r="M1585" s="8" t="s">
        <v>333</v>
      </c>
      <c r="N1585" s="8">
        <v>3.8</v>
      </c>
      <c r="O1585" s="14">
        <f t="shared" si="1"/>
        <v>44256</v>
      </c>
      <c r="P1585" s="15">
        <f>IFERROR(VLOOKUP(K1585,Formula!$A$11:$B$20,2,FALSE),Formula!$C$26)</f>
        <v>0.9</v>
      </c>
      <c r="Q1585" s="15">
        <f>IF(AND(ISNUMBER(J1585),J1585&gt;0),1/J1585,IF(AND(ISNUMBER(I1585),I1585&gt;0),SQRT(MIN(I1585,Formula!$C$27))/Formula!$C$24,1/Formula!$C$25))</f>
        <v>0.5</v>
      </c>
      <c r="R1585" s="15">
        <f t="shared" si="2"/>
        <v>0.45</v>
      </c>
      <c r="S1585" s="15">
        <f>IF(H1585&lt;&gt;"",EXP(-Formula!$C$28*(EOMONTH(H1585,0)-H1585)),EXP(-Formula!$C$28*(EOMONTH(D1585,0)-D1585)))</f>
        <v>0.7046880897</v>
      </c>
      <c r="T1585" s="15">
        <f t="shared" si="3"/>
        <v>0.1961161351</v>
      </c>
      <c r="U1585" s="15">
        <f t="shared" si="4"/>
        <v>0.06219031709</v>
      </c>
      <c r="V1585" s="16">
        <f>IF(AND(L1585="Among all respondents",NOT(OR(K1585="Online poll in Telegram channel",K1585="Website online poll",K1585="CAWI (Computer Assisted Web Interviewing)"))),1/(1-MIN(MAX(Formula!$C$33+(YEAR(D1585)-Formula!$C$34)/(Formula!$C$35-Formula!$C$34)*(Formula!$C$32-Formula!$C$33),Formula!$C$33),Formula!$C$32)),1)</f>
        <v>1</v>
      </c>
      <c r="W1585" s="17">
        <f t="shared" si="5"/>
        <v>3.8</v>
      </c>
    </row>
    <row r="1586" ht="15.75" customHeight="1">
      <c r="A1586" s="8" t="s">
        <v>2430</v>
      </c>
      <c r="B1586" s="7" t="s">
        <v>2421</v>
      </c>
      <c r="C1586" s="13" t="s">
        <v>2422</v>
      </c>
      <c r="D1586" s="7" t="s">
        <v>215</v>
      </c>
      <c r="E1586" s="8" t="s">
        <v>40</v>
      </c>
      <c r="F1586" s="8" t="s">
        <v>318</v>
      </c>
      <c r="G1586" s="7" t="s">
        <v>2423</v>
      </c>
      <c r="H1586" s="7" t="s">
        <v>2410</v>
      </c>
      <c r="I1586" s="8">
        <v>2500.0</v>
      </c>
      <c r="J1586" s="8">
        <v>2.0</v>
      </c>
      <c r="K1586" s="8" t="s">
        <v>321</v>
      </c>
      <c r="L1586" s="8" t="s">
        <v>322</v>
      </c>
      <c r="M1586" s="8" t="s">
        <v>388</v>
      </c>
      <c r="N1586" s="8">
        <v>3.7</v>
      </c>
      <c r="O1586" s="14">
        <f t="shared" si="1"/>
        <v>44256</v>
      </c>
      <c r="P1586" s="15">
        <f>IFERROR(VLOOKUP(K1586,Formula!$A$11:$B$20,2,FALSE),Formula!$C$26)</f>
        <v>0.9</v>
      </c>
      <c r="Q1586" s="15">
        <f>IF(AND(ISNUMBER(J1586),J1586&gt;0),1/J1586,IF(AND(ISNUMBER(I1586),I1586&gt;0),SQRT(MIN(I1586,Formula!$C$27))/Formula!$C$24,1/Formula!$C$25))</f>
        <v>0.5</v>
      </c>
      <c r="R1586" s="15">
        <f t="shared" si="2"/>
        <v>0.45</v>
      </c>
      <c r="S1586" s="15">
        <f>IF(H1586&lt;&gt;"",EXP(-Formula!$C$28*(EOMONTH(H1586,0)-H1586)),EXP(-Formula!$C$28*(EOMONTH(D1586,0)-D1586)))</f>
        <v>0.7046880897</v>
      </c>
      <c r="T1586" s="15">
        <f t="shared" si="3"/>
        <v>0.1961161351</v>
      </c>
      <c r="U1586" s="15">
        <f t="shared" si="4"/>
        <v>0.06219031709</v>
      </c>
      <c r="V1586" s="16">
        <f>IF(AND(L1586="Among all respondents",NOT(OR(K1586="Online poll in Telegram channel",K1586="Website online poll",K1586="CAWI (Computer Assisted Web Interviewing)"))),1/(1-MIN(MAX(Formula!$C$33+(YEAR(D1586)-Formula!$C$34)/(Formula!$C$35-Formula!$C$34)*(Formula!$C$32-Formula!$C$33),Formula!$C$33),Formula!$C$32)),1)</f>
        <v>1</v>
      </c>
      <c r="W1586" s="17">
        <f t="shared" si="5"/>
        <v>3.7</v>
      </c>
    </row>
    <row r="1587" ht="15.75" customHeight="1">
      <c r="A1587" s="8" t="s">
        <v>2431</v>
      </c>
      <c r="B1587" s="7" t="s">
        <v>2421</v>
      </c>
      <c r="C1587" s="13" t="s">
        <v>2422</v>
      </c>
      <c r="D1587" s="7" t="s">
        <v>215</v>
      </c>
      <c r="E1587" s="8" t="s">
        <v>40</v>
      </c>
      <c r="F1587" s="8" t="s">
        <v>318</v>
      </c>
      <c r="G1587" s="7" t="s">
        <v>2423</v>
      </c>
      <c r="H1587" s="7" t="s">
        <v>2410</v>
      </c>
      <c r="I1587" s="8">
        <v>2500.0</v>
      </c>
      <c r="J1587" s="8">
        <v>2.0</v>
      </c>
      <c r="K1587" s="8" t="s">
        <v>321</v>
      </c>
      <c r="L1587" s="8" t="s">
        <v>322</v>
      </c>
      <c r="M1587" s="8" t="s">
        <v>1153</v>
      </c>
      <c r="N1587" s="8">
        <v>3.7</v>
      </c>
      <c r="O1587" s="14">
        <f t="shared" si="1"/>
        <v>44256</v>
      </c>
      <c r="P1587" s="15">
        <f>IFERROR(VLOOKUP(K1587,Formula!$A$11:$B$20,2,FALSE),Formula!$C$26)</f>
        <v>0.9</v>
      </c>
      <c r="Q1587" s="15">
        <f>IF(AND(ISNUMBER(J1587),J1587&gt;0),1/J1587,IF(AND(ISNUMBER(I1587),I1587&gt;0),SQRT(MIN(I1587,Formula!$C$27))/Formula!$C$24,1/Formula!$C$25))</f>
        <v>0.5</v>
      </c>
      <c r="R1587" s="15">
        <f t="shared" si="2"/>
        <v>0.45</v>
      </c>
      <c r="S1587" s="15">
        <f>IF(H1587&lt;&gt;"",EXP(-Formula!$C$28*(EOMONTH(H1587,0)-H1587)),EXP(-Formula!$C$28*(EOMONTH(D1587,0)-D1587)))</f>
        <v>0.7046880897</v>
      </c>
      <c r="T1587" s="15">
        <f t="shared" si="3"/>
        <v>0.1961161351</v>
      </c>
      <c r="U1587" s="15">
        <f t="shared" si="4"/>
        <v>0.06219031709</v>
      </c>
      <c r="V1587" s="16">
        <f>IF(AND(L1587="Among all respondents",NOT(OR(K1587="Online poll in Telegram channel",K1587="Website online poll",K1587="CAWI (Computer Assisted Web Interviewing)"))),1/(1-MIN(MAX(Formula!$C$33+(YEAR(D1587)-Formula!$C$34)/(Formula!$C$35-Formula!$C$34)*(Formula!$C$32-Formula!$C$33),Formula!$C$33),Formula!$C$32)),1)</f>
        <v>1</v>
      </c>
      <c r="W1587" s="17">
        <f t="shared" si="5"/>
        <v>3.7</v>
      </c>
    </row>
    <row r="1588" ht="15.75" customHeight="1">
      <c r="A1588" s="8" t="s">
        <v>2432</v>
      </c>
      <c r="B1588" s="7" t="s">
        <v>2421</v>
      </c>
      <c r="C1588" s="13" t="s">
        <v>2422</v>
      </c>
      <c r="D1588" s="7" t="s">
        <v>215</v>
      </c>
      <c r="E1588" s="8" t="s">
        <v>40</v>
      </c>
      <c r="F1588" s="8" t="s">
        <v>318</v>
      </c>
      <c r="G1588" s="7" t="s">
        <v>2423</v>
      </c>
      <c r="H1588" s="7" t="s">
        <v>2410</v>
      </c>
      <c r="I1588" s="8">
        <v>2500.0</v>
      </c>
      <c r="J1588" s="8">
        <v>2.0</v>
      </c>
      <c r="K1588" s="8" t="s">
        <v>321</v>
      </c>
      <c r="L1588" s="8" t="s">
        <v>322</v>
      </c>
      <c r="M1588" s="8" t="s">
        <v>838</v>
      </c>
      <c r="N1588" s="8">
        <v>3.3</v>
      </c>
      <c r="O1588" s="14">
        <f t="shared" si="1"/>
        <v>44256</v>
      </c>
      <c r="P1588" s="15">
        <f>IFERROR(VLOOKUP(K1588,Formula!$A$11:$B$20,2,FALSE),Formula!$C$26)</f>
        <v>0.9</v>
      </c>
      <c r="Q1588" s="15">
        <f>IF(AND(ISNUMBER(J1588),J1588&gt;0),1/J1588,IF(AND(ISNUMBER(I1588),I1588&gt;0),SQRT(MIN(I1588,Formula!$C$27))/Formula!$C$24,1/Formula!$C$25))</f>
        <v>0.5</v>
      </c>
      <c r="R1588" s="15">
        <f t="shared" si="2"/>
        <v>0.45</v>
      </c>
      <c r="S1588" s="15">
        <f>IF(H1588&lt;&gt;"",EXP(-Formula!$C$28*(EOMONTH(H1588,0)-H1588)),EXP(-Formula!$C$28*(EOMONTH(D1588,0)-D1588)))</f>
        <v>0.7046880897</v>
      </c>
      <c r="T1588" s="15">
        <f t="shared" si="3"/>
        <v>0.1961161351</v>
      </c>
      <c r="U1588" s="15">
        <f t="shared" si="4"/>
        <v>0.06219031709</v>
      </c>
      <c r="V1588" s="16">
        <f>IF(AND(L1588="Among all respondents",NOT(OR(K1588="Online poll in Telegram channel",K1588="Website online poll",K1588="CAWI (Computer Assisted Web Interviewing)"))),1/(1-MIN(MAX(Formula!$C$33+(YEAR(D1588)-Formula!$C$34)/(Formula!$C$35-Formula!$C$34)*(Formula!$C$32-Formula!$C$33),Formula!$C$33),Formula!$C$32)),1)</f>
        <v>1</v>
      </c>
      <c r="W1588" s="17">
        <f t="shared" si="5"/>
        <v>3.3</v>
      </c>
    </row>
    <row r="1589" ht="15.75" customHeight="1">
      <c r="A1589" s="8" t="s">
        <v>2433</v>
      </c>
      <c r="B1589" s="7" t="s">
        <v>2421</v>
      </c>
      <c r="C1589" s="13" t="s">
        <v>2422</v>
      </c>
      <c r="D1589" s="7" t="s">
        <v>215</v>
      </c>
      <c r="E1589" s="8" t="s">
        <v>40</v>
      </c>
      <c r="F1589" s="8" t="s">
        <v>318</v>
      </c>
      <c r="G1589" s="7" t="s">
        <v>2423</v>
      </c>
      <c r="H1589" s="7" t="s">
        <v>2410</v>
      </c>
      <c r="I1589" s="8">
        <v>2500.0</v>
      </c>
      <c r="J1589" s="8">
        <v>2.0</v>
      </c>
      <c r="K1589" s="8" t="s">
        <v>321</v>
      </c>
      <c r="L1589" s="8" t="s">
        <v>322</v>
      </c>
      <c r="M1589" s="8" t="s">
        <v>743</v>
      </c>
      <c r="N1589" s="8">
        <v>2.8</v>
      </c>
      <c r="O1589" s="14">
        <f t="shared" si="1"/>
        <v>44256</v>
      </c>
      <c r="P1589" s="15">
        <f>IFERROR(VLOOKUP(K1589,Formula!$A$11:$B$20,2,FALSE),Formula!$C$26)</f>
        <v>0.9</v>
      </c>
      <c r="Q1589" s="15">
        <f>IF(AND(ISNUMBER(J1589),J1589&gt;0),1/J1589,IF(AND(ISNUMBER(I1589),I1589&gt;0),SQRT(MIN(I1589,Formula!$C$27))/Formula!$C$24,1/Formula!$C$25))</f>
        <v>0.5</v>
      </c>
      <c r="R1589" s="15">
        <f t="shared" si="2"/>
        <v>0.45</v>
      </c>
      <c r="S1589" s="15">
        <f>IF(H1589&lt;&gt;"",EXP(-Formula!$C$28*(EOMONTH(H1589,0)-H1589)),EXP(-Formula!$C$28*(EOMONTH(D1589,0)-D1589)))</f>
        <v>0.7046880897</v>
      </c>
      <c r="T1589" s="15">
        <f t="shared" si="3"/>
        <v>0.1961161351</v>
      </c>
      <c r="U1589" s="15">
        <f t="shared" si="4"/>
        <v>0.06219031709</v>
      </c>
      <c r="V1589" s="16">
        <f>IF(AND(L1589="Among all respondents",NOT(OR(K1589="Online poll in Telegram channel",K1589="Website online poll",K1589="CAWI (Computer Assisted Web Interviewing)"))),1/(1-MIN(MAX(Formula!$C$33+(YEAR(D1589)-Formula!$C$34)/(Formula!$C$35-Formula!$C$34)*(Formula!$C$32-Formula!$C$33),Formula!$C$33),Formula!$C$32)),1)</f>
        <v>1</v>
      </c>
      <c r="W1589" s="17">
        <f t="shared" si="5"/>
        <v>2.8</v>
      </c>
    </row>
    <row r="1590" ht="15.75" customHeight="1">
      <c r="A1590" s="8" t="s">
        <v>2434</v>
      </c>
      <c r="B1590" s="7" t="s">
        <v>2421</v>
      </c>
      <c r="C1590" s="13" t="s">
        <v>2422</v>
      </c>
      <c r="D1590" s="7" t="s">
        <v>215</v>
      </c>
      <c r="E1590" s="8" t="s">
        <v>40</v>
      </c>
      <c r="F1590" s="8" t="s">
        <v>318</v>
      </c>
      <c r="G1590" s="7" t="s">
        <v>2423</v>
      </c>
      <c r="H1590" s="7" t="s">
        <v>2410</v>
      </c>
      <c r="I1590" s="8">
        <v>2500.0</v>
      </c>
      <c r="J1590" s="8">
        <v>2.0</v>
      </c>
      <c r="K1590" s="8" t="s">
        <v>321</v>
      </c>
      <c r="L1590" s="8" t="s">
        <v>322</v>
      </c>
      <c r="M1590" s="8" t="s">
        <v>740</v>
      </c>
      <c r="N1590" s="8">
        <v>1.6</v>
      </c>
      <c r="O1590" s="14">
        <f t="shared" si="1"/>
        <v>44256</v>
      </c>
      <c r="P1590" s="15">
        <f>IFERROR(VLOOKUP(K1590,Formula!$A$11:$B$20,2,FALSE),Formula!$C$26)</f>
        <v>0.9</v>
      </c>
      <c r="Q1590" s="15">
        <f>IF(AND(ISNUMBER(J1590),J1590&gt;0),1/J1590,IF(AND(ISNUMBER(I1590),I1590&gt;0),SQRT(MIN(I1590,Formula!$C$27))/Formula!$C$24,1/Formula!$C$25))</f>
        <v>0.5</v>
      </c>
      <c r="R1590" s="15">
        <f t="shared" si="2"/>
        <v>0.45</v>
      </c>
      <c r="S1590" s="15">
        <f>IF(H1590&lt;&gt;"",EXP(-Formula!$C$28*(EOMONTH(H1590,0)-H1590)),EXP(-Formula!$C$28*(EOMONTH(D1590,0)-D1590)))</f>
        <v>0.7046880897</v>
      </c>
      <c r="T1590" s="15">
        <f t="shared" si="3"/>
        <v>0.1961161351</v>
      </c>
      <c r="U1590" s="15">
        <f t="shared" si="4"/>
        <v>0.06219031709</v>
      </c>
      <c r="V1590" s="16">
        <f>IF(AND(L1590="Among all respondents",NOT(OR(K1590="Online poll in Telegram channel",K1590="Website online poll",K1590="CAWI (Computer Assisted Web Interviewing)"))),1/(1-MIN(MAX(Formula!$C$33+(YEAR(D1590)-Formula!$C$34)/(Formula!$C$35-Formula!$C$34)*(Formula!$C$32-Formula!$C$33),Formula!$C$33),Formula!$C$32)),1)</f>
        <v>1</v>
      </c>
      <c r="W1590" s="17">
        <f t="shared" si="5"/>
        <v>1.6</v>
      </c>
    </row>
    <row r="1591" ht="15.75" customHeight="1">
      <c r="A1591" s="8" t="s">
        <v>2435</v>
      </c>
      <c r="B1591" s="7" t="s">
        <v>2421</v>
      </c>
      <c r="C1591" s="13" t="s">
        <v>2422</v>
      </c>
      <c r="D1591" s="7" t="s">
        <v>215</v>
      </c>
      <c r="E1591" s="8" t="s">
        <v>40</v>
      </c>
      <c r="F1591" s="8" t="s">
        <v>318</v>
      </c>
      <c r="G1591" s="7" t="s">
        <v>2423</v>
      </c>
      <c r="H1591" s="7" t="s">
        <v>2410</v>
      </c>
      <c r="I1591" s="8">
        <v>2500.0</v>
      </c>
      <c r="J1591" s="8">
        <v>2.0</v>
      </c>
      <c r="K1591" s="8" t="s">
        <v>321</v>
      </c>
      <c r="L1591" s="8" t="s">
        <v>322</v>
      </c>
      <c r="M1591" s="8" t="s">
        <v>1171</v>
      </c>
      <c r="N1591" s="8">
        <v>0.5</v>
      </c>
      <c r="O1591" s="14">
        <f t="shared" si="1"/>
        <v>44256</v>
      </c>
      <c r="P1591" s="15">
        <f>IFERROR(VLOOKUP(K1591,Formula!$A$11:$B$20,2,FALSE),Formula!$C$26)</f>
        <v>0.9</v>
      </c>
      <c r="Q1591" s="15">
        <f>IF(AND(ISNUMBER(J1591),J1591&gt;0),1/J1591,IF(AND(ISNUMBER(I1591),I1591&gt;0),SQRT(MIN(I1591,Formula!$C$27))/Formula!$C$24,1/Formula!$C$25))</f>
        <v>0.5</v>
      </c>
      <c r="R1591" s="15">
        <f t="shared" si="2"/>
        <v>0.45</v>
      </c>
      <c r="S1591" s="15">
        <f>IF(H1591&lt;&gt;"",EXP(-Formula!$C$28*(EOMONTH(H1591,0)-H1591)),EXP(-Formula!$C$28*(EOMONTH(D1591,0)-D1591)))</f>
        <v>0.7046880897</v>
      </c>
      <c r="T1591" s="15">
        <f t="shared" si="3"/>
        <v>0.1961161351</v>
      </c>
      <c r="U1591" s="15">
        <f t="shared" si="4"/>
        <v>0.06219031709</v>
      </c>
      <c r="V1591" s="16">
        <f>IF(AND(L1591="Among all respondents",NOT(OR(K1591="Online poll in Telegram channel",K1591="Website online poll",K1591="CAWI (Computer Assisted Web Interviewing)"))),1/(1-MIN(MAX(Formula!$C$33+(YEAR(D1591)-Formula!$C$34)/(Formula!$C$35-Formula!$C$34)*(Formula!$C$32-Formula!$C$33),Formula!$C$33),Formula!$C$32)),1)</f>
        <v>1</v>
      </c>
      <c r="W1591" s="17">
        <f t="shared" si="5"/>
        <v>0.5</v>
      </c>
    </row>
    <row r="1592" ht="15.75" customHeight="1">
      <c r="A1592" s="8" t="s">
        <v>2436</v>
      </c>
      <c r="B1592" s="7" t="s">
        <v>2437</v>
      </c>
      <c r="C1592" s="13" t="s">
        <v>2438</v>
      </c>
      <c r="D1592" s="7" t="s">
        <v>218</v>
      </c>
      <c r="E1592" s="8" t="s">
        <v>150</v>
      </c>
      <c r="F1592" s="8" t="s">
        <v>318</v>
      </c>
      <c r="G1592" s="7" t="s">
        <v>2439</v>
      </c>
      <c r="H1592" s="7" t="s">
        <v>2423</v>
      </c>
      <c r="I1592" s="8">
        <v>1213.0</v>
      </c>
      <c r="J1592" s="8">
        <v>3.0</v>
      </c>
      <c r="K1592" s="8" t="s">
        <v>583</v>
      </c>
      <c r="L1592" s="8" t="s">
        <v>322</v>
      </c>
      <c r="M1592" s="8" t="s">
        <v>323</v>
      </c>
      <c r="N1592" s="8">
        <v>23.4</v>
      </c>
      <c r="O1592" s="14">
        <f t="shared" si="1"/>
        <v>44256</v>
      </c>
      <c r="P1592" s="15">
        <f>IFERROR(VLOOKUP(K1592,Formula!$A$11:$B$20,2,FALSE),Formula!$C$26)</f>
        <v>0.95</v>
      </c>
      <c r="Q1592" s="15">
        <f>IF(AND(ISNUMBER(J1592),J1592&gt;0),1/J1592,IF(AND(ISNUMBER(I1592),I1592&gt;0),SQRT(MIN(I1592,Formula!$C$27))/Formula!$C$24,1/Formula!$C$25))</f>
        <v>0.3333333333</v>
      </c>
      <c r="R1592" s="15">
        <f t="shared" si="2"/>
        <v>0.3166666667</v>
      </c>
      <c r="S1592" s="15">
        <f>IF(H1592&lt;&gt;"",EXP(-Formula!$C$28*(EOMONTH(H1592,0)-H1592)),EXP(-Formula!$C$28*(EOMONTH(D1592,0)-D1592)))</f>
        <v>0.670320046</v>
      </c>
      <c r="T1592" s="15">
        <f t="shared" si="3"/>
        <v>0.316227766</v>
      </c>
      <c r="U1592" s="15">
        <f t="shared" si="4"/>
        <v>0.06712504005</v>
      </c>
      <c r="V1592" s="16">
        <f>IF(AND(L1592="Among all respondents",NOT(OR(K1592="Online poll in Telegram channel",K1592="Website online poll",K1592="CAWI (Computer Assisted Web Interviewing)"))),1/(1-MIN(MAX(Formula!$C$33+(YEAR(D1592)-Formula!$C$34)/(Formula!$C$35-Formula!$C$34)*(Formula!$C$32-Formula!$C$33),Formula!$C$33),Formula!$C$32)),1)</f>
        <v>1</v>
      </c>
      <c r="W1592" s="17">
        <f t="shared" si="5"/>
        <v>23.4</v>
      </c>
    </row>
    <row r="1593" ht="15.75" customHeight="1">
      <c r="A1593" s="8" t="s">
        <v>2440</v>
      </c>
      <c r="B1593" s="7" t="s">
        <v>2437</v>
      </c>
      <c r="C1593" s="13" t="s">
        <v>2438</v>
      </c>
      <c r="D1593" s="7" t="s">
        <v>218</v>
      </c>
      <c r="E1593" s="8" t="s">
        <v>150</v>
      </c>
      <c r="F1593" s="8" t="s">
        <v>318</v>
      </c>
      <c r="G1593" s="7" t="s">
        <v>2439</v>
      </c>
      <c r="H1593" s="7" t="s">
        <v>2423</v>
      </c>
      <c r="I1593" s="8">
        <v>1213.0</v>
      </c>
      <c r="J1593" s="8">
        <v>3.0</v>
      </c>
      <c r="K1593" s="8" t="s">
        <v>583</v>
      </c>
      <c r="L1593" s="8" t="s">
        <v>322</v>
      </c>
      <c r="M1593" s="8" t="s">
        <v>365</v>
      </c>
      <c r="N1593" s="8">
        <v>19.1</v>
      </c>
      <c r="O1593" s="14">
        <f t="shared" si="1"/>
        <v>44256</v>
      </c>
      <c r="P1593" s="15">
        <f>IFERROR(VLOOKUP(K1593,Formula!$A$11:$B$20,2,FALSE),Formula!$C$26)</f>
        <v>0.95</v>
      </c>
      <c r="Q1593" s="15">
        <f>IF(AND(ISNUMBER(J1593),J1593&gt;0),1/J1593,IF(AND(ISNUMBER(I1593),I1593&gt;0),SQRT(MIN(I1593,Formula!$C$27))/Formula!$C$24,1/Formula!$C$25))</f>
        <v>0.3333333333</v>
      </c>
      <c r="R1593" s="15">
        <f t="shared" si="2"/>
        <v>0.3166666667</v>
      </c>
      <c r="S1593" s="15">
        <f>IF(H1593&lt;&gt;"",EXP(-Formula!$C$28*(EOMONTH(H1593,0)-H1593)),EXP(-Formula!$C$28*(EOMONTH(D1593,0)-D1593)))</f>
        <v>0.670320046</v>
      </c>
      <c r="T1593" s="15">
        <f t="shared" si="3"/>
        <v>0.316227766</v>
      </c>
      <c r="U1593" s="15">
        <f t="shared" si="4"/>
        <v>0.06712504005</v>
      </c>
      <c r="V1593" s="16">
        <f>IF(AND(L1593="Among all respondents",NOT(OR(K1593="Online poll in Telegram channel",K1593="Website online poll",K1593="CAWI (Computer Assisted Web Interviewing)"))),1/(1-MIN(MAX(Formula!$C$33+(YEAR(D1593)-Formula!$C$34)/(Formula!$C$35-Formula!$C$34)*(Formula!$C$32-Formula!$C$33),Formula!$C$33),Formula!$C$32)),1)</f>
        <v>1</v>
      </c>
      <c r="W1593" s="17">
        <f t="shared" si="5"/>
        <v>19.1</v>
      </c>
    </row>
    <row r="1594" ht="15.75" customHeight="1">
      <c r="A1594" s="8" t="s">
        <v>2441</v>
      </c>
      <c r="B1594" s="7" t="s">
        <v>2437</v>
      </c>
      <c r="C1594" s="13" t="s">
        <v>2438</v>
      </c>
      <c r="D1594" s="7" t="s">
        <v>218</v>
      </c>
      <c r="E1594" s="8" t="s">
        <v>150</v>
      </c>
      <c r="F1594" s="8" t="s">
        <v>318</v>
      </c>
      <c r="G1594" s="7" t="s">
        <v>2439</v>
      </c>
      <c r="H1594" s="7" t="s">
        <v>2423</v>
      </c>
      <c r="I1594" s="8">
        <v>1213.0</v>
      </c>
      <c r="J1594" s="8">
        <v>3.0</v>
      </c>
      <c r="K1594" s="8" t="s">
        <v>583</v>
      </c>
      <c r="L1594" s="8" t="s">
        <v>322</v>
      </c>
      <c r="M1594" s="8" t="s">
        <v>329</v>
      </c>
      <c r="N1594" s="8">
        <v>18.5</v>
      </c>
      <c r="O1594" s="14">
        <f t="shared" si="1"/>
        <v>44256</v>
      </c>
      <c r="P1594" s="15">
        <f>IFERROR(VLOOKUP(K1594,Formula!$A$11:$B$20,2,FALSE),Formula!$C$26)</f>
        <v>0.95</v>
      </c>
      <c r="Q1594" s="15">
        <f>IF(AND(ISNUMBER(J1594),J1594&gt;0),1/J1594,IF(AND(ISNUMBER(I1594),I1594&gt;0),SQRT(MIN(I1594,Formula!$C$27))/Formula!$C$24,1/Formula!$C$25))</f>
        <v>0.3333333333</v>
      </c>
      <c r="R1594" s="15">
        <f t="shared" si="2"/>
        <v>0.3166666667</v>
      </c>
      <c r="S1594" s="15">
        <f>IF(H1594&lt;&gt;"",EXP(-Formula!$C$28*(EOMONTH(H1594,0)-H1594)),EXP(-Formula!$C$28*(EOMONTH(D1594,0)-D1594)))</f>
        <v>0.670320046</v>
      </c>
      <c r="T1594" s="15">
        <f t="shared" si="3"/>
        <v>0.316227766</v>
      </c>
      <c r="U1594" s="15">
        <f t="shared" si="4"/>
        <v>0.06712504005</v>
      </c>
      <c r="V1594" s="16">
        <f>IF(AND(L1594="Among all respondents",NOT(OR(K1594="Online poll in Telegram channel",K1594="Website online poll",K1594="CAWI (Computer Assisted Web Interviewing)"))),1/(1-MIN(MAX(Formula!$C$33+(YEAR(D1594)-Formula!$C$34)/(Formula!$C$35-Formula!$C$34)*(Formula!$C$32-Formula!$C$33),Formula!$C$33),Formula!$C$32)),1)</f>
        <v>1</v>
      </c>
      <c r="W1594" s="17">
        <f t="shared" si="5"/>
        <v>18.5</v>
      </c>
    </row>
    <row r="1595" ht="15.75" customHeight="1">
      <c r="A1595" s="8" t="s">
        <v>2442</v>
      </c>
      <c r="B1595" s="7" t="s">
        <v>2437</v>
      </c>
      <c r="C1595" s="13" t="s">
        <v>2438</v>
      </c>
      <c r="D1595" s="7" t="s">
        <v>218</v>
      </c>
      <c r="E1595" s="8" t="s">
        <v>150</v>
      </c>
      <c r="F1595" s="8" t="s">
        <v>318</v>
      </c>
      <c r="G1595" s="7" t="s">
        <v>2439</v>
      </c>
      <c r="H1595" s="7" t="s">
        <v>2423</v>
      </c>
      <c r="I1595" s="8">
        <v>1213.0</v>
      </c>
      <c r="J1595" s="8">
        <v>3.0</v>
      </c>
      <c r="K1595" s="8" t="s">
        <v>583</v>
      </c>
      <c r="L1595" s="8" t="s">
        <v>322</v>
      </c>
      <c r="M1595" s="8" t="s">
        <v>337</v>
      </c>
      <c r="N1595" s="8">
        <v>11.2</v>
      </c>
      <c r="O1595" s="14">
        <f t="shared" si="1"/>
        <v>44256</v>
      </c>
      <c r="P1595" s="15">
        <f>IFERROR(VLOOKUP(K1595,Formula!$A$11:$B$20,2,FALSE),Formula!$C$26)</f>
        <v>0.95</v>
      </c>
      <c r="Q1595" s="15">
        <f>IF(AND(ISNUMBER(J1595),J1595&gt;0),1/J1595,IF(AND(ISNUMBER(I1595),I1595&gt;0),SQRT(MIN(I1595,Formula!$C$27))/Formula!$C$24,1/Formula!$C$25))</f>
        <v>0.3333333333</v>
      </c>
      <c r="R1595" s="15">
        <f t="shared" si="2"/>
        <v>0.3166666667</v>
      </c>
      <c r="S1595" s="15">
        <f>IF(H1595&lt;&gt;"",EXP(-Formula!$C$28*(EOMONTH(H1595,0)-H1595)),EXP(-Formula!$C$28*(EOMONTH(D1595,0)-D1595)))</f>
        <v>0.670320046</v>
      </c>
      <c r="T1595" s="15">
        <f t="shared" si="3"/>
        <v>0.316227766</v>
      </c>
      <c r="U1595" s="15">
        <f t="shared" si="4"/>
        <v>0.06712504005</v>
      </c>
      <c r="V1595" s="16">
        <f>IF(AND(L1595="Among all respondents",NOT(OR(K1595="Online poll in Telegram channel",K1595="Website online poll",K1595="CAWI (Computer Assisted Web Interviewing)"))),1/(1-MIN(MAX(Formula!$C$33+(YEAR(D1595)-Formula!$C$34)/(Formula!$C$35-Formula!$C$34)*(Formula!$C$32-Formula!$C$33),Formula!$C$33),Formula!$C$32)),1)</f>
        <v>1</v>
      </c>
      <c r="W1595" s="17">
        <f t="shared" si="5"/>
        <v>11.2</v>
      </c>
    </row>
    <row r="1596" ht="15.75" customHeight="1">
      <c r="A1596" s="8" t="s">
        <v>2443</v>
      </c>
      <c r="B1596" s="7" t="s">
        <v>2437</v>
      </c>
      <c r="C1596" s="13" t="s">
        <v>2438</v>
      </c>
      <c r="D1596" s="7" t="s">
        <v>218</v>
      </c>
      <c r="E1596" s="8" t="s">
        <v>150</v>
      </c>
      <c r="F1596" s="8" t="s">
        <v>318</v>
      </c>
      <c r="G1596" s="7" t="s">
        <v>2439</v>
      </c>
      <c r="H1596" s="7" t="s">
        <v>2423</v>
      </c>
      <c r="I1596" s="8">
        <v>1213.0</v>
      </c>
      <c r="J1596" s="8">
        <v>3.0</v>
      </c>
      <c r="K1596" s="8" t="s">
        <v>583</v>
      </c>
      <c r="L1596" s="8" t="s">
        <v>322</v>
      </c>
      <c r="M1596" s="8" t="s">
        <v>828</v>
      </c>
      <c r="N1596" s="8">
        <v>8.0</v>
      </c>
      <c r="O1596" s="14">
        <f t="shared" si="1"/>
        <v>44256</v>
      </c>
      <c r="P1596" s="15">
        <f>IFERROR(VLOOKUP(K1596,Formula!$A$11:$B$20,2,FALSE),Formula!$C$26)</f>
        <v>0.95</v>
      </c>
      <c r="Q1596" s="15">
        <f>IF(AND(ISNUMBER(J1596),J1596&gt;0),1/J1596,IF(AND(ISNUMBER(I1596),I1596&gt;0),SQRT(MIN(I1596,Formula!$C$27))/Formula!$C$24,1/Formula!$C$25))</f>
        <v>0.3333333333</v>
      </c>
      <c r="R1596" s="15">
        <f t="shared" si="2"/>
        <v>0.3166666667</v>
      </c>
      <c r="S1596" s="15">
        <f>IF(H1596&lt;&gt;"",EXP(-Formula!$C$28*(EOMONTH(H1596,0)-H1596)),EXP(-Formula!$C$28*(EOMONTH(D1596,0)-D1596)))</f>
        <v>0.670320046</v>
      </c>
      <c r="T1596" s="15">
        <f t="shared" si="3"/>
        <v>0.316227766</v>
      </c>
      <c r="U1596" s="15">
        <f t="shared" si="4"/>
        <v>0.06712504005</v>
      </c>
      <c r="V1596" s="16">
        <f>IF(AND(L1596="Among all respondents",NOT(OR(K1596="Online poll in Telegram channel",K1596="Website online poll",K1596="CAWI (Computer Assisted Web Interviewing)"))),1/(1-MIN(MAX(Formula!$C$33+(YEAR(D1596)-Formula!$C$34)/(Formula!$C$35-Formula!$C$34)*(Formula!$C$32-Formula!$C$33),Formula!$C$33),Formula!$C$32)),1)</f>
        <v>1</v>
      </c>
      <c r="W1596" s="17">
        <f t="shared" si="5"/>
        <v>8</v>
      </c>
    </row>
    <row r="1597" ht="15.75" customHeight="1">
      <c r="A1597" s="8" t="s">
        <v>2444</v>
      </c>
      <c r="B1597" s="7" t="s">
        <v>2437</v>
      </c>
      <c r="C1597" s="13" t="s">
        <v>2438</v>
      </c>
      <c r="D1597" s="7" t="s">
        <v>218</v>
      </c>
      <c r="E1597" s="8" t="s">
        <v>150</v>
      </c>
      <c r="F1597" s="8" t="s">
        <v>318</v>
      </c>
      <c r="G1597" s="7" t="s">
        <v>2439</v>
      </c>
      <c r="H1597" s="7" t="s">
        <v>2423</v>
      </c>
      <c r="I1597" s="8">
        <v>1213.0</v>
      </c>
      <c r="J1597" s="8">
        <v>3.0</v>
      </c>
      <c r="K1597" s="8" t="s">
        <v>583</v>
      </c>
      <c r="L1597" s="8" t="s">
        <v>322</v>
      </c>
      <c r="M1597" s="8" t="s">
        <v>386</v>
      </c>
      <c r="N1597" s="8">
        <v>3.8</v>
      </c>
      <c r="O1597" s="14">
        <f t="shared" si="1"/>
        <v>44256</v>
      </c>
      <c r="P1597" s="15">
        <f>IFERROR(VLOOKUP(K1597,Formula!$A$11:$B$20,2,FALSE),Formula!$C$26)</f>
        <v>0.95</v>
      </c>
      <c r="Q1597" s="15">
        <f>IF(AND(ISNUMBER(J1597),J1597&gt;0),1/J1597,IF(AND(ISNUMBER(I1597),I1597&gt;0),SQRT(MIN(I1597,Formula!$C$27))/Formula!$C$24,1/Formula!$C$25))</f>
        <v>0.3333333333</v>
      </c>
      <c r="R1597" s="15">
        <f t="shared" si="2"/>
        <v>0.3166666667</v>
      </c>
      <c r="S1597" s="15">
        <f>IF(H1597&lt;&gt;"",EXP(-Formula!$C$28*(EOMONTH(H1597,0)-H1597)),EXP(-Formula!$C$28*(EOMONTH(D1597,0)-D1597)))</f>
        <v>0.670320046</v>
      </c>
      <c r="T1597" s="15">
        <f t="shared" si="3"/>
        <v>0.316227766</v>
      </c>
      <c r="U1597" s="15">
        <f t="shared" si="4"/>
        <v>0.06712504005</v>
      </c>
      <c r="V1597" s="16">
        <f>IF(AND(L1597="Among all respondents",NOT(OR(K1597="Online poll in Telegram channel",K1597="Website online poll",K1597="CAWI (Computer Assisted Web Interviewing)"))),1/(1-MIN(MAX(Formula!$C$33+(YEAR(D1597)-Formula!$C$34)/(Formula!$C$35-Formula!$C$34)*(Formula!$C$32-Formula!$C$33),Formula!$C$33),Formula!$C$32)),1)</f>
        <v>1</v>
      </c>
      <c r="W1597" s="17">
        <f t="shared" si="5"/>
        <v>3.8</v>
      </c>
    </row>
    <row r="1598" ht="15.75" customHeight="1">
      <c r="A1598" s="8" t="s">
        <v>2445</v>
      </c>
      <c r="B1598" s="7" t="s">
        <v>2437</v>
      </c>
      <c r="C1598" s="13" t="s">
        <v>2438</v>
      </c>
      <c r="D1598" s="7" t="s">
        <v>218</v>
      </c>
      <c r="E1598" s="8" t="s">
        <v>150</v>
      </c>
      <c r="F1598" s="8" t="s">
        <v>318</v>
      </c>
      <c r="G1598" s="7" t="s">
        <v>2439</v>
      </c>
      <c r="H1598" s="7" t="s">
        <v>2423</v>
      </c>
      <c r="I1598" s="8">
        <v>1213.0</v>
      </c>
      <c r="J1598" s="8">
        <v>3.0</v>
      </c>
      <c r="K1598" s="8" t="s">
        <v>583</v>
      </c>
      <c r="L1598" s="8" t="s">
        <v>322</v>
      </c>
      <c r="M1598" s="8" t="s">
        <v>333</v>
      </c>
      <c r="N1598" s="8">
        <v>3.1</v>
      </c>
      <c r="O1598" s="14">
        <f t="shared" si="1"/>
        <v>44256</v>
      </c>
      <c r="P1598" s="15">
        <f>IFERROR(VLOOKUP(K1598,Formula!$A$11:$B$20,2,FALSE),Formula!$C$26)</f>
        <v>0.95</v>
      </c>
      <c r="Q1598" s="15">
        <f>IF(AND(ISNUMBER(J1598),J1598&gt;0),1/J1598,IF(AND(ISNUMBER(I1598),I1598&gt;0),SQRT(MIN(I1598,Formula!$C$27))/Formula!$C$24,1/Formula!$C$25))</f>
        <v>0.3333333333</v>
      </c>
      <c r="R1598" s="15">
        <f t="shared" si="2"/>
        <v>0.3166666667</v>
      </c>
      <c r="S1598" s="15">
        <f>IF(H1598&lt;&gt;"",EXP(-Formula!$C$28*(EOMONTH(H1598,0)-H1598)),EXP(-Formula!$C$28*(EOMONTH(D1598,0)-D1598)))</f>
        <v>0.670320046</v>
      </c>
      <c r="T1598" s="15">
        <f t="shared" si="3"/>
        <v>0.316227766</v>
      </c>
      <c r="U1598" s="15">
        <f t="shared" si="4"/>
        <v>0.06712504005</v>
      </c>
      <c r="V1598" s="16">
        <f>IF(AND(L1598="Among all respondents",NOT(OR(K1598="Online poll in Telegram channel",K1598="Website online poll",K1598="CAWI (Computer Assisted Web Interviewing)"))),1/(1-MIN(MAX(Formula!$C$33+(YEAR(D1598)-Formula!$C$34)/(Formula!$C$35-Formula!$C$34)*(Formula!$C$32-Formula!$C$33),Formula!$C$33),Formula!$C$32)),1)</f>
        <v>1</v>
      </c>
      <c r="W1598" s="17">
        <f t="shared" si="5"/>
        <v>3.1</v>
      </c>
    </row>
    <row r="1599" ht="15.75" customHeight="1">
      <c r="A1599" s="8" t="s">
        <v>2446</v>
      </c>
      <c r="B1599" s="7" t="s">
        <v>2437</v>
      </c>
      <c r="C1599" s="13" t="s">
        <v>2438</v>
      </c>
      <c r="D1599" s="7" t="s">
        <v>218</v>
      </c>
      <c r="E1599" s="8" t="s">
        <v>150</v>
      </c>
      <c r="F1599" s="8" t="s">
        <v>318</v>
      </c>
      <c r="G1599" s="7" t="s">
        <v>2439</v>
      </c>
      <c r="H1599" s="7" t="s">
        <v>2423</v>
      </c>
      <c r="I1599" s="8">
        <v>1213.0</v>
      </c>
      <c r="J1599" s="8">
        <v>3.0</v>
      </c>
      <c r="K1599" s="8" t="s">
        <v>583</v>
      </c>
      <c r="L1599" s="8" t="s">
        <v>322</v>
      </c>
      <c r="M1599" s="8" t="s">
        <v>339</v>
      </c>
      <c r="N1599" s="8">
        <v>2.6</v>
      </c>
      <c r="O1599" s="14">
        <f t="shared" si="1"/>
        <v>44256</v>
      </c>
      <c r="P1599" s="15">
        <f>IFERROR(VLOOKUP(K1599,Formula!$A$11:$B$20,2,FALSE),Formula!$C$26)</f>
        <v>0.95</v>
      </c>
      <c r="Q1599" s="15">
        <f>IF(AND(ISNUMBER(J1599),J1599&gt;0),1/J1599,IF(AND(ISNUMBER(I1599),I1599&gt;0),SQRT(MIN(I1599,Formula!$C$27))/Formula!$C$24,1/Formula!$C$25))</f>
        <v>0.3333333333</v>
      </c>
      <c r="R1599" s="15">
        <f t="shared" si="2"/>
        <v>0.3166666667</v>
      </c>
      <c r="S1599" s="15">
        <f>IF(H1599&lt;&gt;"",EXP(-Formula!$C$28*(EOMONTH(H1599,0)-H1599)),EXP(-Formula!$C$28*(EOMONTH(D1599,0)-D1599)))</f>
        <v>0.670320046</v>
      </c>
      <c r="T1599" s="15">
        <f t="shared" si="3"/>
        <v>0.316227766</v>
      </c>
      <c r="U1599" s="15">
        <f t="shared" si="4"/>
        <v>0.06712504005</v>
      </c>
      <c r="V1599" s="16">
        <f>IF(AND(L1599="Among all respondents",NOT(OR(K1599="Online poll in Telegram channel",K1599="Website online poll",K1599="CAWI (Computer Assisted Web Interviewing)"))),1/(1-MIN(MAX(Formula!$C$33+(YEAR(D1599)-Formula!$C$34)/(Formula!$C$35-Formula!$C$34)*(Formula!$C$32-Formula!$C$33),Formula!$C$33),Formula!$C$32)),1)</f>
        <v>1</v>
      </c>
      <c r="W1599" s="17">
        <f t="shared" si="5"/>
        <v>2.6</v>
      </c>
    </row>
    <row r="1600" ht="15.75" customHeight="1">
      <c r="A1600" s="8" t="s">
        <v>2447</v>
      </c>
      <c r="B1600" s="7" t="s">
        <v>2437</v>
      </c>
      <c r="C1600" s="13" t="s">
        <v>2438</v>
      </c>
      <c r="D1600" s="7" t="s">
        <v>218</v>
      </c>
      <c r="E1600" s="8" t="s">
        <v>150</v>
      </c>
      <c r="F1600" s="8" t="s">
        <v>318</v>
      </c>
      <c r="G1600" s="7" t="s">
        <v>2439</v>
      </c>
      <c r="H1600" s="7" t="s">
        <v>2423</v>
      </c>
      <c r="I1600" s="8">
        <v>1213.0</v>
      </c>
      <c r="J1600" s="8">
        <v>3.0</v>
      </c>
      <c r="K1600" s="8" t="s">
        <v>583</v>
      </c>
      <c r="L1600" s="8" t="s">
        <v>322</v>
      </c>
      <c r="M1600" s="8" t="s">
        <v>388</v>
      </c>
      <c r="N1600" s="8">
        <v>1.7</v>
      </c>
      <c r="O1600" s="14">
        <f t="shared" si="1"/>
        <v>44256</v>
      </c>
      <c r="P1600" s="15">
        <f>IFERROR(VLOOKUP(K1600,Formula!$A$11:$B$20,2,FALSE),Formula!$C$26)</f>
        <v>0.95</v>
      </c>
      <c r="Q1600" s="15">
        <f>IF(AND(ISNUMBER(J1600),J1600&gt;0),1/J1600,IF(AND(ISNUMBER(I1600),I1600&gt;0),SQRT(MIN(I1600,Formula!$C$27))/Formula!$C$24,1/Formula!$C$25))</f>
        <v>0.3333333333</v>
      </c>
      <c r="R1600" s="15">
        <f t="shared" si="2"/>
        <v>0.3166666667</v>
      </c>
      <c r="S1600" s="15">
        <f>IF(H1600&lt;&gt;"",EXP(-Formula!$C$28*(EOMONTH(H1600,0)-H1600)),EXP(-Formula!$C$28*(EOMONTH(D1600,0)-D1600)))</f>
        <v>0.670320046</v>
      </c>
      <c r="T1600" s="15">
        <f t="shared" si="3"/>
        <v>0.316227766</v>
      </c>
      <c r="U1600" s="15">
        <f t="shared" si="4"/>
        <v>0.06712504005</v>
      </c>
      <c r="V1600" s="16">
        <f>IF(AND(L1600="Among all respondents",NOT(OR(K1600="Online poll in Telegram channel",K1600="Website online poll",K1600="CAWI (Computer Assisted Web Interviewing)"))),1/(1-MIN(MAX(Formula!$C$33+(YEAR(D1600)-Formula!$C$34)/(Formula!$C$35-Formula!$C$34)*(Formula!$C$32-Formula!$C$33),Formula!$C$33),Formula!$C$32)),1)</f>
        <v>1</v>
      </c>
      <c r="W1600" s="17">
        <f t="shared" si="5"/>
        <v>1.7</v>
      </c>
    </row>
    <row r="1601" ht="15.75" customHeight="1">
      <c r="A1601" s="8" t="s">
        <v>2448</v>
      </c>
      <c r="B1601" s="7" t="s">
        <v>2437</v>
      </c>
      <c r="C1601" s="13" t="s">
        <v>2438</v>
      </c>
      <c r="D1601" s="7" t="s">
        <v>218</v>
      </c>
      <c r="E1601" s="8" t="s">
        <v>150</v>
      </c>
      <c r="F1601" s="8" t="s">
        <v>318</v>
      </c>
      <c r="G1601" s="7" t="s">
        <v>2439</v>
      </c>
      <c r="H1601" s="7" t="s">
        <v>2423</v>
      </c>
      <c r="I1601" s="8">
        <v>1213.0</v>
      </c>
      <c r="J1601" s="8">
        <v>3.0</v>
      </c>
      <c r="K1601" s="8" t="s">
        <v>583</v>
      </c>
      <c r="L1601" s="8" t="s">
        <v>322</v>
      </c>
      <c r="M1601" s="8" t="s">
        <v>740</v>
      </c>
      <c r="N1601" s="8">
        <v>1.1</v>
      </c>
      <c r="O1601" s="14">
        <f t="shared" si="1"/>
        <v>44256</v>
      </c>
      <c r="P1601" s="15">
        <f>IFERROR(VLOOKUP(K1601,Formula!$A$11:$B$20,2,FALSE),Formula!$C$26)</f>
        <v>0.95</v>
      </c>
      <c r="Q1601" s="15">
        <f>IF(AND(ISNUMBER(J1601),J1601&gt;0),1/J1601,IF(AND(ISNUMBER(I1601),I1601&gt;0),SQRT(MIN(I1601,Formula!$C$27))/Formula!$C$24,1/Formula!$C$25))</f>
        <v>0.3333333333</v>
      </c>
      <c r="R1601" s="15">
        <f t="shared" si="2"/>
        <v>0.3166666667</v>
      </c>
      <c r="S1601" s="15">
        <f>IF(H1601&lt;&gt;"",EXP(-Formula!$C$28*(EOMONTH(H1601,0)-H1601)),EXP(-Formula!$C$28*(EOMONTH(D1601,0)-D1601)))</f>
        <v>0.670320046</v>
      </c>
      <c r="T1601" s="15">
        <f t="shared" si="3"/>
        <v>0.316227766</v>
      </c>
      <c r="U1601" s="15">
        <f t="shared" si="4"/>
        <v>0.06712504005</v>
      </c>
      <c r="V1601" s="16">
        <f>IF(AND(L1601="Among all respondents",NOT(OR(K1601="Online poll in Telegram channel",K1601="Website online poll",K1601="CAWI (Computer Assisted Web Interviewing)"))),1/(1-MIN(MAX(Formula!$C$33+(YEAR(D1601)-Formula!$C$34)/(Formula!$C$35-Formula!$C$34)*(Formula!$C$32-Formula!$C$33),Formula!$C$33),Formula!$C$32)),1)</f>
        <v>1</v>
      </c>
      <c r="W1601" s="17">
        <f t="shared" si="5"/>
        <v>1.1</v>
      </c>
    </row>
    <row r="1602" ht="15.75" customHeight="1">
      <c r="A1602" s="8" t="s">
        <v>2449</v>
      </c>
      <c r="B1602" s="7" t="s">
        <v>2450</v>
      </c>
      <c r="C1602" s="13" t="s">
        <v>2451</v>
      </c>
      <c r="D1602" s="7" t="s">
        <v>219</v>
      </c>
      <c r="E1602" s="8" t="s">
        <v>220</v>
      </c>
      <c r="F1602" s="8" t="s">
        <v>318</v>
      </c>
      <c r="G1602" s="7" t="s">
        <v>221</v>
      </c>
      <c r="H1602" s="7" t="s">
        <v>2452</v>
      </c>
      <c r="I1602" s="8">
        <v>3000.0</v>
      </c>
      <c r="J1602" s="8">
        <v>9.0</v>
      </c>
      <c r="K1602" s="8" t="s">
        <v>321</v>
      </c>
      <c r="L1602" s="8" t="s">
        <v>322</v>
      </c>
      <c r="M1602" s="8" t="s">
        <v>323</v>
      </c>
      <c r="N1602" s="8">
        <v>22.5</v>
      </c>
      <c r="O1602" s="14">
        <f t="shared" si="1"/>
        <v>44256</v>
      </c>
      <c r="P1602" s="15">
        <f>IFERROR(VLOOKUP(K1602,Formula!$A$11:$B$20,2,FALSE),Formula!$C$26)</f>
        <v>0.9</v>
      </c>
      <c r="Q1602" s="15">
        <f>IF(AND(ISNUMBER(J1602),J1602&gt;0),1/J1602,IF(AND(ISNUMBER(I1602),I1602&gt;0),SQRT(MIN(I1602,Formula!$C$27))/Formula!$C$24,1/Formula!$C$25))</f>
        <v>0.1111111111</v>
      </c>
      <c r="R1602" s="15">
        <f t="shared" si="2"/>
        <v>0.1</v>
      </c>
      <c r="S1602" s="15">
        <f>IF(H1602&lt;&gt;"",EXP(-Formula!$C$28*(EOMONTH(H1602,0)-H1602)),EXP(-Formula!$C$28*(EOMONTH(D1602,0)-D1602)))</f>
        <v>0.5488116361</v>
      </c>
      <c r="T1602" s="15">
        <f t="shared" si="3"/>
        <v>0.2773500981</v>
      </c>
      <c r="U1602" s="15">
        <f t="shared" si="4"/>
        <v>0.01522129611</v>
      </c>
      <c r="V1602" s="16">
        <f>IF(AND(L1602="Among all respondents",NOT(OR(K1602="Online poll in Telegram channel",K1602="Website online poll",K1602="CAWI (Computer Assisted Web Interviewing)"))),1/(1-MIN(MAX(Formula!$C$33+(YEAR(D1602)-Formula!$C$34)/(Formula!$C$35-Formula!$C$34)*(Formula!$C$32-Formula!$C$33),Formula!$C$33),Formula!$C$32)),1)</f>
        <v>1</v>
      </c>
      <c r="W1602" s="17">
        <f t="shared" si="5"/>
        <v>22.5</v>
      </c>
    </row>
    <row r="1603" ht="15.75" customHeight="1">
      <c r="A1603" s="8" t="s">
        <v>2453</v>
      </c>
      <c r="B1603" s="7" t="s">
        <v>2450</v>
      </c>
      <c r="C1603" s="13" t="s">
        <v>2451</v>
      </c>
      <c r="D1603" s="7" t="s">
        <v>219</v>
      </c>
      <c r="E1603" s="8" t="s">
        <v>220</v>
      </c>
      <c r="F1603" s="8" t="s">
        <v>318</v>
      </c>
      <c r="G1603" s="7" t="s">
        <v>221</v>
      </c>
      <c r="H1603" s="7" t="s">
        <v>2452</v>
      </c>
      <c r="I1603" s="8">
        <v>3000.0</v>
      </c>
      <c r="J1603" s="8">
        <v>9.0</v>
      </c>
      <c r="K1603" s="8" t="s">
        <v>321</v>
      </c>
      <c r="L1603" s="8" t="s">
        <v>322</v>
      </c>
      <c r="M1603" s="8" t="s">
        <v>329</v>
      </c>
      <c r="N1603" s="8">
        <v>20.1</v>
      </c>
      <c r="O1603" s="14">
        <f t="shared" si="1"/>
        <v>44256</v>
      </c>
      <c r="P1603" s="15">
        <f>IFERROR(VLOOKUP(K1603,Formula!$A$11:$B$20,2,FALSE),Formula!$C$26)</f>
        <v>0.9</v>
      </c>
      <c r="Q1603" s="15">
        <f>IF(AND(ISNUMBER(J1603),J1603&gt;0),1/J1603,IF(AND(ISNUMBER(I1603),I1603&gt;0),SQRT(MIN(I1603,Formula!$C$27))/Formula!$C$24,1/Formula!$C$25))</f>
        <v>0.1111111111</v>
      </c>
      <c r="R1603" s="15">
        <f t="shared" si="2"/>
        <v>0.1</v>
      </c>
      <c r="S1603" s="15">
        <f>IF(H1603&lt;&gt;"",EXP(-Formula!$C$28*(EOMONTH(H1603,0)-H1603)),EXP(-Formula!$C$28*(EOMONTH(D1603,0)-D1603)))</f>
        <v>0.5488116361</v>
      </c>
      <c r="T1603" s="15">
        <f t="shared" si="3"/>
        <v>0.2773500981</v>
      </c>
      <c r="U1603" s="15">
        <f t="shared" si="4"/>
        <v>0.01522129611</v>
      </c>
      <c r="V1603" s="16">
        <f>IF(AND(L1603="Among all respondents",NOT(OR(K1603="Online poll in Telegram channel",K1603="Website online poll",K1603="CAWI (Computer Assisted Web Interviewing)"))),1/(1-MIN(MAX(Formula!$C$33+(YEAR(D1603)-Formula!$C$34)/(Formula!$C$35-Formula!$C$34)*(Formula!$C$32-Formula!$C$33),Formula!$C$33),Formula!$C$32)),1)</f>
        <v>1</v>
      </c>
      <c r="W1603" s="17">
        <f t="shared" si="5"/>
        <v>20.1</v>
      </c>
    </row>
    <row r="1604" ht="15.75" customHeight="1">
      <c r="A1604" s="8" t="s">
        <v>2454</v>
      </c>
      <c r="B1604" s="7" t="s">
        <v>2450</v>
      </c>
      <c r="C1604" s="13" t="s">
        <v>2451</v>
      </c>
      <c r="D1604" s="7" t="s">
        <v>219</v>
      </c>
      <c r="E1604" s="8" t="s">
        <v>220</v>
      </c>
      <c r="F1604" s="8" t="s">
        <v>318</v>
      </c>
      <c r="G1604" s="7" t="s">
        <v>221</v>
      </c>
      <c r="H1604" s="7" t="s">
        <v>2452</v>
      </c>
      <c r="I1604" s="8">
        <v>3000.0</v>
      </c>
      <c r="J1604" s="8">
        <v>9.0</v>
      </c>
      <c r="K1604" s="8" t="s">
        <v>321</v>
      </c>
      <c r="L1604" s="8" t="s">
        <v>322</v>
      </c>
      <c r="M1604" s="8" t="s">
        <v>365</v>
      </c>
      <c r="N1604" s="8">
        <v>11.1</v>
      </c>
      <c r="O1604" s="14">
        <f t="shared" si="1"/>
        <v>44256</v>
      </c>
      <c r="P1604" s="15">
        <f>IFERROR(VLOOKUP(K1604,Formula!$A$11:$B$20,2,FALSE),Formula!$C$26)</f>
        <v>0.9</v>
      </c>
      <c r="Q1604" s="15">
        <f>IF(AND(ISNUMBER(J1604),J1604&gt;0),1/J1604,IF(AND(ISNUMBER(I1604),I1604&gt;0),SQRT(MIN(I1604,Formula!$C$27))/Formula!$C$24,1/Formula!$C$25))</f>
        <v>0.1111111111</v>
      </c>
      <c r="R1604" s="15">
        <f t="shared" si="2"/>
        <v>0.1</v>
      </c>
      <c r="S1604" s="15">
        <f>IF(H1604&lt;&gt;"",EXP(-Formula!$C$28*(EOMONTH(H1604,0)-H1604)),EXP(-Formula!$C$28*(EOMONTH(D1604,0)-D1604)))</f>
        <v>0.5488116361</v>
      </c>
      <c r="T1604" s="15">
        <f t="shared" si="3"/>
        <v>0.2773500981</v>
      </c>
      <c r="U1604" s="15">
        <f t="shared" si="4"/>
        <v>0.01522129611</v>
      </c>
      <c r="V1604" s="16">
        <f>IF(AND(L1604="Among all respondents",NOT(OR(K1604="Online poll in Telegram channel",K1604="Website online poll",K1604="CAWI (Computer Assisted Web Interviewing)"))),1/(1-MIN(MAX(Formula!$C$33+(YEAR(D1604)-Formula!$C$34)/(Formula!$C$35-Formula!$C$34)*(Formula!$C$32-Formula!$C$33),Formula!$C$33),Formula!$C$32)),1)</f>
        <v>1</v>
      </c>
      <c r="W1604" s="17">
        <f t="shared" si="5"/>
        <v>11.1</v>
      </c>
    </row>
    <row r="1605" ht="15.75" customHeight="1">
      <c r="A1605" s="8" t="s">
        <v>2455</v>
      </c>
      <c r="B1605" s="7" t="s">
        <v>2450</v>
      </c>
      <c r="C1605" s="13" t="s">
        <v>2451</v>
      </c>
      <c r="D1605" s="7" t="s">
        <v>219</v>
      </c>
      <c r="E1605" s="8" t="s">
        <v>220</v>
      </c>
      <c r="F1605" s="8" t="s">
        <v>318</v>
      </c>
      <c r="G1605" s="7" t="s">
        <v>221</v>
      </c>
      <c r="H1605" s="7" t="s">
        <v>2452</v>
      </c>
      <c r="I1605" s="8">
        <v>3000.0</v>
      </c>
      <c r="J1605" s="8">
        <v>9.0</v>
      </c>
      <c r="K1605" s="8" t="s">
        <v>321</v>
      </c>
      <c r="L1605" s="8" t="s">
        <v>322</v>
      </c>
      <c r="M1605" s="8" t="s">
        <v>337</v>
      </c>
      <c r="N1605" s="8">
        <v>9.9</v>
      </c>
      <c r="O1605" s="14">
        <f t="shared" si="1"/>
        <v>44256</v>
      </c>
      <c r="P1605" s="15">
        <f>IFERROR(VLOOKUP(K1605,Formula!$A$11:$B$20,2,FALSE),Formula!$C$26)</f>
        <v>0.9</v>
      </c>
      <c r="Q1605" s="15">
        <f>IF(AND(ISNUMBER(J1605),J1605&gt;0),1/J1605,IF(AND(ISNUMBER(I1605),I1605&gt;0),SQRT(MIN(I1605,Formula!$C$27))/Formula!$C$24,1/Formula!$C$25))</f>
        <v>0.1111111111</v>
      </c>
      <c r="R1605" s="15">
        <f t="shared" si="2"/>
        <v>0.1</v>
      </c>
      <c r="S1605" s="15">
        <f>IF(H1605&lt;&gt;"",EXP(-Formula!$C$28*(EOMONTH(H1605,0)-H1605)),EXP(-Formula!$C$28*(EOMONTH(D1605,0)-D1605)))</f>
        <v>0.5488116361</v>
      </c>
      <c r="T1605" s="15">
        <f t="shared" si="3"/>
        <v>0.2773500981</v>
      </c>
      <c r="U1605" s="15">
        <f t="shared" si="4"/>
        <v>0.01522129611</v>
      </c>
      <c r="V1605" s="16">
        <f>IF(AND(L1605="Among all respondents",NOT(OR(K1605="Online poll in Telegram channel",K1605="Website online poll",K1605="CAWI (Computer Assisted Web Interviewing)"))),1/(1-MIN(MAX(Formula!$C$33+(YEAR(D1605)-Formula!$C$34)/(Formula!$C$35-Formula!$C$34)*(Formula!$C$32-Formula!$C$33),Formula!$C$33),Formula!$C$32)),1)</f>
        <v>1</v>
      </c>
      <c r="W1605" s="17">
        <f t="shared" si="5"/>
        <v>9.9</v>
      </c>
    </row>
    <row r="1606" ht="15.75" customHeight="1">
      <c r="A1606" s="8" t="s">
        <v>2456</v>
      </c>
      <c r="B1606" s="7" t="s">
        <v>2450</v>
      </c>
      <c r="C1606" s="13" t="s">
        <v>2451</v>
      </c>
      <c r="D1606" s="7" t="s">
        <v>219</v>
      </c>
      <c r="E1606" s="8" t="s">
        <v>220</v>
      </c>
      <c r="F1606" s="8" t="s">
        <v>318</v>
      </c>
      <c r="G1606" s="7" t="s">
        <v>221</v>
      </c>
      <c r="H1606" s="7" t="s">
        <v>2452</v>
      </c>
      <c r="I1606" s="8">
        <v>3000.0</v>
      </c>
      <c r="J1606" s="8">
        <v>9.0</v>
      </c>
      <c r="K1606" s="8" t="s">
        <v>321</v>
      </c>
      <c r="L1606" s="8" t="s">
        <v>322</v>
      </c>
      <c r="M1606" s="8" t="s">
        <v>828</v>
      </c>
      <c r="N1606" s="8">
        <v>5.4</v>
      </c>
      <c r="O1606" s="14">
        <f t="shared" si="1"/>
        <v>44256</v>
      </c>
      <c r="P1606" s="15">
        <f>IFERROR(VLOOKUP(K1606,Formula!$A$11:$B$20,2,FALSE),Formula!$C$26)</f>
        <v>0.9</v>
      </c>
      <c r="Q1606" s="15">
        <f>IF(AND(ISNUMBER(J1606),J1606&gt;0),1/J1606,IF(AND(ISNUMBER(I1606),I1606&gt;0),SQRT(MIN(I1606,Formula!$C$27))/Formula!$C$24,1/Formula!$C$25))</f>
        <v>0.1111111111</v>
      </c>
      <c r="R1606" s="15">
        <f t="shared" si="2"/>
        <v>0.1</v>
      </c>
      <c r="S1606" s="15">
        <f>IF(H1606&lt;&gt;"",EXP(-Formula!$C$28*(EOMONTH(H1606,0)-H1606)),EXP(-Formula!$C$28*(EOMONTH(D1606,0)-D1606)))</f>
        <v>0.5488116361</v>
      </c>
      <c r="T1606" s="15">
        <f t="shared" si="3"/>
        <v>0.2773500981</v>
      </c>
      <c r="U1606" s="15">
        <f t="shared" si="4"/>
        <v>0.01522129611</v>
      </c>
      <c r="V1606" s="16">
        <f>IF(AND(L1606="Among all respondents",NOT(OR(K1606="Online poll in Telegram channel",K1606="Website online poll",K1606="CAWI (Computer Assisted Web Interviewing)"))),1/(1-MIN(MAX(Formula!$C$33+(YEAR(D1606)-Formula!$C$34)/(Formula!$C$35-Formula!$C$34)*(Formula!$C$32-Formula!$C$33),Formula!$C$33),Formula!$C$32)),1)</f>
        <v>1</v>
      </c>
      <c r="W1606" s="17">
        <f t="shared" si="5"/>
        <v>5.4</v>
      </c>
    </row>
    <row r="1607" ht="15.75" customHeight="1">
      <c r="A1607" s="8" t="s">
        <v>2457</v>
      </c>
      <c r="B1607" s="7" t="s">
        <v>2450</v>
      </c>
      <c r="C1607" s="13" t="s">
        <v>2451</v>
      </c>
      <c r="D1607" s="7" t="s">
        <v>219</v>
      </c>
      <c r="E1607" s="8" t="s">
        <v>220</v>
      </c>
      <c r="F1607" s="8" t="s">
        <v>318</v>
      </c>
      <c r="G1607" s="7" t="s">
        <v>221</v>
      </c>
      <c r="H1607" s="7" t="s">
        <v>2452</v>
      </c>
      <c r="I1607" s="8">
        <v>3000.0</v>
      </c>
      <c r="J1607" s="8">
        <v>9.0</v>
      </c>
      <c r="K1607" s="8" t="s">
        <v>321</v>
      </c>
      <c r="L1607" s="8" t="s">
        <v>322</v>
      </c>
      <c r="M1607" s="8" t="s">
        <v>333</v>
      </c>
      <c r="N1607" s="8">
        <v>4.3</v>
      </c>
      <c r="O1607" s="14">
        <f t="shared" si="1"/>
        <v>44256</v>
      </c>
      <c r="P1607" s="15">
        <f>IFERROR(VLOOKUP(K1607,Formula!$A$11:$B$20,2,FALSE),Formula!$C$26)</f>
        <v>0.9</v>
      </c>
      <c r="Q1607" s="15">
        <f>IF(AND(ISNUMBER(J1607),J1607&gt;0),1/J1607,IF(AND(ISNUMBER(I1607),I1607&gt;0),SQRT(MIN(I1607,Formula!$C$27))/Formula!$C$24,1/Formula!$C$25))</f>
        <v>0.1111111111</v>
      </c>
      <c r="R1607" s="15">
        <f t="shared" si="2"/>
        <v>0.1</v>
      </c>
      <c r="S1607" s="15">
        <f>IF(H1607&lt;&gt;"",EXP(-Formula!$C$28*(EOMONTH(H1607,0)-H1607)),EXP(-Formula!$C$28*(EOMONTH(D1607,0)-D1607)))</f>
        <v>0.5488116361</v>
      </c>
      <c r="T1607" s="15">
        <f t="shared" si="3"/>
        <v>0.2773500981</v>
      </c>
      <c r="U1607" s="15">
        <f t="shared" si="4"/>
        <v>0.01522129611</v>
      </c>
      <c r="V1607" s="16">
        <f>IF(AND(L1607="Among all respondents",NOT(OR(K1607="Online poll in Telegram channel",K1607="Website online poll",K1607="CAWI (Computer Assisted Web Interviewing)"))),1/(1-MIN(MAX(Formula!$C$33+(YEAR(D1607)-Formula!$C$34)/(Formula!$C$35-Formula!$C$34)*(Formula!$C$32-Formula!$C$33),Formula!$C$33),Formula!$C$32)),1)</f>
        <v>1</v>
      </c>
      <c r="W1607" s="17">
        <f t="shared" si="5"/>
        <v>4.3</v>
      </c>
    </row>
    <row r="1608" ht="15.75" customHeight="1">
      <c r="A1608" s="8" t="s">
        <v>2458</v>
      </c>
      <c r="B1608" s="7" t="s">
        <v>2450</v>
      </c>
      <c r="C1608" s="13" t="s">
        <v>2451</v>
      </c>
      <c r="D1608" s="7" t="s">
        <v>219</v>
      </c>
      <c r="E1608" s="8" t="s">
        <v>220</v>
      </c>
      <c r="F1608" s="8" t="s">
        <v>318</v>
      </c>
      <c r="G1608" s="7" t="s">
        <v>221</v>
      </c>
      <c r="H1608" s="7" t="s">
        <v>2452</v>
      </c>
      <c r="I1608" s="8">
        <v>3000.0</v>
      </c>
      <c r="J1608" s="8">
        <v>9.0</v>
      </c>
      <c r="K1608" s="8" t="s">
        <v>321</v>
      </c>
      <c r="L1608" s="8" t="s">
        <v>322</v>
      </c>
      <c r="M1608" s="8" t="s">
        <v>386</v>
      </c>
      <c r="N1608" s="8">
        <v>3.9</v>
      </c>
      <c r="O1608" s="14">
        <f t="shared" si="1"/>
        <v>44256</v>
      </c>
      <c r="P1608" s="15">
        <f>IFERROR(VLOOKUP(K1608,Formula!$A$11:$B$20,2,FALSE),Formula!$C$26)</f>
        <v>0.9</v>
      </c>
      <c r="Q1608" s="15">
        <f>IF(AND(ISNUMBER(J1608),J1608&gt;0),1/J1608,IF(AND(ISNUMBER(I1608),I1608&gt;0),SQRT(MIN(I1608,Formula!$C$27))/Formula!$C$24,1/Formula!$C$25))</f>
        <v>0.1111111111</v>
      </c>
      <c r="R1608" s="15">
        <f t="shared" si="2"/>
        <v>0.1</v>
      </c>
      <c r="S1608" s="15">
        <f>IF(H1608&lt;&gt;"",EXP(-Formula!$C$28*(EOMONTH(H1608,0)-H1608)),EXP(-Formula!$C$28*(EOMONTH(D1608,0)-D1608)))</f>
        <v>0.5488116361</v>
      </c>
      <c r="T1608" s="15">
        <f t="shared" si="3"/>
        <v>0.2773500981</v>
      </c>
      <c r="U1608" s="15">
        <f t="shared" si="4"/>
        <v>0.01522129611</v>
      </c>
      <c r="V1608" s="16">
        <f>IF(AND(L1608="Among all respondents",NOT(OR(K1608="Online poll in Telegram channel",K1608="Website online poll",K1608="CAWI (Computer Assisted Web Interviewing)"))),1/(1-MIN(MAX(Formula!$C$33+(YEAR(D1608)-Formula!$C$34)/(Formula!$C$35-Formula!$C$34)*(Formula!$C$32-Formula!$C$33),Formula!$C$33),Formula!$C$32)),1)</f>
        <v>1</v>
      </c>
      <c r="W1608" s="17">
        <f t="shared" si="5"/>
        <v>3.9</v>
      </c>
    </row>
    <row r="1609" ht="15.75" customHeight="1">
      <c r="A1609" s="8" t="s">
        <v>2459</v>
      </c>
      <c r="B1609" s="7" t="s">
        <v>2450</v>
      </c>
      <c r="C1609" s="13" t="s">
        <v>2451</v>
      </c>
      <c r="D1609" s="7" t="s">
        <v>219</v>
      </c>
      <c r="E1609" s="8" t="s">
        <v>220</v>
      </c>
      <c r="F1609" s="8" t="s">
        <v>318</v>
      </c>
      <c r="G1609" s="7" t="s">
        <v>221</v>
      </c>
      <c r="H1609" s="7" t="s">
        <v>2452</v>
      </c>
      <c r="I1609" s="8">
        <v>3000.0</v>
      </c>
      <c r="J1609" s="8">
        <v>9.0</v>
      </c>
      <c r="K1609" s="8" t="s">
        <v>321</v>
      </c>
      <c r="L1609" s="8" t="s">
        <v>322</v>
      </c>
      <c r="M1609" s="8" t="s">
        <v>388</v>
      </c>
      <c r="N1609" s="8">
        <v>3.8</v>
      </c>
      <c r="O1609" s="14">
        <f t="shared" si="1"/>
        <v>44256</v>
      </c>
      <c r="P1609" s="15">
        <f>IFERROR(VLOOKUP(K1609,Formula!$A$11:$B$20,2,FALSE),Formula!$C$26)</f>
        <v>0.9</v>
      </c>
      <c r="Q1609" s="15">
        <f>IF(AND(ISNUMBER(J1609),J1609&gt;0),1/J1609,IF(AND(ISNUMBER(I1609),I1609&gt;0),SQRT(MIN(I1609,Formula!$C$27))/Formula!$C$24,1/Formula!$C$25))</f>
        <v>0.1111111111</v>
      </c>
      <c r="R1609" s="15">
        <f t="shared" si="2"/>
        <v>0.1</v>
      </c>
      <c r="S1609" s="15">
        <f>IF(H1609&lt;&gt;"",EXP(-Formula!$C$28*(EOMONTH(H1609,0)-H1609)),EXP(-Formula!$C$28*(EOMONTH(D1609,0)-D1609)))</f>
        <v>0.5488116361</v>
      </c>
      <c r="T1609" s="15">
        <f t="shared" si="3"/>
        <v>0.2773500981</v>
      </c>
      <c r="U1609" s="15">
        <f t="shared" si="4"/>
        <v>0.01522129611</v>
      </c>
      <c r="V1609" s="16">
        <f>IF(AND(L1609="Among all respondents",NOT(OR(K1609="Online poll in Telegram channel",K1609="Website online poll",K1609="CAWI (Computer Assisted Web Interviewing)"))),1/(1-MIN(MAX(Formula!$C$33+(YEAR(D1609)-Formula!$C$34)/(Formula!$C$35-Formula!$C$34)*(Formula!$C$32-Formula!$C$33),Formula!$C$33),Formula!$C$32)),1)</f>
        <v>1</v>
      </c>
      <c r="W1609" s="17">
        <f t="shared" si="5"/>
        <v>3.8</v>
      </c>
    </row>
    <row r="1610" ht="15.75" customHeight="1">
      <c r="A1610" s="8" t="s">
        <v>2460</v>
      </c>
      <c r="B1610" s="7" t="s">
        <v>2450</v>
      </c>
      <c r="C1610" s="13" t="s">
        <v>2451</v>
      </c>
      <c r="D1610" s="7" t="s">
        <v>219</v>
      </c>
      <c r="E1610" s="8" t="s">
        <v>220</v>
      </c>
      <c r="F1610" s="8" t="s">
        <v>318</v>
      </c>
      <c r="G1610" s="7" t="s">
        <v>221</v>
      </c>
      <c r="H1610" s="7" t="s">
        <v>2452</v>
      </c>
      <c r="I1610" s="8">
        <v>3000.0</v>
      </c>
      <c r="J1610" s="8">
        <v>9.0</v>
      </c>
      <c r="K1610" s="8" t="s">
        <v>321</v>
      </c>
      <c r="L1610" s="8" t="s">
        <v>322</v>
      </c>
      <c r="M1610" s="8" t="s">
        <v>343</v>
      </c>
      <c r="N1610" s="8">
        <v>3.4</v>
      </c>
      <c r="O1610" s="14">
        <f t="shared" si="1"/>
        <v>44256</v>
      </c>
      <c r="P1610" s="15">
        <f>IFERROR(VLOOKUP(K1610,Formula!$A$11:$B$20,2,FALSE),Formula!$C$26)</f>
        <v>0.9</v>
      </c>
      <c r="Q1610" s="15">
        <f>IF(AND(ISNUMBER(J1610),J1610&gt;0),1/J1610,IF(AND(ISNUMBER(I1610),I1610&gt;0),SQRT(MIN(I1610,Formula!$C$27))/Formula!$C$24,1/Formula!$C$25))</f>
        <v>0.1111111111</v>
      </c>
      <c r="R1610" s="15">
        <f t="shared" si="2"/>
        <v>0.1</v>
      </c>
      <c r="S1610" s="15">
        <f>IF(H1610&lt;&gt;"",EXP(-Formula!$C$28*(EOMONTH(H1610,0)-H1610)),EXP(-Formula!$C$28*(EOMONTH(D1610,0)-D1610)))</f>
        <v>0.5488116361</v>
      </c>
      <c r="T1610" s="15">
        <f t="shared" si="3"/>
        <v>0.2773500981</v>
      </c>
      <c r="U1610" s="15">
        <f t="shared" si="4"/>
        <v>0.01522129611</v>
      </c>
      <c r="V1610" s="16">
        <f>IF(AND(L1610="Among all respondents",NOT(OR(K1610="Online poll in Telegram channel",K1610="Website online poll",K1610="CAWI (Computer Assisted Web Interviewing)"))),1/(1-MIN(MAX(Formula!$C$33+(YEAR(D1610)-Formula!$C$34)/(Formula!$C$35-Formula!$C$34)*(Formula!$C$32-Formula!$C$33),Formula!$C$33),Formula!$C$32)),1)</f>
        <v>1</v>
      </c>
      <c r="W1610" s="17">
        <f t="shared" si="5"/>
        <v>3.4</v>
      </c>
    </row>
    <row r="1611" ht="15.75" customHeight="1">
      <c r="A1611" s="8" t="s">
        <v>2461</v>
      </c>
      <c r="B1611" s="7" t="s">
        <v>2450</v>
      </c>
      <c r="C1611" s="13" t="s">
        <v>2451</v>
      </c>
      <c r="D1611" s="7" t="s">
        <v>219</v>
      </c>
      <c r="E1611" s="8" t="s">
        <v>220</v>
      </c>
      <c r="F1611" s="8" t="s">
        <v>318</v>
      </c>
      <c r="G1611" s="7" t="s">
        <v>221</v>
      </c>
      <c r="H1611" s="7" t="s">
        <v>2452</v>
      </c>
      <c r="I1611" s="8">
        <v>3000.0</v>
      </c>
      <c r="J1611" s="8">
        <v>9.0</v>
      </c>
      <c r="K1611" s="8" t="s">
        <v>321</v>
      </c>
      <c r="L1611" s="8" t="s">
        <v>322</v>
      </c>
      <c r="M1611" s="8" t="s">
        <v>838</v>
      </c>
      <c r="N1611" s="8">
        <v>1.7</v>
      </c>
      <c r="O1611" s="14">
        <f t="shared" si="1"/>
        <v>44256</v>
      </c>
      <c r="P1611" s="15">
        <f>IFERROR(VLOOKUP(K1611,Formula!$A$11:$B$20,2,FALSE),Formula!$C$26)</f>
        <v>0.9</v>
      </c>
      <c r="Q1611" s="15">
        <f>IF(AND(ISNUMBER(J1611),J1611&gt;0),1/J1611,IF(AND(ISNUMBER(I1611),I1611&gt;0),SQRT(MIN(I1611,Formula!$C$27))/Formula!$C$24,1/Formula!$C$25))</f>
        <v>0.1111111111</v>
      </c>
      <c r="R1611" s="15">
        <f t="shared" si="2"/>
        <v>0.1</v>
      </c>
      <c r="S1611" s="15">
        <f>IF(H1611&lt;&gt;"",EXP(-Formula!$C$28*(EOMONTH(H1611,0)-H1611)),EXP(-Formula!$C$28*(EOMONTH(D1611,0)-D1611)))</f>
        <v>0.5488116361</v>
      </c>
      <c r="T1611" s="15">
        <f t="shared" si="3"/>
        <v>0.2773500981</v>
      </c>
      <c r="U1611" s="15">
        <f t="shared" si="4"/>
        <v>0.01522129611</v>
      </c>
      <c r="V1611" s="16">
        <f>IF(AND(L1611="Among all respondents",NOT(OR(K1611="Online poll in Telegram channel",K1611="Website online poll",K1611="CAWI (Computer Assisted Web Interviewing)"))),1/(1-MIN(MAX(Formula!$C$33+(YEAR(D1611)-Formula!$C$34)/(Formula!$C$35-Formula!$C$34)*(Formula!$C$32-Formula!$C$33),Formula!$C$33),Formula!$C$32)),1)</f>
        <v>1</v>
      </c>
      <c r="W1611" s="17">
        <f t="shared" si="5"/>
        <v>1.7</v>
      </c>
    </row>
    <row r="1612" ht="15.75" customHeight="1">
      <c r="A1612" s="8" t="s">
        <v>2462</v>
      </c>
      <c r="B1612" s="7" t="s">
        <v>2450</v>
      </c>
      <c r="C1612" s="13" t="s">
        <v>2451</v>
      </c>
      <c r="D1612" s="7" t="s">
        <v>219</v>
      </c>
      <c r="E1612" s="8" t="s">
        <v>220</v>
      </c>
      <c r="F1612" s="8" t="s">
        <v>318</v>
      </c>
      <c r="G1612" s="7" t="s">
        <v>221</v>
      </c>
      <c r="H1612" s="7" t="s">
        <v>2452</v>
      </c>
      <c r="I1612" s="8">
        <v>3000.0</v>
      </c>
      <c r="J1612" s="8">
        <v>9.0</v>
      </c>
      <c r="K1612" s="8" t="s">
        <v>321</v>
      </c>
      <c r="L1612" s="8" t="s">
        <v>322</v>
      </c>
      <c r="M1612" s="8" t="s">
        <v>740</v>
      </c>
      <c r="N1612" s="8">
        <v>1.3</v>
      </c>
      <c r="O1612" s="14">
        <f t="shared" si="1"/>
        <v>44256</v>
      </c>
      <c r="P1612" s="15">
        <f>IFERROR(VLOOKUP(K1612,Formula!$A$11:$B$20,2,FALSE),Formula!$C$26)</f>
        <v>0.9</v>
      </c>
      <c r="Q1612" s="15">
        <f>IF(AND(ISNUMBER(J1612),J1612&gt;0),1/J1612,IF(AND(ISNUMBER(I1612),I1612&gt;0),SQRT(MIN(I1612,Formula!$C$27))/Formula!$C$24,1/Formula!$C$25))</f>
        <v>0.1111111111</v>
      </c>
      <c r="R1612" s="15">
        <f t="shared" si="2"/>
        <v>0.1</v>
      </c>
      <c r="S1612" s="15">
        <f>IF(H1612&lt;&gt;"",EXP(-Formula!$C$28*(EOMONTH(H1612,0)-H1612)),EXP(-Formula!$C$28*(EOMONTH(D1612,0)-D1612)))</f>
        <v>0.5488116361</v>
      </c>
      <c r="T1612" s="15">
        <f t="shared" si="3"/>
        <v>0.2773500981</v>
      </c>
      <c r="U1612" s="15">
        <f t="shared" si="4"/>
        <v>0.01522129611</v>
      </c>
      <c r="V1612" s="16">
        <f>IF(AND(L1612="Among all respondents",NOT(OR(K1612="Online poll in Telegram channel",K1612="Website online poll",K1612="CAWI (Computer Assisted Web Interviewing)"))),1/(1-MIN(MAX(Formula!$C$33+(YEAR(D1612)-Formula!$C$34)/(Formula!$C$35-Formula!$C$34)*(Formula!$C$32-Formula!$C$33),Formula!$C$33),Formula!$C$32)),1)</f>
        <v>1</v>
      </c>
      <c r="W1612" s="17">
        <f t="shared" si="5"/>
        <v>1.3</v>
      </c>
    </row>
    <row r="1613" ht="15.75" customHeight="1">
      <c r="A1613" s="8" t="s">
        <v>2463</v>
      </c>
      <c r="B1613" s="7" t="s">
        <v>2450</v>
      </c>
      <c r="C1613" s="13" t="s">
        <v>2451</v>
      </c>
      <c r="D1613" s="7" t="s">
        <v>219</v>
      </c>
      <c r="E1613" s="8" t="s">
        <v>220</v>
      </c>
      <c r="F1613" s="8" t="s">
        <v>318</v>
      </c>
      <c r="G1613" s="7" t="s">
        <v>221</v>
      </c>
      <c r="H1613" s="7" t="s">
        <v>2452</v>
      </c>
      <c r="I1613" s="8">
        <v>3000.0</v>
      </c>
      <c r="J1613" s="8">
        <v>9.0</v>
      </c>
      <c r="K1613" s="8" t="s">
        <v>321</v>
      </c>
      <c r="L1613" s="8" t="s">
        <v>322</v>
      </c>
      <c r="M1613" s="8" t="s">
        <v>743</v>
      </c>
      <c r="N1613" s="8">
        <v>0.9</v>
      </c>
      <c r="O1613" s="14">
        <f t="shared" si="1"/>
        <v>44256</v>
      </c>
      <c r="P1613" s="15">
        <f>IFERROR(VLOOKUP(K1613,Formula!$A$11:$B$20,2,FALSE),Formula!$C$26)</f>
        <v>0.9</v>
      </c>
      <c r="Q1613" s="15">
        <f>IF(AND(ISNUMBER(J1613),J1613&gt;0),1/J1613,IF(AND(ISNUMBER(I1613),I1613&gt;0),SQRT(MIN(I1613,Formula!$C$27))/Formula!$C$24,1/Formula!$C$25))</f>
        <v>0.1111111111</v>
      </c>
      <c r="R1613" s="15">
        <f t="shared" si="2"/>
        <v>0.1</v>
      </c>
      <c r="S1613" s="15">
        <f>IF(H1613&lt;&gt;"",EXP(-Formula!$C$28*(EOMONTH(H1613,0)-H1613)),EXP(-Formula!$C$28*(EOMONTH(D1613,0)-D1613)))</f>
        <v>0.5488116361</v>
      </c>
      <c r="T1613" s="15">
        <f t="shared" si="3"/>
        <v>0.2773500981</v>
      </c>
      <c r="U1613" s="15">
        <f t="shared" si="4"/>
        <v>0.01522129611</v>
      </c>
      <c r="V1613" s="16">
        <f>IF(AND(L1613="Among all respondents",NOT(OR(K1613="Online poll in Telegram channel",K1613="Website online poll",K1613="CAWI (Computer Assisted Web Interviewing)"))),1/(1-MIN(MAX(Formula!$C$33+(YEAR(D1613)-Formula!$C$34)/(Formula!$C$35-Formula!$C$34)*(Formula!$C$32-Formula!$C$33),Formula!$C$33),Formula!$C$32)),1)</f>
        <v>1</v>
      </c>
      <c r="W1613" s="17">
        <f t="shared" si="5"/>
        <v>0.9</v>
      </c>
    </row>
    <row r="1614" ht="15.75" customHeight="1">
      <c r="A1614" s="8" t="s">
        <v>2464</v>
      </c>
      <c r="B1614" s="7" t="s">
        <v>2450</v>
      </c>
      <c r="C1614" s="13" t="s">
        <v>2451</v>
      </c>
      <c r="D1614" s="7" t="s">
        <v>219</v>
      </c>
      <c r="E1614" s="8" t="s">
        <v>220</v>
      </c>
      <c r="F1614" s="8" t="s">
        <v>318</v>
      </c>
      <c r="G1614" s="7" t="s">
        <v>221</v>
      </c>
      <c r="H1614" s="7" t="s">
        <v>2452</v>
      </c>
      <c r="I1614" s="8">
        <v>3000.0</v>
      </c>
      <c r="J1614" s="8">
        <v>9.0</v>
      </c>
      <c r="K1614" s="8" t="s">
        <v>321</v>
      </c>
      <c r="L1614" s="8" t="s">
        <v>322</v>
      </c>
      <c r="M1614" s="8" t="s">
        <v>335</v>
      </c>
      <c r="N1614" s="8">
        <v>0.5</v>
      </c>
      <c r="O1614" s="14">
        <f t="shared" si="1"/>
        <v>44256</v>
      </c>
      <c r="P1614" s="15">
        <f>IFERROR(VLOOKUP(K1614,Formula!$A$11:$B$20,2,FALSE),Formula!$C$26)</f>
        <v>0.9</v>
      </c>
      <c r="Q1614" s="15">
        <f>IF(AND(ISNUMBER(J1614),J1614&gt;0),1/J1614,IF(AND(ISNUMBER(I1614),I1614&gt;0),SQRT(MIN(I1614,Formula!$C$27))/Formula!$C$24,1/Formula!$C$25))</f>
        <v>0.1111111111</v>
      </c>
      <c r="R1614" s="15">
        <f t="shared" si="2"/>
        <v>0.1</v>
      </c>
      <c r="S1614" s="15">
        <f>IF(H1614&lt;&gt;"",EXP(-Formula!$C$28*(EOMONTH(H1614,0)-H1614)),EXP(-Formula!$C$28*(EOMONTH(D1614,0)-D1614)))</f>
        <v>0.5488116361</v>
      </c>
      <c r="T1614" s="15">
        <f t="shared" si="3"/>
        <v>0.2773500981</v>
      </c>
      <c r="U1614" s="15">
        <f t="shared" si="4"/>
        <v>0.01522129611</v>
      </c>
      <c r="V1614" s="16">
        <f>IF(AND(L1614="Among all respondents",NOT(OR(K1614="Online poll in Telegram channel",K1614="Website online poll",K1614="CAWI (Computer Assisted Web Interviewing)"))),1/(1-MIN(MAX(Formula!$C$33+(YEAR(D1614)-Formula!$C$34)/(Formula!$C$35-Formula!$C$34)*(Formula!$C$32-Formula!$C$33),Formula!$C$33),Formula!$C$32)),1)</f>
        <v>1</v>
      </c>
      <c r="W1614" s="17">
        <f t="shared" si="5"/>
        <v>0.5</v>
      </c>
    </row>
    <row r="1615" ht="15.75" customHeight="1">
      <c r="A1615" s="8" t="s">
        <v>2465</v>
      </c>
      <c r="B1615" s="7" t="s">
        <v>2466</v>
      </c>
      <c r="C1615" s="13" t="s">
        <v>2467</v>
      </c>
      <c r="D1615" s="7" t="s">
        <v>219</v>
      </c>
      <c r="E1615" s="8" t="s">
        <v>156</v>
      </c>
      <c r="F1615" s="8" t="s">
        <v>318</v>
      </c>
      <c r="G1615" s="7" t="s">
        <v>2468</v>
      </c>
      <c r="H1615" s="7" t="s">
        <v>2469</v>
      </c>
      <c r="I1615" s="8">
        <v>2400.0</v>
      </c>
      <c r="J1615" s="8">
        <v>2.1</v>
      </c>
      <c r="K1615" s="8" t="s">
        <v>583</v>
      </c>
      <c r="L1615" s="8" t="s">
        <v>322</v>
      </c>
      <c r="M1615" s="8" t="s">
        <v>323</v>
      </c>
      <c r="N1615" s="8">
        <v>29.0</v>
      </c>
      <c r="O1615" s="14">
        <f t="shared" si="1"/>
        <v>44256</v>
      </c>
      <c r="P1615" s="15">
        <f>IFERROR(VLOOKUP(K1615,Formula!$A$11:$B$20,2,FALSE),Formula!$C$26)</f>
        <v>0.95</v>
      </c>
      <c r="Q1615" s="15">
        <f>IF(AND(ISNUMBER(J1615),J1615&gt;0),1/J1615,IF(AND(ISNUMBER(I1615),I1615&gt;0),SQRT(MIN(I1615,Formula!$C$27))/Formula!$C$24,1/Formula!$C$25))</f>
        <v>0.4761904762</v>
      </c>
      <c r="R1615" s="15">
        <f t="shared" si="2"/>
        <v>0.4523809524</v>
      </c>
      <c r="S1615" s="15">
        <f>IF(H1615&lt;&gt;"",EXP(-Formula!$C$28*(EOMONTH(H1615,0)-H1615)),EXP(-Formula!$C$28*(EOMONTH(D1615,0)-D1615)))</f>
        <v>0.4065696597</v>
      </c>
      <c r="T1615" s="15">
        <f t="shared" si="3"/>
        <v>0.2581988897</v>
      </c>
      <c r="U1615" s="15">
        <f t="shared" si="4"/>
        <v>0.0474890681</v>
      </c>
      <c r="V1615" s="16">
        <f>IF(AND(L1615="Among all respondents",NOT(OR(K1615="Online poll in Telegram channel",K1615="Website online poll",K1615="CAWI (Computer Assisted Web Interviewing)"))),1/(1-MIN(MAX(Formula!$C$33+(YEAR(D1615)-Formula!$C$34)/(Formula!$C$35-Formula!$C$34)*(Formula!$C$32-Formula!$C$33),Formula!$C$33),Formula!$C$32)),1)</f>
        <v>1</v>
      </c>
      <c r="W1615" s="17">
        <f t="shared" si="5"/>
        <v>29</v>
      </c>
    </row>
    <row r="1616" ht="15.75" customHeight="1">
      <c r="A1616" s="8" t="s">
        <v>2470</v>
      </c>
      <c r="B1616" s="7" t="s">
        <v>2466</v>
      </c>
      <c r="C1616" s="13" t="s">
        <v>2467</v>
      </c>
      <c r="D1616" s="7" t="s">
        <v>219</v>
      </c>
      <c r="E1616" s="8" t="s">
        <v>156</v>
      </c>
      <c r="F1616" s="8" t="s">
        <v>318</v>
      </c>
      <c r="G1616" s="7" t="s">
        <v>2468</v>
      </c>
      <c r="H1616" s="7" t="s">
        <v>2469</v>
      </c>
      <c r="I1616" s="8">
        <v>2400.0</v>
      </c>
      <c r="J1616" s="8">
        <v>2.1</v>
      </c>
      <c r="K1616" s="8" t="s">
        <v>583</v>
      </c>
      <c r="L1616" s="8" t="s">
        <v>322</v>
      </c>
      <c r="M1616" s="8" t="s">
        <v>329</v>
      </c>
      <c r="N1616" s="8">
        <v>14.0</v>
      </c>
      <c r="O1616" s="14">
        <f t="shared" si="1"/>
        <v>44256</v>
      </c>
      <c r="P1616" s="15">
        <f>IFERROR(VLOOKUP(K1616,Formula!$A$11:$B$20,2,FALSE),Formula!$C$26)</f>
        <v>0.95</v>
      </c>
      <c r="Q1616" s="15">
        <f>IF(AND(ISNUMBER(J1616),J1616&gt;0),1/J1616,IF(AND(ISNUMBER(I1616),I1616&gt;0),SQRT(MIN(I1616,Formula!$C$27))/Formula!$C$24,1/Formula!$C$25))</f>
        <v>0.4761904762</v>
      </c>
      <c r="R1616" s="15">
        <f t="shared" si="2"/>
        <v>0.4523809524</v>
      </c>
      <c r="S1616" s="15">
        <f>IF(H1616&lt;&gt;"",EXP(-Formula!$C$28*(EOMONTH(H1616,0)-H1616)),EXP(-Formula!$C$28*(EOMONTH(D1616,0)-D1616)))</f>
        <v>0.4065696597</v>
      </c>
      <c r="T1616" s="15">
        <f t="shared" si="3"/>
        <v>0.2581988897</v>
      </c>
      <c r="U1616" s="15">
        <f t="shared" si="4"/>
        <v>0.0474890681</v>
      </c>
      <c r="V1616" s="16">
        <f>IF(AND(L1616="Among all respondents",NOT(OR(K1616="Online poll in Telegram channel",K1616="Website online poll",K1616="CAWI (Computer Assisted Web Interviewing)"))),1/(1-MIN(MAX(Formula!$C$33+(YEAR(D1616)-Formula!$C$34)/(Formula!$C$35-Formula!$C$34)*(Formula!$C$32-Formula!$C$33),Formula!$C$33),Formula!$C$32)),1)</f>
        <v>1</v>
      </c>
      <c r="W1616" s="17">
        <f t="shared" si="5"/>
        <v>14</v>
      </c>
    </row>
    <row r="1617" ht="15.75" customHeight="1">
      <c r="A1617" s="8" t="s">
        <v>2471</v>
      </c>
      <c r="B1617" s="7" t="s">
        <v>2466</v>
      </c>
      <c r="C1617" s="13" t="s">
        <v>2467</v>
      </c>
      <c r="D1617" s="7" t="s">
        <v>219</v>
      </c>
      <c r="E1617" s="8" t="s">
        <v>156</v>
      </c>
      <c r="F1617" s="8" t="s">
        <v>318</v>
      </c>
      <c r="G1617" s="7" t="s">
        <v>2468</v>
      </c>
      <c r="H1617" s="7" t="s">
        <v>2469</v>
      </c>
      <c r="I1617" s="8">
        <v>2400.0</v>
      </c>
      <c r="J1617" s="8">
        <v>2.1</v>
      </c>
      <c r="K1617" s="8" t="s">
        <v>583</v>
      </c>
      <c r="L1617" s="8" t="s">
        <v>322</v>
      </c>
      <c r="M1617" s="8" t="s">
        <v>365</v>
      </c>
      <c r="N1617" s="8">
        <v>14.0</v>
      </c>
      <c r="O1617" s="14">
        <f t="shared" si="1"/>
        <v>44256</v>
      </c>
      <c r="P1617" s="15">
        <f>IFERROR(VLOOKUP(K1617,Formula!$A$11:$B$20,2,FALSE),Formula!$C$26)</f>
        <v>0.95</v>
      </c>
      <c r="Q1617" s="15">
        <f>IF(AND(ISNUMBER(J1617),J1617&gt;0),1/J1617,IF(AND(ISNUMBER(I1617),I1617&gt;0),SQRT(MIN(I1617,Formula!$C$27))/Formula!$C$24,1/Formula!$C$25))</f>
        <v>0.4761904762</v>
      </c>
      <c r="R1617" s="15">
        <f t="shared" si="2"/>
        <v>0.4523809524</v>
      </c>
      <c r="S1617" s="15">
        <f>IF(H1617&lt;&gt;"",EXP(-Formula!$C$28*(EOMONTH(H1617,0)-H1617)),EXP(-Formula!$C$28*(EOMONTH(D1617,0)-D1617)))</f>
        <v>0.4065696597</v>
      </c>
      <c r="T1617" s="15">
        <f t="shared" si="3"/>
        <v>0.2581988897</v>
      </c>
      <c r="U1617" s="15">
        <f t="shared" si="4"/>
        <v>0.0474890681</v>
      </c>
      <c r="V1617" s="16">
        <f>IF(AND(L1617="Among all respondents",NOT(OR(K1617="Online poll in Telegram channel",K1617="Website online poll",K1617="CAWI (Computer Assisted Web Interviewing)"))),1/(1-MIN(MAX(Formula!$C$33+(YEAR(D1617)-Formula!$C$34)/(Formula!$C$35-Formula!$C$34)*(Formula!$C$32-Formula!$C$33),Formula!$C$33),Formula!$C$32)),1)</f>
        <v>1</v>
      </c>
      <c r="W1617" s="17">
        <f t="shared" si="5"/>
        <v>14</v>
      </c>
    </row>
    <row r="1618" ht="15.75" customHeight="1">
      <c r="A1618" s="8" t="s">
        <v>2472</v>
      </c>
      <c r="B1618" s="7" t="s">
        <v>2466</v>
      </c>
      <c r="C1618" s="13" t="s">
        <v>2467</v>
      </c>
      <c r="D1618" s="7" t="s">
        <v>219</v>
      </c>
      <c r="E1618" s="8" t="s">
        <v>156</v>
      </c>
      <c r="F1618" s="8" t="s">
        <v>318</v>
      </c>
      <c r="G1618" s="7" t="s">
        <v>2468</v>
      </c>
      <c r="H1618" s="7" t="s">
        <v>2469</v>
      </c>
      <c r="I1618" s="8">
        <v>2400.0</v>
      </c>
      <c r="J1618" s="8">
        <v>2.1</v>
      </c>
      <c r="K1618" s="8" t="s">
        <v>583</v>
      </c>
      <c r="L1618" s="8" t="s">
        <v>322</v>
      </c>
      <c r="M1618" s="8" t="s">
        <v>337</v>
      </c>
      <c r="N1618" s="8">
        <v>11.0</v>
      </c>
      <c r="O1618" s="14">
        <f t="shared" si="1"/>
        <v>44256</v>
      </c>
      <c r="P1618" s="15">
        <f>IFERROR(VLOOKUP(K1618,Formula!$A$11:$B$20,2,FALSE),Formula!$C$26)</f>
        <v>0.95</v>
      </c>
      <c r="Q1618" s="15">
        <f>IF(AND(ISNUMBER(J1618),J1618&gt;0),1/J1618,IF(AND(ISNUMBER(I1618),I1618&gt;0),SQRT(MIN(I1618,Formula!$C$27))/Formula!$C$24,1/Formula!$C$25))</f>
        <v>0.4761904762</v>
      </c>
      <c r="R1618" s="15">
        <f t="shared" si="2"/>
        <v>0.4523809524</v>
      </c>
      <c r="S1618" s="15">
        <f>IF(H1618&lt;&gt;"",EXP(-Formula!$C$28*(EOMONTH(H1618,0)-H1618)),EXP(-Formula!$C$28*(EOMONTH(D1618,0)-D1618)))</f>
        <v>0.4065696597</v>
      </c>
      <c r="T1618" s="15">
        <f t="shared" si="3"/>
        <v>0.2581988897</v>
      </c>
      <c r="U1618" s="15">
        <f t="shared" si="4"/>
        <v>0.0474890681</v>
      </c>
      <c r="V1618" s="16">
        <f>IF(AND(L1618="Among all respondents",NOT(OR(K1618="Online poll in Telegram channel",K1618="Website online poll",K1618="CAWI (Computer Assisted Web Interviewing)"))),1/(1-MIN(MAX(Formula!$C$33+(YEAR(D1618)-Formula!$C$34)/(Formula!$C$35-Formula!$C$34)*(Formula!$C$32-Formula!$C$33),Formula!$C$33),Formula!$C$32)),1)</f>
        <v>1</v>
      </c>
      <c r="W1618" s="17">
        <f t="shared" si="5"/>
        <v>11</v>
      </c>
    </row>
    <row r="1619" ht="15.75" customHeight="1">
      <c r="A1619" s="8" t="s">
        <v>2473</v>
      </c>
      <c r="B1619" s="7" t="s">
        <v>2466</v>
      </c>
      <c r="C1619" s="13" t="s">
        <v>2467</v>
      </c>
      <c r="D1619" s="7" t="s">
        <v>219</v>
      </c>
      <c r="E1619" s="8" t="s">
        <v>156</v>
      </c>
      <c r="F1619" s="8" t="s">
        <v>318</v>
      </c>
      <c r="G1619" s="7" t="s">
        <v>2468</v>
      </c>
      <c r="H1619" s="7" t="s">
        <v>2469</v>
      </c>
      <c r="I1619" s="8">
        <v>2400.0</v>
      </c>
      <c r="J1619" s="8">
        <v>2.1</v>
      </c>
      <c r="K1619" s="8" t="s">
        <v>583</v>
      </c>
      <c r="L1619" s="8" t="s">
        <v>322</v>
      </c>
      <c r="M1619" s="8" t="s">
        <v>828</v>
      </c>
      <c r="N1619" s="8">
        <v>5.0</v>
      </c>
      <c r="O1619" s="14">
        <f t="shared" si="1"/>
        <v>44256</v>
      </c>
      <c r="P1619" s="15">
        <f>IFERROR(VLOOKUP(K1619,Formula!$A$11:$B$20,2,FALSE),Formula!$C$26)</f>
        <v>0.95</v>
      </c>
      <c r="Q1619" s="15">
        <f>IF(AND(ISNUMBER(J1619),J1619&gt;0),1/J1619,IF(AND(ISNUMBER(I1619),I1619&gt;0),SQRT(MIN(I1619,Formula!$C$27))/Formula!$C$24,1/Formula!$C$25))</f>
        <v>0.4761904762</v>
      </c>
      <c r="R1619" s="15">
        <f t="shared" si="2"/>
        <v>0.4523809524</v>
      </c>
      <c r="S1619" s="15">
        <f>IF(H1619&lt;&gt;"",EXP(-Formula!$C$28*(EOMONTH(H1619,0)-H1619)),EXP(-Formula!$C$28*(EOMONTH(D1619,0)-D1619)))</f>
        <v>0.4065696597</v>
      </c>
      <c r="T1619" s="15">
        <f t="shared" si="3"/>
        <v>0.2581988897</v>
      </c>
      <c r="U1619" s="15">
        <f t="shared" si="4"/>
        <v>0.0474890681</v>
      </c>
      <c r="V1619" s="16">
        <f>IF(AND(L1619="Among all respondents",NOT(OR(K1619="Online poll in Telegram channel",K1619="Website online poll",K1619="CAWI (Computer Assisted Web Interviewing)"))),1/(1-MIN(MAX(Formula!$C$33+(YEAR(D1619)-Formula!$C$34)/(Formula!$C$35-Formula!$C$34)*(Formula!$C$32-Formula!$C$33),Formula!$C$33),Formula!$C$32)),1)</f>
        <v>1</v>
      </c>
      <c r="W1619" s="17">
        <f t="shared" si="5"/>
        <v>5</v>
      </c>
    </row>
    <row r="1620" ht="15.75" customHeight="1">
      <c r="A1620" s="8" t="s">
        <v>2474</v>
      </c>
      <c r="B1620" s="7" t="s">
        <v>2466</v>
      </c>
      <c r="C1620" s="13" t="s">
        <v>2467</v>
      </c>
      <c r="D1620" s="7" t="s">
        <v>219</v>
      </c>
      <c r="E1620" s="8" t="s">
        <v>156</v>
      </c>
      <c r="F1620" s="8" t="s">
        <v>318</v>
      </c>
      <c r="G1620" s="7" t="s">
        <v>2468</v>
      </c>
      <c r="H1620" s="7" t="s">
        <v>2469</v>
      </c>
      <c r="I1620" s="8">
        <v>2400.0</v>
      </c>
      <c r="J1620" s="8">
        <v>2.1</v>
      </c>
      <c r="K1620" s="8" t="s">
        <v>583</v>
      </c>
      <c r="L1620" s="8" t="s">
        <v>322</v>
      </c>
      <c r="M1620" s="8" t="s">
        <v>386</v>
      </c>
      <c r="N1620" s="8">
        <v>5.0</v>
      </c>
      <c r="O1620" s="14">
        <f t="shared" si="1"/>
        <v>44256</v>
      </c>
      <c r="P1620" s="15">
        <f>IFERROR(VLOOKUP(K1620,Formula!$A$11:$B$20,2,FALSE),Formula!$C$26)</f>
        <v>0.95</v>
      </c>
      <c r="Q1620" s="15">
        <f>IF(AND(ISNUMBER(J1620),J1620&gt;0),1/J1620,IF(AND(ISNUMBER(I1620),I1620&gt;0),SQRT(MIN(I1620,Formula!$C$27))/Formula!$C$24,1/Formula!$C$25))</f>
        <v>0.4761904762</v>
      </c>
      <c r="R1620" s="15">
        <f t="shared" si="2"/>
        <v>0.4523809524</v>
      </c>
      <c r="S1620" s="15">
        <f>IF(H1620&lt;&gt;"",EXP(-Formula!$C$28*(EOMONTH(H1620,0)-H1620)),EXP(-Formula!$C$28*(EOMONTH(D1620,0)-D1620)))</f>
        <v>0.4065696597</v>
      </c>
      <c r="T1620" s="15">
        <f t="shared" si="3"/>
        <v>0.2581988897</v>
      </c>
      <c r="U1620" s="15">
        <f t="shared" si="4"/>
        <v>0.0474890681</v>
      </c>
      <c r="V1620" s="16">
        <f>IF(AND(L1620="Among all respondents",NOT(OR(K1620="Online poll in Telegram channel",K1620="Website online poll",K1620="CAWI (Computer Assisted Web Interviewing)"))),1/(1-MIN(MAX(Formula!$C$33+(YEAR(D1620)-Formula!$C$34)/(Formula!$C$35-Formula!$C$34)*(Formula!$C$32-Formula!$C$33),Formula!$C$33),Formula!$C$32)),1)</f>
        <v>1</v>
      </c>
      <c r="W1620" s="17">
        <f t="shared" si="5"/>
        <v>5</v>
      </c>
    </row>
    <row r="1621" ht="15.75" customHeight="1">
      <c r="A1621" s="8" t="s">
        <v>2475</v>
      </c>
      <c r="B1621" s="7" t="s">
        <v>2466</v>
      </c>
      <c r="C1621" s="13" t="s">
        <v>2467</v>
      </c>
      <c r="D1621" s="7" t="s">
        <v>219</v>
      </c>
      <c r="E1621" s="8" t="s">
        <v>156</v>
      </c>
      <c r="F1621" s="8" t="s">
        <v>318</v>
      </c>
      <c r="G1621" s="7" t="s">
        <v>2468</v>
      </c>
      <c r="H1621" s="7" t="s">
        <v>2469</v>
      </c>
      <c r="I1621" s="8">
        <v>2400.0</v>
      </c>
      <c r="J1621" s="8">
        <v>2.1</v>
      </c>
      <c r="K1621" s="8" t="s">
        <v>583</v>
      </c>
      <c r="L1621" s="8" t="s">
        <v>322</v>
      </c>
      <c r="M1621" s="8" t="s">
        <v>1334</v>
      </c>
      <c r="N1621" s="8">
        <v>4.0</v>
      </c>
      <c r="O1621" s="14">
        <f t="shared" si="1"/>
        <v>44256</v>
      </c>
      <c r="P1621" s="15">
        <f>IFERROR(VLOOKUP(K1621,Formula!$A$11:$B$20,2,FALSE),Formula!$C$26)</f>
        <v>0.95</v>
      </c>
      <c r="Q1621" s="15">
        <f>IF(AND(ISNUMBER(J1621),J1621&gt;0),1/J1621,IF(AND(ISNUMBER(I1621),I1621&gt;0),SQRT(MIN(I1621,Formula!$C$27))/Formula!$C$24,1/Formula!$C$25))</f>
        <v>0.4761904762</v>
      </c>
      <c r="R1621" s="15">
        <f t="shared" si="2"/>
        <v>0.4523809524</v>
      </c>
      <c r="S1621" s="15">
        <f>IF(H1621&lt;&gt;"",EXP(-Formula!$C$28*(EOMONTH(H1621,0)-H1621)),EXP(-Formula!$C$28*(EOMONTH(D1621,0)-D1621)))</f>
        <v>0.4065696597</v>
      </c>
      <c r="T1621" s="15">
        <f t="shared" si="3"/>
        <v>0.2581988897</v>
      </c>
      <c r="U1621" s="15">
        <f t="shared" si="4"/>
        <v>0.0474890681</v>
      </c>
      <c r="V1621" s="16">
        <f>IF(AND(L1621="Among all respondents",NOT(OR(K1621="Online poll in Telegram channel",K1621="Website online poll",K1621="CAWI (Computer Assisted Web Interviewing)"))),1/(1-MIN(MAX(Formula!$C$33+(YEAR(D1621)-Formula!$C$34)/(Formula!$C$35-Formula!$C$34)*(Formula!$C$32-Formula!$C$33),Formula!$C$33),Formula!$C$32)),1)</f>
        <v>1</v>
      </c>
      <c r="W1621" s="17">
        <f t="shared" si="5"/>
        <v>4</v>
      </c>
    </row>
    <row r="1622" ht="15.75" customHeight="1">
      <c r="A1622" s="8" t="s">
        <v>2476</v>
      </c>
      <c r="B1622" s="7" t="s">
        <v>2466</v>
      </c>
      <c r="C1622" s="13" t="s">
        <v>2467</v>
      </c>
      <c r="D1622" s="7" t="s">
        <v>219</v>
      </c>
      <c r="E1622" s="8" t="s">
        <v>156</v>
      </c>
      <c r="F1622" s="8" t="s">
        <v>318</v>
      </c>
      <c r="G1622" s="7" t="s">
        <v>2468</v>
      </c>
      <c r="H1622" s="7" t="s">
        <v>2469</v>
      </c>
      <c r="I1622" s="8">
        <v>2400.0</v>
      </c>
      <c r="J1622" s="8">
        <v>2.1</v>
      </c>
      <c r="K1622" s="8" t="s">
        <v>583</v>
      </c>
      <c r="L1622" s="8" t="s">
        <v>322</v>
      </c>
      <c r="M1622" s="8" t="s">
        <v>333</v>
      </c>
      <c r="N1622" s="8">
        <v>3.0</v>
      </c>
      <c r="O1622" s="14">
        <f t="shared" si="1"/>
        <v>44256</v>
      </c>
      <c r="P1622" s="15">
        <f>IFERROR(VLOOKUP(K1622,Formula!$A$11:$B$20,2,FALSE),Formula!$C$26)</f>
        <v>0.95</v>
      </c>
      <c r="Q1622" s="15">
        <f>IF(AND(ISNUMBER(J1622),J1622&gt;0),1/J1622,IF(AND(ISNUMBER(I1622),I1622&gt;0),SQRT(MIN(I1622,Formula!$C$27))/Formula!$C$24,1/Formula!$C$25))</f>
        <v>0.4761904762</v>
      </c>
      <c r="R1622" s="15">
        <f t="shared" si="2"/>
        <v>0.4523809524</v>
      </c>
      <c r="S1622" s="15">
        <f>IF(H1622&lt;&gt;"",EXP(-Formula!$C$28*(EOMONTH(H1622,0)-H1622)),EXP(-Formula!$C$28*(EOMONTH(D1622,0)-D1622)))</f>
        <v>0.4065696597</v>
      </c>
      <c r="T1622" s="15">
        <f t="shared" si="3"/>
        <v>0.2581988897</v>
      </c>
      <c r="U1622" s="15">
        <f t="shared" si="4"/>
        <v>0.0474890681</v>
      </c>
      <c r="V1622" s="16">
        <f>IF(AND(L1622="Among all respondents",NOT(OR(K1622="Online poll in Telegram channel",K1622="Website online poll",K1622="CAWI (Computer Assisted Web Interviewing)"))),1/(1-MIN(MAX(Formula!$C$33+(YEAR(D1622)-Formula!$C$34)/(Formula!$C$35-Formula!$C$34)*(Formula!$C$32-Formula!$C$33),Formula!$C$33),Formula!$C$32)),1)</f>
        <v>1</v>
      </c>
      <c r="W1622" s="17">
        <f t="shared" si="5"/>
        <v>3</v>
      </c>
    </row>
    <row r="1623" ht="15.75" customHeight="1">
      <c r="A1623" s="8" t="s">
        <v>2477</v>
      </c>
      <c r="B1623" s="7" t="s">
        <v>2466</v>
      </c>
      <c r="C1623" s="13" t="s">
        <v>2467</v>
      </c>
      <c r="D1623" s="7" t="s">
        <v>219</v>
      </c>
      <c r="E1623" s="8" t="s">
        <v>156</v>
      </c>
      <c r="F1623" s="8" t="s">
        <v>318</v>
      </c>
      <c r="G1623" s="7" t="s">
        <v>2468</v>
      </c>
      <c r="H1623" s="7" t="s">
        <v>2469</v>
      </c>
      <c r="I1623" s="8">
        <v>2400.0</v>
      </c>
      <c r="J1623" s="8">
        <v>2.1</v>
      </c>
      <c r="K1623" s="8" t="s">
        <v>583</v>
      </c>
      <c r="L1623" s="8" t="s">
        <v>322</v>
      </c>
      <c r="M1623" s="8" t="s">
        <v>1539</v>
      </c>
      <c r="N1623" s="8">
        <v>2.0</v>
      </c>
      <c r="O1623" s="14">
        <f t="shared" si="1"/>
        <v>44256</v>
      </c>
      <c r="P1623" s="15">
        <f>IFERROR(VLOOKUP(K1623,Formula!$A$11:$B$20,2,FALSE),Formula!$C$26)</f>
        <v>0.95</v>
      </c>
      <c r="Q1623" s="15">
        <f>IF(AND(ISNUMBER(J1623),J1623&gt;0),1/J1623,IF(AND(ISNUMBER(I1623),I1623&gt;0),SQRT(MIN(I1623,Formula!$C$27))/Formula!$C$24,1/Formula!$C$25))</f>
        <v>0.4761904762</v>
      </c>
      <c r="R1623" s="15">
        <f t="shared" si="2"/>
        <v>0.4523809524</v>
      </c>
      <c r="S1623" s="15">
        <f>IF(H1623&lt;&gt;"",EXP(-Formula!$C$28*(EOMONTH(H1623,0)-H1623)),EXP(-Formula!$C$28*(EOMONTH(D1623,0)-D1623)))</f>
        <v>0.4065696597</v>
      </c>
      <c r="T1623" s="15">
        <f t="shared" si="3"/>
        <v>0.2581988897</v>
      </c>
      <c r="U1623" s="15">
        <f t="shared" si="4"/>
        <v>0.0474890681</v>
      </c>
      <c r="V1623" s="16">
        <f>IF(AND(L1623="Among all respondents",NOT(OR(K1623="Online poll in Telegram channel",K1623="Website online poll",K1623="CAWI (Computer Assisted Web Interviewing)"))),1/(1-MIN(MAX(Formula!$C$33+(YEAR(D1623)-Formula!$C$34)/(Formula!$C$35-Formula!$C$34)*(Formula!$C$32-Formula!$C$33),Formula!$C$33),Formula!$C$32)),1)</f>
        <v>1</v>
      </c>
      <c r="W1623" s="17">
        <f t="shared" si="5"/>
        <v>2</v>
      </c>
    </row>
    <row r="1624" ht="15.75" customHeight="1">
      <c r="A1624" s="8" t="s">
        <v>2478</v>
      </c>
      <c r="B1624" s="7" t="s">
        <v>2466</v>
      </c>
      <c r="C1624" s="13" t="s">
        <v>2467</v>
      </c>
      <c r="D1624" s="7" t="s">
        <v>219</v>
      </c>
      <c r="E1624" s="8" t="s">
        <v>156</v>
      </c>
      <c r="F1624" s="8" t="s">
        <v>318</v>
      </c>
      <c r="G1624" s="7" t="s">
        <v>2468</v>
      </c>
      <c r="H1624" s="7" t="s">
        <v>2469</v>
      </c>
      <c r="I1624" s="8">
        <v>2400.0</v>
      </c>
      <c r="J1624" s="8">
        <v>2.1</v>
      </c>
      <c r="K1624" s="8" t="s">
        <v>583</v>
      </c>
      <c r="L1624" s="8" t="s">
        <v>322</v>
      </c>
      <c r="M1624" s="8" t="s">
        <v>343</v>
      </c>
      <c r="N1624" s="8">
        <v>2.0</v>
      </c>
      <c r="O1624" s="14">
        <f t="shared" si="1"/>
        <v>44256</v>
      </c>
      <c r="P1624" s="15">
        <f>IFERROR(VLOOKUP(K1624,Formula!$A$11:$B$20,2,FALSE),Formula!$C$26)</f>
        <v>0.95</v>
      </c>
      <c r="Q1624" s="15">
        <f>IF(AND(ISNUMBER(J1624),J1624&gt;0),1/J1624,IF(AND(ISNUMBER(I1624),I1624&gt;0),SQRT(MIN(I1624,Formula!$C$27))/Formula!$C$24,1/Formula!$C$25))</f>
        <v>0.4761904762</v>
      </c>
      <c r="R1624" s="15">
        <f t="shared" si="2"/>
        <v>0.4523809524</v>
      </c>
      <c r="S1624" s="15">
        <f>IF(H1624&lt;&gt;"",EXP(-Formula!$C$28*(EOMONTH(H1624,0)-H1624)),EXP(-Formula!$C$28*(EOMONTH(D1624,0)-D1624)))</f>
        <v>0.4065696597</v>
      </c>
      <c r="T1624" s="15">
        <f t="shared" si="3"/>
        <v>0.2581988897</v>
      </c>
      <c r="U1624" s="15">
        <f t="shared" si="4"/>
        <v>0.0474890681</v>
      </c>
      <c r="V1624" s="16">
        <f>IF(AND(L1624="Among all respondents",NOT(OR(K1624="Online poll in Telegram channel",K1624="Website online poll",K1624="CAWI (Computer Assisted Web Interviewing)"))),1/(1-MIN(MAX(Formula!$C$33+(YEAR(D1624)-Formula!$C$34)/(Formula!$C$35-Formula!$C$34)*(Formula!$C$32-Formula!$C$33),Formula!$C$33),Formula!$C$32)),1)</f>
        <v>1</v>
      </c>
      <c r="W1624" s="17">
        <f t="shared" si="5"/>
        <v>2</v>
      </c>
    </row>
    <row r="1625" ht="15.75" customHeight="1">
      <c r="A1625" s="8" t="s">
        <v>2479</v>
      </c>
      <c r="B1625" s="7" t="s">
        <v>2466</v>
      </c>
      <c r="C1625" s="13" t="s">
        <v>2467</v>
      </c>
      <c r="D1625" s="7" t="s">
        <v>219</v>
      </c>
      <c r="E1625" s="8" t="s">
        <v>156</v>
      </c>
      <c r="F1625" s="8" t="s">
        <v>318</v>
      </c>
      <c r="G1625" s="7" t="s">
        <v>2468</v>
      </c>
      <c r="H1625" s="7" t="s">
        <v>2469</v>
      </c>
      <c r="I1625" s="8">
        <v>2400.0</v>
      </c>
      <c r="J1625" s="8">
        <v>2.1</v>
      </c>
      <c r="K1625" s="8" t="s">
        <v>583</v>
      </c>
      <c r="L1625" s="8" t="s">
        <v>322</v>
      </c>
      <c r="M1625" s="8" t="s">
        <v>2480</v>
      </c>
      <c r="N1625" s="8">
        <v>0.9</v>
      </c>
      <c r="O1625" s="14">
        <f t="shared" si="1"/>
        <v>44256</v>
      </c>
      <c r="P1625" s="15">
        <f>IFERROR(VLOOKUP(K1625,Formula!$A$11:$B$20,2,FALSE),Formula!$C$26)</f>
        <v>0.95</v>
      </c>
      <c r="Q1625" s="15">
        <f>IF(AND(ISNUMBER(J1625),J1625&gt;0),1/J1625,IF(AND(ISNUMBER(I1625),I1625&gt;0),SQRT(MIN(I1625,Formula!$C$27))/Formula!$C$24,1/Formula!$C$25))</f>
        <v>0.4761904762</v>
      </c>
      <c r="R1625" s="15">
        <f t="shared" si="2"/>
        <v>0.4523809524</v>
      </c>
      <c r="S1625" s="15">
        <f>IF(H1625&lt;&gt;"",EXP(-Formula!$C$28*(EOMONTH(H1625,0)-H1625)),EXP(-Formula!$C$28*(EOMONTH(D1625,0)-D1625)))</f>
        <v>0.4065696597</v>
      </c>
      <c r="T1625" s="15">
        <f t="shared" si="3"/>
        <v>0.2581988897</v>
      </c>
      <c r="U1625" s="15">
        <f t="shared" si="4"/>
        <v>0.0474890681</v>
      </c>
      <c r="V1625" s="16">
        <f>IF(AND(L1625="Among all respondents",NOT(OR(K1625="Online poll in Telegram channel",K1625="Website online poll",K1625="CAWI (Computer Assisted Web Interviewing)"))),1/(1-MIN(MAX(Formula!$C$33+(YEAR(D1625)-Formula!$C$34)/(Formula!$C$35-Formula!$C$34)*(Formula!$C$32-Formula!$C$33),Formula!$C$33),Formula!$C$32)),1)</f>
        <v>1</v>
      </c>
      <c r="W1625" s="17">
        <f t="shared" si="5"/>
        <v>0.9</v>
      </c>
    </row>
    <row r="1626" ht="15.75" customHeight="1">
      <c r="A1626" s="8" t="s">
        <v>2481</v>
      </c>
      <c r="B1626" s="7" t="s">
        <v>2466</v>
      </c>
      <c r="C1626" s="13" t="s">
        <v>2467</v>
      </c>
      <c r="D1626" s="7" t="s">
        <v>219</v>
      </c>
      <c r="E1626" s="8" t="s">
        <v>156</v>
      </c>
      <c r="F1626" s="8" t="s">
        <v>318</v>
      </c>
      <c r="G1626" s="7" t="s">
        <v>2468</v>
      </c>
      <c r="H1626" s="7" t="s">
        <v>2469</v>
      </c>
      <c r="I1626" s="8">
        <v>2400.0</v>
      </c>
      <c r="J1626" s="8">
        <v>2.1</v>
      </c>
      <c r="K1626" s="8" t="s">
        <v>583</v>
      </c>
      <c r="L1626" s="8" t="s">
        <v>322</v>
      </c>
      <c r="M1626" s="8" t="s">
        <v>476</v>
      </c>
      <c r="N1626" s="8">
        <v>0.5</v>
      </c>
      <c r="O1626" s="14">
        <f t="shared" si="1"/>
        <v>44256</v>
      </c>
      <c r="P1626" s="15">
        <f>IFERROR(VLOOKUP(K1626,Formula!$A$11:$B$20,2,FALSE),Formula!$C$26)</f>
        <v>0.95</v>
      </c>
      <c r="Q1626" s="15">
        <f>IF(AND(ISNUMBER(J1626),J1626&gt;0),1/J1626,IF(AND(ISNUMBER(I1626),I1626&gt;0),SQRT(MIN(I1626,Formula!$C$27))/Formula!$C$24,1/Formula!$C$25))</f>
        <v>0.4761904762</v>
      </c>
      <c r="R1626" s="15">
        <f t="shared" si="2"/>
        <v>0.4523809524</v>
      </c>
      <c r="S1626" s="15">
        <f>IF(H1626&lt;&gt;"",EXP(-Formula!$C$28*(EOMONTH(H1626,0)-H1626)),EXP(-Formula!$C$28*(EOMONTH(D1626,0)-D1626)))</f>
        <v>0.4065696597</v>
      </c>
      <c r="T1626" s="15">
        <f t="shared" si="3"/>
        <v>0.2581988897</v>
      </c>
      <c r="U1626" s="15">
        <f t="shared" si="4"/>
        <v>0.0474890681</v>
      </c>
      <c r="V1626" s="16">
        <f>IF(AND(L1626="Among all respondents",NOT(OR(K1626="Online poll in Telegram channel",K1626="Website online poll",K1626="CAWI (Computer Assisted Web Interviewing)"))),1/(1-MIN(MAX(Formula!$C$33+(YEAR(D1626)-Formula!$C$34)/(Formula!$C$35-Formula!$C$34)*(Formula!$C$32-Formula!$C$33),Formula!$C$33),Formula!$C$32)),1)</f>
        <v>1</v>
      </c>
      <c r="W1626" s="17">
        <f t="shared" si="5"/>
        <v>0.5</v>
      </c>
    </row>
    <row r="1627" ht="15.75" customHeight="1">
      <c r="A1627" s="8" t="s">
        <v>2482</v>
      </c>
      <c r="B1627" s="7" t="s">
        <v>2466</v>
      </c>
      <c r="C1627" s="13" t="s">
        <v>2467</v>
      </c>
      <c r="D1627" s="7" t="s">
        <v>219</v>
      </c>
      <c r="E1627" s="8" t="s">
        <v>156</v>
      </c>
      <c r="F1627" s="8" t="s">
        <v>318</v>
      </c>
      <c r="G1627" s="7" t="s">
        <v>2468</v>
      </c>
      <c r="H1627" s="7" t="s">
        <v>2469</v>
      </c>
      <c r="I1627" s="8">
        <v>2400.0</v>
      </c>
      <c r="J1627" s="8">
        <v>2.1</v>
      </c>
      <c r="K1627" s="8" t="s">
        <v>583</v>
      </c>
      <c r="L1627" s="8" t="s">
        <v>322</v>
      </c>
      <c r="M1627" s="8" t="s">
        <v>359</v>
      </c>
      <c r="N1627" s="8">
        <v>0.4</v>
      </c>
      <c r="O1627" s="14">
        <f t="shared" si="1"/>
        <v>44256</v>
      </c>
      <c r="P1627" s="15">
        <f>IFERROR(VLOOKUP(K1627,Formula!$A$11:$B$20,2,FALSE),Formula!$C$26)</f>
        <v>0.95</v>
      </c>
      <c r="Q1627" s="15">
        <f>IF(AND(ISNUMBER(J1627),J1627&gt;0),1/J1627,IF(AND(ISNUMBER(I1627),I1627&gt;0),SQRT(MIN(I1627,Formula!$C$27))/Formula!$C$24,1/Formula!$C$25))</f>
        <v>0.4761904762</v>
      </c>
      <c r="R1627" s="15">
        <f t="shared" si="2"/>
        <v>0.4523809524</v>
      </c>
      <c r="S1627" s="15">
        <f>IF(H1627&lt;&gt;"",EXP(-Formula!$C$28*(EOMONTH(H1627,0)-H1627)),EXP(-Formula!$C$28*(EOMONTH(D1627,0)-D1627)))</f>
        <v>0.4065696597</v>
      </c>
      <c r="T1627" s="15">
        <f t="shared" si="3"/>
        <v>0.2581988897</v>
      </c>
      <c r="U1627" s="15">
        <f t="shared" si="4"/>
        <v>0.0474890681</v>
      </c>
      <c r="V1627" s="16">
        <f>IF(AND(L1627="Among all respondents",NOT(OR(K1627="Online poll in Telegram channel",K1627="Website online poll",K1627="CAWI (Computer Assisted Web Interviewing)"))),1/(1-MIN(MAX(Formula!$C$33+(YEAR(D1627)-Formula!$C$34)/(Formula!$C$35-Formula!$C$34)*(Formula!$C$32-Formula!$C$33),Formula!$C$33),Formula!$C$32)),1)</f>
        <v>1</v>
      </c>
      <c r="W1627" s="17">
        <f t="shared" si="5"/>
        <v>0.4</v>
      </c>
    </row>
    <row r="1628" ht="15.75" customHeight="1">
      <c r="A1628" s="8" t="s">
        <v>2483</v>
      </c>
      <c r="B1628" s="7" t="s">
        <v>2466</v>
      </c>
      <c r="C1628" s="13" t="s">
        <v>2467</v>
      </c>
      <c r="D1628" s="7" t="s">
        <v>219</v>
      </c>
      <c r="E1628" s="8" t="s">
        <v>156</v>
      </c>
      <c r="F1628" s="8" t="s">
        <v>318</v>
      </c>
      <c r="G1628" s="7" t="s">
        <v>2468</v>
      </c>
      <c r="H1628" s="7" t="s">
        <v>2469</v>
      </c>
      <c r="I1628" s="8">
        <v>2400.0</v>
      </c>
      <c r="J1628" s="8">
        <v>2.1</v>
      </c>
      <c r="K1628" s="8" t="s">
        <v>583</v>
      </c>
      <c r="L1628" s="8" t="s">
        <v>322</v>
      </c>
      <c r="M1628" s="8" t="s">
        <v>2484</v>
      </c>
      <c r="N1628" s="8">
        <v>0.3</v>
      </c>
      <c r="O1628" s="14">
        <f t="shared" si="1"/>
        <v>44256</v>
      </c>
      <c r="P1628" s="15">
        <f>IFERROR(VLOOKUP(K1628,Formula!$A$11:$B$20,2,FALSE),Formula!$C$26)</f>
        <v>0.95</v>
      </c>
      <c r="Q1628" s="15">
        <f>IF(AND(ISNUMBER(J1628),J1628&gt;0),1/J1628,IF(AND(ISNUMBER(I1628),I1628&gt;0),SQRT(MIN(I1628,Formula!$C$27))/Formula!$C$24,1/Formula!$C$25))</f>
        <v>0.4761904762</v>
      </c>
      <c r="R1628" s="15">
        <f t="shared" si="2"/>
        <v>0.4523809524</v>
      </c>
      <c r="S1628" s="15">
        <f>IF(H1628&lt;&gt;"",EXP(-Formula!$C$28*(EOMONTH(H1628,0)-H1628)),EXP(-Formula!$C$28*(EOMONTH(D1628,0)-D1628)))</f>
        <v>0.4065696597</v>
      </c>
      <c r="T1628" s="15">
        <f t="shared" si="3"/>
        <v>0.2581988897</v>
      </c>
      <c r="U1628" s="15">
        <f t="shared" si="4"/>
        <v>0.0474890681</v>
      </c>
      <c r="V1628" s="16">
        <f>IF(AND(L1628="Among all respondents",NOT(OR(K1628="Online poll in Telegram channel",K1628="Website online poll",K1628="CAWI (Computer Assisted Web Interviewing)"))),1/(1-MIN(MAX(Formula!$C$33+(YEAR(D1628)-Formula!$C$34)/(Formula!$C$35-Formula!$C$34)*(Formula!$C$32-Formula!$C$33),Formula!$C$33),Formula!$C$32)),1)</f>
        <v>1</v>
      </c>
      <c r="W1628" s="17">
        <f t="shared" si="5"/>
        <v>0.3</v>
      </c>
    </row>
    <row r="1629" ht="15.75" customHeight="1">
      <c r="A1629" s="8" t="s">
        <v>2485</v>
      </c>
      <c r="B1629" s="7" t="s">
        <v>2466</v>
      </c>
      <c r="C1629" s="13" t="s">
        <v>2467</v>
      </c>
      <c r="D1629" s="7" t="s">
        <v>219</v>
      </c>
      <c r="E1629" s="8" t="s">
        <v>156</v>
      </c>
      <c r="F1629" s="8" t="s">
        <v>318</v>
      </c>
      <c r="G1629" s="7" t="s">
        <v>2468</v>
      </c>
      <c r="H1629" s="7" t="s">
        <v>2469</v>
      </c>
      <c r="I1629" s="8">
        <v>2400.0</v>
      </c>
      <c r="J1629" s="8">
        <v>2.1</v>
      </c>
      <c r="K1629" s="8" t="s">
        <v>583</v>
      </c>
      <c r="L1629" s="8" t="s">
        <v>322</v>
      </c>
      <c r="M1629" s="8" t="s">
        <v>2486</v>
      </c>
      <c r="N1629" s="8">
        <v>0.1</v>
      </c>
      <c r="O1629" s="14">
        <f t="shared" si="1"/>
        <v>44256</v>
      </c>
      <c r="P1629" s="15">
        <f>IFERROR(VLOOKUP(K1629,Formula!$A$11:$B$20,2,FALSE),Formula!$C$26)</f>
        <v>0.95</v>
      </c>
      <c r="Q1629" s="15">
        <f>IF(AND(ISNUMBER(J1629),J1629&gt;0),1/J1629,IF(AND(ISNUMBER(I1629),I1629&gt;0),SQRT(MIN(I1629,Formula!$C$27))/Formula!$C$24,1/Formula!$C$25))</f>
        <v>0.4761904762</v>
      </c>
      <c r="R1629" s="15">
        <f t="shared" si="2"/>
        <v>0.4523809524</v>
      </c>
      <c r="S1629" s="15">
        <f>IF(H1629&lt;&gt;"",EXP(-Formula!$C$28*(EOMONTH(H1629,0)-H1629)),EXP(-Formula!$C$28*(EOMONTH(D1629,0)-D1629)))</f>
        <v>0.4065696597</v>
      </c>
      <c r="T1629" s="15">
        <f t="shared" si="3"/>
        <v>0.2581988897</v>
      </c>
      <c r="U1629" s="15">
        <f t="shared" si="4"/>
        <v>0.0474890681</v>
      </c>
      <c r="V1629" s="16">
        <f>IF(AND(L1629="Among all respondents",NOT(OR(K1629="Online poll in Telegram channel",K1629="Website online poll",K1629="CAWI (Computer Assisted Web Interviewing)"))),1/(1-MIN(MAX(Formula!$C$33+(YEAR(D1629)-Formula!$C$34)/(Formula!$C$35-Formula!$C$34)*(Formula!$C$32-Formula!$C$33),Formula!$C$33),Formula!$C$32)),1)</f>
        <v>1</v>
      </c>
      <c r="W1629" s="17">
        <f t="shared" si="5"/>
        <v>0.1</v>
      </c>
    </row>
    <row r="1630" ht="15.75" customHeight="1">
      <c r="A1630" s="8" t="s">
        <v>2487</v>
      </c>
      <c r="B1630" s="7" t="s">
        <v>2488</v>
      </c>
      <c r="C1630" s="13" t="s">
        <v>2489</v>
      </c>
      <c r="D1630" s="7" t="s">
        <v>221</v>
      </c>
      <c r="E1630" s="8" t="s">
        <v>222</v>
      </c>
      <c r="F1630" s="8" t="s">
        <v>318</v>
      </c>
      <c r="G1630" s="7" t="s">
        <v>2490</v>
      </c>
      <c r="H1630" s="7" t="s">
        <v>2491</v>
      </c>
      <c r="I1630" s="8">
        <v>3025.0</v>
      </c>
      <c r="J1630" s="8">
        <v>2.8</v>
      </c>
      <c r="K1630" s="8" t="s">
        <v>321</v>
      </c>
      <c r="L1630" s="8" t="s">
        <v>322</v>
      </c>
      <c r="M1630" s="8" t="s">
        <v>323</v>
      </c>
      <c r="N1630" s="8">
        <v>18.0</v>
      </c>
      <c r="O1630" s="14">
        <f t="shared" si="1"/>
        <v>44256</v>
      </c>
      <c r="P1630" s="15">
        <f>IFERROR(VLOOKUP(K1630,Formula!$A$11:$B$20,2,FALSE),Formula!$C$26)</f>
        <v>0.9</v>
      </c>
      <c r="Q1630" s="15">
        <f>IF(AND(ISNUMBER(J1630),J1630&gt;0),1/J1630,IF(AND(ISNUMBER(I1630),I1630&gt;0),SQRT(MIN(I1630,Formula!$C$27))/Formula!$C$24,1/Formula!$C$25))</f>
        <v>0.3571428571</v>
      </c>
      <c r="R1630" s="15">
        <f t="shared" si="2"/>
        <v>0.3214285714</v>
      </c>
      <c r="S1630" s="15">
        <f>IF(H1630&lt;&gt;"",EXP(-Formula!$C$28*(EOMONTH(H1630,0)-H1630)),EXP(-Formula!$C$28*(EOMONTH(D1630,0)-D1630)))</f>
        <v>0.4274149319</v>
      </c>
      <c r="T1630" s="15">
        <f t="shared" si="3"/>
        <v>0.1961161351</v>
      </c>
      <c r="U1630" s="15">
        <f t="shared" si="4"/>
        <v>0.02694309575</v>
      </c>
      <c r="V1630" s="16">
        <f>IF(AND(L1630="Among all respondents",NOT(OR(K1630="Online poll in Telegram channel",K1630="Website online poll",K1630="CAWI (Computer Assisted Web Interviewing)"))),1/(1-MIN(MAX(Formula!$C$33+(YEAR(D1630)-Formula!$C$34)/(Formula!$C$35-Formula!$C$34)*(Formula!$C$32-Formula!$C$33),Formula!$C$33),Formula!$C$32)),1)</f>
        <v>1</v>
      </c>
      <c r="W1630" s="17">
        <f t="shared" si="5"/>
        <v>18</v>
      </c>
    </row>
    <row r="1631" ht="15.75" customHeight="1">
      <c r="A1631" s="8" t="s">
        <v>2492</v>
      </c>
      <c r="B1631" s="7" t="s">
        <v>2488</v>
      </c>
      <c r="C1631" s="13" t="s">
        <v>2489</v>
      </c>
      <c r="D1631" s="7" t="s">
        <v>221</v>
      </c>
      <c r="E1631" s="8" t="s">
        <v>222</v>
      </c>
      <c r="F1631" s="8" t="s">
        <v>318</v>
      </c>
      <c r="G1631" s="7" t="s">
        <v>2490</v>
      </c>
      <c r="H1631" s="7" t="s">
        <v>2491</v>
      </c>
      <c r="I1631" s="8">
        <v>3025.0</v>
      </c>
      <c r="J1631" s="8">
        <v>2.8</v>
      </c>
      <c r="K1631" s="8" t="s">
        <v>321</v>
      </c>
      <c r="L1631" s="8" t="s">
        <v>322</v>
      </c>
      <c r="M1631" s="8" t="s">
        <v>329</v>
      </c>
      <c r="N1631" s="8">
        <v>17.6</v>
      </c>
      <c r="O1631" s="14">
        <f t="shared" si="1"/>
        <v>44256</v>
      </c>
      <c r="P1631" s="15">
        <f>IFERROR(VLOOKUP(K1631,Formula!$A$11:$B$20,2,FALSE),Formula!$C$26)</f>
        <v>0.9</v>
      </c>
      <c r="Q1631" s="15">
        <f>IF(AND(ISNUMBER(J1631),J1631&gt;0),1/J1631,IF(AND(ISNUMBER(I1631),I1631&gt;0),SQRT(MIN(I1631,Formula!$C$27))/Formula!$C$24,1/Formula!$C$25))</f>
        <v>0.3571428571</v>
      </c>
      <c r="R1631" s="15">
        <f t="shared" si="2"/>
        <v>0.3214285714</v>
      </c>
      <c r="S1631" s="15">
        <f>IF(H1631&lt;&gt;"",EXP(-Formula!$C$28*(EOMONTH(H1631,0)-H1631)),EXP(-Formula!$C$28*(EOMONTH(D1631,0)-D1631)))</f>
        <v>0.4274149319</v>
      </c>
      <c r="T1631" s="15">
        <f t="shared" si="3"/>
        <v>0.1961161351</v>
      </c>
      <c r="U1631" s="15">
        <f t="shared" si="4"/>
        <v>0.02694309575</v>
      </c>
      <c r="V1631" s="16">
        <f>IF(AND(L1631="Among all respondents",NOT(OR(K1631="Online poll in Telegram channel",K1631="Website online poll",K1631="CAWI (Computer Assisted Web Interviewing)"))),1/(1-MIN(MAX(Formula!$C$33+(YEAR(D1631)-Formula!$C$34)/(Formula!$C$35-Formula!$C$34)*(Formula!$C$32-Formula!$C$33),Formula!$C$33),Formula!$C$32)),1)</f>
        <v>1</v>
      </c>
      <c r="W1631" s="17">
        <f t="shared" si="5"/>
        <v>17.6</v>
      </c>
    </row>
    <row r="1632" ht="15.75" customHeight="1">
      <c r="A1632" s="8" t="s">
        <v>2493</v>
      </c>
      <c r="B1632" s="7" t="s">
        <v>2488</v>
      </c>
      <c r="C1632" s="13" t="s">
        <v>2489</v>
      </c>
      <c r="D1632" s="7" t="s">
        <v>221</v>
      </c>
      <c r="E1632" s="8" t="s">
        <v>222</v>
      </c>
      <c r="F1632" s="8" t="s">
        <v>318</v>
      </c>
      <c r="G1632" s="7" t="s">
        <v>2490</v>
      </c>
      <c r="H1632" s="7" t="s">
        <v>2491</v>
      </c>
      <c r="I1632" s="8">
        <v>3025.0</v>
      </c>
      <c r="J1632" s="8">
        <v>2.8</v>
      </c>
      <c r="K1632" s="8" t="s">
        <v>321</v>
      </c>
      <c r="L1632" s="8" t="s">
        <v>322</v>
      </c>
      <c r="M1632" s="8" t="s">
        <v>365</v>
      </c>
      <c r="N1632" s="8">
        <v>10.1</v>
      </c>
      <c r="O1632" s="14">
        <f t="shared" si="1"/>
        <v>44256</v>
      </c>
      <c r="P1632" s="15">
        <f>IFERROR(VLOOKUP(K1632,Formula!$A$11:$B$20,2,FALSE),Formula!$C$26)</f>
        <v>0.9</v>
      </c>
      <c r="Q1632" s="15">
        <f>IF(AND(ISNUMBER(J1632),J1632&gt;0),1/J1632,IF(AND(ISNUMBER(I1632),I1632&gt;0),SQRT(MIN(I1632,Formula!$C$27))/Formula!$C$24,1/Formula!$C$25))</f>
        <v>0.3571428571</v>
      </c>
      <c r="R1632" s="15">
        <f t="shared" si="2"/>
        <v>0.3214285714</v>
      </c>
      <c r="S1632" s="15">
        <f>IF(H1632&lt;&gt;"",EXP(-Formula!$C$28*(EOMONTH(H1632,0)-H1632)),EXP(-Formula!$C$28*(EOMONTH(D1632,0)-D1632)))</f>
        <v>0.4274149319</v>
      </c>
      <c r="T1632" s="15">
        <f t="shared" si="3"/>
        <v>0.1961161351</v>
      </c>
      <c r="U1632" s="15">
        <f t="shared" si="4"/>
        <v>0.02694309575</v>
      </c>
      <c r="V1632" s="16">
        <f>IF(AND(L1632="Among all respondents",NOT(OR(K1632="Online poll in Telegram channel",K1632="Website online poll",K1632="CAWI (Computer Assisted Web Interviewing)"))),1/(1-MIN(MAX(Formula!$C$33+(YEAR(D1632)-Formula!$C$34)/(Formula!$C$35-Formula!$C$34)*(Formula!$C$32-Formula!$C$33),Formula!$C$33),Formula!$C$32)),1)</f>
        <v>1</v>
      </c>
      <c r="W1632" s="17">
        <f t="shared" si="5"/>
        <v>10.1</v>
      </c>
    </row>
    <row r="1633" ht="15.75" customHeight="1">
      <c r="A1633" s="8" t="s">
        <v>2494</v>
      </c>
      <c r="B1633" s="7" t="s">
        <v>2488</v>
      </c>
      <c r="C1633" s="13" t="s">
        <v>2489</v>
      </c>
      <c r="D1633" s="7" t="s">
        <v>221</v>
      </c>
      <c r="E1633" s="8" t="s">
        <v>222</v>
      </c>
      <c r="F1633" s="8" t="s">
        <v>318</v>
      </c>
      <c r="G1633" s="7" t="s">
        <v>2490</v>
      </c>
      <c r="H1633" s="7" t="s">
        <v>2491</v>
      </c>
      <c r="I1633" s="8">
        <v>3025.0</v>
      </c>
      <c r="J1633" s="8">
        <v>2.8</v>
      </c>
      <c r="K1633" s="8" t="s">
        <v>321</v>
      </c>
      <c r="L1633" s="8" t="s">
        <v>322</v>
      </c>
      <c r="M1633" s="8" t="s">
        <v>337</v>
      </c>
      <c r="N1633" s="8">
        <v>9.3</v>
      </c>
      <c r="O1633" s="14">
        <f t="shared" si="1"/>
        <v>44256</v>
      </c>
      <c r="P1633" s="15">
        <f>IFERROR(VLOOKUP(K1633,Formula!$A$11:$B$20,2,FALSE),Formula!$C$26)</f>
        <v>0.9</v>
      </c>
      <c r="Q1633" s="15">
        <f>IF(AND(ISNUMBER(J1633),J1633&gt;0),1/J1633,IF(AND(ISNUMBER(I1633),I1633&gt;0),SQRT(MIN(I1633,Formula!$C$27))/Formula!$C$24,1/Formula!$C$25))</f>
        <v>0.3571428571</v>
      </c>
      <c r="R1633" s="15">
        <f t="shared" si="2"/>
        <v>0.3214285714</v>
      </c>
      <c r="S1633" s="15">
        <f>IF(H1633&lt;&gt;"",EXP(-Formula!$C$28*(EOMONTH(H1633,0)-H1633)),EXP(-Formula!$C$28*(EOMONTH(D1633,0)-D1633)))</f>
        <v>0.4274149319</v>
      </c>
      <c r="T1633" s="15">
        <f t="shared" si="3"/>
        <v>0.1961161351</v>
      </c>
      <c r="U1633" s="15">
        <f t="shared" si="4"/>
        <v>0.02694309575</v>
      </c>
      <c r="V1633" s="16">
        <f>IF(AND(L1633="Among all respondents",NOT(OR(K1633="Online poll in Telegram channel",K1633="Website online poll",K1633="CAWI (Computer Assisted Web Interviewing)"))),1/(1-MIN(MAX(Formula!$C$33+(YEAR(D1633)-Formula!$C$34)/(Formula!$C$35-Formula!$C$34)*(Formula!$C$32-Formula!$C$33),Formula!$C$33),Formula!$C$32)),1)</f>
        <v>1</v>
      </c>
      <c r="W1633" s="17">
        <f t="shared" si="5"/>
        <v>9.3</v>
      </c>
    </row>
    <row r="1634" ht="15.75" customHeight="1">
      <c r="A1634" s="8" t="s">
        <v>2495</v>
      </c>
      <c r="B1634" s="7" t="s">
        <v>2488</v>
      </c>
      <c r="C1634" s="13" t="s">
        <v>2489</v>
      </c>
      <c r="D1634" s="7" t="s">
        <v>221</v>
      </c>
      <c r="E1634" s="8" t="s">
        <v>222</v>
      </c>
      <c r="F1634" s="8" t="s">
        <v>318</v>
      </c>
      <c r="G1634" s="7" t="s">
        <v>2490</v>
      </c>
      <c r="H1634" s="7" t="s">
        <v>2491</v>
      </c>
      <c r="I1634" s="8">
        <v>3025.0</v>
      </c>
      <c r="J1634" s="8">
        <v>2.8</v>
      </c>
      <c r="K1634" s="8" t="s">
        <v>321</v>
      </c>
      <c r="L1634" s="8" t="s">
        <v>322</v>
      </c>
      <c r="M1634" s="8" t="s">
        <v>828</v>
      </c>
      <c r="N1634" s="8">
        <v>5.0</v>
      </c>
      <c r="O1634" s="14">
        <f t="shared" si="1"/>
        <v>44256</v>
      </c>
      <c r="P1634" s="15">
        <f>IFERROR(VLOOKUP(K1634,Formula!$A$11:$B$20,2,FALSE),Formula!$C$26)</f>
        <v>0.9</v>
      </c>
      <c r="Q1634" s="15">
        <f>IF(AND(ISNUMBER(J1634),J1634&gt;0),1/J1634,IF(AND(ISNUMBER(I1634),I1634&gt;0),SQRT(MIN(I1634,Formula!$C$27))/Formula!$C$24,1/Formula!$C$25))</f>
        <v>0.3571428571</v>
      </c>
      <c r="R1634" s="15">
        <f t="shared" si="2"/>
        <v>0.3214285714</v>
      </c>
      <c r="S1634" s="15">
        <f>IF(H1634&lt;&gt;"",EXP(-Formula!$C$28*(EOMONTH(H1634,0)-H1634)),EXP(-Formula!$C$28*(EOMONTH(D1634,0)-D1634)))</f>
        <v>0.4274149319</v>
      </c>
      <c r="T1634" s="15">
        <f t="shared" si="3"/>
        <v>0.1961161351</v>
      </c>
      <c r="U1634" s="15">
        <f t="shared" si="4"/>
        <v>0.02694309575</v>
      </c>
      <c r="V1634" s="16">
        <f>IF(AND(L1634="Among all respondents",NOT(OR(K1634="Online poll in Telegram channel",K1634="Website online poll",K1634="CAWI (Computer Assisted Web Interviewing)"))),1/(1-MIN(MAX(Formula!$C$33+(YEAR(D1634)-Formula!$C$34)/(Formula!$C$35-Formula!$C$34)*(Formula!$C$32-Formula!$C$33),Formula!$C$33),Formula!$C$32)),1)</f>
        <v>1</v>
      </c>
      <c r="W1634" s="17">
        <f t="shared" si="5"/>
        <v>5</v>
      </c>
    </row>
    <row r="1635" ht="15.75" customHeight="1">
      <c r="A1635" s="8" t="s">
        <v>2496</v>
      </c>
      <c r="B1635" s="7" t="s">
        <v>2488</v>
      </c>
      <c r="C1635" s="13" t="s">
        <v>2489</v>
      </c>
      <c r="D1635" s="7" t="s">
        <v>221</v>
      </c>
      <c r="E1635" s="8" t="s">
        <v>222</v>
      </c>
      <c r="F1635" s="8" t="s">
        <v>318</v>
      </c>
      <c r="G1635" s="7" t="s">
        <v>2490</v>
      </c>
      <c r="H1635" s="7" t="s">
        <v>2491</v>
      </c>
      <c r="I1635" s="8">
        <v>3025.0</v>
      </c>
      <c r="J1635" s="8">
        <v>2.8</v>
      </c>
      <c r="K1635" s="8" t="s">
        <v>321</v>
      </c>
      <c r="L1635" s="8" t="s">
        <v>322</v>
      </c>
      <c r="M1635" s="8" t="s">
        <v>333</v>
      </c>
      <c r="N1635" s="8">
        <v>4.8</v>
      </c>
      <c r="O1635" s="14">
        <f t="shared" si="1"/>
        <v>44256</v>
      </c>
      <c r="P1635" s="15">
        <f>IFERROR(VLOOKUP(K1635,Formula!$A$11:$B$20,2,FALSE),Formula!$C$26)</f>
        <v>0.9</v>
      </c>
      <c r="Q1635" s="15">
        <f>IF(AND(ISNUMBER(J1635),J1635&gt;0),1/J1635,IF(AND(ISNUMBER(I1635),I1635&gt;0),SQRT(MIN(I1635,Formula!$C$27))/Formula!$C$24,1/Formula!$C$25))</f>
        <v>0.3571428571</v>
      </c>
      <c r="R1635" s="15">
        <f t="shared" si="2"/>
        <v>0.3214285714</v>
      </c>
      <c r="S1635" s="15">
        <f>IF(H1635&lt;&gt;"",EXP(-Formula!$C$28*(EOMONTH(H1635,0)-H1635)),EXP(-Formula!$C$28*(EOMONTH(D1635,0)-D1635)))</f>
        <v>0.4274149319</v>
      </c>
      <c r="T1635" s="15">
        <f t="shared" si="3"/>
        <v>0.1961161351</v>
      </c>
      <c r="U1635" s="15">
        <f t="shared" si="4"/>
        <v>0.02694309575</v>
      </c>
      <c r="V1635" s="16">
        <f>IF(AND(L1635="Among all respondents",NOT(OR(K1635="Online poll in Telegram channel",K1635="Website online poll",K1635="CAWI (Computer Assisted Web Interviewing)"))),1/(1-MIN(MAX(Formula!$C$33+(YEAR(D1635)-Formula!$C$34)/(Formula!$C$35-Formula!$C$34)*(Formula!$C$32-Formula!$C$33),Formula!$C$33),Formula!$C$32)),1)</f>
        <v>1</v>
      </c>
      <c r="W1635" s="17">
        <f t="shared" si="5"/>
        <v>4.8</v>
      </c>
    </row>
    <row r="1636" ht="15.75" customHeight="1">
      <c r="A1636" s="8" t="s">
        <v>2497</v>
      </c>
      <c r="B1636" s="7" t="s">
        <v>2488</v>
      </c>
      <c r="C1636" s="13" t="s">
        <v>2489</v>
      </c>
      <c r="D1636" s="7" t="s">
        <v>221</v>
      </c>
      <c r="E1636" s="8" t="s">
        <v>222</v>
      </c>
      <c r="F1636" s="8" t="s">
        <v>318</v>
      </c>
      <c r="G1636" s="7" t="s">
        <v>2490</v>
      </c>
      <c r="H1636" s="7" t="s">
        <v>2491</v>
      </c>
      <c r="I1636" s="8">
        <v>3025.0</v>
      </c>
      <c r="J1636" s="8">
        <v>2.8</v>
      </c>
      <c r="K1636" s="8" t="s">
        <v>321</v>
      </c>
      <c r="L1636" s="8" t="s">
        <v>322</v>
      </c>
      <c r="M1636" s="8" t="s">
        <v>386</v>
      </c>
      <c r="N1636" s="8">
        <v>4.5</v>
      </c>
      <c r="O1636" s="14">
        <f t="shared" si="1"/>
        <v>44256</v>
      </c>
      <c r="P1636" s="15">
        <f>IFERROR(VLOOKUP(K1636,Formula!$A$11:$B$20,2,FALSE),Formula!$C$26)</f>
        <v>0.9</v>
      </c>
      <c r="Q1636" s="15">
        <f>IF(AND(ISNUMBER(J1636),J1636&gt;0),1/J1636,IF(AND(ISNUMBER(I1636),I1636&gt;0),SQRT(MIN(I1636,Formula!$C$27))/Formula!$C$24,1/Formula!$C$25))</f>
        <v>0.3571428571</v>
      </c>
      <c r="R1636" s="15">
        <f t="shared" si="2"/>
        <v>0.3214285714</v>
      </c>
      <c r="S1636" s="15">
        <f>IF(H1636&lt;&gt;"",EXP(-Formula!$C$28*(EOMONTH(H1636,0)-H1636)),EXP(-Formula!$C$28*(EOMONTH(D1636,0)-D1636)))</f>
        <v>0.4274149319</v>
      </c>
      <c r="T1636" s="15">
        <f t="shared" si="3"/>
        <v>0.1961161351</v>
      </c>
      <c r="U1636" s="15">
        <f t="shared" si="4"/>
        <v>0.02694309575</v>
      </c>
      <c r="V1636" s="16">
        <f>IF(AND(L1636="Among all respondents",NOT(OR(K1636="Online poll in Telegram channel",K1636="Website online poll",K1636="CAWI (Computer Assisted Web Interviewing)"))),1/(1-MIN(MAX(Formula!$C$33+(YEAR(D1636)-Formula!$C$34)/(Formula!$C$35-Formula!$C$34)*(Formula!$C$32-Formula!$C$33),Formula!$C$33),Formula!$C$32)),1)</f>
        <v>1</v>
      </c>
      <c r="W1636" s="17">
        <f t="shared" si="5"/>
        <v>4.5</v>
      </c>
    </row>
    <row r="1637" ht="15.75" customHeight="1">
      <c r="A1637" s="8" t="s">
        <v>2498</v>
      </c>
      <c r="B1637" s="7" t="s">
        <v>2488</v>
      </c>
      <c r="C1637" s="13" t="s">
        <v>2489</v>
      </c>
      <c r="D1637" s="7" t="s">
        <v>221</v>
      </c>
      <c r="E1637" s="8" t="s">
        <v>222</v>
      </c>
      <c r="F1637" s="8" t="s">
        <v>318</v>
      </c>
      <c r="G1637" s="7" t="s">
        <v>2490</v>
      </c>
      <c r="H1637" s="7" t="s">
        <v>2491</v>
      </c>
      <c r="I1637" s="8">
        <v>3025.0</v>
      </c>
      <c r="J1637" s="8">
        <v>2.8</v>
      </c>
      <c r="K1637" s="8" t="s">
        <v>321</v>
      </c>
      <c r="L1637" s="8" t="s">
        <v>322</v>
      </c>
      <c r="M1637" s="8" t="s">
        <v>343</v>
      </c>
      <c r="N1637" s="8">
        <v>4.5</v>
      </c>
      <c r="O1637" s="14">
        <f t="shared" si="1"/>
        <v>44256</v>
      </c>
      <c r="P1637" s="15">
        <f>IFERROR(VLOOKUP(K1637,Formula!$A$11:$B$20,2,FALSE),Formula!$C$26)</f>
        <v>0.9</v>
      </c>
      <c r="Q1637" s="15">
        <f>IF(AND(ISNUMBER(J1637),J1637&gt;0),1/J1637,IF(AND(ISNUMBER(I1637),I1637&gt;0),SQRT(MIN(I1637,Formula!$C$27))/Formula!$C$24,1/Formula!$C$25))</f>
        <v>0.3571428571</v>
      </c>
      <c r="R1637" s="15">
        <f t="shared" si="2"/>
        <v>0.3214285714</v>
      </c>
      <c r="S1637" s="15">
        <f>IF(H1637&lt;&gt;"",EXP(-Formula!$C$28*(EOMONTH(H1637,0)-H1637)),EXP(-Formula!$C$28*(EOMONTH(D1637,0)-D1637)))</f>
        <v>0.4274149319</v>
      </c>
      <c r="T1637" s="15">
        <f t="shared" si="3"/>
        <v>0.1961161351</v>
      </c>
      <c r="U1637" s="15">
        <f t="shared" si="4"/>
        <v>0.02694309575</v>
      </c>
      <c r="V1637" s="16">
        <f>IF(AND(L1637="Among all respondents",NOT(OR(K1637="Online poll in Telegram channel",K1637="Website online poll",K1637="CAWI (Computer Assisted Web Interviewing)"))),1/(1-MIN(MAX(Formula!$C$33+(YEAR(D1637)-Formula!$C$34)/(Formula!$C$35-Formula!$C$34)*(Formula!$C$32-Formula!$C$33),Formula!$C$33),Formula!$C$32)),1)</f>
        <v>1</v>
      </c>
      <c r="W1637" s="17">
        <f t="shared" si="5"/>
        <v>4.5</v>
      </c>
    </row>
    <row r="1638" ht="15.75" customHeight="1">
      <c r="A1638" s="8" t="s">
        <v>2499</v>
      </c>
      <c r="B1638" s="7" t="s">
        <v>2488</v>
      </c>
      <c r="C1638" s="13" t="s">
        <v>2489</v>
      </c>
      <c r="D1638" s="7" t="s">
        <v>221</v>
      </c>
      <c r="E1638" s="8" t="s">
        <v>222</v>
      </c>
      <c r="F1638" s="8" t="s">
        <v>318</v>
      </c>
      <c r="G1638" s="7" t="s">
        <v>2490</v>
      </c>
      <c r="H1638" s="7" t="s">
        <v>2491</v>
      </c>
      <c r="I1638" s="8">
        <v>3025.0</v>
      </c>
      <c r="J1638" s="8">
        <v>2.8</v>
      </c>
      <c r="K1638" s="8" t="s">
        <v>321</v>
      </c>
      <c r="L1638" s="8" t="s">
        <v>322</v>
      </c>
      <c r="M1638" s="8" t="s">
        <v>388</v>
      </c>
      <c r="N1638" s="8">
        <v>4.0</v>
      </c>
      <c r="O1638" s="14">
        <f t="shared" si="1"/>
        <v>44256</v>
      </c>
      <c r="P1638" s="15">
        <f>IFERROR(VLOOKUP(K1638,Formula!$A$11:$B$20,2,FALSE),Formula!$C$26)</f>
        <v>0.9</v>
      </c>
      <c r="Q1638" s="15">
        <f>IF(AND(ISNUMBER(J1638),J1638&gt;0),1/J1638,IF(AND(ISNUMBER(I1638),I1638&gt;0),SQRT(MIN(I1638,Formula!$C$27))/Formula!$C$24,1/Formula!$C$25))</f>
        <v>0.3571428571</v>
      </c>
      <c r="R1638" s="15">
        <f t="shared" si="2"/>
        <v>0.3214285714</v>
      </c>
      <c r="S1638" s="15">
        <f>IF(H1638&lt;&gt;"",EXP(-Formula!$C$28*(EOMONTH(H1638,0)-H1638)),EXP(-Formula!$C$28*(EOMONTH(D1638,0)-D1638)))</f>
        <v>0.4274149319</v>
      </c>
      <c r="T1638" s="15">
        <f t="shared" si="3"/>
        <v>0.1961161351</v>
      </c>
      <c r="U1638" s="15">
        <f t="shared" si="4"/>
        <v>0.02694309575</v>
      </c>
      <c r="V1638" s="16">
        <f>IF(AND(L1638="Among all respondents",NOT(OR(K1638="Online poll in Telegram channel",K1638="Website online poll",K1638="CAWI (Computer Assisted Web Interviewing)"))),1/(1-MIN(MAX(Formula!$C$33+(YEAR(D1638)-Formula!$C$34)/(Formula!$C$35-Formula!$C$34)*(Formula!$C$32-Formula!$C$33),Formula!$C$33),Formula!$C$32)),1)</f>
        <v>1</v>
      </c>
      <c r="W1638" s="17">
        <f t="shared" si="5"/>
        <v>4</v>
      </c>
    </row>
    <row r="1639" ht="15.75" customHeight="1">
      <c r="A1639" s="8" t="s">
        <v>2500</v>
      </c>
      <c r="B1639" s="7" t="s">
        <v>2488</v>
      </c>
      <c r="C1639" s="13" t="s">
        <v>2489</v>
      </c>
      <c r="D1639" s="7" t="s">
        <v>221</v>
      </c>
      <c r="E1639" s="8" t="s">
        <v>222</v>
      </c>
      <c r="F1639" s="8" t="s">
        <v>318</v>
      </c>
      <c r="G1639" s="7" t="s">
        <v>2490</v>
      </c>
      <c r="H1639" s="7" t="s">
        <v>2491</v>
      </c>
      <c r="I1639" s="8">
        <v>3025.0</v>
      </c>
      <c r="J1639" s="8">
        <v>2.8</v>
      </c>
      <c r="K1639" s="8" t="s">
        <v>321</v>
      </c>
      <c r="L1639" s="8" t="s">
        <v>322</v>
      </c>
      <c r="M1639" s="8" t="s">
        <v>838</v>
      </c>
      <c r="N1639" s="8">
        <v>3.1</v>
      </c>
      <c r="O1639" s="14">
        <f t="shared" si="1"/>
        <v>44256</v>
      </c>
      <c r="P1639" s="15">
        <f>IFERROR(VLOOKUP(K1639,Formula!$A$11:$B$20,2,FALSE),Formula!$C$26)</f>
        <v>0.9</v>
      </c>
      <c r="Q1639" s="15">
        <f>IF(AND(ISNUMBER(J1639),J1639&gt;0),1/J1639,IF(AND(ISNUMBER(I1639),I1639&gt;0),SQRT(MIN(I1639,Formula!$C$27))/Formula!$C$24,1/Formula!$C$25))</f>
        <v>0.3571428571</v>
      </c>
      <c r="R1639" s="15">
        <f t="shared" si="2"/>
        <v>0.3214285714</v>
      </c>
      <c r="S1639" s="15">
        <f>IF(H1639&lt;&gt;"",EXP(-Formula!$C$28*(EOMONTH(H1639,0)-H1639)),EXP(-Formula!$C$28*(EOMONTH(D1639,0)-D1639)))</f>
        <v>0.4274149319</v>
      </c>
      <c r="T1639" s="15">
        <f t="shared" si="3"/>
        <v>0.1961161351</v>
      </c>
      <c r="U1639" s="15">
        <f t="shared" si="4"/>
        <v>0.02694309575</v>
      </c>
      <c r="V1639" s="16">
        <f>IF(AND(L1639="Among all respondents",NOT(OR(K1639="Online poll in Telegram channel",K1639="Website online poll",K1639="CAWI (Computer Assisted Web Interviewing)"))),1/(1-MIN(MAX(Formula!$C$33+(YEAR(D1639)-Formula!$C$34)/(Formula!$C$35-Formula!$C$34)*(Formula!$C$32-Formula!$C$33),Formula!$C$33),Formula!$C$32)),1)</f>
        <v>1</v>
      </c>
      <c r="W1639" s="17">
        <f t="shared" si="5"/>
        <v>3.1</v>
      </c>
    </row>
    <row r="1640" ht="15.75" customHeight="1">
      <c r="A1640" s="8" t="s">
        <v>2501</v>
      </c>
      <c r="B1640" s="7" t="s">
        <v>2488</v>
      </c>
      <c r="C1640" s="13" t="s">
        <v>2489</v>
      </c>
      <c r="D1640" s="7" t="s">
        <v>221</v>
      </c>
      <c r="E1640" s="8" t="s">
        <v>222</v>
      </c>
      <c r="F1640" s="8" t="s">
        <v>318</v>
      </c>
      <c r="G1640" s="7" t="s">
        <v>2490</v>
      </c>
      <c r="H1640" s="7" t="s">
        <v>2491</v>
      </c>
      <c r="I1640" s="8">
        <v>3025.0</v>
      </c>
      <c r="J1640" s="8">
        <v>2.8</v>
      </c>
      <c r="K1640" s="8" t="s">
        <v>321</v>
      </c>
      <c r="L1640" s="8" t="s">
        <v>322</v>
      </c>
      <c r="M1640" s="8" t="s">
        <v>740</v>
      </c>
      <c r="N1640" s="8">
        <v>1.8</v>
      </c>
      <c r="O1640" s="14">
        <f t="shared" si="1"/>
        <v>44256</v>
      </c>
      <c r="P1640" s="15">
        <f>IFERROR(VLOOKUP(K1640,Formula!$A$11:$B$20,2,FALSE),Formula!$C$26)</f>
        <v>0.9</v>
      </c>
      <c r="Q1640" s="15">
        <f>IF(AND(ISNUMBER(J1640),J1640&gt;0),1/J1640,IF(AND(ISNUMBER(I1640),I1640&gt;0),SQRT(MIN(I1640,Formula!$C$27))/Formula!$C$24,1/Formula!$C$25))</f>
        <v>0.3571428571</v>
      </c>
      <c r="R1640" s="15">
        <f t="shared" si="2"/>
        <v>0.3214285714</v>
      </c>
      <c r="S1640" s="15">
        <f>IF(H1640&lt;&gt;"",EXP(-Formula!$C$28*(EOMONTH(H1640,0)-H1640)),EXP(-Formula!$C$28*(EOMONTH(D1640,0)-D1640)))</f>
        <v>0.4274149319</v>
      </c>
      <c r="T1640" s="15">
        <f t="shared" si="3"/>
        <v>0.1961161351</v>
      </c>
      <c r="U1640" s="15">
        <f t="shared" si="4"/>
        <v>0.02694309575</v>
      </c>
      <c r="V1640" s="16">
        <f>IF(AND(L1640="Among all respondents",NOT(OR(K1640="Online poll in Telegram channel",K1640="Website online poll",K1640="CAWI (Computer Assisted Web Interviewing)"))),1/(1-MIN(MAX(Formula!$C$33+(YEAR(D1640)-Formula!$C$34)/(Formula!$C$35-Formula!$C$34)*(Formula!$C$32-Formula!$C$33),Formula!$C$33),Formula!$C$32)),1)</f>
        <v>1</v>
      </c>
      <c r="W1640" s="17">
        <f t="shared" si="5"/>
        <v>1.8</v>
      </c>
    </row>
    <row r="1641" ht="15.75" customHeight="1">
      <c r="A1641" s="8" t="s">
        <v>2502</v>
      </c>
      <c r="B1641" s="7" t="s">
        <v>2488</v>
      </c>
      <c r="C1641" s="13" t="s">
        <v>2489</v>
      </c>
      <c r="D1641" s="7" t="s">
        <v>221</v>
      </c>
      <c r="E1641" s="8" t="s">
        <v>222</v>
      </c>
      <c r="F1641" s="8" t="s">
        <v>318</v>
      </c>
      <c r="G1641" s="7" t="s">
        <v>2490</v>
      </c>
      <c r="H1641" s="7" t="s">
        <v>2491</v>
      </c>
      <c r="I1641" s="8">
        <v>3025.0</v>
      </c>
      <c r="J1641" s="8">
        <v>2.8</v>
      </c>
      <c r="K1641" s="8" t="s">
        <v>321</v>
      </c>
      <c r="L1641" s="8" t="s">
        <v>322</v>
      </c>
      <c r="M1641" s="8" t="s">
        <v>335</v>
      </c>
      <c r="N1641" s="8">
        <v>1.2</v>
      </c>
      <c r="O1641" s="14">
        <f t="shared" si="1"/>
        <v>44256</v>
      </c>
      <c r="P1641" s="15">
        <f>IFERROR(VLOOKUP(K1641,Formula!$A$11:$B$20,2,FALSE),Formula!$C$26)</f>
        <v>0.9</v>
      </c>
      <c r="Q1641" s="15">
        <f>IF(AND(ISNUMBER(J1641),J1641&gt;0),1/J1641,IF(AND(ISNUMBER(I1641),I1641&gt;0),SQRT(MIN(I1641,Formula!$C$27))/Formula!$C$24,1/Formula!$C$25))</f>
        <v>0.3571428571</v>
      </c>
      <c r="R1641" s="15">
        <f t="shared" si="2"/>
        <v>0.3214285714</v>
      </c>
      <c r="S1641" s="15">
        <f>IF(H1641&lt;&gt;"",EXP(-Formula!$C$28*(EOMONTH(H1641,0)-H1641)),EXP(-Formula!$C$28*(EOMONTH(D1641,0)-D1641)))</f>
        <v>0.4274149319</v>
      </c>
      <c r="T1641" s="15">
        <f t="shared" si="3"/>
        <v>0.1961161351</v>
      </c>
      <c r="U1641" s="15">
        <f t="shared" si="4"/>
        <v>0.02694309575</v>
      </c>
      <c r="V1641" s="16">
        <f>IF(AND(L1641="Among all respondents",NOT(OR(K1641="Online poll in Telegram channel",K1641="Website online poll",K1641="CAWI (Computer Assisted Web Interviewing)"))),1/(1-MIN(MAX(Formula!$C$33+(YEAR(D1641)-Formula!$C$34)/(Formula!$C$35-Formula!$C$34)*(Formula!$C$32-Formula!$C$33),Formula!$C$33),Formula!$C$32)),1)</f>
        <v>1</v>
      </c>
      <c r="W1641" s="17">
        <f t="shared" si="5"/>
        <v>1.2</v>
      </c>
    </row>
    <row r="1642" ht="15.75" customHeight="1">
      <c r="A1642" s="8" t="s">
        <v>2503</v>
      </c>
      <c r="B1642" s="7" t="s">
        <v>2488</v>
      </c>
      <c r="C1642" s="13" t="s">
        <v>2489</v>
      </c>
      <c r="D1642" s="7" t="s">
        <v>221</v>
      </c>
      <c r="E1642" s="8" t="s">
        <v>222</v>
      </c>
      <c r="F1642" s="8" t="s">
        <v>318</v>
      </c>
      <c r="G1642" s="7" t="s">
        <v>2490</v>
      </c>
      <c r="H1642" s="7" t="s">
        <v>2491</v>
      </c>
      <c r="I1642" s="8">
        <v>3025.0</v>
      </c>
      <c r="J1642" s="8">
        <v>2.8</v>
      </c>
      <c r="K1642" s="8" t="s">
        <v>321</v>
      </c>
      <c r="L1642" s="8" t="s">
        <v>322</v>
      </c>
      <c r="M1642" s="8" t="s">
        <v>743</v>
      </c>
      <c r="N1642" s="8">
        <v>1.0</v>
      </c>
      <c r="O1642" s="14">
        <f t="shared" si="1"/>
        <v>44256</v>
      </c>
      <c r="P1642" s="15">
        <f>IFERROR(VLOOKUP(K1642,Formula!$A$11:$B$20,2,FALSE),Formula!$C$26)</f>
        <v>0.9</v>
      </c>
      <c r="Q1642" s="15">
        <f>IF(AND(ISNUMBER(J1642),J1642&gt;0),1/J1642,IF(AND(ISNUMBER(I1642),I1642&gt;0),SQRT(MIN(I1642,Formula!$C$27))/Formula!$C$24,1/Formula!$C$25))</f>
        <v>0.3571428571</v>
      </c>
      <c r="R1642" s="15">
        <f t="shared" si="2"/>
        <v>0.3214285714</v>
      </c>
      <c r="S1642" s="15">
        <f>IF(H1642&lt;&gt;"",EXP(-Formula!$C$28*(EOMONTH(H1642,0)-H1642)),EXP(-Formula!$C$28*(EOMONTH(D1642,0)-D1642)))</f>
        <v>0.4274149319</v>
      </c>
      <c r="T1642" s="15">
        <f t="shared" si="3"/>
        <v>0.1961161351</v>
      </c>
      <c r="U1642" s="15">
        <f t="shared" si="4"/>
        <v>0.02694309575</v>
      </c>
      <c r="V1642" s="16">
        <f>IF(AND(L1642="Among all respondents",NOT(OR(K1642="Online poll in Telegram channel",K1642="Website online poll",K1642="CAWI (Computer Assisted Web Interviewing)"))),1/(1-MIN(MAX(Formula!$C$33+(YEAR(D1642)-Formula!$C$34)/(Formula!$C$35-Formula!$C$34)*(Formula!$C$32-Formula!$C$33),Formula!$C$33),Formula!$C$32)),1)</f>
        <v>1</v>
      </c>
      <c r="W1642" s="17">
        <f t="shared" si="5"/>
        <v>1</v>
      </c>
    </row>
    <row r="1643" ht="15.75" customHeight="1">
      <c r="A1643" s="8" t="s">
        <v>2504</v>
      </c>
      <c r="B1643" s="7" t="s">
        <v>2505</v>
      </c>
      <c r="C1643" s="13" t="s">
        <v>2506</v>
      </c>
      <c r="D1643" s="7" t="s">
        <v>221</v>
      </c>
      <c r="E1643" s="8" t="s">
        <v>106</v>
      </c>
      <c r="F1643" s="8" t="s">
        <v>318</v>
      </c>
      <c r="G1643" s="7" t="s">
        <v>223</v>
      </c>
      <c r="H1643" s="7" t="s">
        <v>2507</v>
      </c>
      <c r="I1643" s="8">
        <v>2018.0</v>
      </c>
      <c r="J1643" s="8">
        <v>2.3</v>
      </c>
      <c r="K1643" s="8" t="s">
        <v>583</v>
      </c>
      <c r="L1643" s="8" t="s">
        <v>322</v>
      </c>
      <c r="M1643" s="8" t="s">
        <v>323</v>
      </c>
      <c r="N1643" s="8">
        <v>27.9</v>
      </c>
      <c r="O1643" s="14">
        <f t="shared" si="1"/>
        <v>44256</v>
      </c>
      <c r="P1643" s="15">
        <f>IFERROR(VLOOKUP(K1643,Formula!$A$11:$B$20,2,FALSE),Formula!$C$26)</f>
        <v>0.95</v>
      </c>
      <c r="Q1643" s="15">
        <f>IF(AND(ISNUMBER(J1643),J1643&gt;0),1/J1643,IF(AND(ISNUMBER(I1643),I1643&gt;0),SQRT(MIN(I1643,Formula!$C$27))/Formula!$C$24,1/Formula!$C$25))</f>
        <v>0.4347826087</v>
      </c>
      <c r="R1643" s="15">
        <f t="shared" si="2"/>
        <v>0.4130434783</v>
      </c>
      <c r="S1643" s="15">
        <f>IF(H1643&lt;&gt;"",EXP(-Formula!$C$28*(EOMONTH(H1643,0)-H1643)),EXP(-Formula!$C$28*(EOMONTH(D1643,0)-D1643)))</f>
        <v>0.3328710837</v>
      </c>
      <c r="T1643" s="15">
        <f t="shared" si="3"/>
        <v>0.2041241452</v>
      </c>
      <c r="U1643" s="15">
        <f t="shared" si="4"/>
        <v>0.02806507572</v>
      </c>
      <c r="V1643" s="16">
        <f>IF(AND(L1643="Among all respondents",NOT(OR(K1643="Online poll in Telegram channel",K1643="Website online poll",K1643="CAWI (Computer Assisted Web Interviewing)"))),1/(1-MIN(MAX(Formula!$C$33+(YEAR(D1643)-Formula!$C$34)/(Formula!$C$35-Formula!$C$34)*(Formula!$C$32-Formula!$C$33),Formula!$C$33),Formula!$C$32)),1)</f>
        <v>1</v>
      </c>
      <c r="W1643" s="17">
        <f t="shared" si="5"/>
        <v>27.9</v>
      </c>
    </row>
    <row r="1644" ht="15.75" customHeight="1">
      <c r="A1644" s="8" t="s">
        <v>2508</v>
      </c>
      <c r="B1644" s="7" t="s">
        <v>2505</v>
      </c>
      <c r="C1644" s="13" t="s">
        <v>2506</v>
      </c>
      <c r="D1644" s="7" t="s">
        <v>221</v>
      </c>
      <c r="E1644" s="8" t="s">
        <v>106</v>
      </c>
      <c r="F1644" s="8" t="s">
        <v>318</v>
      </c>
      <c r="G1644" s="7" t="s">
        <v>223</v>
      </c>
      <c r="H1644" s="7" t="s">
        <v>2507</v>
      </c>
      <c r="I1644" s="8">
        <v>2018.0</v>
      </c>
      <c r="J1644" s="8">
        <v>2.3</v>
      </c>
      <c r="K1644" s="8" t="s">
        <v>583</v>
      </c>
      <c r="L1644" s="8" t="s">
        <v>322</v>
      </c>
      <c r="M1644" s="8" t="s">
        <v>329</v>
      </c>
      <c r="N1644" s="8">
        <v>20.3</v>
      </c>
      <c r="O1644" s="14">
        <f t="shared" si="1"/>
        <v>44256</v>
      </c>
      <c r="P1644" s="15">
        <f>IFERROR(VLOOKUP(K1644,Formula!$A$11:$B$20,2,FALSE),Formula!$C$26)</f>
        <v>0.95</v>
      </c>
      <c r="Q1644" s="15">
        <f>IF(AND(ISNUMBER(J1644),J1644&gt;0),1/J1644,IF(AND(ISNUMBER(I1644),I1644&gt;0),SQRT(MIN(I1644,Formula!$C$27))/Formula!$C$24,1/Formula!$C$25))</f>
        <v>0.4347826087</v>
      </c>
      <c r="R1644" s="15">
        <f t="shared" si="2"/>
        <v>0.4130434783</v>
      </c>
      <c r="S1644" s="15">
        <f>IF(H1644&lt;&gt;"",EXP(-Formula!$C$28*(EOMONTH(H1644,0)-H1644)),EXP(-Formula!$C$28*(EOMONTH(D1644,0)-D1644)))</f>
        <v>0.3328710837</v>
      </c>
      <c r="T1644" s="15">
        <f t="shared" si="3"/>
        <v>0.2041241452</v>
      </c>
      <c r="U1644" s="15">
        <f t="shared" si="4"/>
        <v>0.02806507572</v>
      </c>
      <c r="V1644" s="16">
        <f>IF(AND(L1644="Among all respondents",NOT(OR(K1644="Online poll in Telegram channel",K1644="Website online poll",K1644="CAWI (Computer Assisted Web Interviewing)"))),1/(1-MIN(MAX(Formula!$C$33+(YEAR(D1644)-Formula!$C$34)/(Formula!$C$35-Formula!$C$34)*(Formula!$C$32-Formula!$C$33),Formula!$C$33),Formula!$C$32)),1)</f>
        <v>1</v>
      </c>
      <c r="W1644" s="17">
        <f t="shared" si="5"/>
        <v>20.3</v>
      </c>
    </row>
    <row r="1645" ht="15.75" customHeight="1">
      <c r="A1645" s="8" t="s">
        <v>2509</v>
      </c>
      <c r="B1645" s="7" t="s">
        <v>2505</v>
      </c>
      <c r="C1645" s="13" t="s">
        <v>2506</v>
      </c>
      <c r="D1645" s="7" t="s">
        <v>221</v>
      </c>
      <c r="E1645" s="8" t="s">
        <v>106</v>
      </c>
      <c r="F1645" s="8" t="s">
        <v>318</v>
      </c>
      <c r="G1645" s="7" t="s">
        <v>223</v>
      </c>
      <c r="H1645" s="7" t="s">
        <v>2507</v>
      </c>
      <c r="I1645" s="8">
        <v>2018.0</v>
      </c>
      <c r="J1645" s="8">
        <v>2.3</v>
      </c>
      <c r="K1645" s="8" t="s">
        <v>583</v>
      </c>
      <c r="L1645" s="8" t="s">
        <v>322</v>
      </c>
      <c r="M1645" s="8" t="s">
        <v>337</v>
      </c>
      <c r="N1645" s="8">
        <v>10.5</v>
      </c>
      <c r="O1645" s="14">
        <f t="shared" si="1"/>
        <v>44256</v>
      </c>
      <c r="P1645" s="15">
        <f>IFERROR(VLOOKUP(K1645,Formula!$A$11:$B$20,2,FALSE),Formula!$C$26)</f>
        <v>0.95</v>
      </c>
      <c r="Q1645" s="15">
        <f>IF(AND(ISNUMBER(J1645),J1645&gt;0),1/J1645,IF(AND(ISNUMBER(I1645),I1645&gt;0),SQRT(MIN(I1645,Formula!$C$27))/Formula!$C$24,1/Formula!$C$25))</f>
        <v>0.4347826087</v>
      </c>
      <c r="R1645" s="15">
        <f t="shared" si="2"/>
        <v>0.4130434783</v>
      </c>
      <c r="S1645" s="15">
        <f>IF(H1645&lt;&gt;"",EXP(-Formula!$C$28*(EOMONTH(H1645,0)-H1645)),EXP(-Formula!$C$28*(EOMONTH(D1645,0)-D1645)))</f>
        <v>0.3328710837</v>
      </c>
      <c r="T1645" s="15">
        <f t="shared" si="3"/>
        <v>0.2041241452</v>
      </c>
      <c r="U1645" s="15">
        <f t="shared" si="4"/>
        <v>0.02806507572</v>
      </c>
      <c r="V1645" s="16">
        <f>IF(AND(L1645="Among all respondents",NOT(OR(K1645="Online poll in Telegram channel",K1645="Website online poll",K1645="CAWI (Computer Assisted Web Interviewing)"))),1/(1-MIN(MAX(Formula!$C$33+(YEAR(D1645)-Formula!$C$34)/(Formula!$C$35-Formula!$C$34)*(Formula!$C$32-Formula!$C$33),Formula!$C$33),Formula!$C$32)),1)</f>
        <v>1</v>
      </c>
      <c r="W1645" s="17">
        <f t="shared" si="5"/>
        <v>10.5</v>
      </c>
    </row>
    <row r="1646" ht="15.75" customHeight="1">
      <c r="A1646" s="8" t="s">
        <v>2510</v>
      </c>
      <c r="B1646" s="7" t="s">
        <v>2505</v>
      </c>
      <c r="C1646" s="13" t="s">
        <v>2506</v>
      </c>
      <c r="D1646" s="7" t="s">
        <v>221</v>
      </c>
      <c r="E1646" s="8" t="s">
        <v>106</v>
      </c>
      <c r="F1646" s="8" t="s">
        <v>318</v>
      </c>
      <c r="G1646" s="7" t="s">
        <v>223</v>
      </c>
      <c r="H1646" s="7" t="s">
        <v>2507</v>
      </c>
      <c r="I1646" s="8">
        <v>2018.0</v>
      </c>
      <c r="J1646" s="8">
        <v>2.3</v>
      </c>
      <c r="K1646" s="8" t="s">
        <v>583</v>
      </c>
      <c r="L1646" s="8" t="s">
        <v>322</v>
      </c>
      <c r="M1646" s="8" t="s">
        <v>1334</v>
      </c>
      <c r="N1646" s="8">
        <v>8.3</v>
      </c>
      <c r="O1646" s="14">
        <f t="shared" si="1"/>
        <v>44256</v>
      </c>
      <c r="P1646" s="15">
        <f>IFERROR(VLOOKUP(K1646,Formula!$A$11:$B$20,2,FALSE),Formula!$C$26)</f>
        <v>0.95</v>
      </c>
      <c r="Q1646" s="15">
        <f>IF(AND(ISNUMBER(J1646),J1646&gt;0),1/J1646,IF(AND(ISNUMBER(I1646),I1646&gt;0),SQRT(MIN(I1646,Formula!$C$27))/Formula!$C$24,1/Formula!$C$25))</f>
        <v>0.4347826087</v>
      </c>
      <c r="R1646" s="15">
        <f t="shared" si="2"/>
        <v>0.4130434783</v>
      </c>
      <c r="S1646" s="15">
        <f>IF(H1646&lt;&gt;"",EXP(-Formula!$C$28*(EOMONTH(H1646,0)-H1646)),EXP(-Formula!$C$28*(EOMONTH(D1646,0)-D1646)))</f>
        <v>0.3328710837</v>
      </c>
      <c r="T1646" s="15">
        <f t="shared" si="3"/>
        <v>0.2041241452</v>
      </c>
      <c r="U1646" s="15">
        <f t="shared" si="4"/>
        <v>0.02806507572</v>
      </c>
      <c r="V1646" s="16">
        <f>IF(AND(L1646="Among all respondents",NOT(OR(K1646="Online poll in Telegram channel",K1646="Website online poll",K1646="CAWI (Computer Assisted Web Interviewing)"))),1/(1-MIN(MAX(Formula!$C$33+(YEAR(D1646)-Formula!$C$34)/(Formula!$C$35-Formula!$C$34)*(Formula!$C$32-Formula!$C$33),Formula!$C$33),Formula!$C$32)),1)</f>
        <v>1</v>
      </c>
      <c r="W1646" s="17">
        <f t="shared" si="5"/>
        <v>8.3</v>
      </c>
    </row>
    <row r="1647" ht="15.75" customHeight="1">
      <c r="A1647" s="8" t="s">
        <v>2511</v>
      </c>
      <c r="B1647" s="7" t="s">
        <v>2505</v>
      </c>
      <c r="C1647" s="13" t="s">
        <v>2506</v>
      </c>
      <c r="D1647" s="7" t="s">
        <v>221</v>
      </c>
      <c r="E1647" s="8" t="s">
        <v>106</v>
      </c>
      <c r="F1647" s="8" t="s">
        <v>318</v>
      </c>
      <c r="G1647" s="7" t="s">
        <v>223</v>
      </c>
      <c r="H1647" s="7" t="s">
        <v>2507</v>
      </c>
      <c r="I1647" s="8">
        <v>2018.0</v>
      </c>
      <c r="J1647" s="8">
        <v>2.3</v>
      </c>
      <c r="K1647" s="8" t="s">
        <v>583</v>
      </c>
      <c r="L1647" s="8" t="s">
        <v>322</v>
      </c>
      <c r="M1647" s="8" t="s">
        <v>828</v>
      </c>
      <c r="N1647" s="8">
        <v>6.7</v>
      </c>
      <c r="O1647" s="14">
        <f t="shared" si="1"/>
        <v>44256</v>
      </c>
      <c r="P1647" s="15">
        <f>IFERROR(VLOOKUP(K1647,Formula!$A$11:$B$20,2,FALSE),Formula!$C$26)</f>
        <v>0.95</v>
      </c>
      <c r="Q1647" s="15">
        <f>IF(AND(ISNUMBER(J1647),J1647&gt;0),1/J1647,IF(AND(ISNUMBER(I1647),I1647&gt;0),SQRT(MIN(I1647,Formula!$C$27))/Formula!$C$24,1/Formula!$C$25))</f>
        <v>0.4347826087</v>
      </c>
      <c r="R1647" s="15">
        <f t="shared" si="2"/>
        <v>0.4130434783</v>
      </c>
      <c r="S1647" s="15">
        <f>IF(H1647&lt;&gt;"",EXP(-Formula!$C$28*(EOMONTH(H1647,0)-H1647)),EXP(-Formula!$C$28*(EOMONTH(D1647,0)-D1647)))</f>
        <v>0.3328710837</v>
      </c>
      <c r="T1647" s="15">
        <f t="shared" si="3"/>
        <v>0.2041241452</v>
      </c>
      <c r="U1647" s="15">
        <f t="shared" si="4"/>
        <v>0.02806507572</v>
      </c>
      <c r="V1647" s="16">
        <f>IF(AND(L1647="Among all respondents",NOT(OR(K1647="Online poll in Telegram channel",K1647="Website online poll",K1647="CAWI (Computer Assisted Web Interviewing)"))),1/(1-MIN(MAX(Formula!$C$33+(YEAR(D1647)-Formula!$C$34)/(Formula!$C$35-Formula!$C$34)*(Formula!$C$32-Formula!$C$33),Formula!$C$33),Formula!$C$32)),1)</f>
        <v>1</v>
      </c>
      <c r="W1647" s="17">
        <f t="shared" si="5"/>
        <v>6.7</v>
      </c>
    </row>
    <row r="1648" ht="15.75" customHeight="1">
      <c r="A1648" s="8" t="s">
        <v>2512</v>
      </c>
      <c r="B1648" s="7" t="s">
        <v>2505</v>
      </c>
      <c r="C1648" s="13" t="s">
        <v>2506</v>
      </c>
      <c r="D1648" s="7" t="s">
        <v>221</v>
      </c>
      <c r="E1648" s="8" t="s">
        <v>106</v>
      </c>
      <c r="F1648" s="8" t="s">
        <v>318</v>
      </c>
      <c r="G1648" s="7" t="s">
        <v>223</v>
      </c>
      <c r="H1648" s="7" t="s">
        <v>2507</v>
      </c>
      <c r="I1648" s="8">
        <v>2018.0</v>
      </c>
      <c r="J1648" s="8">
        <v>2.3</v>
      </c>
      <c r="K1648" s="8" t="s">
        <v>583</v>
      </c>
      <c r="L1648" s="8" t="s">
        <v>322</v>
      </c>
      <c r="M1648" s="8" t="s">
        <v>386</v>
      </c>
      <c r="N1648" s="8">
        <v>4.4</v>
      </c>
      <c r="O1648" s="14">
        <f t="shared" si="1"/>
        <v>44256</v>
      </c>
      <c r="P1648" s="15">
        <f>IFERROR(VLOOKUP(K1648,Formula!$A$11:$B$20,2,FALSE),Formula!$C$26)</f>
        <v>0.95</v>
      </c>
      <c r="Q1648" s="15">
        <f>IF(AND(ISNUMBER(J1648),J1648&gt;0),1/J1648,IF(AND(ISNUMBER(I1648),I1648&gt;0),SQRT(MIN(I1648,Formula!$C$27))/Formula!$C$24,1/Formula!$C$25))</f>
        <v>0.4347826087</v>
      </c>
      <c r="R1648" s="15">
        <f t="shared" si="2"/>
        <v>0.4130434783</v>
      </c>
      <c r="S1648" s="15">
        <f>IF(H1648&lt;&gt;"",EXP(-Formula!$C$28*(EOMONTH(H1648,0)-H1648)),EXP(-Formula!$C$28*(EOMONTH(D1648,0)-D1648)))</f>
        <v>0.3328710837</v>
      </c>
      <c r="T1648" s="15">
        <f t="shared" si="3"/>
        <v>0.2041241452</v>
      </c>
      <c r="U1648" s="15">
        <f t="shared" si="4"/>
        <v>0.02806507572</v>
      </c>
      <c r="V1648" s="16">
        <f>IF(AND(L1648="Among all respondents",NOT(OR(K1648="Online poll in Telegram channel",K1648="Website online poll",K1648="CAWI (Computer Assisted Web Interviewing)"))),1/(1-MIN(MAX(Formula!$C$33+(YEAR(D1648)-Formula!$C$34)/(Formula!$C$35-Formula!$C$34)*(Formula!$C$32-Formula!$C$33),Formula!$C$33),Formula!$C$32)),1)</f>
        <v>1</v>
      </c>
      <c r="W1648" s="17">
        <f t="shared" si="5"/>
        <v>4.4</v>
      </c>
    </row>
    <row r="1649" ht="15.75" customHeight="1">
      <c r="A1649" s="8" t="s">
        <v>2513</v>
      </c>
      <c r="B1649" s="7" t="s">
        <v>2505</v>
      </c>
      <c r="C1649" s="13" t="s">
        <v>2506</v>
      </c>
      <c r="D1649" s="7" t="s">
        <v>221</v>
      </c>
      <c r="E1649" s="8" t="s">
        <v>106</v>
      </c>
      <c r="F1649" s="8" t="s">
        <v>318</v>
      </c>
      <c r="G1649" s="7" t="s">
        <v>223</v>
      </c>
      <c r="H1649" s="7" t="s">
        <v>2507</v>
      </c>
      <c r="I1649" s="8">
        <v>2018.0</v>
      </c>
      <c r="J1649" s="8">
        <v>2.3</v>
      </c>
      <c r="K1649" s="8" t="s">
        <v>583</v>
      </c>
      <c r="L1649" s="8" t="s">
        <v>322</v>
      </c>
      <c r="M1649" s="8" t="s">
        <v>333</v>
      </c>
      <c r="N1649" s="8">
        <v>4.0</v>
      </c>
      <c r="O1649" s="14">
        <f t="shared" si="1"/>
        <v>44256</v>
      </c>
      <c r="P1649" s="15">
        <f>IFERROR(VLOOKUP(K1649,Formula!$A$11:$B$20,2,FALSE),Formula!$C$26)</f>
        <v>0.95</v>
      </c>
      <c r="Q1649" s="15">
        <f>IF(AND(ISNUMBER(J1649),J1649&gt;0),1/J1649,IF(AND(ISNUMBER(I1649),I1649&gt;0),SQRT(MIN(I1649,Formula!$C$27))/Formula!$C$24,1/Formula!$C$25))</f>
        <v>0.4347826087</v>
      </c>
      <c r="R1649" s="15">
        <f t="shared" si="2"/>
        <v>0.4130434783</v>
      </c>
      <c r="S1649" s="15">
        <f>IF(H1649&lt;&gt;"",EXP(-Formula!$C$28*(EOMONTH(H1649,0)-H1649)),EXP(-Formula!$C$28*(EOMONTH(D1649,0)-D1649)))</f>
        <v>0.3328710837</v>
      </c>
      <c r="T1649" s="15">
        <f t="shared" si="3"/>
        <v>0.2041241452</v>
      </c>
      <c r="U1649" s="15">
        <f t="shared" si="4"/>
        <v>0.02806507572</v>
      </c>
      <c r="V1649" s="16">
        <f>IF(AND(L1649="Among all respondents",NOT(OR(K1649="Online poll in Telegram channel",K1649="Website online poll",K1649="CAWI (Computer Assisted Web Interviewing)"))),1/(1-MIN(MAX(Formula!$C$33+(YEAR(D1649)-Formula!$C$34)/(Formula!$C$35-Formula!$C$34)*(Formula!$C$32-Formula!$C$33),Formula!$C$33),Formula!$C$32)),1)</f>
        <v>1</v>
      </c>
      <c r="W1649" s="17">
        <f t="shared" si="5"/>
        <v>4</v>
      </c>
    </row>
    <row r="1650" ht="15.75" customHeight="1">
      <c r="A1650" s="8" t="s">
        <v>2514</v>
      </c>
      <c r="B1650" s="7" t="s">
        <v>2505</v>
      </c>
      <c r="C1650" s="13" t="s">
        <v>2506</v>
      </c>
      <c r="D1650" s="7" t="s">
        <v>221</v>
      </c>
      <c r="E1650" s="8" t="s">
        <v>106</v>
      </c>
      <c r="F1650" s="8" t="s">
        <v>318</v>
      </c>
      <c r="G1650" s="7" t="s">
        <v>223</v>
      </c>
      <c r="H1650" s="7" t="s">
        <v>2507</v>
      </c>
      <c r="I1650" s="8">
        <v>2018.0</v>
      </c>
      <c r="J1650" s="8">
        <v>2.3</v>
      </c>
      <c r="K1650" s="8" t="s">
        <v>583</v>
      </c>
      <c r="L1650" s="8" t="s">
        <v>322</v>
      </c>
      <c r="M1650" s="8" t="s">
        <v>345</v>
      </c>
      <c r="N1650" s="8">
        <v>2.6</v>
      </c>
      <c r="O1650" s="14">
        <f t="shared" si="1"/>
        <v>44256</v>
      </c>
      <c r="P1650" s="15">
        <f>IFERROR(VLOOKUP(K1650,Formula!$A$11:$B$20,2,FALSE),Formula!$C$26)</f>
        <v>0.95</v>
      </c>
      <c r="Q1650" s="15">
        <f>IF(AND(ISNUMBER(J1650),J1650&gt;0),1/J1650,IF(AND(ISNUMBER(I1650),I1650&gt;0),SQRT(MIN(I1650,Formula!$C$27))/Formula!$C$24,1/Formula!$C$25))</f>
        <v>0.4347826087</v>
      </c>
      <c r="R1650" s="15">
        <f t="shared" si="2"/>
        <v>0.4130434783</v>
      </c>
      <c r="S1650" s="15">
        <f>IF(H1650&lt;&gt;"",EXP(-Formula!$C$28*(EOMONTH(H1650,0)-H1650)),EXP(-Formula!$C$28*(EOMONTH(D1650,0)-D1650)))</f>
        <v>0.3328710837</v>
      </c>
      <c r="T1650" s="15">
        <f t="shared" si="3"/>
        <v>0.2041241452</v>
      </c>
      <c r="U1650" s="15">
        <f t="shared" si="4"/>
        <v>0.02806507572</v>
      </c>
      <c r="V1650" s="16">
        <f>IF(AND(L1650="Among all respondents",NOT(OR(K1650="Online poll in Telegram channel",K1650="Website online poll",K1650="CAWI (Computer Assisted Web Interviewing)"))),1/(1-MIN(MAX(Formula!$C$33+(YEAR(D1650)-Formula!$C$34)/(Formula!$C$35-Formula!$C$34)*(Formula!$C$32-Formula!$C$33),Formula!$C$33),Formula!$C$32)),1)</f>
        <v>1</v>
      </c>
      <c r="W1650" s="17">
        <f t="shared" si="5"/>
        <v>2.6</v>
      </c>
    </row>
    <row r="1651" ht="15.75" customHeight="1">
      <c r="A1651" s="8" t="s">
        <v>2515</v>
      </c>
      <c r="B1651" s="7" t="s">
        <v>2505</v>
      </c>
      <c r="C1651" s="13" t="s">
        <v>2506</v>
      </c>
      <c r="D1651" s="7" t="s">
        <v>221</v>
      </c>
      <c r="E1651" s="8" t="s">
        <v>106</v>
      </c>
      <c r="F1651" s="8" t="s">
        <v>318</v>
      </c>
      <c r="G1651" s="7" t="s">
        <v>223</v>
      </c>
      <c r="H1651" s="7" t="s">
        <v>2507</v>
      </c>
      <c r="I1651" s="8">
        <v>2018.0</v>
      </c>
      <c r="J1651" s="8">
        <v>2.3</v>
      </c>
      <c r="K1651" s="8" t="s">
        <v>583</v>
      </c>
      <c r="L1651" s="8" t="s">
        <v>322</v>
      </c>
      <c r="M1651" s="8" t="s">
        <v>1398</v>
      </c>
      <c r="N1651" s="8">
        <v>2.5</v>
      </c>
      <c r="O1651" s="14">
        <f t="shared" si="1"/>
        <v>44256</v>
      </c>
      <c r="P1651" s="15">
        <f>IFERROR(VLOOKUP(K1651,Formula!$A$11:$B$20,2,FALSE),Formula!$C$26)</f>
        <v>0.95</v>
      </c>
      <c r="Q1651" s="15">
        <f>IF(AND(ISNUMBER(J1651),J1651&gt;0),1/J1651,IF(AND(ISNUMBER(I1651),I1651&gt;0),SQRT(MIN(I1651,Formula!$C$27))/Formula!$C$24,1/Formula!$C$25))</f>
        <v>0.4347826087</v>
      </c>
      <c r="R1651" s="15">
        <f t="shared" si="2"/>
        <v>0.4130434783</v>
      </c>
      <c r="S1651" s="15">
        <f>IF(H1651&lt;&gt;"",EXP(-Formula!$C$28*(EOMONTH(H1651,0)-H1651)),EXP(-Formula!$C$28*(EOMONTH(D1651,0)-D1651)))</f>
        <v>0.3328710837</v>
      </c>
      <c r="T1651" s="15">
        <f t="shared" si="3"/>
        <v>0.2041241452</v>
      </c>
      <c r="U1651" s="15">
        <f t="shared" si="4"/>
        <v>0.02806507572</v>
      </c>
      <c r="V1651" s="16">
        <f>IF(AND(L1651="Among all respondents",NOT(OR(K1651="Online poll in Telegram channel",K1651="Website online poll",K1651="CAWI (Computer Assisted Web Interviewing)"))),1/(1-MIN(MAX(Formula!$C$33+(YEAR(D1651)-Formula!$C$34)/(Formula!$C$35-Formula!$C$34)*(Formula!$C$32-Formula!$C$33),Formula!$C$33),Formula!$C$32)),1)</f>
        <v>1</v>
      </c>
      <c r="W1651" s="17">
        <f t="shared" si="5"/>
        <v>2.5</v>
      </c>
    </row>
    <row r="1652" ht="15.75" customHeight="1">
      <c r="A1652" s="8" t="s">
        <v>2516</v>
      </c>
      <c r="B1652" s="7" t="s">
        <v>2505</v>
      </c>
      <c r="C1652" s="13" t="s">
        <v>2506</v>
      </c>
      <c r="D1652" s="7" t="s">
        <v>221</v>
      </c>
      <c r="E1652" s="8" t="s">
        <v>106</v>
      </c>
      <c r="F1652" s="8" t="s">
        <v>318</v>
      </c>
      <c r="G1652" s="7" t="s">
        <v>223</v>
      </c>
      <c r="H1652" s="7" t="s">
        <v>2507</v>
      </c>
      <c r="I1652" s="8">
        <v>2018.0</v>
      </c>
      <c r="J1652" s="8">
        <v>2.3</v>
      </c>
      <c r="K1652" s="8" t="s">
        <v>583</v>
      </c>
      <c r="L1652" s="8" t="s">
        <v>322</v>
      </c>
      <c r="M1652" s="8" t="s">
        <v>388</v>
      </c>
      <c r="N1652" s="8">
        <v>2.4</v>
      </c>
      <c r="O1652" s="14">
        <f t="shared" si="1"/>
        <v>44256</v>
      </c>
      <c r="P1652" s="15">
        <f>IFERROR(VLOOKUP(K1652,Formula!$A$11:$B$20,2,FALSE),Formula!$C$26)</f>
        <v>0.95</v>
      </c>
      <c r="Q1652" s="15">
        <f>IF(AND(ISNUMBER(J1652),J1652&gt;0),1/J1652,IF(AND(ISNUMBER(I1652),I1652&gt;0),SQRT(MIN(I1652,Formula!$C$27))/Formula!$C$24,1/Formula!$C$25))</f>
        <v>0.4347826087</v>
      </c>
      <c r="R1652" s="15">
        <f t="shared" si="2"/>
        <v>0.4130434783</v>
      </c>
      <c r="S1652" s="15">
        <f>IF(H1652&lt;&gt;"",EXP(-Formula!$C$28*(EOMONTH(H1652,0)-H1652)),EXP(-Formula!$C$28*(EOMONTH(D1652,0)-D1652)))</f>
        <v>0.3328710837</v>
      </c>
      <c r="T1652" s="15">
        <f t="shared" si="3"/>
        <v>0.2041241452</v>
      </c>
      <c r="U1652" s="15">
        <f t="shared" si="4"/>
        <v>0.02806507572</v>
      </c>
      <c r="V1652" s="16">
        <f>IF(AND(L1652="Among all respondents",NOT(OR(K1652="Online poll in Telegram channel",K1652="Website online poll",K1652="CAWI (Computer Assisted Web Interviewing)"))),1/(1-MIN(MAX(Formula!$C$33+(YEAR(D1652)-Formula!$C$34)/(Formula!$C$35-Formula!$C$34)*(Formula!$C$32-Formula!$C$33),Formula!$C$33),Formula!$C$32)),1)</f>
        <v>1</v>
      </c>
      <c r="W1652" s="17">
        <f t="shared" si="5"/>
        <v>2.4</v>
      </c>
    </row>
    <row r="1653" ht="15.75" customHeight="1">
      <c r="A1653" s="8" t="s">
        <v>2517</v>
      </c>
      <c r="B1653" s="7" t="s">
        <v>2505</v>
      </c>
      <c r="C1653" s="13" t="s">
        <v>2506</v>
      </c>
      <c r="D1653" s="7" t="s">
        <v>221</v>
      </c>
      <c r="E1653" s="8" t="s">
        <v>106</v>
      </c>
      <c r="F1653" s="8" t="s">
        <v>318</v>
      </c>
      <c r="G1653" s="7" t="s">
        <v>223</v>
      </c>
      <c r="H1653" s="7" t="s">
        <v>2507</v>
      </c>
      <c r="I1653" s="8">
        <v>2018.0</v>
      </c>
      <c r="J1653" s="8">
        <v>2.3</v>
      </c>
      <c r="K1653" s="8" t="s">
        <v>583</v>
      </c>
      <c r="L1653" s="8" t="s">
        <v>322</v>
      </c>
      <c r="M1653" s="8" t="s">
        <v>838</v>
      </c>
      <c r="N1653" s="8">
        <v>2.0</v>
      </c>
      <c r="O1653" s="14">
        <f t="shared" si="1"/>
        <v>44256</v>
      </c>
      <c r="P1653" s="15">
        <f>IFERROR(VLOOKUP(K1653,Formula!$A$11:$B$20,2,FALSE),Formula!$C$26)</f>
        <v>0.95</v>
      </c>
      <c r="Q1653" s="15">
        <f>IF(AND(ISNUMBER(J1653),J1653&gt;0),1/J1653,IF(AND(ISNUMBER(I1653),I1653&gt;0),SQRT(MIN(I1653,Formula!$C$27))/Formula!$C$24,1/Formula!$C$25))</f>
        <v>0.4347826087</v>
      </c>
      <c r="R1653" s="15">
        <f t="shared" si="2"/>
        <v>0.4130434783</v>
      </c>
      <c r="S1653" s="15">
        <f>IF(H1653&lt;&gt;"",EXP(-Formula!$C$28*(EOMONTH(H1653,0)-H1653)),EXP(-Formula!$C$28*(EOMONTH(D1653,0)-D1653)))</f>
        <v>0.3328710837</v>
      </c>
      <c r="T1653" s="15">
        <f t="shared" si="3"/>
        <v>0.2041241452</v>
      </c>
      <c r="U1653" s="15">
        <f t="shared" si="4"/>
        <v>0.02806507572</v>
      </c>
      <c r="V1653" s="16">
        <f>IF(AND(L1653="Among all respondents",NOT(OR(K1653="Online poll in Telegram channel",K1653="Website online poll",K1653="CAWI (Computer Assisted Web Interviewing)"))),1/(1-MIN(MAX(Formula!$C$33+(YEAR(D1653)-Formula!$C$34)/(Formula!$C$35-Formula!$C$34)*(Formula!$C$32-Formula!$C$33),Formula!$C$33),Formula!$C$32)),1)</f>
        <v>1</v>
      </c>
      <c r="W1653" s="17">
        <f t="shared" si="5"/>
        <v>2</v>
      </c>
    </row>
    <row r="1654" ht="15.75" customHeight="1">
      <c r="A1654" s="8" t="s">
        <v>2518</v>
      </c>
      <c r="B1654" s="7" t="s">
        <v>2505</v>
      </c>
      <c r="C1654" s="13" t="s">
        <v>2506</v>
      </c>
      <c r="D1654" s="7" t="s">
        <v>221</v>
      </c>
      <c r="E1654" s="8" t="s">
        <v>106</v>
      </c>
      <c r="F1654" s="8" t="s">
        <v>318</v>
      </c>
      <c r="G1654" s="7" t="s">
        <v>223</v>
      </c>
      <c r="H1654" s="7" t="s">
        <v>2507</v>
      </c>
      <c r="I1654" s="8">
        <v>2018.0</v>
      </c>
      <c r="J1654" s="8">
        <v>2.3</v>
      </c>
      <c r="K1654" s="8" t="s">
        <v>583</v>
      </c>
      <c r="L1654" s="8" t="s">
        <v>322</v>
      </c>
      <c r="M1654" s="8" t="s">
        <v>343</v>
      </c>
      <c r="N1654" s="8">
        <v>1.0</v>
      </c>
      <c r="O1654" s="14">
        <f t="shared" si="1"/>
        <v>44256</v>
      </c>
      <c r="P1654" s="15">
        <f>IFERROR(VLOOKUP(K1654,Formula!$A$11:$B$20,2,FALSE),Formula!$C$26)</f>
        <v>0.95</v>
      </c>
      <c r="Q1654" s="15">
        <f>IF(AND(ISNUMBER(J1654),J1654&gt;0),1/J1654,IF(AND(ISNUMBER(I1654),I1654&gt;0),SQRT(MIN(I1654,Formula!$C$27))/Formula!$C$24,1/Formula!$C$25))</f>
        <v>0.4347826087</v>
      </c>
      <c r="R1654" s="15">
        <f t="shared" si="2"/>
        <v>0.4130434783</v>
      </c>
      <c r="S1654" s="15">
        <f>IF(H1654&lt;&gt;"",EXP(-Formula!$C$28*(EOMONTH(H1654,0)-H1654)),EXP(-Formula!$C$28*(EOMONTH(D1654,0)-D1654)))</f>
        <v>0.3328710837</v>
      </c>
      <c r="T1654" s="15">
        <f t="shared" si="3"/>
        <v>0.2041241452</v>
      </c>
      <c r="U1654" s="15">
        <f t="shared" si="4"/>
        <v>0.02806507572</v>
      </c>
      <c r="V1654" s="16">
        <f>IF(AND(L1654="Among all respondents",NOT(OR(K1654="Online poll in Telegram channel",K1654="Website online poll",K1654="CAWI (Computer Assisted Web Interviewing)"))),1/(1-MIN(MAX(Formula!$C$33+(YEAR(D1654)-Formula!$C$34)/(Formula!$C$35-Formula!$C$34)*(Formula!$C$32-Formula!$C$33),Formula!$C$33),Formula!$C$32)),1)</f>
        <v>1</v>
      </c>
      <c r="W1654" s="17">
        <f t="shared" si="5"/>
        <v>1</v>
      </c>
    </row>
    <row r="1655" ht="15.75" customHeight="1">
      <c r="A1655" s="8" t="s">
        <v>2504</v>
      </c>
      <c r="B1655" s="7" t="s">
        <v>2505</v>
      </c>
      <c r="C1655" s="13" t="s">
        <v>2506</v>
      </c>
      <c r="D1655" s="7" t="s">
        <v>221</v>
      </c>
      <c r="E1655" s="8" t="s">
        <v>106</v>
      </c>
      <c r="F1655" s="8" t="s">
        <v>318</v>
      </c>
      <c r="G1655" s="7" t="s">
        <v>223</v>
      </c>
      <c r="H1655" s="7" t="s">
        <v>2507</v>
      </c>
      <c r="I1655" s="8">
        <v>2018.0</v>
      </c>
      <c r="J1655" s="8">
        <v>2.3</v>
      </c>
      <c r="K1655" s="8" t="s">
        <v>583</v>
      </c>
      <c r="L1655" s="8" t="s">
        <v>322</v>
      </c>
      <c r="M1655" s="8" t="s">
        <v>323</v>
      </c>
      <c r="N1655" s="8">
        <v>27.4</v>
      </c>
      <c r="O1655" s="14">
        <f t="shared" si="1"/>
        <v>44256</v>
      </c>
      <c r="P1655" s="15">
        <f>IFERROR(VLOOKUP(K1655,Formula!$A$11:$B$20,2,FALSE),Formula!$C$26)</f>
        <v>0.95</v>
      </c>
      <c r="Q1655" s="15">
        <f>IF(AND(ISNUMBER(J1655),J1655&gt;0),1/J1655,IF(AND(ISNUMBER(I1655),I1655&gt;0),SQRT(MIN(I1655,Formula!$C$27))/Formula!$C$24,1/Formula!$C$25))</f>
        <v>0.4347826087</v>
      </c>
      <c r="R1655" s="15">
        <f t="shared" si="2"/>
        <v>0.4130434783</v>
      </c>
      <c r="S1655" s="15">
        <f>IF(H1655&lt;&gt;"",EXP(-Formula!$C$28*(EOMONTH(H1655,0)-H1655)),EXP(-Formula!$C$28*(EOMONTH(D1655,0)-D1655)))</f>
        <v>0.3328710837</v>
      </c>
      <c r="T1655" s="15">
        <f t="shared" si="3"/>
        <v>0.2041241452</v>
      </c>
      <c r="U1655" s="15">
        <f t="shared" si="4"/>
        <v>0.02806507572</v>
      </c>
      <c r="V1655" s="16">
        <f>IF(AND(L1655="Among all respondents",NOT(OR(K1655="Online poll in Telegram channel",K1655="Website online poll",K1655="CAWI (Computer Assisted Web Interviewing)"))),1/(1-MIN(MAX(Formula!$C$33+(YEAR(D1655)-Formula!$C$34)/(Formula!$C$35-Formula!$C$34)*(Formula!$C$32-Formula!$C$33),Formula!$C$33),Formula!$C$32)),1)</f>
        <v>1</v>
      </c>
      <c r="W1655" s="17">
        <f t="shared" si="5"/>
        <v>27.4</v>
      </c>
    </row>
    <row r="1656" ht="15.75" customHeight="1">
      <c r="A1656" s="8" t="s">
        <v>2508</v>
      </c>
      <c r="B1656" s="7" t="s">
        <v>2505</v>
      </c>
      <c r="C1656" s="13" t="s">
        <v>2506</v>
      </c>
      <c r="D1656" s="7" t="s">
        <v>221</v>
      </c>
      <c r="E1656" s="8" t="s">
        <v>106</v>
      </c>
      <c r="F1656" s="8" t="s">
        <v>318</v>
      </c>
      <c r="G1656" s="7" t="s">
        <v>223</v>
      </c>
      <c r="H1656" s="7" t="s">
        <v>2507</v>
      </c>
      <c r="I1656" s="8">
        <v>2018.0</v>
      </c>
      <c r="J1656" s="8">
        <v>2.3</v>
      </c>
      <c r="K1656" s="8" t="s">
        <v>583</v>
      </c>
      <c r="L1656" s="8" t="s">
        <v>322</v>
      </c>
      <c r="M1656" s="8" t="s">
        <v>329</v>
      </c>
      <c r="N1656" s="8">
        <v>19.7</v>
      </c>
      <c r="O1656" s="14">
        <f t="shared" si="1"/>
        <v>44256</v>
      </c>
      <c r="P1656" s="15">
        <f>IFERROR(VLOOKUP(K1656,Formula!$A$11:$B$20,2,FALSE),Formula!$C$26)</f>
        <v>0.95</v>
      </c>
      <c r="Q1656" s="15">
        <f>IF(AND(ISNUMBER(J1656),J1656&gt;0),1/J1656,IF(AND(ISNUMBER(I1656),I1656&gt;0),SQRT(MIN(I1656,Formula!$C$27))/Formula!$C$24,1/Formula!$C$25))</f>
        <v>0.4347826087</v>
      </c>
      <c r="R1656" s="15">
        <f t="shared" si="2"/>
        <v>0.4130434783</v>
      </c>
      <c r="S1656" s="15">
        <f>IF(H1656&lt;&gt;"",EXP(-Formula!$C$28*(EOMONTH(H1656,0)-H1656)),EXP(-Formula!$C$28*(EOMONTH(D1656,0)-D1656)))</f>
        <v>0.3328710837</v>
      </c>
      <c r="T1656" s="15">
        <f t="shared" si="3"/>
        <v>0.2041241452</v>
      </c>
      <c r="U1656" s="15">
        <f t="shared" si="4"/>
        <v>0.02806507572</v>
      </c>
      <c r="V1656" s="16">
        <f>IF(AND(L1656="Among all respondents",NOT(OR(K1656="Online poll in Telegram channel",K1656="Website online poll",K1656="CAWI (Computer Assisted Web Interviewing)"))),1/(1-MIN(MAX(Formula!$C$33+(YEAR(D1656)-Formula!$C$34)/(Formula!$C$35-Formula!$C$34)*(Formula!$C$32-Formula!$C$33),Formula!$C$33),Formula!$C$32)),1)</f>
        <v>1</v>
      </c>
      <c r="W1656" s="17">
        <f t="shared" si="5"/>
        <v>19.7</v>
      </c>
    </row>
    <row r="1657" ht="15.75" customHeight="1">
      <c r="A1657" s="8" t="s">
        <v>2519</v>
      </c>
      <c r="B1657" s="7" t="s">
        <v>2505</v>
      </c>
      <c r="C1657" s="13" t="s">
        <v>2506</v>
      </c>
      <c r="D1657" s="7" t="s">
        <v>221</v>
      </c>
      <c r="E1657" s="8" t="s">
        <v>106</v>
      </c>
      <c r="F1657" s="8" t="s">
        <v>318</v>
      </c>
      <c r="G1657" s="7" t="s">
        <v>223</v>
      </c>
      <c r="H1657" s="7" t="s">
        <v>2507</v>
      </c>
      <c r="I1657" s="8">
        <v>2018.0</v>
      </c>
      <c r="J1657" s="8">
        <v>2.3</v>
      </c>
      <c r="K1657" s="8" t="s">
        <v>583</v>
      </c>
      <c r="L1657" s="8" t="s">
        <v>322</v>
      </c>
      <c r="M1657" s="8" t="s">
        <v>365</v>
      </c>
      <c r="N1657" s="8">
        <v>17.1</v>
      </c>
      <c r="O1657" s="14">
        <f t="shared" si="1"/>
        <v>44256</v>
      </c>
      <c r="P1657" s="15">
        <f>IFERROR(VLOOKUP(K1657,Formula!$A$11:$B$20,2,FALSE),Formula!$C$26)</f>
        <v>0.95</v>
      </c>
      <c r="Q1657" s="15">
        <f>IF(AND(ISNUMBER(J1657),J1657&gt;0),1/J1657,IF(AND(ISNUMBER(I1657),I1657&gt;0),SQRT(MIN(I1657,Formula!$C$27))/Formula!$C$24,1/Formula!$C$25))</f>
        <v>0.4347826087</v>
      </c>
      <c r="R1657" s="15">
        <f t="shared" si="2"/>
        <v>0.4130434783</v>
      </c>
      <c r="S1657" s="15">
        <f>IF(H1657&lt;&gt;"",EXP(-Formula!$C$28*(EOMONTH(H1657,0)-H1657)),EXP(-Formula!$C$28*(EOMONTH(D1657,0)-D1657)))</f>
        <v>0.3328710837</v>
      </c>
      <c r="T1657" s="15">
        <f t="shared" si="3"/>
        <v>0.2041241452</v>
      </c>
      <c r="U1657" s="15">
        <f t="shared" si="4"/>
        <v>0.02806507572</v>
      </c>
      <c r="V1657" s="16">
        <f>IF(AND(L1657="Among all respondents",NOT(OR(K1657="Online poll in Telegram channel",K1657="Website online poll",K1657="CAWI (Computer Assisted Web Interviewing)"))),1/(1-MIN(MAX(Formula!$C$33+(YEAR(D1657)-Formula!$C$34)/(Formula!$C$35-Formula!$C$34)*(Formula!$C$32-Formula!$C$33),Formula!$C$33),Formula!$C$32)),1)</f>
        <v>1</v>
      </c>
      <c r="W1657" s="17">
        <f t="shared" si="5"/>
        <v>17.1</v>
      </c>
    </row>
    <row r="1658" ht="15.75" customHeight="1">
      <c r="A1658" s="8" t="s">
        <v>2509</v>
      </c>
      <c r="B1658" s="7" t="s">
        <v>2505</v>
      </c>
      <c r="C1658" s="13" t="s">
        <v>2506</v>
      </c>
      <c r="D1658" s="7" t="s">
        <v>221</v>
      </c>
      <c r="E1658" s="8" t="s">
        <v>106</v>
      </c>
      <c r="F1658" s="8" t="s">
        <v>318</v>
      </c>
      <c r="G1658" s="7" t="s">
        <v>223</v>
      </c>
      <c r="H1658" s="7" t="s">
        <v>2507</v>
      </c>
      <c r="I1658" s="8">
        <v>2018.0</v>
      </c>
      <c r="J1658" s="8">
        <v>2.3</v>
      </c>
      <c r="K1658" s="8" t="s">
        <v>583</v>
      </c>
      <c r="L1658" s="8" t="s">
        <v>322</v>
      </c>
      <c r="M1658" s="8" t="s">
        <v>337</v>
      </c>
      <c r="N1658" s="8">
        <v>10.1</v>
      </c>
      <c r="O1658" s="14">
        <f t="shared" si="1"/>
        <v>44256</v>
      </c>
      <c r="P1658" s="15">
        <f>IFERROR(VLOOKUP(K1658,Formula!$A$11:$B$20,2,FALSE),Formula!$C$26)</f>
        <v>0.95</v>
      </c>
      <c r="Q1658" s="15">
        <f>IF(AND(ISNUMBER(J1658),J1658&gt;0),1/J1658,IF(AND(ISNUMBER(I1658),I1658&gt;0),SQRT(MIN(I1658,Formula!$C$27))/Formula!$C$24,1/Formula!$C$25))</f>
        <v>0.4347826087</v>
      </c>
      <c r="R1658" s="15">
        <f t="shared" si="2"/>
        <v>0.4130434783</v>
      </c>
      <c r="S1658" s="15">
        <f>IF(H1658&lt;&gt;"",EXP(-Formula!$C$28*(EOMONTH(H1658,0)-H1658)),EXP(-Formula!$C$28*(EOMONTH(D1658,0)-D1658)))</f>
        <v>0.3328710837</v>
      </c>
      <c r="T1658" s="15">
        <f t="shared" si="3"/>
        <v>0.2041241452</v>
      </c>
      <c r="U1658" s="15">
        <f t="shared" si="4"/>
        <v>0.02806507572</v>
      </c>
      <c r="V1658" s="16">
        <f>IF(AND(L1658="Among all respondents",NOT(OR(K1658="Online poll in Telegram channel",K1658="Website online poll",K1658="CAWI (Computer Assisted Web Interviewing)"))),1/(1-MIN(MAX(Formula!$C$33+(YEAR(D1658)-Formula!$C$34)/(Formula!$C$35-Formula!$C$34)*(Formula!$C$32-Formula!$C$33),Formula!$C$33),Formula!$C$32)),1)</f>
        <v>1</v>
      </c>
      <c r="W1658" s="17">
        <f t="shared" si="5"/>
        <v>10.1</v>
      </c>
    </row>
    <row r="1659" ht="15.75" customHeight="1">
      <c r="A1659" s="8" t="s">
        <v>2511</v>
      </c>
      <c r="B1659" s="7" t="s">
        <v>2505</v>
      </c>
      <c r="C1659" s="13" t="s">
        <v>2506</v>
      </c>
      <c r="D1659" s="7" t="s">
        <v>221</v>
      </c>
      <c r="E1659" s="8" t="s">
        <v>106</v>
      </c>
      <c r="F1659" s="8" t="s">
        <v>318</v>
      </c>
      <c r="G1659" s="7" t="s">
        <v>223</v>
      </c>
      <c r="H1659" s="7" t="s">
        <v>2507</v>
      </c>
      <c r="I1659" s="8">
        <v>2018.0</v>
      </c>
      <c r="J1659" s="8">
        <v>2.3</v>
      </c>
      <c r="K1659" s="8" t="s">
        <v>583</v>
      </c>
      <c r="L1659" s="8" t="s">
        <v>322</v>
      </c>
      <c r="M1659" s="8" t="s">
        <v>828</v>
      </c>
      <c r="N1659" s="8">
        <v>6.3</v>
      </c>
      <c r="O1659" s="14">
        <f t="shared" si="1"/>
        <v>44256</v>
      </c>
      <c r="P1659" s="15">
        <f>IFERROR(VLOOKUP(K1659,Formula!$A$11:$B$20,2,FALSE),Formula!$C$26)</f>
        <v>0.95</v>
      </c>
      <c r="Q1659" s="15">
        <f>IF(AND(ISNUMBER(J1659),J1659&gt;0),1/J1659,IF(AND(ISNUMBER(I1659),I1659&gt;0),SQRT(MIN(I1659,Formula!$C$27))/Formula!$C$24,1/Formula!$C$25))</f>
        <v>0.4347826087</v>
      </c>
      <c r="R1659" s="15">
        <f t="shared" si="2"/>
        <v>0.4130434783</v>
      </c>
      <c r="S1659" s="15">
        <f>IF(H1659&lt;&gt;"",EXP(-Formula!$C$28*(EOMONTH(H1659,0)-H1659)),EXP(-Formula!$C$28*(EOMONTH(D1659,0)-D1659)))</f>
        <v>0.3328710837</v>
      </c>
      <c r="T1659" s="15">
        <f t="shared" si="3"/>
        <v>0.2041241452</v>
      </c>
      <c r="U1659" s="15">
        <f t="shared" si="4"/>
        <v>0.02806507572</v>
      </c>
      <c r="V1659" s="16">
        <f>IF(AND(L1659="Among all respondents",NOT(OR(K1659="Online poll in Telegram channel",K1659="Website online poll",K1659="CAWI (Computer Assisted Web Interviewing)"))),1/(1-MIN(MAX(Formula!$C$33+(YEAR(D1659)-Formula!$C$34)/(Formula!$C$35-Formula!$C$34)*(Formula!$C$32-Formula!$C$33),Formula!$C$33),Formula!$C$32)),1)</f>
        <v>1</v>
      </c>
      <c r="W1659" s="17">
        <f t="shared" si="5"/>
        <v>6.3</v>
      </c>
    </row>
    <row r="1660" ht="15.75" customHeight="1">
      <c r="A1660" s="8" t="s">
        <v>2512</v>
      </c>
      <c r="B1660" s="7" t="s">
        <v>2505</v>
      </c>
      <c r="C1660" s="13" t="s">
        <v>2506</v>
      </c>
      <c r="D1660" s="7" t="s">
        <v>221</v>
      </c>
      <c r="E1660" s="8" t="s">
        <v>106</v>
      </c>
      <c r="F1660" s="8" t="s">
        <v>318</v>
      </c>
      <c r="G1660" s="7" t="s">
        <v>223</v>
      </c>
      <c r="H1660" s="7" t="s">
        <v>2507</v>
      </c>
      <c r="I1660" s="8">
        <v>2018.0</v>
      </c>
      <c r="J1660" s="8">
        <v>2.3</v>
      </c>
      <c r="K1660" s="8" t="s">
        <v>583</v>
      </c>
      <c r="L1660" s="8" t="s">
        <v>322</v>
      </c>
      <c r="M1660" s="8" t="s">
        <v>386</v>
      </c>
      <c r="N1660" s="8">
        <v>3.3</v>
      </c>
      <c r="O1660" s="14">
        <f t="shared" si="1"/>
        <v>44256</v>
      </c>
      <c r="P1660" s="15">
        <f>IFERROR(VLOOKUP(K1660,Formula!$A$11:$B$20,2,FALSE),Formula!$C$26)</f>
        <v>0.95</v>
      </c>
      <c r="Q1660" s="15">
        <f>IF(AND(ISNUMBER(J1660),J1660&gt;0),1/J1660,IF(AND(ISNUMBER(I1660),I1660&gt;0),SQRT(MIN(I1660,Formula!$C$27))/Formula!$C$24,1/Formula!$C$25))</f>
        <v>0.4347826087</v>
      </c>
      <c r="R1660" s="15">
        <f t="shared" si="2"/>
        <v>0.4130434783</v>
      </c>
      <c r="S1660" s="15">
        <f>IF(H1660&lt;&gt;"",EXP(-Formula!$C$28*(EOMONTH(H1660,0)-H1660)),EXP(-Formula!$C$28*(EOMONTH(D1660,0)-D1660)))</f>
        <v>0.3328710837</v>
      </c>
      <c r="T1660" s="15">
        <f t="shared" si="3"/>
        <v>0.2041241452</v>
      </c>
      <c r="U1660" s="15">
        <f t="shared" si="4"/>
        <v>0.02806507572</v>
      </c>
      <c r="V1660" s="16">
        <f>IF(AND(L1660="Among all respondents",NOT(OR(K1660="Online poll in Telegram channel",K1660="Website online poll",K1660="CAWI (Computer Assisted Web Interviewing)"))),1/(1-MIN(MAX(Formula!$C$33+(YEAR(D1660)-Formula!$C$34)/(Formula!$C$35-Formula!$C$34)*(Formula!$C$32-Formula!$C$33),Formula!$C$33),Formula!$C$32)),1)</f>
        <v>1</v>
      </c>
      <c r="W1660" s="17">
        <f t="shared" si="5"/>
        <v>3.3</v>
      </c>
    </row>
    <row r="1661" ht="15.75" customHeight="1">
      <c r="A1661" s="8" t="s">
        <v>2515</v>
      </c>
      <c r="B1661" s="7" t="s">
        <v>2505</v>
      </c>
      <c r="C1661" s="13" t="s">
        <v>2506</v>
      </c>
      <c r="D1661" s="7" t="s">
        <v>221</v>
      </c>
      <c r="E1661" s="8" t="s">
        <v>106</v>
      </c>
      <c r="F1661" s="8" t="s">
        <v>318</v>
      </c>
      <c r="G1661" s="7" t="s">
        <v>223</v>
      </c>
      <c r="H1661" s="7" t="s">
        <v>2507</v>
      </c>
      <c r="I1661" s="8">
        <v>2018.0</v>
      </c>
      <c r="J1661" s="8">
        <v>2.3</v>
      </c>
      <c r="K1661" s="8" t="s">
        <v>583</v>
      </c>
      <c r="L1661" s="8" t="s">
        <v>322</v>
      </c>
      <c r="M1661" s="8" t="s">
        <v>1398</v>
      </c>
      <c r="N1661" s="8">
        <v>2.8</v>
      </c>
      <c r="O1661" s="14">
        <f t="shared" si="1"/>
        <v>44256</v>
      </c>
      <c r="P1661" s="15">
        <f>IFERROR(VLOOKUP(K1661,Formula!$A$11:$B$20,2,FALSE),Formula!$C$26)</f>
        <v>0.95</v>
      </c>
      <c r="Q1661" s="15">
        <f>IF(AND(ISNUMBER(J1661),J1661&gt;0),1/J1661,IF(AND(ISNUMBER(I1661),I1661&gt;0),SQRT(MIN(I1661,Formula!$C$27))/Formula!$C$24,1/Formula!$C$25))</f>
        <v>0.4347826087</v>
      </c>
      <c r="R1661" s="15">
        <f t="shared" si="2"/>
        <v>0.4130434783</v>
      </c>
      <c r="S1661" s="15">
        <f>IF(H1661&lt;&gt;"",EXP(-Formula!$C$28*(EOMONTH(H1661,0)-H1661)),EXP(-Formula!$C$28*(EOMONTH(D1661,0)-D1661)))</f>
        <v>0.3328710837</v>
      </c>
      <c r="T1661" s="15">
        <f t="shared" si="3"/>
        <v>0.2041241452</v>
      </c>
      <c r="U1661" s="15">
        <f t="shared" si="4"/>
        <v>0.02806507572</v>
      </c>
      <c r="V1661" s="16">
        <f>IF(AND(L1661="Among all respondents",NOT(OR(K1661="Online poll in Telegram channel",K1661="Website online poll",K1661="CAWI (Computer Assisted Web Interviewing)"))),1/(1-MIN(MAX(Formula!$C$33+(YEAR(D1661)-Formula!$C$34)/(Formula!$C$35-Formula!$C$34)*(Formula!$C$32-Formula!$C$33),Formula!$C$33),Formula!$C$32)),1)</f>
        <v>1</v>
      </c>
      <c r="W1661" s="17">
        <f t="shared" si="5"/>
        <v>2.8</v>
      </c>
    </row>
    <row r="1662" ht="15.75" customHeight="1">
      <c r="A1662" s="8" t="s">
        <v>2516</v>
      </c>
      <c r="B1662" s="7" t="s">
        <v>2505</v>
      </c>
      <c r="C1662" s="13" t="s">
        <v>2506</v>
      </c>
      <c r="D1662" s="7" t="s">
        <v>221</v>
      </c>
      <c r="E1662" s="8" t="s">
        <v>106</v>
      </c>
      <c r="F1662" s="8" t="s">
        <v>318</v>
      </c>
      <c r="G1662" s="7" t="s">
        <v>223</v>
      </c>
      <c r="H1662" s="7" t="s">
        <v>2507</v>
      </c>
      <c r="I1662" s="8">
        <v>2018.0</v>
      </c>
      <c r="J1662" s="8">
        <v>2.3</v>
      </c>
      <c r="K1662" s="8" t="s">
        <v>583</v>
      </c>
      <c r="L1662" s="8" t="s">
        <v>322</v>
      </c>
      <c r="M1662" s="8" t="s">
        <v>388</v>
      </c>
      <c r="N1662" s="8">
        <v>2.4</v>
      </c>
      <c r="O1662" s="14">
        <f t="shared" si="1"/>
        <v>44256</v>
      </c>
      <c r="P1662" s="15">
        <f>IFERROR(VLOOKUP(K1662,Formula!$A$11:$B$20,2,FALSE),Formula!$C$26)</f>
        <v>0.95</v>
      </c>
      <c r="Q1662" s="15">
        <f>IF(AND(ISNUMBER(J1662),J1662&gt;0),1/J1662,IF(AND(ISNUMBER(I1662),I1662&gt;0),SQRT(MIN(I1662,Formula!$C$27))/Formula!$C$24,1/Formula!$C$25))</f>
        <v>0.4347826087</v>
      </c>
      <c r="R1662" s="15">
        <f t="shared" si="2"/>
        <v>0.4130434783</v>
      </c>
      <c r="S1662" s="15">
        <f>IF(H1662&lt;&gt;"",EXP(-Formula!$C$28*(EOMONTH(H1662,0)-H1662)),EXP(-Formula!$C$28*(EOMONTH(D1662,0)-D1662)))</f>
        <v>0.3328710837</v>
      </c>
      <c r="T1662" s="15">
        <f t="shared" si="3"/>
        <v>0.2041241452</v>
      </c>
      <c r="U1662" s="15">
        <f t="shared" si="4"/>
        <v>0.02806507572</v>
      </c>
      <c r="V1662" s="16">
        <f>IF(AND(L1662="Among all respondents",NOT(OR(K1662="Online poll in Telegram channel",K1662="Website online poll",K1662="CAWI (Computer Assisted Web Interviewing)"))),1/(1-MIN(MAX(Formula!$C$33+(YEAR(D1662)-Formula!$C$34)/(Formula!$C$35-Formula!$C$34)*(Formula!$C$32-Formula!$C$33),Formula!$C$33),Formula!$C$32)),1)</f>
        <v>1</v>
      </c>
      <c r="W1662" s="17">
        <f t="shared" si="5"/>
        <v>2.4</v>
      </c>
    </row>
    <row r="1663" ht="15.75" customHeight="1">
      <c r="A1663" s="8" t="s">
        <v>2513</v>
      </c>
      <c r="B1663" s="7" t="s">
        <v>2505</v>
      </c>
      <c r="C1663" s="13" t="s">
        <v>2506</v>
      </c>
      <c r="D1663" s="7" t="s">
        <v>221</v>
      </c>
      <c r="E1663" s="8" t="s">
        <v>106</v>
      </c>
      <c r="F1663" s="8" t="s">
        <v>318</v>
      </c>
      <c r="G1663" s="7" t="s">
        <v>223</v>
      </c>
      <c r="H1663" s="7" t="s">
        <v>2507</v>
      </c>
      <c r="I1663" s="8">
        <v>2018.0</v>
      </c>
      <c r="J1663" s="8">
        <v>2.3</v>
      </c>
      <c r="K1663" s="8" t="s">
        <v>583</v>
      </c>
      <c r="L1663" s="8" t="s">
        <v>322</v>
      </c>
      <c r="M1663" s="8" t="s">
        <v>333</v>
      </c>
      <c r="N1663" s="8">
        <v>2.0</v>
      </c>
      <c r="O1663" s="14">
        <f t="shared" si="1"/>
        <v>44256</v>
      </c>
      <c r="P1663" s="15">
        <f>IFERROR(VLOOKUP(K1663,Formula!$A$11:$B$20,2,FALSE),Formula!$C$26)</f>
        <v>0.95</v>
      </c>
      <c r="Q1663" s="15">
        <f>IF(AND(ISNUMBER(J1663),J1663&gt;0),1/J1663,IF(AND(ISNUMBER(I1663),I1663&gt;0),SQRT(MIN(I1663,Formula!$C$27))/Formula!$C$24,1/Formula!$C$25))</f>
        <v>0.4347826087</v>
      </c>
      <c r="R1663" s="15">
        <f t="shared" si="2"/>
        <v>0.4130434783</v>
      </c>
      <c r="S1663" s="15">
        <f>IF(H1663&lt;&gt;"",EXP(-Formula!$C$28*(EOMONTH(H1663,0)-H1663)),EXP(-Formula!$C$28*(EOMONTH(D1663,0)-D1663)))</f>
        <v>0.3328710837</v>
      </c>
      <c r="T1663" s="15">
        <f t="shared" si="3"/>
        <v>0.2041241452</v>
      </c>
      <c r="U1663" s="15">
        <f t="shared" si="4"/>
        <v>0.02806507572</v>
      </c>
      <c r="V1663" s="16">
        <f>IF(AND(L1663="Among all respondents",NOT(OR(K1663="Online poll in Telegram channel",K1663="Website online poll",K1663="CAWI (Computer Assisted Web Interviewing)"))),1/(1-MIN(MAX(Formula!$C$33+(YEAR(D1663)-Formula!$C$34)/(Formula!$C$35-Formula!$C$34)*(Formula!$C$32-Formula!$C$33),Formula!$C$33),Formula!$C$32)),1)</f>
        <v>1</v>
      </c>
      <c r="W1663" s="17">
        <f t="shared" si="5"/>
        <v>2</v>
      </c>
    </row>
    <row r="1664" ht="15.75" customHeight="1">
      <c r="A1664" s="8" t="s">
        <v>2517</v>
      </c>
      <c r="B1664" s="7" t="s">
        <v>2505</v>
      </c>
      <c r="C1664" s="13" t="s">
        <v>2506</v>
      </c>
      <c r="D1664" s="7" t="s">
        <v>221</v>
      </c>
      <c r="E1664" s="8" t="s">
        <v>106</v>
      </c>
      <c r="F1664" s="8" t="s">
        <v>318</v>
      </c>
      <c r="G1664" s="7" t="s">
        <v>223</v>
      </c>
      <c r="H1664" s="7" t="s">
        <v>2507</v>
      </c>
      <c r="I1664" s="8">
        <v>2018.0</v>
      </c>
      <c r="J1664" s="8">
        <v>2.3</v>
      </c>
      <c r="K1664" s="8" t="s">
        <v>583</v>
      </c>
      <c r="L1664" s="8" t="s">
        <v>322</v>
      </c>
      <c r="M1664" s="8" t="s">
        <v>838</v>
      </c>
      <c r="N1664" s="8">
        <v>1.7</v>
      </c>
      <c r="O1664" s="14">
        <f t="shared" si="1"/>
        <v>44256</v>
      </c>
      <c r="P1664" s="15">
        <f>IFERROR(VLOOKUP(K1664,Formula!$A$11:$B$20,2,FALSE),Formula!$C$26)</f>
        <v>0.95</v>
      </c>
      <c r="Q1664" s="15">
        <f>IF(AND(ISNUMBER(J1664),J1664&gt;0),1/J1664,IF(AND(ISNUMBER(I1664),I1664&gt;0),SQRT(MIN(I1664,Formula!$C$27))/Formula!$C$24,1/Formula!$C$25))</f>
        <v>0.4347826087</v>
      </c>
      <c r="R1664" s="15">
        <f t="shared" si="2"/>
        <v>0.4130434783</v>
      </c>
      <c r="S1664" s="15">
        <f>IF(H1664&lt;&gt;"",EXP(-Formula!$C$28*(EOMONTH(H1664,0)-H1664)),EXP(-Formula!$C$28*(EOMONTH(D1664,0)-D1664)))</f>
        <v>0.3328710837</v>
      </c>
      <c r="T1664" s="15">
        <f t="shared" si="3"/>
        <v>0.2041241452</v>
      </c>
      <c r="U1664" s="15">
        <f t="shared" si="4"/>
        <v>0.02806507572</v>
      </c>
      <c r="V1664" s="16">
        <f>IF(AND(L1664="Among all respondents",NOT(OR(K1664="Online poll in Telegram channel",K1664="Website online poll",K1664="CAWI (Computer Assisted Web Interviewing)"))),1/(1-MIN(MAX(Formula!$C$33+(YEAR(D1664)-Formula!$C$34)/(Formula!$C$35-Formula!$C$34)*(Formula!$C$32-Formula!$C$33),Formula!$C$33),Formula!$C$32)),1)</f>
        <v>1</v>
      </c>
      <c r="W1664" s="17">
        <f t="shared" si="5"/>
        <v>1.7</v>
      </c>
    </row>
    <row r="1665" ht="15.75" customHeight="1">
      <c r="A1665" s="8" t="s">
        <v>2514</v>
      </c>
      <c r="B1665" s="7" t="s">
        <v>2505</v>
      </c>
      <c r="C1665" s="13" t="s">
        <v>2506</v>
      </c>
      <c r="D1665" s="7" t="s">
        <v>221</v>
      </c>
      <c r="E1665" s="8" t="s">
        <v>106</v>
      </c>
      <c r="F1665" s="8" t="s">
        <v>318</v>
      </c>
      <c r="G1665" s="7" t="s">
        <v>223</v>
      </c>
      <c r="H1665" s="7" t="s">
        <v>2507</v>
      </c>
      <c r="I1665" s="8">
        <v>2018.0</v>
      </c>
      <c r="J1665" s="8">
        <v>2.3</v>
      </c>
      <c r="K1665" s="8" t="s">
        <v>583</v>
      </c>
      <c r="L1665" s="8" t="s">
        <v>322</v>
      </c>
      <c r="M1665" s="8" t="s">
        <v>345</v>
      </c>
      <c r="N1665" s="8">
        <v>0.9</v>
      </c>
      <c r="O1665" s="14">
        <f t="shared" si="1"/>
        <v>44256</v>
      </c>
      <c r="P1665" s="15">
        <f>IFERROR(VLOOKUP(K1665,Formula!$A$11:$B$20,2,FALSE),Formula!$C$26)</f>
        <v>0.95</v>
      </c>
      <c r="Q1665" s="15">
        <f>IF(AND(ISNUMBER(J1665),J1665&gt;0),1/J1665,IF(AND(ISNUMBER(I1665),I1665&gt;0),SQRT(MIN(I1665,Formula!$C$27))/Formula!$C$24,1/Formula!$C$25))</f>
        <v>0.4347826087</v>
      </c>
      <c r="R1665" s="15">
        <f t="shared" si="2"/>
        <v>0.4130434783</v>
      </c>
      <c r="S1665" s="15">
        <f>IF(H1665&lt;&gt;"",EXP(-Formula!$C$28*(EOMONTH(H1665,0)-H1665)),EXP(-Formula!$C$28*(EOMONTH(D1665,0)-D1665)))</f>
        <v>0.3328710837</v>
      </c>
      <c r="T1665" s="15">
        <f t="shared" si="3"/>
        <v>0.2041241452</v>
      </c>
      <c r="U1665" s="15">
        <f t="shared" si="4"/>
        <v>0.02806507572</v>
      </c>
      <c r="V1665" s="16">
        <f>IF(AND(L1665="Among all respondents",NOT(OR(K1665="Online poll in Telegram channel",K1665="Website online poll",K1665="CAWI (Computer Assisted Web Interviewing)"))),1/(1-MIN(MAX(Formula!$C$33+(YEAR(D1665)-Formula!$C$34)/(Formula!$C$35-Formula!$C$34)*(Formula!$C$32-Formula!$C$33),Formula!$C$33),Formula!$C$32)),1)</f>
        <v>1</v>
      </c>
      <c r="W1665" s="17">
        <f t="shared" si="5"/>
        <v>0.9</v>
      </c>
    </row>
    <row r="1666" ht="15.75" customHeight="1">
      <c r="A1666" s="8" t="s">
        <v>2518</v>
      </c>
      <c r="B1666" s="7" t="s">
        <v>2505</v>
      </c>
      <c r="C1666" s="13" t="s">
        <v>2506</v>
      </c>
      <c r="D1666" s="7" t="s">
        <v>221</v>
      </c>
      <c r="E1666" s="8" t="s">
        <v>106</v>
      </c>
      <c r="F1666" s="8" t="s">
        <v>318</v>
      </c>
      <c r="G1666" s="7" t="s">
        <v>223</v>
      </c>
      <c r="H1666" s="7" t="s">
        <v>2507</v>
      </c>
      <c r="I1666" s="8">
        <v>2018.0</v>
      </c>
      <c r="J1666" s="8">
        <v>2.3</v>
      </c>
      <c r="K1666" s="8" t="s">
        <v>583</v>
      </c>
      <c r="L1666" s="8" t="s">
        <v>322</v>
      </c>
      <c r="M1666" s="8" t="s">
        <v>343</v>
      </c>
      <c r="N1666" s="8">
        <v>0.9</v>
      </c>
      <c r="O1666" s="14">
        <f t="shared" si="1"/>
        <v>44256</v>
      </c>
      <c r="P1666" s="15">
        <f>IFERROR(VLOOKUP(K1666,Formula!$A$11:$B$20,2,FALSE),Formula!$C$26)</f>
        <v>0.95</v>
      </c>
      <c r="Q1666" s="15">
        <f>IF(AND(ISNUMBER(J1666),J1666&gt;0),1/J1666,IF(AND(ISNUMBER(I1666),I1666&gt;0),SQRT(MIN(I1666,Formula!$C$27))/Formula!$C$24,1/Formula!$C$25))</f>
        <v>0.4347826087</v>
      </c>
      <c r="R1666" s="15">
        <f t="shared" si="2"/>
        <v>0.4130434783</v>
      </c>
      <c r="S1666" s="15">
        <f>IF(H1666&lt;&gt;"",EXP(-Formula!$C$28*(EOMONTH(H1666,0)-H1666)),EXP(-Formula!$C$28*(EOMONTH(D1666,0)-D1666)))</f>
        <v>0.3328710837</v>
      </c>
      <c r="T1666" s="15">
        <f t="shared" si="3"/>
        <v>0.2041241452</v>
      </c>
      <c r="U1666" s="15">
        <f t="shared" si="4"/>
        <v>0.02806507572</v>
      </c>
      <c r="V1666" s="16">
        <f>IF(AND(L1666="Among all respondents",NOT(OR(K1666="Online poll in Telegram channel",K1666="Website online poll",K1666="CAWI (Computer Assisted Web Interviewing)"))),1/(1-MIN(MAX(Formula!$C$33+(YEAR(D1666)-Formula!$C$34)/(Formula!$C$35-Formula!$C$34)*(Formula!$C$32-Formula!$C$33),Formula!$C$33),Formula!$C$32)),1)</f>
        <v>1</v>
      </c>
      <c r="W1666" s="17">
        <f t="shared" si="5"/>
        <v>0.9</v>
      </c>
    </row>
    <row r="1667" ht="15.75" customHeight="1">
      <c r="A1667" s="8" t="s">
        <v>2520</v>
      </c>
      <c r="B1667" s="7" t="s">
        <v>2521</v>
      </c>
      <c r="C1667" s="13" t="s">
        <v>2522</v>
      </c>
      <c r="D1667" s="7" t="s">
        <v>223</v>
      </c>
      <c r="E1667" s="8" t="s">
        <v>72</v>
      </c>
      <c r="F1667" s="8" t="s">
        <v>318</v>
      </c>
      <c r="G1667" s="7" t="s">
        <v>2523</v>
      </c>
      <c r="H1667" s="7" t="s">
        <v>216</v>
      </c>
      <c r="I1667" s="8">
        <v>1207.0</v>
      </c>
      <c r="J1667" s="8">
        <v>2.9</v>
      </c>
      <c r="K1667" s="8" t="s">
        <v>436</v>
      </c>
      <c r="L1667" s="8" t="s">
        <v>322</v>
      </c>
      <c r="M1667" s="8" t="s">
        <v>323</v>
      </c>
      <c r="N1667" s="8">
        <v>24.0</v>
      </c>
      <c r="O1667" s="14">
        <f t="shared" si="1"/>
        <v>44256</v>
      </c>
      <c r="P1667" s="15">
        <f>IFERROR(VLOOKUP(K1667,Formula!$A$11:$B$20,2,FALSE),Formula!$C$26)</f>
        <v>0.95</v>
      </c>
      <c r="Q1667" s="15">
        <f>IF(AND(ISNUMBER(J1667),J1667&gt;0),1/J1667,IF(AND(ISNUMBER(I1667),I1667&gt;0),SQRT(MIN(I1667,Formula!$C$27))/Formula!$C$24,1/Formula!$C$25))</f>
        <v>0.3448275862</v>
      </c>
      <c r="R1667" s="15">
        <f t="shared" si="2"/>
        <v>0.3275862069</v>
      </c>
      <c r="S1667" s="15">
        <f>IF(H1667&lt;&gt;"",EXP(-Formula!$C$28*(EOMONTH(H1667,0)-H1667)),EXP(-Formula!$C$28*(EOMONTH(D1667,0)-D1667)))</f>
        <v>0.2231301601</v>
      </c>
      <c r="T1667" s="15">
        <f t="shared" si="3"/>
        <v>0.1924500897</v>
      </c>
      <c r="U1667" s="15">
        <f t="shared" si="4"/>
        <v>0.01406701668</v>
      </c>
      <c r="V1667" s="16">
        <f>IF(AND(L1667="Among all respondents",NOT(OR(K1667="Online poll in Telegram channel",K1667="Website online poll",K1667="CAWI (Computer Assisted Web Interviewing)"))),1/(1-MIN(MAX(Formula!$C$33+(YEAR(D1667)-Formula!$C$34)/(Formula!$C$35-Formula!$C$34)*(Formula!$C$32-Formula!$C$33),Formula!$C$33),Formula!$C$32)),1)</f>
        <v>1</v>
      </c>
      <c r="W1667" s="17">
        <f t="shared" si="5"/>
        <v>24</v>
      </c>
    </row>
    <row r="1668" ht="15.75" customHeight="1">
      <c r="A1668" s="8" t="s">
        <v>2524</v>
      </c>
      <c r="B1668" s="7" t="s">
        <v>2521</v>
      </c>
      <c r="C1668" s="13" t="s">
        <v>2522</v>
      </c>
      <c r="D1668" s="7" t="s">
        <v>223</v>
      </c>
      <c r="E1668" s="8" t="s">
        <v>72</v>
      </c>
      <c r="F1668" s="8" t="s">
        <v>318</v>
      </c>
      <c r="G1668" s="7" t="s">
        <v>2523</v>
      </c>
      <c r="H1668" s="7" t="s">
        <v>216</v>
      </c>
      <c r="I1668" s="8">
        <v>1207.0</v>
      </c>
      <c r="J1668" s="8">
        <v>2.9</v>
      </c>
      <c r="K1668" s="8" t="s">
        <v>436</v>
      </c>
      <c r="L1668" s="8" t="s">
        <v>322</v>
      </c>
      <c r="M1668" s="8" t="s">
        <v>365</v>
      </c>
      <c r="N1668" s="8">
        <v>16.7</v>
      </c>
      <c r="O1668" s="14">
        <f t="shared" si="1"/>
        <v>44256</v>
      </c>
      <c r="P1668" s="15">
        <f>IFERROR(VLOOKUP(K1668,Formula!$A$11:$B$20,2,FALSE),Formula!$C$26)</f>
        <v>0.95</v>
      </c>
      <c r="Q1668" s="15">
        <f>IF(AND(ISNUMBER(J1668),J1668&gt;0),1/J1668,IF(AND(ISNUMBER(I1668),I1668&gt;0),SQRT(MIN(I1668,Formula!$C$27))/Formula!$C$24,1/Formula!$C$25))</f>
        <v>0.3448275862</v>
      </c>
      <c r="R1668" s="15">
        <f t="shared" si="2"/>
        <v>0.3275862069</v>
      </c>
      <c r="S1668" s="15">
        <f>IF(H1668&lt;&gt;"",EXP(-Formula!$C$28*(EOMONTH(H1668,0)-H1668)),EXP(-Formula!$C$28*(EOMONTH(D1668,0)-D1668)))</f>
        <v>0.2231301601</v>
      </c>
      <c r="T1668" s="15">
        <f t="shared" si="3"/>
        <v>0.1924500897</v>
      </c>
      <c r="U1668" s="15">
        <f t="shared" si="4"/>
        <v>0.01406701668</v>
      </c>
      <c r="V1668" s="16">
        <f>IF(AND(L1668="Among all respondents",NOT(OR(K1668="Online poll in Telegram channel",K1668="Website online poll",K1668="CAWI (Computer Assisted Web Interviewing)"))),1/(1-MIN(MAX(Formula!$C$33+(YEAR(D1668)-Formula!$C$34)/(Formula!$C$35-Formula!$C$34)*(Formula!$C$32-Formula!$C$33),Formula!$C$33),Formula!$C$32)),1)</f>
        <v>1</v>
      </c>
      <c r="W1668" s="17">
        <f t="shared" si="5"/>
        <v>16.7</v>
      </c>
    </row>
    <row r="1669" ht="15.75" customHeight="1">
      <c r="A1669" s="8" t="s">
        <v>2525</v>
      </c>
      <c r="B1669" s="7" t="s">
        <v>2521</v>
      </c>
      <c r="C1669" s="13" t="s">
        <v>2522</v>
      </c>
      <c r="D1669" s="7" t="s">
        <v>223</v>
      </c>
      <c r="E1669" s="8" t="s">
        <v>72</v>
      </c>
      <c r="F1669" s="8" t="s">
        <v>318</v>
      </c>
      <c r="G1669" s="7" t="s">
        <v>2523</v>
      </c>
      <c r="H1669" s="7" t="s">
        <v>216</v>
      </c>
      <c r="I1669" s="8">
        <v>1207.0</v>
      </c>
      <c r="J1669" s="8">
        <v>2.9</v>
      </c>
      <c r="K1669" s="8" t="s">
        <v>436</v>
      </c>
      <c r="L1669" s="8" t="s">
        <v>322</v>
      </c>
      <c r="M1669" s="8" t="s">
        <v>329</v>
      </c>
      <c r="N1669" s="8">
        <v>14.0</v>
      </c>
      <c r="O1669" s="14">
        <f t="shared" si="1"/>
        <v>44256</v>
      </c>
      <c r="P1669" s="15">
        <f>IFERROR(VLOOKUP(K1669,Formula!$A$11:$B$20,2,FALSE),Formula!$C$26)</f>
        <v>0.95</v>
      </c>
      <c r="Q1669" s="15">
        <f>IF(AND(ISNUMBER(J1669),J1669&gt;0),1/J1669,IF(AND(ISNUMBER(I1669),I1669&gt;0),SQRT(MIN(I1669,Formula!$C$27))/Formula!$C$24,1/Formula!$C$25))</f>
        <v>0.3448275862</v>
      </c>
      <c r="R1669" s="15">
        <f t="shared" si="2"/>
        <v>0.3275862069</v>
      </c>
      <c r="S1669" s="15">
        <f>IF(H1669&lt;&gt;"",EXP(-Formula!$C$28*(EOMONTH(H1669,0)-H1669)),EXP(-Formula!$C$28*(EOMONTH(D1669,0)-D1669)))</f>
        <v>0.2231301601</v>
      </c>
      <c r="T1669" s="15">
        <f t="shared" si="3"/>
        <v>0.1924500897</v>
      </c>
      <c r="U1669" s="15">
        <f t="shared" si="4"/>
        <v>0.01406701668</v>
      </c>
      <c r="V1669" s="16">
        <f>IF(AND(L1669="Among all respondents",NOT(OR(K1669="Online poll in Telegram channel",K1669="Website online poll",K1669="CAWI (Computer Assisted Web Interviewing)"))),1/(1-MIN(MAX(Formula!$C$33+(YEAR(D1669)-Formula!$C$34)/(Formula!$C$35-Formula!$C$34)*(Formula!$C$32-Formula!$C$33),Formula!$C$33),Formula!$C$32)),1)</f>
        <v>1</v>
      </c>
      <c r="W1669" s="17">
        <f t="shared" si="5"/>
        <v>14</v>
      </c>
    </row>
    <row r="1670" ht="15.75" customHeight="1">
      <c r="A1670" s="8" t="s">
        <v>2526</v>
      </c>
      <c r="B1670" s="7" t="s">
        <v>2521</v>
      </c>
      <c r="C1670" s="13" t="s">
        <v>2522</v>
      </c>
      <c r="D1670" s="7" t="s">
        <v>223</v>
      </c>
      <c r="E1670" s="8" t="s">
        <v>72</v>
      </c>
      <c r="F1670" s="8" t="s">
        <v>318</v>
      </c>
      <c r="G1670" s="7" t="s">
        <v>2523</v>
      </c>
      <c r="H1670" s="7" t="s">
        <v>216</v>
      </c>
      <c r="I1670" s="8">
        <v>1207.0</v>
      </c>
      <c r="J1670" s="8">
        <v>2.9</v>
      </c>
      <c r="K1670" s="8" t="s">
        <v>436</v>
      </c>
      <c r="L1670" s="8" t="s">
        <v>322</v>
      </c>
      <c r="M1670" s="8" t="s">
        <v>337</v>
      </c>
      <c r="N1670" s="8">
        <v>12.6</v>
      </c>
      <c r="O1670" s="14">
        <f t="shared" si="1"/>
        <v>44256</v>
      </c>
      <c r="P1670" s="15">
        <f>IFERROR(VLOOKUP(K1670,Formula!$A$11:$B$20,2,FALSE),Formula!$C$26)</f>
        <v>0.95</v>
      </c>
      <c r="Q1670" s="15">
        <f>IF(AND(ISNUMBER(J1670),J1670&gt;0),1/J1670,IF(AND(ISNUMBER(I1670),I1670&gt;0),SQRT(MIN(I1670,Formula!$C$27))/Formula!$C$24,1/Formula!$C$25))</f>
        <v>0.3448275862</v>
      </c>
      <c r="R1670" s="15">
        <f t="shared" si="2"/>
        <v>0.3275862069</v>
      </c>
      <c r="S1670" s="15">
        <f>IF(H1670&lt;&gt;"",EXP(-Formula!$C$28*(EOMONTH(H1670,0)-H1670)),EXP(-Formula!$C$28*(EOMONTH(D1670,0)-D1670)))</f>
        <v>0.2231301601</v>
      </c>
      <c r="T1670" s="15">
        <f t="shared" si="3"/>
        <v>0.1924500897</v>
      </c>
      <c r="U1670" s="15">
        <f t="shared" si="4"/>
        <v>0.01406701668</v>
      </c>
      <c r="V1670" s="16">
        <f>IF(AND(L1670="Among all respondents",NOT(OR(K1670="Online poll in Telegram channel",K1670="Website online poll",K1670="CAWI (Computer Assisted Web Interviewing)"))),1/(1-MIN(MAX(Formula!$C$33+(YEAR(D1670)-Formula!$C$34)/(Formula!$C$35-Formula!$C$34)*(Formula!$C$32-Formula!$C$33),Formula!$C$33),Formula!$C$32)),1)</f>
        <v>1</v>
      </c>
      <c r="W1670" s="17">
        <f t="shared" si="5"/>
        <v>12.6</v>
      </c>
    </row>
    <row r="1671" ht="15.75" customHeight="1">
      <c r="A1671" s="8" t="s">
        <v>2527</v>
      </c>
      <c r="B1671" s="7" t="s">
        <v>2521</v>
      </c>
      <c r="C1671" s="13" t="s">
        <v>2522</v>
      </c>
      <c r="D1671" s="7" t="s">
        <v>223</v>
      </c>
      <c r="E1671" s="8" t="s">
        <v>72</v>
      </c>
      <c r="F1671" s="8" t="s">
        <v>318</v>
      </c>
      <c r="G1671" s="7" t="s">
        <v>2523</v>
      </c>
      <c r="H1671" s="7" t="s">
        <v>216</v>
      </c>
      <c r="I1671" s="8">
        <v>1207.0</v>
      </c>
      <c r="J1671" s="8">
        <v>2.9</v>
      </c>
      <c r="K1671" s="8" t="s">
        <v>436</v>
      </c>
      <c r="L1671" s="8" t="s">
        <v>322</v>
      </c>
      <c r="M1671" s="8" t="s">
        <v>828</v>
      </c>
      <c r="N1671" s="8">
        <v>8.6</v>
      </c>
      <c r="O1671" s="14">
        <f t="shared" si="1"/>
        <v>44256</v>
      </c>
      <c r="P1671" s="15">
        <f>IFERROR(VLOOKUP(K1671,Formula!$A$11:$B$20,2,FALSE),Formula!$C$26)</f>
        <v>0.95</v>
      </c>
      <c r="Q1671" s="15">
        <f>IF(AND(ISNUMBER(J1671),J1671&gt;0),1/J1671,IF(AND(ISNUMBER(I1671),I1671&gt;0),SQRT(MIN(I1671,Formula!$C$27))/Formula!$C$24,1/Formula!$C$25))</f>
        <v>0.3448275862</v>
      </c>
      <c r="R1671" s="15">
        <f t="shared" si="2"/>
        <v>0.3275862069</v>
      </c>
      <c r="S1671" s="15">
        <f>IF(H1671&lt;&gt;"",EXP(-Formula!$C$28*(EOMONTH(H1671,0)-H1671)),EXP(-Formula!$C$28*(EOMONTH(D1671,0)-D1671)))</f>
        <v>0.2231301601</v>
      </c>
      <c r="T1671" s="15">
        <f t="shared" si="3"/>
        <v>0.1924500897</v>
      </c>
      <c r="U1671" s="15">
        <f t="shared" si="4"/>
        <v>0.01406701668</v>
      </c>
      <c r="V1671" s="16">
        <f>IF(AND(L1671="Among all respondents",NOT(OR(K1671="Online poll in Telegram channel",K1671="Website online poll",K1671="CAWI (Computer Assisted Web Interviewing)"))),1/(1-MIN(MAX(Formula!$C$33+(YEAR(D1671)-Formula!$C$34)/(Formula!$C$35-Formula!$C$34)*(Formula!$C$32-Formula!$C$33),Formula!$C$33),Formula!$C$32)),1)</f>
        <v>1</v>
      </c>
      <c r="W1671" s="17">
        <f t="shared" si="5"/>
        <v>8.6</v>
      </c>
    </row>
    <row r="1672" ht="15.75" customHeight="1">
      <c r="A1672" s="8" t="s">
        <v>2528</v>
      </c>
      <c r="B1672" s="7" t="s">
        <v>2521</v>
      </c>
      <c r="C1672" s="13" t="s">
        <v>2522</v>
      </c>
      <c r="D1672" s="7" t="s">
        <v>223</v>
      </c>
      <c r="E1672" s="8" t="s">
        <v>72</v>
      </c>
      <c r="F1672" s="8" t="s">
        <v>318</v>
      </c>
      <c r="G1672" s="7" t="s">
        <v>2523</v>
      </c>
      <c r="H1672" s="7" t="s">
        <v>216</v>
      </c>
      <c r="I1672" s="8">
        <v>1207.0</v>
      </c>
      <c r="J1672" s="8">
        <v>2.9</v>
      </c>
      <c r="K1672" s="8" t="s">
        <v>436</v>
      </c>
      <c r="L1672" s="8" t="s">
        <v>322</v>
      </c>
      <c r="M1672" s="8" t="s">
        <v>386</v>
      </c>
      <c r="N1672" s="8">
        <v>4.9</v>
      </c>
      <c r="O1672" s="14">
        <f t="shared" si="1"/>
        <v>44256</v>
      </c>
      <c r="P1672" s="15">
        <f>IFERROR(VLOOKUP(K1672,Formula!$A$11:$B$20,2,FALSE),Formula!$C$26)</f>
        <v>0.95</v>
      </c>
      <c r="Q1672" s="15">
        <f>IF(AND(ISNUMBER(J1672),J1672&gt;0),1/J1672,IF(AND(ISNUMBER(I1672),I1672&gt;0),SQRT(MIN(I1672,Formula!$C$27))/Formula!$C$24,1/Formula!$C$25))</f>
        <v>0.3448275862</v>
      </c>
      <c r="R1672" s="15">
        <f t="shared" si="2"/>
        <v>0.3275862069</v>
      </c>
      <c r="S1672" s="15">
        <f>IF(H1672&lt;&gt;"",EXP(-Formula!$C$28*(EOMONTH(H1672,0)-H1672)),EXP(-Formula!$C$28*(EOMONTH(D1672,0)-D1672)))</f>
        <v>0.2231301601</v>
      </c>
      <c r="T1672" s="15">
        <f t="shared" si="3"/>
        <v>0.1924500897</v>
      </c>
      <c r="U1672" s="15">
        <f t="shared" si="4"/>
        <v>0.01406701668</v>
      </c>
      <c r="V1672" s="16">
        <f>IF(AND(L1672="Among all respondents",NOT(OR(K1672="Online poll in Telegram channel",K1672="Website online poll",K1672="CAWI (Computer Assisted Web Interviewing)"))),1/(1-MIN(MAX(Formula!$C$33+(YEAR(D1672)-Formula!$C$34)/(Formula!$C$35-Formula!$C$34)*(Formula!$C$32-Formula!$C$33),Formula!$C$33),Formula!$C$32)),1)</f>
        <v>1</v>
      </c>
      <c r="W1672" s="17">
        <f t="shared" si="5"/>
        <v>4.9</v>
      </c>
    </row>
    <row r="1673" ht="15.75" customHeight="1">
      <c r="A1673" s="8" t="s">
        <v>2529</v>
      </c>
      <c r="B1673" s="7" t="s">
        <v>2521</v>
      </c>
      <c r="C1673" s="13" t="s">
        <v>2522</v>
      </c>
      <c r="D1673" s="7" t="s">
        <v>223</v>
      </c>
      <c r="E1673" s="8" t="s">
        <v>72</v>
      </c>
      <c r="F1673" s="8" t="s">
        <v>318</v>
      </c>
      <c r="G1673" s="7" t="s">
        <v>2523</v>
      </c>
      <c r="H1673" s="7" t="s">
        <v>216</v>
      </c>
      <c r="I1673" s="8">
        <v>1207.0</v>
      </c>
      <c r="J1673" s="8">
        <v>2.9</v>
      </c>
      <c r="K1673" s="8" t="s">
        <v>436</v>
      </c>
      <c r="L1673" s="8" t="s">
        <v>322</v>
      </c>
      <c r="M1673" s="8" t="s">
        <v>388</v>
      </c>
      <c r="N1673" s="8">
        <v>4.9</v>
      </c>
      <c r="O1673" s="14">
        <f t="shared" si="1"/>
        <v>44256</v>
      </c>
      <c r="P1673" s="15">
        <f>IFERROR(VLOOKUP(K1673,Formula!$A$11:$B$20,2,FALSE),Formula!$C$26)</f>
        <v>0.95</v>
      </c>
      <c r="Q1673" s="15">
        <f>IF(AND(ISNUMBER(J1673),J1673&gt;0),1/J1673,IF(AND(ISNUMBER(I1673),I1673&gt;0),SQRT(MIN(I1673,Formula!$C$27))/Formula!$C$24,1/Formula!$C$25))</f>
        <v>0.3448275862</v>
      </c>
      <c r="R1673" s="15">
        <f t="shared" si="2"/>
        <v>0.3275862069</v>
      </c>
      <c r="S1673" s="15">
        <f>IF(H1673&lt;&gt;"",EXP(-Formula!$C$28*(EOMONTH(H1673,0)-H1673)),EXP(-Formula!$C$28*(EOMONTH(D1673,0)-D1673)))</f>
        <v>0.2231301601</v>
      </c>
      <c r="T1673" s="15">
        <f t="shared" si="3"/>
        <v>0.1924500897</v>
      </c>
      <c r="U1673" s="15">
        <f t="shared" si="4"/>
        <v>0.01406701668</v>
      </c>
      <c r="V1673" s="16">
        <f>IF(AND(L1673="Among all respondents",NOT(OR(K1673="Online poll in Telegram channel",K1673="Website online poll",K1673="CAWI (Computer Assisted Web Interviewing)"))),1/(1-MIN(MAX(Formula!$C$33+(YEAR(D1673)-Formula!$C$34)/(Formula!$C$35-Formula!$C$34)*(Formula!$C$32-Formula!$C$33),Formula!$C$33),Formula!$C$32)),1)</f>
        <v>1</v>
      </c>
      <c r="W1673" s="17">
        <f t="shared" si="5"/>
        <v>4.9</v>
      </c>
    </row>
    <row r="1674" ht="15.75" customHeight="1">
      <c r="A1674" s="8" t="s">
        <v>2530</v>
      </c>
      <c r="B1674" s="7" t="s">
        <v>2521</v>
      </c>
      <c r="C1674" s="13" t="s">
        <v>2522</v>
      </c>
      <c r="D1674" s="7" t="s">
        <v>223</v>
      </c>
      <c r="E1674" s="8" t="s">
        <v>72</v>
      </c>
      <c r="F1674" s="8" t="s">
        <v>318</v>
      </c>
      <c r="G1674" s="7" t="s">
        <v>2523</v>
      </c>
      <c r="H1674" s="7" t="s">
        <v>216</v>
      </c>
      <c r="I1674" s="8">
        <v>1207.0</v>
      </c>
      <c r="J1674" s="8">
        <v>2.9</v>
      </c>
      <c r="K1674" s="8" t="s">
        <v>436</v>
      </c>
      <c r="L1674" s="8" t="s">
        <v>322</v>
      </c>
      <c r="M1674" s="8" t="s">
        <v>333</v>
      </c>
      <c r="N1674" s="8">
        <v>4.3</v>
      </c>
      <c r="O1674" s="14">
        <f t="shared" si="1"/>
        <v>44256</v>
      </c>
      <c r="P1674" s="15">
        <f>IFERROR(VLOOKUP(K1674,Formula!$A$11:$B$20,2,FALSE),Formula!$C$26)</f>
        <v>0.95</v>
      </c>
      <c r="Q1674" s="15">
        <f>IF(AND(ISNUMBER(J1674),J1674&gt;0),1/J1674,IF(AND(ISNUMBER(I1674),I1674&gt;0),SQRT(MIN(I1674,Formula!$C$27))/Formula!$C$24,1/Formula!$C$25))</f>
        <v>0.3448275862</v>
      </c>
      <c r="R1674" s="15">
        <f t="shared" si="2"/>
        <v>0.3275862069</v>
      </c>
      <c r="S1674" s="15">
        <f>IF(H1674&lt;&gt;"",EXP(-Formula!$C$28*(EOMONTH(H1674,0)-H1674)),EXP(-Formula!$C$28*(EOMONTH(D1674,0)-D1674)))</f>
        <v>0.2231301601</v>
      </c>
      <c r="T1674" s="15">
        <f t="shared" si="3"/>
        <v>0.1924500897</v>
      </c>
      <c r="U1674" s="15">
        <f t="shared" si="4"/>
        <v>0.01406701668</v>
      </c>
      <c r="V1674" s="16">
        <f>IF(AND(L1674="Among all respondents",NOT(OR(K1674="Online poll in Telegram channel",K1674="Website online poll",K1674="CAWI (Computer Assisted Web Interviewing)"))),1/(1-MIN(MAX(Formula!$C$33+(YEAR(D1674)-Formula!$C$34)/(Formula!$C$35-Formula!$C$34)*(Formula!$C$32-Formula!$C$33),Formula!$C$33),Formula!$C$32)),1)</f>
        <v>1</v>
      </c>
      <c r="W1674" s="17">
        <f t="shared" si="5"/>
        <v>4.3</v>
      </c>
    </row>
    <row r="1675" ht="15.75" customHeight="1">
      <c r="A1675" s="8" t="s">
        <v>2531</v>
      </c>
      <c r="B1675" s="7" t="s">
        <v>2521</v>
      </c>
      <c r="C1675" s="13" t="s">
        <v>2522</v>
      </c>
      <c r="D1675" s="7" t="s">
        <v>223</v>
      </c>
      <c r="E1675" s="8" t="s">
        <v>72</v>
      </c>
      <c r="F1675" s="8" t="s">
        <v>318</v>
      </c>
      <c r="G1675" s="7" t="s">
        <v>2523</v>
      </c>
      <c r="H1675" s="7" t="s">
        <v>216</v>
      </c>
      <c r="I1675" s="8">
        <v>1207.0</v>
      </c>
      <c r="J1675" s="8">
        <v>2.9</v>
      </c>
      <c r="K1675" s="8" t="s">
        <v>436</v>
      </c>
      <c r="L1675" s="8" t="s">
        <v>322</v>
      </c>
      <c r="M1675" s="8" t="s">
        <v>343</v>
      </c>
      <c r="N1675" s="8">
        <v>3.0</v>
      </c>
      <c r="O1675" s="14">
        <f t="shared" si="1"/>
        <v>44256</v>
      </c>
      <c r="P1675" s="15">
        <f>IFERROR(VLOOKUP(K1675,Formula!$A$11:$B$20,2,FALSE),Formula!$C$26)</f>
        <v>0.95</v>
      </c>
      <c r="Q1675" s="15">
        <f>IF(AND(ISNUMBER(J1675),J1675&gt;0),1/J1675,IF(AND(ISNUMBER(I1675),I1675&gt;0),SQRT(MIN(I1675,Formula!$C$27))/Formula!$C$24,1/Formula!$C$25))</f>
        <v>0.3448275862</v>
      </c>
      <c r="R1675" s="15">
        <f t="shared" si="2"/>
        <v>0.3275862069</v>
      </c>
      <c r="S1675" s="15">
        <f>IF(H1675&lt;&gt;"",EXP(-Formula!$C$28*(EOMONTH(H1675,0)-H1675)),EXP(-Formula!$C$28*(EOMONTH(D1675,0)-D1675)))</f>
        <v>0.2231301601</v>
      </c>
      <c r="T1675" s="15">
        <f t="shared" si="3"/>
        <v>0.1924500897</v>
      </c>
      <c r="U1675" s="15">
        <f t="shared" si="4"/>
        <v>0.01406701668</v>
      </c>
      <c r="V1675" s="16">
        <f>IF(AND(L1675="Among all respondents",NOT(OR(K1675="Online poll in Telegram channel",K1675="Website online poll",K1675="CAWI (Computer Assisted Web Interviewing)"))),1/(1-MIN(MAX(Formula!$C$33+(YEAR(D1675)-Formula!$C$34)/(Formula!$C$35-Formula!$C$34)*(Formula!$C$32-Formula!$C$33),Formula!$C$33),Formula!$C$32)),1)</f>
        <v>1</v>
      </c>
      <c r="W1675" s="17">
        <f t="shared" si="5"/>
        <v>3</v>
      </c>
    </row>
    <row r="1676" ht="15.75" customHeight="1">
      <c r="A1676" s="8" t="s">
        <v>2532</v>
      </c>
      <c r="B1676" s="7" t="s">
        <v>2521</v>
      </c>
      <c r="C1676" s="13" t="s">
        <v>2522</v>
      </c>
      <c r="D1676" s="7" t="s">
        <v>223</v>
      </c>
      <c r="E1676" s="8" t="s">
        <v>72</v>
      </c>
      <c r="F1676" s="8" t="s">
        <v>318</v>
      </c>
      <c r="G1676" s="7" t="s">
        <v>2523</v>
      </c>
      <c r="H1676" s="7" t="s">
        <v>216</v>
      </c>
      <c r="I1676" s="8">
        <v>1207.0</v>
      </c>
      <c r="J1676" s="8">
        <v>2.9</v>
      </c>
      <c r="K1676" s="8" t="s">
        <v>436</v>
      </c>
      <c r="L1676" s="8" t="s">
        <v>322</v>
      </c>
      <c r="M1676" s="8" t="s">
        <v>740</v>
      </c>
      <c r="N1676" s="8">
        <v>2.2</v>
      </c>
      <c r="O1676" s="14">
        <f t="shared" si="1"/>
        <v>44256</v>
      </c>
      <c r="P1676" s="15">
        <f>IFERROR(VLOOKUP(K1676,Formula!$A$11:$B$20,2,FALSE),Formula!$C$26)</f>
        <v>0.95</v>
      </c>
      <c r="Q1676" s="15">
        <f>IF(AND(ISNUMBER(J1676),J1676&gt;0),1/J1676,IF(AND(ISNUMBER(I1676),I1676&gt;0),SQRT(MIN(I1676,Formula!$C$27))/Formula!$C$24,1/Formula!$C$25))</f>
        <v>0.3448275862</v>
      </c>
      <c r="R1676" s="15">
        <f t="shared" si="2"/>
        <v>0.3275862069</v>
      </c>
      <c r="S1676" s="15">
        <f>IF(H1676&lt;&gt;"",EXP(-Formula!$C$28*(EOMONTH(H1676,0)-H1676)),EXP(-Formula!$C$28*(EOMONTH(D1676,0)-D1676)))</f>
        <v>0.2231301601</v>
      </c>
      <c r="T1676" s="15">
        <f t="shared" si="3"/>
        <v>0.1924500897</v>
      </c>
      <c r="U1676" s="15">
        <f t="shared" si="4"/>
        <v>0.01406701668</v>
      </c>
      <c r="V1676" s="16">
        <f>IF(AND(L1676="Among all respondents",NOT(OR(K1676="Online poll in Telegram channel",K1676="Website online poll",K1676="CAWI (Computer Assisted Web Interviewing)"))),1/(1-MIN(MAX(Formula!$C$33+(YEAR(D1676)-Formula!$C$34)/(Formula!$C$35-Formula!$C$34)*(Formula!$C$32-Formula!$C$33),Formula!$C$33),Formula!$C$32)),1)</f>
        <v>1</v>
      </c>
      <c r="W1676" s="17">
        <f t="shared" si="5"/>
        <v>2.2</v>
      </c>
    </row>
    <row r="1677" ht="15.75" customHeight="1">
      <c r="A1677" s="8" t="s">
        <v>2533</v>
      </c>
      <c r="B1677" s="7" t="s">
        <v>2521</v>
      </c>
      <c r="C1677" s="13" t="s">
        <v>2522</v>
      </c>
      <c r="D1677" s="7" t="s">
        <v>223</v>
      </c>
      <c r="E1677" s="8" t="s">
        <v>72</v>
      </c>
      <c r="F1677" s="8" t="s">
        <v>318</v>
      </c>
      <c r="G1677" s="7" t="s">
        <v>2523</v>
      </c>
      <c r="H1677" s="7" t="s">
        <v>216</v>
      </c>
      <c r="I1677" s="8">
        <v>1207.0</v>
      </c>
      <c r="J1677" s="8">
        <v>2.9</v>
      </c>
      <c r="K1677" s="8" t="s">
        <v>436</v>
      </c>
      <c r="L1677" s="8" t="s">
        <v>322</v>
      </c>
      <c r="M1677" s="8" t="s">
        <v>335</v>
      </c>
      <c r="N1677" s="8">
        <v>0.7</v>
      </c>
      <c r="O1677" s="14">
        <f t="shared" si="1"/>
        <v>44256</v>
      </c>
      <c r="P1677" s="15">
        <f>IFERROR(VLOOKUP(K1677,Formula!$A$11:$B$20,2,FALSE),Formula!$C$26)</f>
        <v>0.95</v>
      </c>
      <c r="Q1677" s="15">
        <f>IF(AND(ISNUMBER(J1677),J1677&gt;0),1/J1677,IF(AND(ISNUMBER(I1677),I1677&gt;0),SQRT(MIN(I1677,Formula!$C$27))/Formula!$C$24,1/Formula!$C$25))</f>
        <v>0.3448275862</v>
      </c>
      <c r="R1677" s="15">
        <f t="shared" si="2"/>
        <v>0.3275862069</v>
      </c>
      <c r="S1677" s="15">
        <f>IF(H1677&lt;&gt;"",EXP(-Formula!$C$28*(EOMONTH(H1677,0)-H1677)),EXP(-Formula!$C$28*(EOMONTH(D1677,0)-D1677)))</f>
        <v>0.2231301601</v>
      </c>
      <c r="T1677" s="15">
        <f t="shared" si="3"/>
        <v>0.1924500897</v>
      </c>
      <c r="U1677" s="15">
        <f t="shared" si="4"/>
        <v>0.01406701668</v>
      </c>
      <c r="V1677" s="16">
        <f>IF(AND(L1677="Among all respondents",NOT(OR(K1677="Online poll in Telegram channel",K1677="Website online poll",K1677="CAWI (Computer Assisted Web Interviewing)"))),1/(1-MIN(MAX(Formula!$C$33+(YEAR(D1677)-Formula!$C$34)/(Formula!$C$35-Formula!$C$34)*(Formula!$C$32-Formula!$C$33),Formula!$C$33),Formula!$C$32)),1)</f>
        <v>1</v>
      </c>
      <c r="W1677" s="17">
        <f t="shared" si="5"/>
        <v>0.7</v>
      </c>
    </row>
    <row r="1678" ht="15.75" customHeight="1">
      <c r="A1678" s="8" t="s">
        <v>2534</v>
      </c>
      <c r="B1678" s="7" t="s">
        <v>2521</v>
      </c>
      <c r="C1678" s="13" t="s">
        <v>2522</v>
      </c>
      <c r="D1678" s="7" t="s">
        <v>223</v>
      </c>
      <c r="E1678" s="8" t="s">
        <v>72</v>
      </c>
      <c r="F1678" s="8" t="s">
        <v>318</v>
      </c>
      <c r="G1678" s="7" t="s">
        <v>2523</v>
      </c>
      <c r="H1678" s="7" t="s">
        <v>216</v>
      </c>
      <c r="I1678" s="8">
        <v>1207.0</v>
      </c>
      <c r="J1678" s="8">
        <v>2.9</v>
      </c>
      <c r="K1678" s="8" t="s">
        <v>436</v>
      </c>
      <c r="L1678" s="8" t="s">
        <v>322</v>
      </c>
      <c r="M1678" s="8" t="s">
        <v>1171</v>
      </c>
      <c r="N1678" s="8">
        <v>0.4</v>
      </c>
      <c r="O1678" s="14">
        <f t="shared" si="1"/>
        <v>44256</v>
      </c>
      <c r="P1678" s="15">
        <f>IFERROR(VLOOKUP(K1678,Formula!$A$11:$B$20,2,FALSE),Formula!$C$26)</f>
        <v>0.95</v>
      </c>
      <c r="Q1678" s="15">
        <f>IF(AND(ISNUMBER(J1678),J1678&gt;0),1/J1678,IF(AND(ISNUMBER(I1678),I1678&gt;0),SQRT(MIN(I1678,Formula!$C$27))/Formula!$C$24,1/Formula!$C$25))</f>
        <v>0.3448275862</v>
      </c>
      <c r="R1678" s="15">
        <f t="shared" si="2"/>
        <v>0.3275862069</v>
      </c>
      <c r="S1678" s="15">
        <f>IF(H1678&lt;&gt;"",EXP(-Formula!$C$28*(EOMONTH(H1678,0)-H1678)),EXP(-Formula!$C$28*(EOMONTH(D1678,0)-D1678)))</f>
        <v>0.2231301601</v>
      </c>
      <c r="T1678" s="15">
        <f t="shared" si="3"/>
        <v>0.1924500897</v>
      </c>
      <c r="U1678" s="15">
        <f t="shared" si="4"/>
        <v>0.01406701668</v>
      </c>
      <c r="V1678" s="16">
        <f>IF(AND(L1678="Among all respondents",NOT(OR(K1678="Online poll in Telegram channel",K1678="Website online poll",K1678="CAWI (Computer Assisted Web Interviewing)"))),1/(1-MIN(MAX(Formula!$C$33+(YEAR(D1678)-Formula!$C$34)/(Formula!$C$35-Formula!$C$34)*(Formula!$C$32-Formula!$C$33),Formula!$C$33),Formula!$C$32)),1)</f>
        <v>1</v>
      </c>
      <c r="W1678" s="17">
        <f t="shared" si="5"/>
        <v>0.4</v>
      </c>
    </row>
    <row r="1679" ht="15.75" customHeight="1">
      <c r="A1679" s="8" t="s">
        <v>2535</v>
      </c>
      <c r="B1679" s="7" t="s">
        <v>2521</v>
      </c>
      <c r="C1679" s="13" t="s">
        <v>2522</v>
      </c>
      <c r="D1679" s="7" t="s">
        <v>223</v>
      </c>
      <c r="E1679" s="8" t="s">
        <v>72</v>
      </c>
      <c r="F1679" s="8" t="s">
        <v>318</v>
      </c>
      <c r="G1679" s="7" t="s">
        <v>2523</v>
      </c>
      <c r="H1679" s="7" t="s">
        <v>216</v>
      </c>
      <c r="I1679" s="8">
        <v>1207.0</v>
      </c>
      <c r="J1679" s="8">
        <v>2.9</v>
      </c>
      <c r="K1679" s="8" t="s">
        <v>436</v>
      </c>
      <c r="L1679" s="8" t="s">
        <v>322</v>
      </c>
      <c r="M1679" s="8" t="s">
        <v>1663</v>
      </c>
      <c r="N1679" s="8">
        <v>0.2</v>
      </c>
      <c r="O1679" s="14">
        <f t="shared" si="1"/>
        <v>44256</v>
      </c>
      <c r="P1679" s="15">
        <f>IFERROR(VLOOKUP(K1679,Formula!$A$11:$B$20,2,FALSE),Formula!$C$26)</f>
        <v>0.95</v>
      </c>
      <c r="Q1679" s="15">
        <f>IF(AND(ISNUMBER(J1679),J1679&gt;0),1/J1679,IF(AND(ISNUMBER(I1679),I1679&gt;0),SQRT(MIN(I1679,Formula!$C$27))/Formula!$C$24,1/Formula!$C$25))</f>
        <v>0.3448275862</v>
      </c>
      <c r="R1679" s="15">
        <f t="shared" si="2"/>
        <v>0.3275862069</v>
      </c>
      <c r="S1679" s="15">
        <f>IF(H1679&lt;&gt;"",EXP(-Formula!$C$28*(EOMONTH(H1679,0)-H1679)),EXP(-Formula!$C$28*(EOMONTH(D1679,0)-D1679)))</f>
        <v>0.2231301601</v>
      </c>
      <c r="T1679" s="15">
        <f t="shared" si="3"/>
        <v>0.1924500897</v>
      </c>
      <c r="U1679" s="15">
        <f t="shared" si="4"/>
        <v>0.01406701668</v>
      </c>
      <c r="V1679" s="16">
        <f>IF(AND(L1679="Among all respondents",NOT(OR(K1679="Online poll in Telegram channel",K1679="Website online poll",K1679="CAWI (Computer Assisted Web Interviewing)"))),1/(1-MIN(MAX(Formula!$C$33+(YEAR(D1679)-Formula!$C$34)/(Formula!$C$35-Formula!$C$34)*(Formula!$C$32-Formula!$C$33),Formula!$C$33),Formula!$C$32)),1)</f>
        <v>1</v>
      </c>
      <c r="W1679" s="17">
        <f t="shared" si="5"/>
        <v>0.2</v>
      </c>
    </row>
    <row r="1680" ht="15.75" customHeight="1">
      <c r="A1680" s="8" t="s">
        <v>2520</v>
      </c>
      <c r="B1680" s="7" t="s">
        <v>2521</v>
      </c>
      <c r="C1680" s="13" t="s">
        <v>2522</v>
      </c>
      <c r="D1680" s="7" t="s">
        <v>223</v>
      </c>
      <c r="E1680" s="8" t="s">
        <v>72</v>
      </c>
      <c r="F1680" s="8" t="s">
        <v>318</v>
      </c>
      <c r="G1680" s="7" t="s">
        <v>2523</v>
      </c>
      <c r="H1680" s="7" t="s">
        <v>216</v>
      </c>
      <c r="I1680" s="8">
        <v>1207.0</v>
      </c>
      <c r="J1680" s="8">
        <v>2.9</v>
      </c>
      <c r="K1680" s="8" t="s">
        <v>436</v>
      </c>
      <c r="L1680" s="8" t="s">
        <v>322</v>
      </c>
      <c r="M1680" s="8" t="s">
        <v>323</v>
      </c>
      <c r="N1680" s="8">
        <v>25.3</v>
      </c>
      <c r="O1680" s="14">
        <f t="shared" si="1"/>
        <v>44256</v>
      </c>
      <c r="P1680" s="15">
        <f>IFERROR(VLOOKUP(K1680,Formula!$A$11:$B$20,2,FALSE),Formula!$C$26)</f>
        <v>0.95</v>
      </c>
      <c r="Q1680" s="15">
        <f>IF(AND(ISNUMBER(J1680),J1680&gt;0),1/J1680,IF(AND(ISNUMBER(I1680),I1680&gt;0),SQRT(MIN(I1680,Formula!$C$27))/Formula!$C$24,1/Formula!$C$25))</f>
        <v>0.3448275862</v>
      </c>
      <c r="R1680" s="15">
        <f t="shared" si="2"/>
        <v>0.3275862069</v>
      </c>
      <c r="S1680" s="15">
        <f>IF(H1680&lt;&gt;"",EXP(-Formula!$C$28*(EOMONTH(H1680,0)-H1680)),EXP(-Formula!$C$28*(EOMONTH(D1680,0)-D1680)))</f>
        <v>0.2231301601</v>
      </c>
      <c r="T1680" s="15">
        <f t="shared" si="3"/>
        <v>0.1924500897</v>
      </c>
      <c r="U1680" s="15">
        <f t="shared" si="4"/>
        <v>0.01406701668</v>
      </c>
      <c r="V1680" s="16">
        <f>IF(AND(L1680="Among all respondents",NOT(OR(K1680="Online poll in Telegram channel",K1680="Website online poll",K1680="CAWI (Computer Assisted Web Interviewing)"))),1/(1-MIN(MAX(Formula!$C$33+(YEAR(D1680)-Formula!$C$34)/(Formula!$C$35-Formula!$C$34)*(Formula!$C$32-Formula!$C$33),Formula!$C$33),Formula!$C$32)),1)</f>
        <v>1</v>
      </c>
      <c r="W1680" s="17">
        <f t="shared" si="5"/>
        <v>25.3</v>
      </c>
    </row>
    <row r="1681" ht="15.75" customHeight="1">
      <c r="A1681" s="8" t="s">
        <v>2524</v>
      </c>
      <c r="B1681" s="7" t="s">
        <v>2521</v>
      </c>
      <c r="C1681" s="13" t="s">
        <v>2522</v>
      </c>
      <c r="D1681" s="7" t="s">
        <v>223</v>
      </c>
      <c r="E1681" s="8" t="s">
        <v>72</v>
      </c>
      <c r="F1681" s="8" t="s">
        <v>318</v>
      </c>
      <c r="G1681" s="7" t="s">
        <v>2523</v>
      </c>
      <c r="H1681" s="7" t="s">
        <v>216</v>
      </c>
      <c r="I1681" s="8">
        <v>1207.0</v>
      </c>
      <c r="J1681" s="8">
        <v>2.9</v>
      </c>
      <c r="K1681" s="8" t="s">
        <v>436</v>
      </c>
      <c r="L1681" s="8" t="s">
        <v>322</v>
      </c>
      <c r="M1681" s="8" t="s">
        <v>365</v>
      </c>
      <c r="N1681" s="8">
        <v>14.7</v>
      </c>
      <c r="O1681" s="14">
        <f t="shared" si="1"/>
        <v>44256</v>
      </c>
      <c r="P1681" s="15">
        <f>IFERROR(VLOOKUP(K1681,Formula!$A$11:$B$20,2,FALSE),Formula!$C$26)</f>
        <v>0.95</v>
      </c>
      <c r="Q1681" s="15">
        <f>IF(AND(ISNUMBER(J1681),J1681&gt;0),1/J1681,IF(AND(ISNUMBER(I1681),I1681&gt;0),SQRT(MIN(I1681,Formula!$C$27))/Formula!$C$24,1/Formula!$C$25))</f>
        <v>0.3448275862</v>
      </c>
      <c r="R1681" s="15">
        <f t="shared" si="2"/>
        <v>0.3275862069</v>
      </c>
      <c r="S1681" s="15">
        <f>IF(H1681&lt;&gt;"",EXP(-Formula!$C$28*(EOMONTH(H1681,0)-H1681)),EXP(-Formula!$C$28*(EOMONTH(D1681,0)-D1681)))</f>
        <v>0.2231301601</v>
      </c>
      <c r="T1681" s="15">
        <f t="shared" si="3"/>
        <v>0.1924500897</v>
      </c>
      <c r="U1681" s="15">
        <f t="shared" si="4"/>
        <v>0.01406701668</v>
      </c>
      <c r="V1681" s="16">
        <f>IF(AND(L1681="Among all respondents",NOT(OR(K1681="Online poll in Telegram channel",K1681="Website online poll",K1681="CAWI (Computer Assisted Web Interviewing)"))),1/(1-MIN(MAX(Formula!$C$33+(YEAR(D1681)-Formula!$C$34)/(Formula!$C$35-Formula!$C$34)*(Formula!$C$32-Formula!$C$33),Formula!$C$33),Formula!$C$32)),1)</f>
        <v>1</v>
      </c>
      <c r="W1681" s="17">
        <f t="shared" si="5"/>
        <v>14.7</v>
      </c>
    </row>
    <row r="1682" ht="15.75" customHeight="1">
      <c r="A1682" s="8" t="s">
        <v>2525</v>
      </c>
      <c r="B1682" s="7" t="s">
        <v>2521</v>
      </c>
      <c r="C1682" s="13" t="s">
        <v>2522</v>
      </c>
      <c r="D1682" s="7" t="s">
        <v>223</v>
      </c>
      <c r="E1682" s="8" t="s">
        <v>72</v>
      </c>
      <c r="F1682" s="8" t="s">
        <v>318</v>
      </c>
      <c r="G1682" s="7" t="s">
        <v>2523</v>
      </c>
      <c r="H1682" s="7" t="s">
        <v>216</v>
      </c>
      <c r="I1682" s="8">
        <v>1207.0</v>
      </c>
      <c r="J1682" s="8">
        <v>2.9</v>
      </c>
      <c r="K1682" s="8" t="s">
        <v>436</v>
      </c>
      <c r="L1682" s="8" t="s">
        <v>322</v>
      </c>
      <c r="M1682" s="8" t="s">
        <v>329</v>
      </c>
      <c r="N1682" s="8">
        <v>14.0</v>
      </c>
      <c r="O1682" s="14">
        <f t="shared" si="1"/>
        <v>44256</v>
      </c>
      <c r="P1682" s="15">
        <f>IFERROR(VLOOKUP(K1682,Formula!$A$11:$B$20,2,FALSE),Formula!$C$26)</f>
        <v>0.95</v>
      </c>
      <c r="Q1682" s="15">
        <f>IF(AND(ISNUMBER(J1682),J1682&gt;0),1/J1682,IF(AND(ISNUMBER(I1682),I1682&gt;0),SQRT(MIN(I1682,Formula!$C$27))/Formula!$C$24,1/Formula!$C$25))</f>
        <v>0.3448275862</v>
      </c>
      <c r="R1682" s="15">
        <f t="shared" si="2"/>
        <v>0.3275862069</v>
      </c>
      <c r="S1682" s="15">
        <f>IF(H1682&lt;&gt;"",EXP(-Formula!$C$28*(EOMONTH(H1682,0)-H1682)),EXP(-Formula!$C$28*(EOMONTH(D1682,0)-D1682)))</f>
        <v>0.2231301601</v>
      </c>
      <c r="T1682" s="15">
        <f t="shared" si="3"/>
        <v>0.1924500897</v>
      </c>
      <c r="U1682" s="15">
        <f t="shared" si="4"/>
        <v>0.01406701668</v>
      </c>
      <c r="V1682" s="16">
        <f>IF(AND(L1682="Among all respondents",NOT(OR(K1682="Online poll in Telegram channel",K1682="Website online poll",K1682="CAWI (Computer Assisted Web Interviewing)"))),1/(1-MIN(MAX(Formula!$C$33+(YEAR(D1682)-Formula!$C$34)/(Formula!$C$35-Formula!$C$34)*(Formula!$C$32-Formula!$C$33),Formula!$C$33),Formula!$C$32)),1)</f>
        <v>1</v>
      </c>
      <c r="W1682" s="17">
        <f t="shared" si="5"/>
        <v>14</v>
      </c>
    </row>
    <row r="1683" ht="15.75" customHeight="1">
      <c r="A1683" s="8" t="s">
        <v>2526</v>
      </c>
      <c r="B1683" s="7" t="s">
        <v>2521</v>
      </c>
      <c r="C1683" s="13" t="s">
        <v>2522</v>
      </c>
      <c r="D1683" s="7" t="s">
        <v>223</v>
      </c>
      <c r="E1683" s="8" t="s">
        <v>72</v>
      </c>
      <c r="F1683" s="8" t="s">
        <v>318</v>
      </c>
      <c r="G1683" s="7" t="s">
        <v>2523</v>
      </c>
      <c r="H1683" s="7" t="s">
        <v>216</v>
      </c>
      <c r="I1683" s="8">
        <v>1207.0</v>
      </c>
      <c r="J1683" s="8">
        <v>2.9</v>
      </c>
      <c r="K1683" s="8" t="s">
        <v>436</v>
      </c>
      <c r="L1683" s="8" t="s">
        <v>322</v>
      </c>
      <c r="M1683" s="8" t="s">
        <v>337</v>
      </c>
      <c r="N1683" s="8">
        <v>11.9</v>
      </c>
      <c r="O1683" s="14">
        <f t="shared" si="1"/>
        <v>44256</v>
      </c>
      <c r="P1683" s="15">
        <f>IFERROR(VLOOKUP(K1683,Formula!$A$11:$B$20,2,FALSE),Formula!$C$26)</f>
        <v>0.95</v>
      </c>
      <c r="Q1683" s="15">
        <f>IF(AND(ISNUMBER(J1683),J1683&gt;0),1/J1683,IF(AND(ISNUMBER(I1683),I1683&gt;0),SQRT(MIN(I1683,Formula!$C$27))/Formula!$C$24,1/Formula!$C$25))</f>
        <v>0.3448275862</v>
      </c>
      <c r="R1683" s="15">
        <f t="shared" si="2"/>
        <v>0.3275862069</v>
      </c>
      <c r="S1683" s="15">
        <f>IF(H1683&lt;&gt;"",EXP(-Formula!$C$28*(EOMONTH(H1683,0)-H1683)),EXP(-Formula!$C$28*(EOMONTH(D1683,0)-D1683)))</f>
        <v>0.2231301601</v>
      </c>
      <c r="T1683" s="15">
        <f t="shared" si="3"/>
        <v>0.1924500897</v>
      </c>
      <c r="U1683" s="15">
        <f t="shared" si="4"/>
        <v>0.01406701668</v>
      </c>
      <c r="V1683" s="16">
        <f>IF(AND(L1683="Among all respondents",NOT(OR(K1683="Online poll in Telegram channel",K1683="Website online poll",K1683="CAWI (Computer Assisted Web Interviewing)"))),1/(1-MIN(MAX(Formula!$C$33+(YEAR(D1683)-Formula!$C$34)/(Formula!$C$35-Formula!$C$34)*(Formula!$C$32-Formula!$C$33),Formula!$C$33),Formula!$C$32)),1)</f>
        <v>1</v>
      </c>
      <c r="W1683" s="17">
        <f t="shared" si="5"/>
        <v>11.9</v>
      </c>
    </row>
    <row r="1684" ht="15.75" customHeight="1">
      <c r="A1684" s="8" t="s">
        <v>2527</v>
      </c>
      <c r="B1684" s="7" t="s">
        <v>2521</v>
      </c>
      <c r="C1684" s="13" t="s">
        <v>2522</v>
      </c>
      <c r="D1684" s="7" t="s">
        <v>223</v>
      </c>
      <c r="E1684" s="8" t="s">
        <v>72</v>
      </c>
      <c r="F1684" s="8" t="s">
        <v>318</v>
      </c>
      <c r="G1684" s="7" t="s">
        <v>2523</v>
      </c>
      <c r="H1684" s="7" t="s">
        <v>216</v>
      </c>
      <c r="I1684" s="8">
        <v>1207.0</v>
      </c>
      <c r="J1684" s="8">
        <v>2.9</v>
      </c>
      <c r="K1684" s="8" t="s">
        <v>436</v>
      </c>
      <c r="L1684" s="8" t="s">
        <v>322</v>
      </c>
      <c r="M1684" s="8" t="s">
        <v>828</v>
      </c>
      <c r="N1684" s="8">
        <v>8.4</v>
      </c>
      <c r="O1684" s="14">
        <f t="shared" si="1"/>
        <v>44256</v>
      </c>
      <c r="P1684" s="15">
        <f>IFERROR(VLOOKUP(K1684,Formula!$A$11:$B$20,2,FALSE),Formula!$C$26)</f>
        <v>0.95</v>
      </c>
      <c r="Q1684" s="15">
        <f>IF(AND(ISNUMBER(J1684),J1684&gt;0),1/J1684,IF(AND(ISNUMBER(I1684),I1684&gt;0),SQRT(MIN(I1684,Formula!$C$27))/Formula!$C$24,1/Formula!$C$25))</f>
        <v>0.3448275862</v>
      </c>
      <c r="R1684" s="15">
        <f t="shared" si="2"/>
        <v>0.3275862069</v>
      </c>
      <c r="S1684" s="15">
        <f>IF(H1684&lt;&gt;"",EXP(-Formula!$C$28*(EOMONTH(H1684,0)-H1684)),EXP(-Formula!$C$28*(EOMONTH(D1684,0)-D1684)))</f>
        <v>0.2231301601</v>
      </c>
      <c r="T1684" s="15">
        <f t="shared" si="3"/>
        <v>0.1924500897</v>
      </c>
      <c r="U1684" s="15">
        <f t="shared" si="4"/>
        <v>0.01406701668</v>
      </c>
      <c r="V1684" s="16">
        <f>IF(AND(L1684="Among all respondents",NOT(OR(K1684="Online poll in Telegram channel",K1684="Website online poll",K1684="CAWI (Computer Assisted Web Interviewing)"))),1/(1-MIN(MAX(Formula!$C$33+(YEAR(D1684)-Formula!$C$34)/(Formula!$C$35-Formula!$C$34)*(Formula!$C$32-Formula!$C$33),Formula!$C$33),Formula!$C$32)),1)</f>
        <v>1</v>
      </c>
      <c r="W1684" s="17">
        <f t="shared" si="5"/>
        <v>8.4</v>
      </c>
    </row>
    <row r="1685" ht="15.75" customHeight="1">
      <c r="A1685" s="8" t="s">
        <v>2528</v>
      </c>
      <c r="B1685" s="7" t="s">
        <v>2521</v>
      </c>
      <c r="C1685" s="13" t="s">
        <v>2522</v>
      </c>
      <c r="D1685" s="7" t="s">
        <v>223</v>
      </c>
      <c r="E1685" s="8" t="s">
        <v>72</v>
      </c>
      <c r="F1685" s="8" t="s">
        <v>318</v>
      </c>
      <c r="G1685" s="7" t="s">
        <v>2523</v>
      </c>
      <c r="H1685" s="7" t="s">
        <v>216</v>
      </c>
      <c r="I1685" s="8">
        <v>1207.0</v>
      </c>
      <c r="J1685" s="8">
        <v>2.9</v>
      </c>
      <c r="K1685" s="8" t="s">
        <v>436</v>
      </c>
      <c r="L1685" s="8" t="s">
        <v>322</v>
      </c>
      <c r="M1685" s="8" t="s">
        <v>386</v>
      </c>
      <c r="N1685" s="8">
        <v>5.4</v>
      </c>
      <c r="O1685" s="14">
        <f t="shared" si="1"/>
        <v>44256</v>
      </c>
      <c r="P1685" s="15">
        <f>IFERROR(VLOOKUP(K1685,Formula!$A$11:$B$20,2,FALSE),Formula!$C$26)</f>
        <v>0.95</v>
      </c>
      <c r="Q1685" s="15">
        <f>IF(AND(ISNUMBER(J1685),J1685&gt;0),1/J1685,IF(AND(ISNUMBER(I1685),I1685&gt;0),SQRT(MIN(I1685,Formula!$C$27))/Formula!$C$24,1/Formula!$C$25))</f>
        <v>0.3448275862</v>
      </c>
      <c r="R1685" s="15">
        <f t="shared" si="2"/>
        <v>0.3275862069</v>
      </c>
      <c r="S1685" s="15">
        <f>IF(H1685&lt;&gt;"",EXP(-Formula!$C$28*(EOMONTH(H1685,0)-H1685)),EXP(-Formula!$C$28*(EOMONTH(D1685,0)-D1685)))</f>
        <v>0.2231301601</v>
      </c>
      <c r="T1685" s="15">
        <f t="shared" si="3"/>
        <v>0.1924500897</v>
      </c>
      <c r="U1685" s="15">
        <f t="shared" si="4"/>
        <v>0.01406701668</v>
      </c>
      <c r="V1685" s="16">
        <f>IF(AND(L1685="Among all respondents",NOT(OR(K1685="Online poll in Telegram channel",K1685="Website online poll",K1685="CAWI (Computer Assisted Web Interviewing)"))),1/(1-MIN(MAX(Formula!$C$33+(YEAR(D1685)-Formula!$C$34)/(Formula!$C$35-Formula!$C$34)*(Formula!$C$32-Formula!$C$33),Formula!$C$33),Formula!$C$32)),1)</f>
        <v>1</v>
      </c>
      <c r="W1685" s="17">
        <f t="shared" si="5"/>
        <v>5.4</v>
      </c>
    </row>
    <row r="1686" ht="15.75" customHeight="1">
      <c r="A1686" s="8" t="s">
        <v>2529</v>
      </c>
      <c r="B1686" s="7" t="s">
        <v>2521</v>
      </c>
      <c r="C1686" s="13" t="s">
        <v>2522</v>
      </c>
      <c r="D1686" s="7" t="s">
        <v>223</v>
      </c>
      <c r="E1686" s="8" t="s">
        <v>72</v>
      </c>
      <c r="F1686" s="8" t="s">
        <v>318</v>
      </c>
      <c r="G1686" s="7" t="s">
        <v>2523</v>
      </c>
      <c r="H1686" s="7" t="s">
        <v>216</v>
      </c>
      <c r="I1686" s="8">
        <v>1207.0</v>
      </c>
      <c r="J1686" s="8">
        <v>2.9</v>
      </c>
      <c r="K1686" s="8" t="s">
        <v>436</v>
      </c>
      <c r="L1686" s="8" t="s">
        <v>322</v>
      </c>
      <c r="M1686" s="8" t="s">
        <v>388</v>
      </c>
      <c r="N1686" s="8">
        <v>4.1</v>
      </c>
      <c r="O1686" s="14">
        <f t="shared" si="1"/>
        <v>44256</v>
      </c>
      <c r="P1686" s="15">
        <f>IFERROR(VLOOKUP(K1686,Formula!$A$11:$B$20,2,FALSE),Formula!$C$26)</f>
        <v>0.95</v>
      </c>
      <c r="Q1686" s="15">
        <f>IF(AND(ISNUMBER(J1686),J1686&gt;0),1/J1686,IF(AND(ISNUMBER(I1686),I1686&gt;0),SQRT(MIN(I1686,Formula!$C$27))/Formula!$C$24,1/Formula!$C$25))</f>
        <v>0.3448275862</v>
      </c>
      <c r="R1686" s="15">
        <f t="shared" si="2"/>
        <v>0.3275862069</v>
      </c>
      <c r="S1686" s="15">
        <f>IF(H1686&lt;&gt;"",EXP(-Formula!$C$28*(EOMONTH(H1686,0)-H1686)),EXP(-Formula!$C$28*(EOMONTH(D1686,0)-D1686)))</f>
        <v>0.2231301601</v>
      </c>
      <c r="T1686" s="15">
        <f t="shared" si="3"/>
        <v>0.1924500897</v>
      </c>
      <c r="U1686" s="15">
        <f t="shared" si="4"/>
        <v>0.01406701668</v>
      </c>
      <c r="V1686" s="16">
        <f>IF(AND(L1686="Among all respondents",NOT(OR(K1686="Online poll in Telegram channel",K1686="Website online poll",K1686="CAWI (Computer Assisted Web Interviewing)"))),1/(1-MIN(MAX(Formula!$C$33+(YEAR(D1686)-Formula!$C$34)/(Formula!$C$35-Formula!$C$34)*(Formula!$C$32-Formula!$C$33),Formula!$C$33),Formula!$C$32)),1)</f>
        <v>1</v>
      </c>
      <c r="W1686" s="17">
        <f t="shared" si="5"/>
        <v>4.1</v>
      </c>
    </row>
    <row r="1687" ht="15.75" customHeight="1">
      <c r="A1687" s="8" t="s">
        <v>2530</v>
      </c>
      <c r="B1687" s="7" t="s">
        <v>2521</v>
      </c>
      <c r="C1687" s="13" t="s">
        <v>2522</v>
      </c>
      <c r="D1687" s="7" t="s">
        <v>223</v>
      </c>
      <c r="E1687" s="8" t="s">
        <v>72</v>
      </c>
      <c r="F1687" s="8" t="s">
        <v>318</v>
      </c>
      <c r="G1687" s="7" t="s">
        <v>2523</v>
      </c>
      <c r="H1687" s="7" t="s">
        <v>216</v>
      </c>
      <c r="I1687" s="8">
        <v>1207.0</v>
      </c>
      <c r="J1687" s="8">
        <v>2.9</v>
      </c>
      <c r="K1687" s="8" t="s">
        <v>436</v>
      </c>
      <c r="L1687" s="8" t="s">
        <v>322</v>
      </c>
      <c r="M1687" s="8" t="s">
        <v>333</v>
      </c>
      <c r="N1687" s="8">
        <v>4.0</v>
      </c>
      <c r="O1687" s="14">
        <f t="shared" si="1"/>
        <v>44256</v>
      </c>
      <c r="P1687" s="15">
        <f>IFERROR(VLOOKUP(K1687,Formula!$A$11:$B$20,2,FALSE),Formula!$C$26)</f>
        <v>0.95</v>
      </c>
      <c r="Q1687" s="15">
        <f>IF(AND(ISNUMBER(J1687),J1687&gt;0),1/J1687,IF(AND(ISNUMBER(I1687),I1687&gt;0),SQRT(MIN(I1687,Formula!$C$27))/Formula!$C$24,1/Formula!$C$25))</f>
        <v>0.3448275862</v>
      </c>
      <c r="R1687" s="15">
        <f t="shared" si="2"/>
        <v>0.3275862069</v>
      </c>
      <c r="S1687" s="15">
        <f>IF(H1687&lt;&gt;"",EXP(-Formula!$C$28*(EOMONTH(H1687,0)-H1687)),EXP(-Formula!$C$28*(EOMONTH(D1687,0)-D1687)))</f>
        <v>0.2231301601</v>
      </c>
      <c r="T1687" s="15">
        <f t="shared" si="3"/>
        <v>0.1924500897</v>
      </c>
      <c r="U1687" s="15">
        <f t="shared" si="4"/>
        <v>0.01406701668</v>
      </c>
      <c r="V1687" s="16">
        <f>IF(AND(L1687="Among all respondents",NOT(OR(K1687="Online poll in Telegram channel",K1687="Website online poll",K1687="CAWI (Computer Assisted Web Interviewing)"))),1/(1-MIN(MAX(Formula!$C$33+(YEAR(D1687)-Formula!$C$34)/(Formula!$C$35-Formula!$C$34)*(Formula!$C$32-Formula!$C$33),Formula!$C$33),Formula!$C$32)),1)</f>
        <v>1</v>
      </c>
      <c r="W1687" s="17">
        <f t="shared" si="5"/>
        <v>4</v>
      </c>
    </row>
    <row r="1688" ht="15.75" customHeight="1">
      <c r="A1688" s="8" t="s">
        <v>2536</v>
      </c>
      <c r="B1688" s="7" t="s">
        <v>2521</v>
      </c>
      <c r="C1688" s="13" t="s">
        <v>2522</v>
      </c>
      <c r="D1688" s="7" t="s">
        <v>223</v>
      </c>
      <c r="E1688" s="8" t="s">
        <v>72</v>
      </c>
      <c r="F1688" s="8" t="s">
        <v>318</v>
      </c>
      <c r="G1688" s="7" t="s">
        <v>2523</v>
      </c>
      <c r="H1688" s="7" t="s">
        <v>216</v>
      </c>
      <c r="I1688" s="8">
        <v>1207.0</v>
      </c>
      <c r="J1688" s="8">
        <v>2.9</v>
      </c>
      <c r="K1688" s="8" t="s">
        <v>436</v>
      </c>
      <c r="L1688" s="8" t="s">
        <v>322</v>
      </c>
      <c r="M1688" s="8" t="s">
        <v>1334</v>
      </c>
      <c r="N1688" s="8">
        <v>3.8</v>
      </c>
      <c r="O1688" s="14">
        <f t="shared" si="1"/>
        <v>44256</v>
      </c>
      <c r="P1688" s="15">
        <f>IFERROR(VLOOKUP(K1688,Formula!$A$11:$B$20,2,FALSE),Formula!$C$26)</f>
        <v>0.95</v>
      </c>
      <c r="Q1688" s="15">
        <f>IF(AND(ISNUMBER(J1688),J1688&gt;0),1/J1688,IF(AND(ISNUMBER(I1688),I1688&gt;0),SQRT(MIN(I1688,Formula!$C$27))/Formula!$C$24,1/Formula!$C$25))</f>
        <v>0.3448275862</v>
      </c>
      <c r="R1688" s="15">
        <f t="shared" si="2"/>
        <v>0.3275862069</v>
      </c>
      <c r="S1688" s="15">
        <f>IF(H1688&lt;&gt;"",EXP(-Formula!$C$28*(EOMONTH(H1688,0)-H1688)),EXP(-Formula!$C$28*(EOMONTH(D1688,0)-D1688)))</f>
        <v>0.2231301601</v>
      </c>
      <c r="T1688" s="15">
        <f t="shared" si="3"/>
        <v>0.1924500897</v>
      </c>
      <c r="U1688" s="15">
        <f t="shared" si="4"/>
        <v>0.01406701668</v>
      </c>
      <c r="V1688" s="16">
        <f>IF(AND(L1688="Among all respondents",NOT(OR(K1688="Online poll in Telegram channel",K1688="Website online poll",K1688="CAWI (Computer Assisted Web Interviewing)"))),1/(1-MIN(MAX(Formula!$C$33+(YEAR(D1688)-Formula!$C$34)/(Formula!$C$35-Formula!$C$34)*(Formula!$C$32-Formula!$C$33),Formula!$C$33),Formula!$C$32)),1)</f>
        <v>1</v>
      </c>
      <c r="W1688" s="17">
        <f t="shared" si="5"/>
        <v>3.8</v>
      </c>
    </row>
    <row r="1689" ht="15.75" customHeight="1">
      <c r="A1689" s="8" t="s">
        <v>2531</v>
      </c>
      <c r="B1689" s="7" t="s">
        <v>2521</v>
      </c>
      <c r="C1689" s="13" t="s">
        <v>2522</v>
      </c>
      <c r="D1689" s="7" t="s">
        <v>223</v>
      </c>
      <c r="E1689" s="8" t="s">
        <v>72</v>
      </c>
      <c r="F1689" s="8" t="s">
        <v>318</v>
      </c>
      <c r="G1689" s="7" t="s">
        <v>2523</v>
      </c>
      <c r="H1689" s="7" t="s">
        <v>216</v>
      </c>
      <c r="I1689" s="8">
        <v>1207.0</v>
      </c>
      <c r="J1689" s="8">
        <v>2.9</v>
      </c>
      <c r="K1689" s="8" t="s">
        <v>436</v>
      </c>
      <c r="L1689" s="8" t="s">
        <v>322</v>
      </c>
      <c r="M1689" s="8" t="s">
        <v>343</v>
      </c>
      <c r="N1689" s="8">
        <v>3.0</v>
      </c>
      <c r="O1689" s="14">
        <f t="shared" si="1"/>
        <v>44256</v>
      </c>
      <c r="P1689" s="15">
        <f>IFERROR(VLOOKUP(K1689,Formula!$A$11:$B$20,2,FALSE),Formula!$C$26)</f>
        <v>0.95</v>
      </c>
      <c r="Q1689" s="15">
        <f>IF(AND(ISNUMBER(J1689),J1689&gt;0),1/J1689,IF(AND(ISNUMBER(I1689),I1689&gt;0),SQRT(MIN(I1689,Formula!$C$27))/Formula!$C$24,1/Formula!$C$25))</f>
        <v>0.3448275862</v>
      </c>
      <c r="R1689" s="15">
        <f t="shared" si="2"/>
        <v>0.3275862069</v>
      </c>
      <c r="S1689" s="15">
        <f>IF(H1689&lt;&gt;"",EXP(-Formula!$C$28*(EOMONTH(H1689,0)-H1689)),EXP(-Formula!$C$28*(EOMONTH(D1689,0)-D1689)))</f>
        <v>0.2231301601</v>
      </c>
      <c r="T1689" s="15">
        <f t="shared" si="3"/>
        <v>0.1924500897</v>
      </c>
      <c r="U1689" s="15">
        <f t="shared" si="4"/>
        <v>0.01406701668</v>
      </c>
      <c r="V1689" s="16">
        <f>IF(AND(L1689="Among all respondents",NOT(OR(K1689="Online poll in Telegram channel",K1689="Website online poll",K1689="CAWI (Computer Assisted Web Interviewing)"))),1/(1-MIN(MAX(Formula!$C$33+(YEAR(D1689)-Formula!$C$34)/(Formula!$C$35-Formula!$C$34)*(Formula!$C$32-Formula!$C$33),Formula!$C$33),Formula!$C$32)),1)</f>
        <v>1</v>
      </c>
      <c r="W1689" s="17">
        <f t="shared" si="5"/>
        <v>3</v>
      </c>
    </row>
    <row r="1690" ht="15.75" customHeight="1">
      <c r="A1690" s="8" t="s">
        <v>2532</v>
      </c>
      <c r="B1690" s="7" t="s">
        <v>2521</v>
      </c>
      <c r="C1690" s="13" t="s">
        <v>2522</v>
      </c>
      <c r="D1690" s="7" t="s">
        <v>223</v>
      </c>
      <c r="E1690" s="8" t="s">
        <v>72</v>
      </c>
      <c r="F1690" s="8" t="s">
        <v>318</v>
      </c>
      <c r="G1690" s="7" t="s">
        <v>2523</v>
      </c>
      <c r="H1690" s="7" t="s">
        <v>216</v>
      </c>
      <c r="I1690" s="8">
        <v>1207.0</v>
      </c>
      <c r="J1690" s="8">
        <v>2.9</v>
      </c>
      <c r="K1690" s="8" t="s">
        <v>436</v>
      </c>
      <c r="L1690" s="8" t="s">
        <v>322</v>
      </c>
      <c r="M1690" s="8" t="s">
        <v>740</v>
      </c>
      <c r="N1690" s="8">
        <v>1.9</v>
      </c>
      <c r="O1690" s="14">
        <f t="shared" si="1"/>
        <v>44256</v>
      </c>
      <c r="P1690" s="15">
        <f>IFERROR(VLOOKUP(K1690,Formula!$A$11:$B$20,2,FALSE),Formula!$C$26)</f>
        <v>0.95</v>
      </c>
      <c r="Q1690" s="15">
        <f>IF(AND(ISNUMBER(J1690),J1690&gt;0),1/J1690,IF(AND(ISNUMBER(I1690),I1690&gt;0),SQRT(MIN(I1690,Formula!$C$27))/Formula!$C$24,1/Formula!$C$25))</f>
        <v>0.3448275862</v>
      </c>
      <c r="R1690" s="15">
        <f t="shared" si="2"/>
        <v>0.3275862069</v>
      </c>
      <c r="S1690" s="15">
        <f>IF(H1690&lt;&gt;"",EXP(-Formula!$C$28*(EOMONTH(H1690,0)-H1690)),EXP(-Formula!$C$28*(EOMONTH(D1690,0)-D1690)))</f>
        <v>0.2231301601</v>
      </c>
      <c r="T1690" s="15">
        <f t="shared" si="3"/>
        <v>0.1924500897</v>
      </c>
      <c r="U1690" s="15">
        <f t="shared" si="4"/>
        <v>0.01406701668</v>
      </c>
      <c r="V1690" s="16">
        <f>IF(AND(L1690="Among all respondents",NOT(OR(K1690="Online poll in Telegram channel",K1690="Website online poll",K1690="CAWI (Computer Assisted Web Interviewing)"))),1/(1-MIN(MAX(Formula!$C$33+(YEAR(D1690)-Formula!$C$34)/(Formula!$C$35-Formula!$C$34)*(Formula!$C$32-Formula!$C$33),Formula!$C$33),Formula!$C$32)),1)</f>
        <v>1</v>
      </c>
      <c r="W1690" s="17">
        <f t="shared" si="5"/>
        <v>1.9</v>
      </c>
    </row>
    <row r="1691" ht="15.75" customHeight="1">
      <c r="A1691" s="8" t="s">
        <v>2533</v>
      </c>
      <c r="B1691" s="7" t="s">
        <v>2521</v>
      </c>
      <c r="C1691" s="13" t="s">
        <v>2522</v>
      </c>
      <c r="D1691" s="7" t="s">
        <v>223</v>
      </c>
      <c r="E1691" s="8" t="s">
        <v>72</v>
      </c>
      <c r="F1691" s="8" t="s">
        <v>318</v>
      </c>
      <c r="G1691" s="7" t="s">
        <v>2523</v>
      </c>
      <c r="H1691" s="7" t="s">
        <v>216</v>
      </c>
      <c r="I1691" s="8">
        <v>1207.0</v>
      </c>
      <c r="J1691" s="8">
        <v>2.9</v>
      </c>
      <c r="K1691" s="8" t="s">
        <v>436</v>
      </c>
      <c r="L1691" s="8" t="s">
        <v>322</v>
      </c>
      <c r="M1691" s="8" t="s">
        <v>335</v>
      </c>
      <c r="N1691" s="8">
        <v>0.6</v>
      </c>
      <c r="O1691" s="14">
        <f t="shared" si="1"/>
        <v>44256</v>
      </c>
      <c r="P1691" s="15">
        <f>IFERROR(VLOOKUP(K1691,Formula!$A$11:$B$20,2,FALSE),Formula!$C$26)</f>
        <v>0.95</v>
      </c>
      <c r="Q1691" s="15">
        <f>IF(AND(ISNUMBER(J1691),J1691&gt;0),1/J1691,IF(AND(ISNUMBER(I1691),I1691&gt;0),SQRT(MIN(I1691,Formula!$C$27))/Formula!$C$24,1/Formula!$C$25))</f>
        <v>0.3448275862</v>
      </c>
      <c r="R1691" s="15">
        <f t="shared" si="2"/>
        <v>0.3275862069</v>
      </c>
      <c r="S1691" s="15">
        <f>IF(H1691&lt;&gt;"",EXP(-Formula!$C$28*(EOMONTH(H1691,0)-H1691)),EXP(-Formula!$C$28*(EOMONTH(D1691,0)-D1691)))</f>
        <v>0.2231301601</v>
      </c>
      <c r="T1691" s="15">
        <f t="shared" si="3"/>
        <v>0.1924500897</v>
      </c>
      <c r="U1691" s="15">
        <f t="shared" si="4"/>
        <v>0.01406701668</v>
      </c>
      <c r="V1691" s="16">
        <f>IF(AND(L1691="Among all respondents",NOT(OR(K1691="Online poll in Telegram channel",K1691="Website online poll",K1691="CAWI (Computer Assisted Web Interviewing)"))),1/(1-MIN(MAX(Formula!$C$33+(YEAR(D1691)-Formula!$C$34)/(Formula!$C$35-Formula!$C$34)*(Formula!$C$32-Formula!$C$33),Formula!$C$33),Formula!$C$32)),1)</f>
        <v>1</v>
      </c>
      <c r="W1691" s="17">
        <f t="shared" si="5"/>
        <v>0.6</v>
      </c>
    </row>
    <row r="1692" ht="15.75" customHeight="1">
      <c r="A1692" s="8" t="s">
        <v>2535</v>
      </c>
      <c r="B1692" s="7" t="s">
        <v>2521</v>
      </c>
      <c r="C1692" s="13" t="s">
        <v>2522</v>
      </c>
      <c r="D1692" s="7" t="s">
        <v>223</v>
      </c>
      <c r="E1692" s="8" t="s">
        <v>72</v>
      </c>
      <c r="F1692" s="8" t="s">
        <v>318</v>
      </c>
      <c r="G1692" s="7" t="s">
        <v>2523</v>
      </c>
      <c r="H1692" s="7" t="s">
        <v>216</v>
      </c>
      <c r="I1692" s="8">
        <v>1207.0</v>
      </c>
      <c r="J1692" s="8">
        <v>2.9</v>
      </c>
      <c r="K1692" s="8" t="s">
        <v>436</v>
      </c>
      <c r="L1692" s="8" t="s">
        <v>322</v>
      </c>
      <c r="M1692" s="8" t="s">
        <v>1663</v>
      </c>
      <c r="N1692" s="8">
        <v>0.2</v>
      </c>
      <c r="O1692" s="14">
        <f t="shared" si="1"/>
        <v>44256</v>
      </c>
      <c r="P1692" s="15">
        <f>IFERROR(VLOOKUP(K1692,Formula!$A$11:$B$20,2,FALSE),Formula!$C$26)</f>
        <v>0.95</v>
      </c>
      <c r="Q1692" s="15">
        <f>IF(AND(ISNUMBER(J1692),J1692&gt;0),1/J1692,IF(AND(ISNUMBER(I1692),I1692&gt;0),SQRT(MIN(I1692,Formula!$C$27))/Formula!$C$24,1/Formula!$C$25))</f>
        <v>0.3448275862</v>
      </c>
      <c r="R1692" s="15">
        <f t="shared" si="2"/>
        <v>0.3275862069</v>
      </c>
      <c r="S1692" s="15">
        <f>IF(H1692&lt;&gt;"",EXP(-Formula!$C$28*(EOMONTH(H1692,0)-H1692)),EXP(-Formula!$C$28*(EOMONTH(D1692,0)-D1692)))</f>
        <v>0.2231301601</v>
      </c>
      <c r="T1692" s="15">
        <f t="shared" si="3"/>
        <v>0.1924500897</v>
      </c>
      <c r="U1692" s="15">
        <f t="shared" si="4"/>
        <v>0.01406701668</v>
      </c>
      <c r="V1692" s="16">
        <f>IF(AND(L1692="Among all respondents",NOT(OR(K1692="Online poll in Telegram channel",K1692="Website online poll",K1692="CAWI (Computer Assisted Web Interviewing)"))),1/(1-MIN(MAX(Formula!$C$33+(YEAR(D1692)-Formula!$C$34)/(Formula!$C$35-Formula!$C$34)*(Formula!$C$32-Formula!$C$33),Formula!$C$33),Formula!$C$32)),1)</f>
        <v>1</v>
      </c>
      <c r="W1692" s="17">
        <f t="shared" si="5"/>
        <v>0.2</v>
      </c>
    </row>
    <row r="1693" ht="15.75" customHeight="1">
      <c r="A1693" s="8" t="s">
        <v>2534</v>
      </c>
      <c r="B1693" s="7" t="s">
        <v>2521</v>
      </c>
      <c r="C1693" s="13" t="s">
        <v>2522</v>
      </c>
      <c r="D1693" s="7" t="s">
        <v>223</v>
      </c>
      <c r="E1693" s="8" t="s">
        <v>72</v>
      </c>
      <c r="F1693" s="8" t="s">
        <v>318</v>
      </c>
      <c r="G1693" s="7" t="s">
        <v>2523</v>
      </c>
      <c r="H1693" s="7" t="s">
        <v>216</v>
      </c>
      <c r="I1693" s="8">
        <v>1207.0</v>
      </c>
      <c r="J1693" s="8">
        <v>2.9</v>
      </c>
      <c r="K1693" s="8" t="s">
        <v>436</v>
      </c>
      <c r="L1693" s="8" t="s">
        <v>322</v>
      </c>
      <c r="M1693" s="8" t="s">
        <v>1171</v>
      </c>
      <c r="N1693" s="8">
        <v>0.1</v>
      </c>
      <c r="O1693" s="14">
        <f t="shared" si="1"/>
        <v>44256</v>
      </c>
      <c r="P1693" s="15">
        <f>IFERROR(VLOOKUP(K1693,Formula!$A$11:$B$20,2,FALSE),Formula!$C$26)</f>
        <v>0.95</v>
      </c>
      <c r="Q1693" s="15">
        <f>IF(AND(ISNUMBER(J1693),J1693&gt;0),1/J1693,IF(AND(ISNUMBER(I1693),I1693&gt;0),SQRT(MIN(I1693,Formula!$C$27))/Formula!$C$24,1/Formula!$C$25))</f>
        <v>0.3448275862</v>
      </c>
      <c r="R1693" s="15">
        <f t="shared" si="2"/>
        <v>0.3275862069</v>
      </c>
      <c r="S1693" s="15">
        <f>IF(H1693&lt;&gt;"",EXP(-Formula!$C$28*(EOMONTH(H1693,0)-H1693)),EXP(-Formula!$C$28*(EOMONTH(D1693,0)-D1693)))</f>
        <v>0.2231301601</v>
      </c>
      <c r="T1693" s="15">
        <f t="shared" si="3"/>
        <v>0.1924500897</v>
      </c>
      <c r="U1693" s="15">
        <f t="shared" si="4"/>
        <v>0.01406701668</v>
      </c>
      <c r="V1693" s="16">
        <f>IF(AND(L1693="Among all respondents",NOT(OR(K1693="Online poll in Telegram channel",K1693="Website online poll",K1693="CAWI (Computer Assisted Web Interviewing)"))),1/(1-MIN(MAX(Formula!$C$33+(YEAR(D1693)-Formula!$C$34)/(Formula!$C$35-Formula!$C$34)*(Formula!$C$32-Formula!$C$33),Formula!$C$33),Formula!$C$32)),1)</f>
        <v>1</v>
      </c>
      <c r="W1693" s="17">
        <f t="shared" si="5"/>
        <v>0.1</v>
      </c>
    </row>
    <row r="1694" ht="15.75" customHeight="1">
      <c r="A1694" s="8" t="s">
        <v>2537</v>
      </c>
      <c r="B1694" s="7" t="s">
        <v>2538</v>
      </c>
      <c r="C1694" s="13" t="s">
        <v>2539</v>
      </c>
      <c r="D1694" s="7" t="s">
        <v>223</v>
      </c>
      <c r="E1694" s="8" t="s">
        <v>40</v>
      </c>
      <c r="F1694" s="8" t="s">
        <v>318</v>
      </c>
      <c r="G1694" s="7" t="s">
        <v>2540</v>
      </c>
      <c r="H1694" s="7" t="s">
        <v>2468</v>
      </c>
      <c r="I1694" s="8">
        <v>2500.0</v>
      </c>
      <c r="J1694" s="8">
        <v>2.0</v>
      </c>
      <c r="K1694" s="8" t="s">
        <v>321</v>
      </c>
      <c r="L1694" s="8" t="s">
        <v>322</v>
      </c>
      <c r="M1694" s="8" t="s">
        <v>323</v>
      </c>
      <c r="N1694" s="8">
        <v>22.5</v>
      </c>
      <c r="O1694" s="14">
        <f t="shared" si="1"/>
        <v>44256</v>
      </c>
      <c r="P1694" s="15">
        <f>IFERROR(VLOOKUP(K1694,Formula!$A$11:$B$20,2,FALSE),Formula!$C$26)</f>
        <v>0.9</v>
      </c>
      <c r="Q1694" s="15">
        <f>IF(AND(ISNUMBER(J1694),J1694&gt;0),1/J1694,IF(AND(ISNUMBER(I1694),I1694&gt;0),SQRT(MIN(I1694,Formula!$C$27))/Formula!$C$24,1/Formula!$C$25))</f>
        <v>0.5</v>
      </c>
      <c r="R1694" s="15">
        <f t="shared" si="2"/>
        <v>0.45</v>
      </c>
      <c r="S1694" s="15">
        <f>IF(H1694&lt;&gt;"",EXP(-Formula!$C$28*(EOMONTH(H1694,0)-H1694)),EXP(-Formula!$C$28*(EOMONTH(D1694,0)-D1694)))</f>
        <v>0.2465969639</v>
      </c>
      <c r="T1694" s="15">
        <f t="shared" si="3"/>
        <v>0.1961161351</v>
      </c>
      <c r="U1694" s="15">
        <f t="shared" si="4"/>
        <v>0.02176273958</v>
      </c>
      <c r="V1694" s="16">
        <f>IF(AND(L1694="Among all respondents",NOT(OR(K1694="Online poll in Telegram channel",K1694="Website online poll",K1694="CAWI (Computer Assisted Web Interviewing)"))),1/(1-MIN(MAX(Formula!$C$33+(YEAR(D1694)-Formula!$C$34)/(Formula!$C$35-Formula!$C$34)*(Formula!$C$32-Formula!$C$33),Formula!$C$33),Formula!$C$32)),1)</f>
        <v>1</v>
      </c>
      <c r="W1694" s="17">
        <f t="shared" si="5"/>
        <v>22.5</v>
      </c>
    </row>
    <row r="1695" ht="15.75" customHeight="1">
      <c r="A1695" s="8" t="s">
        <v>2541</v>
      </c>
      <c r="B1695" s="7" t="s">
        <v>2538</v>
      </c>
      <c r="C1695" s="13" t="s">
        <v>2539</v>
      </c>
      <c r="D1695" s="7" t="s">
        <v>223</v>
      </c>
      <c r="E1695" s="8" t="s">
        <v>40</v>
      </c>
      <c r="F1695" s="8" t="s">
        <v>318</v>
      </c>
      <c r="G1695" s="7" t="s">
        <v>2540</v>
      </c>
      <c r="H1695" s="7" t="s">
        <v>2468</v>
      </c>
      <c r="I1695" s="8">
        <v>2500.0</v>
      </c>
      <c r="J1695" s="8">
        <v>2.0</v>
      </c>
      <c r="K1695" s="8" t="s">
        <v>321</v>
      </c>
      <c r="L1695" s="8" t="s">
        <v>322</v>
      </c>
      <c r="M1695" s="8" t="s">
        <v>329</v>
      </c>
      <c r="N1695" s="8">
        <v>14.6</v>
      </c>
      <c r="O1695" s="14">
        <f t="shared" si="1"/>
        <v>44256</v>
      </c>
      <c r="P1695" s="15">
        <f>IFERROR(VLOOKUP(K1695,Formula!$A$11:$B$20,2,FALSE),Formula!$C$26)</f>
        <v>0.9</v>
      </c>
      <c r="Q1695" s="15">
        <f>IF(AND(ISNUMBER(J1695),J1695&gt;0),1/J1695,IF(AND(ISNUMBER(I1695),I1695&gt;0),SQRT(MIN(I1695,Formula!$C$27))/Formula!$C$24,1/Formula!$C$25))</f>
        <v>0.5</v>
      </c>
      <c r="R1695" s="15">
        <f t="shared" si="2"/>
        <v>0.45</v>
      </c>
      <c r="S1695" s="15">
        <f>IF(H1695&lt;&gt;"",EXP(-Formula!$C$28*(EOMONTH(H1695,0)-H1695)),EXP(-Formula!$C$28*(EOMONTH(D1695,0)-D1695)))</f>
        <v>0.2465969639</v>
      </c>
      <c r="T1695" s="15">
        <f t="shared" si="3"/>
        <v>0.1961161351</v>
      </c>
      <c r="U1695" s="15">
        <f t="shared" si="4"/>
        <v>0.02176273958</v>
      </c>
      <c r="V1695" s="16">
        <f>IF(AND(L1695="Among all respondents",NOT(OR(K1695="Online poll in Telegram channel",K1695="Website online poll",K1695="CAWI (Computer Assisted Web Interviewing)"))),1/(1-MIN(MAX(Formula!$C$33+(YEAR(D1695)-Formula!$C$34)/(Formula!$C$35-Formula!$C$34)*(Formula!$C$32-Formula!$C$33),Formula!$C$33),Formula!$C$32)),1)</f>
        <v>1</v>
      </c>
      <c r="W1695" s="17">
        <f t="shared" si="5"/>
        <v>14.6</v>
      </c>
    </row>
    <row r="1696" ht="15.75" customHeight="1">
      <c r="A1696" s="8" t="s">
        <v>2542</v>
      </c>
      <c r="B1696" s="7" t="s">
        <v>2538</v>
      </c>
      <c r="C1696" s="13" t="s">
        <v>2539</v>
      </c>
      <c r="D1696" s="7" t="s">
        <v>223</v>
      </c>
      <c r="E1696" s="8" t="s">
        <v>40</v>
      </c>
      <c r="F1696" s="8" t="s">
        <v>318</v>
      </c>
      <c r="G1696" s="7" t="s">
        <v>2540</v>
      </c>
      <c r="H1696" s="7" t="s">
        <v>2468</v>
      </c>
      <c r="I1696" s="8">
        <v>2500.0</v>
      </c>
      <c r="J1696" s="8">
        <v>2.0</v>
      </c>
      <c r="K1696" s="8" t="s">
        <v>321</v>
      </c>
      <c r="L1696" s="8" t="s">
        <v>322</v>
      </c>
      <c r="M1696" s="8" t="s">
        <v>365</v>
      </c>
      <c r="N1696" s="8">
        <v>11.6</v>
      </c>
      <c r="O1696" s="14">
        <f t="shared" si="1"/>
        <v>44256</v>
      </c>
      <c r="P1696" s="15">
        <f>IFERROR(VLOOKUP(K1696,Formula!$A$11:$B$20,2,FALSE),Formula!$C$26)</f>
        <v>0.9</v>
      </c>
      <c r="Q1696" s="15">
        <f>IF(AND(ISNUMBER(J1696),J1696&gt;0),1/J1696,IF(AND(ISNUMBER(I1696),I1696&gt;0),SQRT(MIN(I1696,Formula!$C$27))/Formula!$C$24,1/Formula!$C$25))</f>
        <v>0.5</v>
      </c>
      <c r="R1696" s="15">
        <f t="shared" si="2"/>
        <v>0.45</v>
      </c>
      <c r="S1696" s="15">
        <f>IF(H1696&lt;&gt;"",EXP(-Formula!$C$28*(EOMONTH(H1696,0)-H1696)),EXP(-Formula!$C$28*(EOMONTH(D1696,0)-D1696)))</f>
        <v>0.2465969639</v>
      </c>
      <c r="T1696" s="15">
        <f t="shared" si="3"/>
        <v>0.1961161351</v>
      </c>
      <c r="U1696" s="15">
        <f t="shared" si="4"/>
        <v>0.02176273958</v>
      </c>
      <c r="V1696" s="16">
        <f>IF(AND(L1696="Among all respondents",NOT(OR(K1696="Online poll in Telegram channel",K1696="Website online poll",K1696="CAWI (Computer Assisted Web Interviewing)"))),1/(1-MIN(MAX(Formula!$C$33+(YEAR(D1696)-Formula!$C$34)/(Formula!$C$35-Formula!$C$34)*(Formula!$C$32-Formula!$C$33),Formula!$C$33),Formula!$C$32)),1)</f>
        <v>1</v>
      </c>
      <c r="W1696" s="17">
        <f t="shared" si="5"/>
        <v>11.6</v>
      </c>
    </row>
    <row r="1697" ht="15.75" customHeight="1">
      <c r="A1697" s="8" t="s">
        <v>2543</v>
      </c>
      <c r="B1697" s="7" t="s">
        <v>2538</v>
      </c>
      <c r="C1697" s="13" t="s">
        <v>2539</v>
      </c>
      <c r="D1697" s="7" t="s">
        <v>223</v>
      </c>
      <c r="E1697" s="8" t="s">
        <v>40</v>
      </c>
      <c r="F1697" s="8" t="s">
        <v>318</v>
      </c>
      <c r="G1697" s="7" t="s">
        <v>2540</v>
      </c>
      <c r="H1697" s="7" t="s">
        <v>2468</v>
      </c>
      <c r="I1697" s="8">
        <v>2500.0</v>
      </c>
      <c r="J1697" s="8">
        <v>2.0</v>
      </c>
      <c r="K1697" s="8" t="s">
        <v>321</v>
      </c>
      <c r="L1697" s="8" t="s">
        <v>322</v>
      </c>
      <c r="M1697" s="8" t="s">
        <v>337</v>
      </c>
      <c r="N1697" s="8">
        <v>11.3</v>
      </c>
      <c r="O1697" s="14">
        <f t="shared" si="1"/>
        <v>44256</v>
      </c>
      <c r="P1697" s="15">
        <f>IFERROR(VLOOKUP(K1697,Formula!$A$11:$B$20,2,FALSE),Formula!$C$26)</f>
        <v>0.9</v>
      </c>
      <c r="Q1697" s="15">
        <f>IF(AND(ISNUMBER(J1697),J1697&gt;0),1/J1697,IF(AND(ISNUMBER(I1697),I1697&gt;0),SQRT(MIN(I1697,Formula!$C$27))/Formula!$C$24,1/Formula!$C$25))</f>
        <v>0.5</v>
      </c>
      <c r="R1697" s="15">
        <f t="shared" si="2"/>
        <v>0.45</v>
      </c>
      <c r="S1697" s="15">
        <f>IF(H1697&lt;&gt;"",EXP(-Formula!$C$28*(EOMONTH(H1697,0)-H1697)),EXP(-Formula!$C$28*(EOMONTH(D1697,0)-D1697)))</f>
        <v>0.2465969639</v>
      </c>
      <c r="T1697" s="15">
        <f t="shared" si="3"/>
        <v>0.1961161351</v>
      </c>
      <c r="U1697" s="15">
        <f t="shared" si="4"/>
        <v>0.02176273958</v>
      </c>
      <c r="V1697" s="16">
        <f>IF(AND(L1697="Among all respondents",NOT(OR(K1697="Online poll in Telegram channel",K1697="Website online poll",K1697="CAWI (Computer Assisted Web Interviewing)"))),1/(1-MIN(MAX(Formula!$C$33+(YEAR(D1697)-Formula!$C$34)/(Formula!$C$35-Formula!$C$34)*(Formula!$C$32-Formula!$C$33),Formula!$C$33),Formula!$C$32)),1)</f>
        <v>1</v>
      </c>
      <c r="W1697" s="17">
        <f t="shared" si="5"/>
        <v>11.3</v>
      </c>
    </row>
    <row r="1698" ht="15.75" customHeight="1">
      <c r="A1698" s="8" t="s">
        <v>2544</v>
      </c>
      <c r="B1698" s="7" t="s">
        <v>2538</v>
      </c>
      <c r="C1698" s="13" t="s">
        <v>2539</v>
      </c>
      <c r="D1698" s="7" t="s">
        <v>223</v>
      </c>
      <c r="E1698" s="8" t="s">
        <v>40</v>
      </c>
      <c r="F1698" s="8" t="s">
        <v>318</v>
      </c>
      <c r="G1698" s="7" t="s">
        <v>2540</v>
      </c>
      <c r="H1698" s="7" t="s">
        <v>2468</v>
      </c>
      <c r="I1698" s="8">
        <v>2500.0</v>
      </c>
      <c r="J1698" s="8">
        <v>2.0</v>
      </c>
      <c r="K1698" s="8" t="s">
        <v>321</v>
      </c>
      <c r="L1698" s="8" t="s">
        <v>322</v>
      </c>
      <c r="M1698" s="8" t="s">
        <v>828</v>
      </c>
      <c r="N1698" s="8">
        <v>8.0</v>
      </c>
      <c r="O1698" s="14">
        <f t="shared" si="1"/>
        <v>44256</v>
      </c>
      <c r="P1698" s="15">
        <f>IFERROR(VLOOKUP(K1698,Formula!$A$11:$B$20,2,FALSE),Formula!$C$26)</f>
        <v>0.9</v>
      </c>
      <c r="Q1698" s="15">
        <f>IF(AND(ISNUMBER(J1698),J1698&gt;0),1/J1698,IF(AND(ISNUMBER(I1698),I1698&gt;0),SQRT(MIN(I1698,Formula!$C$27))/Formula!$C$24,1/Formula!$C$25))</f>
        <v>0.5</v>
      </c>
      <c r="R1698" s="15">
        <f t="shared" si="2"/>
        <v>0.45</v>
      </c>
      <c r="S1698" s="15">
        <f>IF(H1698&lt;&gt;"",EXP(-Formula!$C$28*(EOMONTH(H1698,0)-H1698)),EXP(-Formula!$C$28*(EOMONTH(D1698,0)-D1698)))</f>
        <v>0.2465969639</v>
      </c>
      <c r="T1698" s="15">
        <f t="shared" si="3"/>
        <v>0.1961161351</v>
      </c>
      <c r="U1698" s="15">
        <f t="shared" si="4"/>
        <v>0.02176273958</v>
      </c>
      <c r="V1698" s="16">
        <f>IF(AND(L1698="Among all respondents",NOT(OR(K1698="Online poll in Telegram channel",K1698="Website online poll",K1698="CAWI (Computer Assisted Web Interviewing)"))),1/(1-MIN(MAX(Formula!$C$33+(YEAR(D1698)-Formula!$C$34)/(Formula!$C$35-Formula!$C$34)*(Formula!$C$32-Formula!$C$33),Formula!$C$33),Formula!$C$32)),1)</f>
        <v>1</v>
      </c>
      <c r="W1698" s="17">
        <f t="shared" si="5"/>
        <v>8</v>
      </c>
    </row>
    <row r="1699" ht="15.75" customHeight="1">
      <c r="A1699" s="8" t="s">
        <v>2545</v>
      </c>
      <c r="B1699" s="7" t="s">
        <v>2538</v>
      </c>
      <c r="C1699" s="13" t="s">
        <v>2539</v>
      </c>
      <c r="D1699" s="7" t="s">
        <v>223</v>
      </c>
      <c r="E1699" s="8" t="s">
        <v>40</v>
      </c>
      <c r="F1699" s="8" t="s">
        <v>318</v>
      </c>
      <c r="G1699" s="7" t="s">
        <v>2540</v>
      </c>
      <c r="H1699" s="7" t="s">
        <v>2468</v>
      </c>
      <c r="I1699" s="8">
        <v>2500.0</v>
      </c>
      <c r="J1699" s="8">
        <v>2.0</v>
      </c>
      <c r="K1699" s="8" t="s">
        <v>321</v>
      </c>
      <c r="L1699" s="8" t="s">
        <v>322</v>
      </c>
      <c r="M1699" s="8" t="s">
        <v>386</v>
      </c>
      <c r="N1699" s="8">
        <v>6.6</v>
      </c>
      <c r="O1699" s="14">
        <f t="shared" si="1"/>
        <v>44256</v>
      </c>
      <c r="P1699" s="15">
        <f>IFERROR(VLOOKUP(K1699,Formula!$A$11:$B$20,2,FALSE),Formula!$C$26)</f>
        <v>0.9</v>
      </c>
      <c r="Q1699" s="15">
        <f>IF(AND(ISNUMBER(J1699),J1699&gt;0),1/J1699,IF(AND(ISNUMBER(I1699),I1699&gt;0),SQRT(MIN(I1699,Formula!$C$27))/Formula!$C$24,1/Formula!$C$25))</f>
        <v>0.5</v>
      </c>
      <c r="R1699" s="15">
        <f t="shared" si="2"/>
        <v>0.45</v>
      </c>
      <c r="S1699" s="15">
        <f>IF(H1699&lt;&gt;"",EXP(-Formula!$C$28*(EOMONTH(H1699,0)-H1699)),EXP(-Formula!$C$28*(EOMONTH(D1699,0)-D1699)))</f>
        <v>0.2465969639</v>
      </c>
      <c r="T1699" s="15">
        <f t="shared" si="3"/>
        <v>0.1961161351</v>
      </c>
      <c r="U1699" s="15">
        <f t="shared" si="4"/>
        <v>0.02176273958</v>
      </c>
      <c r="V1699" s="16">
        <f>IF(AND(L1699="Among all respondents",NOT(OR(K1699="Online poll in Telegram channel",K1699="Website online poll",K1699="CAWI (Computer Assisted Web Interviewing)"))),1/(1-MIN(MAX(Formula!$C$33+(YEAR(D1699)-Formula!$C$34)/(Formula!$C$35-Formula!$C$34)*(Formula!$C$32-Formula!$C$33),Formula!$C$33),Formula!$C$32)),1)</f>
        <v>1</v>
      </c>
      <c r="W1699" s="17">
        <f t="shared" si="5"/>
        <v>6.6</v>
      </c>
    </row>
    <row r="1700" ht="15.75" customHeight="1">
      <c r="A1700" s="8" t="s">
        <v>2546</v>
      </c>
      <c r="B1700" s="7" t="s">
        <v>2538</v>
      </c>
      <c r="C1700" s="13" t="s">
        <v>2539</v>
      </c>
      <c r="D1700" s="7" t="s">
        <v>223</v>
      </c>
      <c r="E1700" s="8" t="s">
        <v>40</v>
      </c>
      <c r="F1700" s="8" t="s">
        <v>318</v>
      </c>
      <c r="G1700" s="7" t="s">
        <v>2540</v>
      </c>
      <c r="H1700" s="7" t="s">
        <v>2468</v>
      </c>
      <c r="I1700" s="8">
        <v>2500.0</v>
      </c>
      <c r="J1700" s="8">
        <v>2.0</v>
      </c>
      <c r="K1700" s="8" t="s">
        <v>321</v>
      </c>
      <c r="L1700" s="8" t="s">
        <v>322</v>
      </c>
      <c r="M1700" s="8" t="s">
        <v>1153</v>
      </c>
      <c r="N1700" s="8">
        <v>4.6</v>
      </c>
      <c r="O1700" s="14">
        <f t="shared" si="1"/>
        <v>44256</v>
      </c>
      <c r="P1700" s="15">
        <f>IFERROR(VLOOKUP(K1700,Formula!$A$11:$B$20,2,FALSE),Formula!$C$26)</f>
        <v>0.9</v>
      </c>
      <c r="Q1700" s="15">
        <f>IF(AND(ISNUMBER(J1700),J1700&gt;0),1/J1700,IF(AND(ISNUMBER(I1700),I1700&gt;0),SQRT(MIN(I1700,Formula!$C$27))/Formula!$C$24,1/Formula!$C$25))</f>
        <v>0.5</v>
      </c>
      <c r="R1700" s="15">
        <f t="shared" si="2"/>
        <v>0.45</v>
      </c>
      <c r="S1700" s="15">
        <f>IF(H1700&lt;&gt;"",EXP(-Formula!$C$28*(EOMONTH(H1700,0)-H1700)),EXP(-Formula!$C$28*(EOMONTH(D1700,0)-D1700)))</f>
        <v>0.2465969639</v>
      </c>
      <c r="T1700" s="15">
        <f t="shared" si="3"/>
        <v>0.1961161351</v>
      </c>
      <c r="U1700" s="15">
        <f t="shared" si="4"/>
        <v>0.02176273958</v>
      </c>
      <c r="V1700" s="16">
        <f>IF(AND(L1700="Among all respondents",NOT(OR(K1700="Online poll in Telegram channel",K1700="Website online poll",K1700="CAWI (Computer Assisted Web Interviewing)"))),1/(1-MIN(MAX(Formula!$C$33+(YEAR(D1700)-Formula!$C$34)/(Formula!$C$35-Formula!$C$34)*(Formula!$C$32-Formula!$C$33),Formula!$C$33),Formula!$C$32)),1)</f>
        <v>1</v>
      </c>
      <c r="W1700" s="17">
        <f t="shared" si="5"/>
        <v>4.6</v>
      </c>
    </row>
    <row r="1701" ht="15.75" customHeight="1">
      <c r="A1701" s="8" t="s">
        <v>2547</v>
      </c>
      <c r="B1701" s="7" t="s">
        <v>2538</v>
      </c>
      <c r="C1701" s="13" t="s">
        <v>2539</v>
      </c>
      <c r="D1701" s="7" t="s">
        <v>223</v>
      </c>
      <c r="E1701" s="8" t="s">
        <v>40</v>
      </c>
      <c r="F1701" s="8" t="s">
        <v>318</v>
      </c>
      <c r="G1701" s="7" t="s">
        <v>2540</v>
      </c>
      <c r="H1701" s="7" t="s">
        <v>2468</v>
      </c>
      <c r="I1701" s="8">
        <v>2500.0</v>
      </c>
      <c r="J1701" s="8">
        <v>2.0</v>
      </c>
      <c r="K1701" s="8" t="s">
        <v>321</v>
      </c>
      <c r="L1701" s="8" t="s">
        <v>322</v>
      </c>
      <c r="M1701" s="8" t="s">
        <v>388</v>
      </c>
      <c r="N1701" s="8">
        <v>4.4</v>
      </c>
      <c r="O1701" s="14">
        <f t="shared" si="1"/>
        <v>44256</v>
      </c>
      <c r="P1701" s="15">
        <f>IFERROR(VLOOKUP(K1701,Formula!$A$11:$B$20,2,FALSE),Formula!$C$26)</f>
        <v>0.9</v>
      </c>
      <c r="Q1701" s="15">
        <f>IF(AND(ISNUMBER(J1701),J1701&gt;0),1/J1701,IF(AND(ISNUMBER(I1701),I1701&gt;0),SQRT(MIN(I1701,Formula!$C$27))/Formula!$C$24,1/Formula!$C$25))</f>
        <v>0.5</v>
      </c>
      <c r="R1701" s="15">
        <f t="shared" si="2"/>
        <v>0.45</v>
      </c>
      <c r="S1701" s="15">
        <f>IF(H1701&lt;&gt;"",EXP(-Formula!$C$28*(EOMONTH(H1701,0)-H1701)),EXP(-Formula!$C$28*(EOMONTH(D1701,0)-D1701)))</f>
        <v>0.2465969639</v>
      </c>
      <c r="T1701" s="15">
        <f t="shared" si="3"/>
        <v>0.1961161351</v>
      </c>
      <c r="U1701" s="15">
        <f t="shared" si="4"/>
        <v>0.02176273958</v>
      </c>
      <c r="V1701" s="16">
        <f>IF(AND(L1701="Among all respondents",NOT(OR(K1701="Online poll in Telegram channel",K1701="Website online poll",K1701="CAWI (Computer Assisted Web Interviewing)"))),1/(1-MIN(MAX(Formula!$C$33+(YEAR(D1701)-Formula!$C$34)/(Formula!$C$35-Formula!$C$34)*(Formula!$C$32-Formula!$C$33),Formula!$C$33),Formula!$C$32)),1)</f>
        <v>1</v>
      </c>
      <c r="W1701" s="17">
        <f t="shared" si="5"/>
        <v>4.4</v>
      </c>
    </row>
    <row r="1702" ht="15.75" customHeight="1">
      <c r="A1702" s="8" t="s">
        <v>2548</v>
      </c>
      <c r="B1702" s="7" t="s">
        <v>2538</v>
      </c>
      <c r="C1702" s="13" t="s">
        <v>2539</v>
      </c>
      <c r="D1702" s="7" t="s">
        <v>223</v>
      </c>
      <c r="E1702" s="8" t="s">
        <v>40</v>
      </c>
      <c r="F1702" s="8" t="s">
        <v>318</v>
      </c>
      <c r="G1702" s="7" t="s">
        <v>2540</v>
      </c>
      <c r="H1702" s="7" t="s">
        <v>2468</v>
      </c>
      <c r="I1702" s="8">
        <v>2500.0</v>
      </c>
      <c r="J1702" s="8">
        <v>2.0</v>
      </c>
      <c r="K1702" s="8" t="s">
        <v>321</v>
      </c>
      <c r="L1702" s="8" t="s">
        <v>322</v>
      </c>
      <c r="M1702" s="8" t="s">
        <v>333</v>
      </c>
      <c r="N1702" s="8">
        <v>4.2</v>
      </c>
      <c r="O1702" s="14">
        <f t="shared" si="1"/>
        <v>44256</v>
      </c>
      <c r="P1702" s="15">
        <f>IFERROR(VLOOKUP(K1702,Formula!$A$11:$B$20,2,FALSE),Formula!$C$26)</f>
        <v>0.9</v>
      </c>
      <c r="Q1702" s="15">
        <f>IF(AND(ISNUMBER(J1702),J1702&gt;0),1/J1702,IF(AND(ISNUMBER(I1702),I1702&gt;0),SQRT(MIN(I1702,Formula!$C$27))/Formula!$C$24,1/Formula!$C$25))</f>
        <v>0.5</v>
      </c>
      <c r="R1702" s="15">
        <f t="shared" si="2"/>
        <v>0.45</v>
      </c>
      <c r="S1702" s="15">
        <f>IF(H1702&lt;&gt;"",EXP(-Formula!$C$28*(EOMONTH(H1702,0)-H1702)),EXP(-Formula!$C$28*(EOMONTH(D1702,0)-D1702)))</f>
        <v>0.2465969639</v>
      </c>
      <c r="T1702" s="15">
        <f t="shared" si="3"/>
        <v>0.1961161351</v>
      </c>
      <c r="U1702" s="15">
        <f t="shared" si="4"/>
        <v>0.02176273958</v>
      </c>
      <c r="V1702" s="16">
        <f>IF(AND(L1702="Among all respondents",NOT(OR(K1702="Online poll in Telegram channel",K1702="Website online poll",K1702="CAWI (Computer Assisted Web Interviewing)"))),1/(1-MIN(MAX(Formula!$C$33+(YEAR(D1702)-Formula!$C$34)/(Formula!$C$35-Formula!$C$34)*(Formula!$C$32-Formula!$C$33),Formula!$C$33),Formula!$C$32)),1)</f>
        <v>1</v>
      </c>
      <c r="W1702" s="17">
        <f t="shared" si="5"/>
        <v>4.2</v>
      </c>
    </row>
    <row r="1703" ht="15.75" customHeight="1">
      <c r="A1703" s="8" t="s">
        <v>2549</v>
      </c>
      <c r="B1703" s="7" t="s">
        <v>2538</v>
      </c>
      <c r="C1703" s="13" t="s">
        <v>2539</v>
      </c>
      <c r="D1703" s="7" t="s">
        <v>223</v>
      </c>
      <c r="E1703" s="8" t="s">
        <v>40</v>
      </c>
      <c r="F1703" s="8" t="s">
        <v>318</v>
      </c>
      <c r="G1703" s="7" t="s">
        <v>2540</v>
      </c>
      <c r="H1703" s="7" t="s">
        <v>2468</v>
      </c>
      <c r="I1703" s="8">
        <v>2500.0</v>
      </c>
      <c r="J1703" s="8">
        <v>2.0</v>
      </c>
      <c r="K1703" s="8" t="s">
        <v>321</v>
      </c>
      <c r="L1703" s="8" t="s">
        <v>322</v>
      </c>
      <c r="M1703" s="8" t="s">
        <v>743</v>
      </c>
      <c r="N1703" s="8">
        <v>2.9</v>
      </c>
      <c r="O1703" s="14">
        <f t="shared" si="1"/>
        <v>44256</v>
      </c>
      <c r="P1703" s="15">
        <f>IFERROR(VLOOKUP(K1703,Formula!$A$11:$B$20,2,FALSE),Formula!$C$26)</f>
        <v>0.9</v>
      </c>
      <c r="Q1703" s="15">
        <f>IF(AND(ISNUMBER(J1703),J1703&gt;0),1/J1703,IF(AND(ISNUMBER(I1703),I1703&gt;0),SQRT(MIN(I1703,Formula!$C$27))/Formula!$C$24,1/Formula!$C$25))</f>
        <v>0.5</v>
      </c>
      <c r="R1703" s="15">
        <f t="shared" si="2"/>
        <v>0.45</v>
      </c>
      <c r="S1703" s="15">
        <f>IF(H1703&lt;&gt;"",EXP(-Formula!$C$28*(EOMONTH(H1703,0)-H1703)),EXP(-Formula!$C$28*(EOMONTH(D1703,0)-D1703)))</f>
        <v>0.2465969639</v>
      </c>
      <c r="T1703" s="15">
        <f t="shared" si="3"/>
        <v>0.1961161351</v>
      </c>
      <c r="U1703" s="15">
        <f t="shared" si="4"/>
        <v>0.02176273958</v>
      </c>
      <c r="V1703" s="16">
        <f>IF(AND(L1703="Among all respondents",NOT(OR(K1703="Online poll in Telegram channel",K1703="Website online poll",K1703="CAWI (Computer Assisted Web Interviewing)"))),1/(1-MIN(MAX(Formula!$C$33+(YEAR(D1703)-Formula!$C$34)/(Formula!$C$35-Formula!$C$34)*(Formula!$C$32-Formula!$C$33),Formula!$C$33),Formula!$C$32)),1)</f>
        <v>1</v>
      </c>
      <c r="W1703" s="17">
        <f t="shared" si="5"/>
        <v>2.9</v>
      </c>
    </row>
    <row r="1704" ht="15.75" customHeight="1">
      <c r="A1704" s="8" t="s">
        <v>2550</v>
      </c>
      <c r="B1704" s="7" t="s">
        <v>2538</v>
      </c>
      <c r="C1704" s="13" t="s">
        <v>2539</v>
      </c>
      <c r="D1704" s="7" t="s">
        <v>223</v>
      </c>
      <c r="E1704" s="8" t="s">
        <v>40</v>
      </c>
      <c r="F1704" s="8" t="s">
        <v>318</v>
      </c>
      <c r="G1704" s="7" t="s">
        <v>2540</v>
      </c>
      <c r="H1704" s="7" t="s">
        <v>2468</v>
      </c>
      <c r="I1704" s="8">
        <v>2500.0</v>
      </c>
      <c r="J1704" s="8">
        <v>2.0</v>
      </c>
      <c r="K1704" s="8" t="s">
        <v>321</v>
      </c>
      <c r="L1704" s="8" t="s">
        <v>322</v>
      </c>
      <c r="M1704" s="8" t="s">
        <v>343</v>
      </c>
      <c r="N1704" s="8">
        <v>1.7</v>
      </c>
      <c r="O1704" s="14">
        <f t="shared" si="1"/>
        <v>44256</v>
      </c>
      <c r="P1704" s="15">
        <f>IFERROR(VLOOKUP(K1704,Formula!$A$11:$B$20,2,FALSE),Formula!$C$26)</f>
        <v>0.9</v>
      </c>
      <c r="Q1704" s="15">
        <f>IF(AND(ISNUMBER(J1704),J1704&gt;0),1/J1704,IF(AND(ISNUMBER(I1704),I1704&gt;0),SQRT(MIN(I1704,Formula!$C$27))/Formula!$C$24,1/Formula!$C$25))</f>
        <v>0.5</v>
      </c>
      <c r="R1704" s="15">
        <f t="shared" si="2"/>
        <v>0.45</v>
      </c>
      <c r="S1704" s="15">
        <f>IF(H1704&lt;&gt;"",EXP(-Formula!$C$28*(EOMONTH(H1704,0)-H1704)),EXP(-Formula!$C$28*(EOMONTH(D1704,0)-D1704)))</f>
        <v>0.2465969639</v>
      </c>
      <c r="T1704" s="15">
        <f t="shared" si="3"/>
        <v>0.1961161351</v>
      </c>
      <c r="U1704" s="15">
        <f t="shared" si="4"/>
        <v>0.02176273958</v>
      </c>
      <c r="V1704" s="16">
        <f>IF(AND(L1704="Among all respondents",NOT(OR(K1704="Online poll in Telegram channel",K1704="Website online poll",K1704="CAWI (Computer Assisted Web Interviewing)"))),1/(1-MIN(MAX(Formula!$C$33+(YEAR(D1704)-Formula!$C$34)/(Formula!$C$35-Formula!$C$34)*(Formula!$C$32-Formula!$C$33),Formula!$C$33),Formula!$C$32)),1)</f>
        <v>1</v>
      </c>
      <c r="W1704" s="17">
        <f t="shared" si="5"/>
        <v>1.7</v>
      </c>
    </row>
    <row r="1705" ht="15.75" customHeight="1">
      <c r="A1705" s="8" t="s">
        <v>2551</v>
      </c>
      <c r="B1705" s="7" t="s">
        <v>2538</v>
      </c>
      <c r="C1705" s="13" t="s">
        <v>2539</v>
      </c>
      <c r="D1705" s="7" t="s">
        <v>223</v>
      </c>
      <c r="E1705" s="8" t="s">
        <v>40</v>
      </c>
      <c r="F1705" s="8" t="s">
        <v>318</v>
      </c>
      <c r="G1705" s="7" t="s">
        <v>2540</v>
      </c>
      <c r="H1705" s="7" t="s">
        <v>2468</v>
      </c>
      <c r="I1705" s="8">
        <v>2500.0</v>
      </c>
      <c r="J1705" s="8">
        <v>2.0</v>
      </c>
      <c r="K1705" s="8" t="s">
        <v>321</v>
      </c>
      <c r="L1705" s="8" t="s">
        <v>322</v>
      </c>
      <c r="M1705" s="8" t="s">
        <v>740</v>
      </c>
      <c r="N1705" s="8">
        <v>1.5</v>
      </c>
      <c r="O1705" s="14">
        <f t="shared" si="1"/>
        <v>44256</v>
      </c>
      <c r="P1705" s="15">
        <f>IFERROR(VLOOKUP(K1705,Formula!$A$11:$B$20,2,FALSE),Formula!$C$26)</f>
        <v>0.9</v>
      </c>
      <c r="Q1705" s="15">
        <f>IF(AND(ISNUMBER(J1705),J1705&gt;0),1/J1705,IF(AND(ISNUMBER(I1705),I1705&gt;0),SQRT(MIN(I1705,Formula!$C$27))/Formula!$C$24,1/Formula!$C$25))</f>
        <v>0.5</v>
      </c>
      <c r="R1705" s="15">
        <f t="shared" si="2"/>
        <v>0.45</v>
      </c>
      <c r="S1705" s="15">
        <f>IF(H1705&lt;&gt;"",EXP(-Formula!$C$28*(EOMONTH(H1705,0)-H1705)),EXP(-Formula!$C$28*(EOMONTH(D1705,0)-D1705)))</f>
        <v>0.2465969639</v>
      </c>
      <c r="T1705" s="15">
        <f t="shared" si="3"/>
        <v>0.1961161351</v>
      </c>
      <c r="U1705" s="15">
        <f t="shared" si="4"/>
        <v>0.02176273958</v>
      </c>
      <c r="V1705" s="16">
        <f>IF(AND(L1705="Among all respondents",NOT(OR(K1705="Online poll in Telegram channel",K1705="Website online poll",K1705="CAWI (Computer Assisted Web Interviewing)"))),1/(1-MIN(MAX(Formula!$C$33+(YEAR(D1705)-Formula!$C$34)/(Formula!$C$35-Formula!$C$34)*(Formula!$C$32-Formula!$C$33),Formula!$C$33),Formula!$C$32)),1)</f>
        <v>1</v>
      </c>
      <c r="W1705" s="17">
        <f t="shared" si="5"/>
        <v>1.5</v>
      </c>
    </row>
    <row r="1706" ht="15.75" customHeight="1">
      <c r="A1706" s="8" t="s">
        <v>2552</v>
      </c>
      <c r="B1706" s="7" t="s">
        <v>2538</v>
      </c>
      <c r="C1706" s="13" t="s">
        <v>2539</v>
      </c>
      <c r="D1706" s="7" t="s">
        <v>223</v>
      </c>
      <c r="E1706" s="8" t="s">
        <v>40</v>
      </c>
      <c r="F1706" s="8" t="s">
        <v>318</v>
      </c>
      <c r="G1706" s="7" t="s">
        <v>2540</v>
      </c>
      <c r="H1706" s="7" t="s">
        <v>2468</v>
      </c>
      <c r="I1706" s="8">
        <v>2500.0</v>
      </c>
      <c r="J1706" s="8">
        <v>2.0</v>
      </c>
      <c r="K1706" s="8" t="s">
        <v>321</v>
      </c>
      <c r="L1706" s="8" t="s">
        <v>322</v>
      </c>
      <c r="M1706" s="8" t="s">
        <v>1171</v>
      </c>
      <c r="N1706" s="8">
        <v>0.3</v>
      </c>
      <c r="O1706" s="14">
        <f t="shared" si="1"/>
        <v>44256</v>
      </c>
      <c r="P1706" s="15">
        <f>IFERROR(VLOOKUP(K1706,Formula!$A$11:$B$20,2,FALSE),Formula!$C$26)</f>
        <v>0.9</v>
      </c>
      <c r="Q1706" s="15">
        <f>IF(AND(ISNUMBER(J1706),J1706&gt;0),1/J1706,IF(AND(ISNUMBER(I1706),I1706&gt;0),SQRT(MIN(I1706,Formula!$C$27))/Formula!$C$24,1/Formula!$C$25))</f>
        <v>0.5</v>
      </c>
      <c r="R1706" s="15">
        <f t="shared" si="2"/>
        <v>0.45</v>
      </c>
      <c r="S1706" s="15">
        <f>IF(H1706&lt;&gt;"",EXP(-Formula!$C$28*(EOMONTH(H1706,0)-H1706)),EXP(-Formula!$C$28*(EOMONTH(D1706,0)-D1706)))</f>
        <v>0.2465969639</v>
      </c>
      <c r="T1706" s="15">
        <f t="shared" si="3"/>
        <v>0.1961161351</v>
      </c>
      <c r="U1706" s="15">
        <f t="shared" si="4"/>
        <v>0.02176273958</v>
      </c>
      <c r="V1706" s="16">
        <f>IF(AND(L1706="Among all respondents",NOT(OR(K1706="Online poll in Telegram channel",K1706="Website online poll",K1706="CAWI (Computer Assisted Web Interviewing)"))),1/(1-MIN(MAX(Formula!$C$33+(YEAR(D1706)-Formula!$C$34)/(Formula!$C$35-Formula!$C$34)*(Formula!$C$32-Formula!$C$33),Formula!$C$33),Formula!$C$32)),1)</f>
        <v>1</v>
      </c>
      <c r="W1706" s="17">
        <f t="shared" si="5"/>
        <v>0.3</v>
      </c>
    </row>
    <row r="1707" ht="15.75" customHeight="1">
      <c r="A1707" s="8" t="s">
        <v>2553</v>
      </c>
      <c r="B1707" s="7" t="s">
        <v>2554</v>
      </c>
      <c r="C1707" s="13" t="s">
        <v>2555</v>
      </c>
      <c r="D1707" s="7" t="s">
        <v>225</v>
      </c>
      <c r="E1707" s="8" t="s">
        <v>155</v>
      </c>
      <c r="F1707" s="8" t="s">
        <v>318</v>
      </c>
      <c r="G1707" s="7" t="s">
        <v>228</v>
      </c>
      <c r="H1707" s="7" t="s">
        <v>2556</v>
      </c>
      <c r="I1707" s="8">
        <v>3017.0</v>
      </c>
      <c r="J1707" s="8">
        <v>1.9</v>
      </c>
      <c r="K1707" s="8" t="s">
        <v>583</v>
      </c>
      <c r="L1707" s="8" t="s">
        <v>322</v>
      </c>
      <c r="M1707" s="8" t="s">
        <v>323</v>
      </c>
      <c r="N1707" s="8">
        <v>24.7</v>
      </c>
      <c r="O1707" s="14">
        <f t="shared" si="1"/>
        <v>44256</v>
      </c>
      <c r="P1707" s="15">
        <f>IFERROR(VLOOKUP(K1707,Formula!$A$11:$B$20,2,FALSE),Formula!$C$26)</f>
        <v>0.95</v>
      </c>
      <c r="Q1707" s="15">
        <f>IF(AND(ISNUMBER(J1707),J1707&gt;0),1/J1707,IF(AND(ISNUMBER(I1707),I1707&gt;0),SQRT(MIN(I1707,Formula!$C$27))/Formula!$C$24,1/Formula!$C$25))</f>
        <v>0.5263157895</v>
      </c>
      <c r="R1707" s="15">
        <f t="shared" si="2"/>
        <v>0.5</v>
      </c>
      <c r="S1707" s="15">
        <f>IF(H1707&lt;&gt;"",EXP(-Formula!$C$28*(EOMONTH(H1707,0)-H1707)),EXP(-Formula!$C$28*(EOMONTH(D1707,0)-D1707)))</f>
        <v>1</v>
      </c>
      <c r="T1707" s="15">
        <f t="shared" si="3"/>
        <v>0.1961161351</v>
      </c>
      <c r="U1707" s="15">
        <f t="shared" si="4"/>
        <v>0.09805806757</v>
      </c>
      <c r="V1707" s="16">
        <f>IF(AND(L1707="Among all respondents",NOT(OR(K1707="Online poll in Telegram channel",K1707="Website online poll",K1707="CAWI (Computer Assisted Web Interviewing)"))),1/(1-MIN(MAX(Formula!$C$33+(YEAR(D1707)-Formula!$C$34)/(Formula!$C$35-Formula!$C$34)*(Formula!$C$32-Formula!$C$33),Formula!$C$33),Formula!$C$32)),1)</f>
        <v>1</v>
      </c>
      <c r="W1707" s="17">
        <f t="shared" si="5"/>
        <v>24.7</v>
      </c>
    </row>
    <row r="1708" ht="15.75" customHeight="1">
      <c r="A1708" s="8" t="s">
        <v>2557</v>
      </c>
      <c r="B1708" s="7" t="s">
        <v>2554</v>
      </c>
      <c r="C1708" s="13" t="s">
        <v>2555</v>
      </c>
      <c r="D1708" s="7" t="s">
        <v>225</v>
      </c>
      <c r="E1708" s="8" t="s">
        <v>155</v>
      </c>
      <c r="F1708" s="8" t="s">
        <v>318</v>
      </c>
      <c r="G1708" s="7" t="s">
        <v>228</v>
      </c>
      <c r="H1708" s="7" t="s">
        <v>2556</v>
      </c>
      <c r="I1708" s="8">
        <v>3017.0</v>
      </c>
      <c r="J1708" s="8">
        <v>1.9</v>
      </c>
      <c r="K1708" s="8" t="s">
        <v>583</v>
      </c>
      <c r="L1708" s="8" t="s">
        <v>322</v>
      </c>
      <c r="M1708" s="8" t="s">
        <v>365</v>
      </c>
      <c r="N1708" s="8">
        <v>18.1</v>
      </c>
      <c r="O1708" s="14">
        <f t="shared" si="1"/>
        <v>44256</v>
      </c>
      <c r="P1708" s="15">
        <f>IFERROR(VLOOKUP(K1708,Formula!$A$11:$B$20,2,FALSE),Formula!$C$26)</f>
        <v>0.95</v>
      </c>
      <c r="Q1708" s="15">
        <f>IF(AND(ISNUMBER(J1708),J1708&gt;0),1/J1708,IF(AND(ISNUMBER(I1708),I1708&gt;0),SQRT(MIN(I1708,Formula!$C$27))/Formula!$C$24,1/Formula!$C$25))</f>
        <v>0.5263157895</v>
      </c>
      <c r="R1708" s="15">
        <f t="shared" si="2"/>
        <v>0.5</v>
      </c>
      <c r="S1708" s="15">
        <f>IF(H1708&lt;&gt;"",EXP(-Formula!$C$28*(EOMONTH(H1708,0)-H1708)),EXP(-Formula!$C$28*(EOMONTH(D1708,0)-D1708)))</f>
        <v>1</v>
      </c>
      <c r="T1708" s="15">
        <f t="shared" si="3"/>
        <v>0.1961161351</v>
      </c>
      <c r="U1708" s="15">
        <f t="shared" si="4"/>
        <v>0.09805806757</v>
      </c>
      <c r="V1708" s="16">
        <f>IF(AND(L1708="Among all respondents",NOT(OR(K1708="Online poll in Telegram channel",K1708="Website online poll",K1708="CAWI (Computer Assisted Web Interviewing)"))),1/(1-MIN(MAX(Formula!$C$33+(YEAR(D1708)-Formula!$C$34)/(Formula!$C$35-Formula!$C$34)*(Formula!$C$32-Formula!$C$33),Formula!$C$33),Formula!$C$32)),1)</f>
        <v>1</v>
      </c>
      <c r="W1708" s="17">
        <f t="shared" si="5"/>
        <v>18.1</v>
      </c>
    </row>
    <row r="1709" ht="15.75" customHeight="1">
      <c r="A1709" s="8" t="s">
        <v>2558</v>
      </c>
      <c r="B1709" s="7" t="s">
        <v>2554</v>
      </c>
      <c r="C1709" s="13" t="s">
        <v>2555</v>
      </c>
      <c r="D1709" s="7" t="s">
        <v>225</v>
      </c>
      <c r="E1709" s="8" t="s">
        <v>155</v>
      </c>
      <c r="F1709" s="8" t="s">
        <v>318</v>
      </c>
      <c r="G1709" s="7" t="s">
        <v>228</v>
      </c>
      <c r="H1709" s="7" t="s">
        <v>2556</v>
      </c>
      <c r="I1709" s="8">
        <v>3017.0</v>
      </c>
      <c r="J1709" s="8">
        <v>1.9</v>
      </c>
      <c r="K1709" s="8" t="s">
        <v>583</v>
      </c>
      <c r="L1709" s="8" t="s">
        <v>322</v>
      </c>
      <c r="M1709" s="8" t="s">
        <v>329</v>
      </c>
      <c r="N1709" s="8">
        <v>15.5</v>
      </c>
      <c r="O1709" s="14">
        <f t="shared" si="1"/>
        <v>44256</v>
      </c>
      <c r="P1709" s="15">
        <f>IFERROR(VLOOKUP(K1709,Formula!$A$11:$B$20,2,FALSE),Formula!$C$26)</f>
        <v>0.95</v>
      </c>
      <c r="Q1709" s="15">
        <f>IF(AND(ISNUMBER(J1709),J1709&gt;0),1/J1709,IF(AND(ISNUMBER(I1709),I1709&gt;0),SQRT(MIN(I1709,Formula!$C$27))/Formula!$C$24,1/Formula!$C$25))</f>
        <v>0.5263157895</v>
      </c>
      <c r="R1709" s="15">
        <f t="shared" si="2"/>
        <v>0.5</v>
      </c>
      <c r="S1709" s="15">
        <f>IF(H1709&lt;&gt;"",EXP(-Formula!$C$28*(EOMONTH(H1709,0)-H1709)),EXP(-Formula!$C$28*(EOMONTH(D1709,0)-D1709)))</f>
        <v>1</v>
      </c>
      <c r="T1709" s="15">
        <f t="shared" si="3"/>
        <v>0.1961161351</v>
      </c>
      <c r="U1709" s="15">
        <f t="shared" si="4"/>
        <v>0.09805806757</v>
      </c>
      <c r="V1709" s="16">
        <f>IF(AND(L1709="Among all respondents",NOT(OR(K1709="Online poll in Telegram channel",K1709="Website online poll",K1709="CAWI (Computer Assisted Web Interviewing)"))),1/(1-MIN(MAX(Formula!$C$33+(YEAR(D1709)-Formula!$C$34)/(Formula!$C$35-Formula!$C$34)*(Formula!$C$32-Formula!$C$33),Formula!$C$33),Formula!$C$32)),1)</f>
        <v>1</v>
      </c>
      <c r="W1709" s="17">
        <f t="shared" si="5"/>
        <v>15.5</v>
      </c>
    </row>
    <row r="1710" ht="15.75" customHeight="1">
      <c r="A1710" s="8" t="s">
        <v>2559</v>
      </c>
      <c r="B1710" s="7" t="s">
        <v>2554</v>
      </c>
      <c r="C1710" s="13" t="s">
        <v>2555</v>
      </c>
      <c r="D1710" s="7" t="s">
        <v>225</v>
      </c>
      <c r="E1710" s="8" t="s">
        <v>155</v>
      </c>
      <c r="F1710" s="8" t="s">
        <v>318</v>
      </c>
      <c r="G1710" s="7" t="s">
        <v>228</v>
      </c>
      <c r="H1710" s="7" t="s">
        <v>2556</v>
      </c>
      <c r="I1710" s="8">
        <v>3017.0</v>
      </c>
      <c r="J1710" s="8">
        <v>1.9</v>
      </c>
      <c r="K1710" s="8" t="s">
        <v>583</v>
      </c>
      <c r="L1710" s="8" t="s">
        <v>322</v>
      </c>
      <c r="M1710" s="8" t="s">
        <v>337</v>
      </c>
      <c r="N1710" s="8">
        <v>11.0</v>
      </c>
      <c r="O1710" s="14">
        <f t="shared" si="1"/>
        <v>44256</v>
      </c>
      <c r="P1710" s="15">
        <f>IFERROR(VLOOKUP(K1710,Formula!$A$11:$B$20,2,FALSE),Formula!$C$26)</f>
        <v>0.95</v>
      </c>
      <c r="Q1710" s="15">
        <f>IF(AND(ISNUMBER(J1710),J1710&gt;0),1/J1710,IF(AND(ISNUMBER(I1710),I1710&gt;0),SQRT(MIN(I1710,Formula!$C$27))/Formula!$C$24,1/Formula!$C$25))</f>
        <v>0.5263157895</v>
      </c>
      <c r="R1710" s="15">
        <f t="shared" si="2"/>
        <v>0.5</v>
      </c>
      <c r="S1710" s="15">
        <f>IF(H1710&lt;&gt;"",EXP(-Formula!$C$28*(EOMONTH(H1710,0)-H1710)),EXP(-Formula!$C$28*(EOMONTH(D1710,0)-D1710)))</f>
        <v>1</v>
      </c>
      <c r="T1710" s="15">
        <f t="shared" si="3"/>
        <v>0.1961161351</v>
      </c>
      <c r="U1710" s="15">
        <f t="shared" si="4"/>
        <v>0.09805806757</v>
      </c>
      <c r="V1710" s="16">
        <f>IF(AND(L1710="Among all respondents",NOT(OR(K1710="Online poll in Telegram channel",K1710="Website online poll",K1710="CAWI (Computer Assisted Web Interviewing)"))),1/(1-MIN(MAX(Formula!$C$33+(YEAR(D1710)-Formula!$C$34)/(Formula!$C$35-Formula!$C$34)*(Formula!$C$32-Formula!$C$33),Formula!$C$33),Formula!$C$32)),1)</f>
        <v>1</v>
      </c>
      <c r="W1710" s="17">
        <f t="shared" si="5"/>
        <v>11</v>
      </c>
    </row>
    <row r="1711" ht="15.75" customHeight="1">
      <c r="A1711" s="8" t="s">
        <v>2560</v>
      </c>
      <c r="B1711" s="7" t="s">
        <v>2554</v>
      </c>
      <c r="C1711" s="13" t="s">
        <v>2555</v>
      </c>
      <c r="D1711" s="7" t="s">
        <v>225</v>
      </c>
      <c r="E1711" s="8" t="s">
        <v>155</v>
      </c>
      <c r="F1711" s="8" t="s">
        <v>318</v>
      </c>
      <c r="G1711" s="7" t="s">
        <v>228</v>
      </c>
      <c r="H1711" s="7" t="s">
        <v>2556</v>
      </c>
      <c r="I1711" s="8">
        <v>3017.0</v>
      </c>
      <c r="J1711" s="8">
        <v>1.9</v>
      </c>
      <c r="K1711" s="8" t="s">
        <v>583</v>
      </c>
      <c r="L1711" s="8" t="s">
        <v>322</v>
      </c>
      <c r="M1711" s="8" t="s">
        <v>828</v>
      </c>
      <c r="N1711" s="8">
        <v>5.8</v>
      </c>
      <c r="O1711" s="14">
        <f t="shared" si="1"/>
        <v>44256</v>
      </c>
      <c r="P1711" s="15">
        <f>IFERROR(VLOOKUP(K1711,Formula!$A$11:$B$20,2,FALSE),Formula!$C$26)</f>
        <v>0.95</v>
      </c>
      <c r="Q1711" s="15">
        <f>IF(AND(ISNUMBER(J1711),J1711&gt;0),1/J1711,IF(AND(ISNUMBER(I1711),I1711&gt;0),SQRT(MIN(I1711,Formula!$C$27))/Formula!$C$24,1/Formula!$C$25))</f>
        <v>0.5263157895</v>
      </c>
      <c r="R1711" s="15">
        <f t="shared" si="2"/>
        <v>0.5</v>
      </c>
      <c r="S1711" s="15">
        <f>IF(H1711&lt;&gt;"",EXP(-Formula!$C$28*(EOMONTH(H1711,0)-H1711)),EXP(-Formula!$C$28*(EOMONTH(D1711,0)-D1711)))</f>
        <v>1</v>
      </c>
      <c r="T1711" s="15">
        <f t="shared" si="3"/>
        <v>0.1961161351</v>
      </c>
      <c r="U1711" s="15">
        <f t="shared" si="4"/>
        <v>0.09805806757</v>
      </c>
      <c r="V1711" s="16">
        <f>IF(AND(L1711="Among all respondents",NOT(OR(K1711="Online poll in Telegram channel",K1711="Website online poll",K1711="CAWI (Computer Assisted Web Interviewing)"))),1/(1-MIN(MAX(Formula!$C$33+(YEAR(D1711)-Formula!$C$34)/(Formula!$C$35-Formula!$C$34)*(Formula!$C$32-Formula!$C$33),Formula!$C$33),Formula!$C$32)),1)</f>
        <v>1</v>
      </c>
      <c r="W1711" s="17">
        <f t="shared" si="5"/>
        <v>5.8</v>
      </c>
    </row>
    <row r="1712" ht="15.75" customHeight="1">
      <c r="A1712" s="8" t="s">
        <v>2561</v>
      </c>
      <c r="B1712" s="7" t="s">
        <v>2554</v>
      </c>
      <c r="C1712" s="13" t="s">
        <v>2555</v>
      </c>
      <c r="D1712" s="7" t="s">
        <v>225</v>
      </c>
      <c r="E1712" s="8" t="s">
        <v>155</v>
      </c>
      <c r="F1712" s="8" t="s">
        <v>318</v>
      </c>
      <c r="G1712" s="7" t="s">
        <v>228</v>
      </c>
      <c r="H1712" s="7" t="s">
        <v>2556</v>
      </c>
      <c r="I1712" s="8">
        <v>3017.0</v>
      </c>
      <c r="J1712" s="8">
        <v>1.9</v>
      </c>
      <c r="K1712" s="8" t="s">
        <v>583</v>
      </c>
      <c r="L1712" s="8" t="s">
        <v>322</v>
      </c>
      <c r="M1712" s="8" t="s">
        <v>386</v>
      </c>
      <c r="N1712" s="8">
        <v>4.7</v>
      </c>
      <c r="O1712" s="14">
        <f t="shared" si="1"/>
        <v>44256</v>
      </c>
      <c r="P1712" s="15">
        <f>IFERROR(VLOOKUP(K1712,Formula!$A$11:$B$20,2,FALSE),Formula!$C$26)</f>
        <v>0.95</v>
      </c>
      <c r="Q1712" s="15">
        <f>IF(AND(ISNUMBER(J1712),J1712&gt;0),1/J1712,IF(AND(ISNUMBER(I1712),I1712&gt;0),SQRT(MIN(I1712,Formula!$C$27))/Formula!$C$24,1/Formula!$C$25))</f>
        <v>0.5263157895</v>
      </c>
      <c r="R1712" s="15">
        <f t="shared" si="2"/>
        <v>0.5</v>
      </c>
      <c r="S1712" s="15">
        <f>IF(H1712&lt;&gt;"",EXP(-Formula!$C$28*(EOMONTH(H1712,0)-H1712)),EXP(-Formula!$C$28*(EOMONTH(D1712,0)-D1712)))</f>
        <v>1</v>
      </c>
      <c r="T1712" s="15">
        <f t="shared" si="3"/>
        <v>0.1961161351</v>
      </c>
      <c r="U1712" s="15">
        <f t="shared" si="4"/>
        <v>0.09805806757</v>
      </c>
      <c r="V1712" s="16">
        <f>IF(AND(L1712="Among all respondents",NOT(OR(K1712="Online poll in Telegram channel",K1712="Website online poll",K1712="CAWI (Computer Assisted Web Interviewing)"))),1/(1-MIN(MAX(Formula!$C$33+(YEAR(D1712)-Formula!$C$34)/(Formula!$C$35-Formula!$C$34)*(Formula!$C$32-Formula!$C$33),Formula!$C$33),Formula!$C$32)),1)</f>
        <v>1</v>
      </c>
      <c r="W1712" s="17">
        <f t="shared" si="5"/>
        <v>4.7</v>
      </c>
    </row>
    <row r="1713" ht="15.75" customHeight="1">
      <c r="A1713" s="8" t="s">
        <v>2562</v>
      </c>
      <c r="B1713" s="7" t="s">
        <v>2554</v>
      </c>
      <c r="C1713" s="13" t="s">
        <v>2555</v>
      </c>
      <c r="D1713" s="7" t="s">
        <v>225</v>
      </c>
      <c r="E1713" s="8" t="s">
        <v>155</v>
      </c>
      <c r="F1713" s="8" t="s">
        <v>318</v>
      </c>
      <c r="G1713" s="7" t="s">
        <v>228</v>
      </c>
      <c r="H1713" s="7" t="s">
        <v>2556</v>
      </c>
      <c r="I1713" s="8">
        <v>3017.0</v>
      </c>
      <c r="J1713" s="8">
        <v>1.9</v>
      </c>
      <c r="K1713" s="8" t="s">
        <v>583</v>
      </c>
      <c r="L1713" s="8" t="s">
        <v>322</v>
      </c>
      <c r="M1713" s="8" t="s">
        <v>333</v>
      </c>
      <c r="N1713" s="8">
        <v>3.2</v>
      </c>
      <c r="O1713" s="14">
        <f t="shared" si="1"/>
        <v>44256</v>
      </c>
      <c r="P1713" s="15">
        <f>IFERROR(VLOOKUP(K1713,Formula!$A$11:$B$20,2,FALSE),Formula!$C$26)</f>
        <v>0.95</v>
      </c>
      <c r="Q1713" s="15">
        <f>IF(AND(ISNUMBER(J1713),J1713&gt;0),1/J1713,IF(AND(ISNUMBER(I1713),I1713&gt;0),SQRT(MIN(I1713,Formula!$C$27))/Formula!$C$24,1/Formula!$C$25))</f>
        <v>0.5263157895</v>
      </c>
      <c r="R1713" s="15">
        <f t="shared" si="2"/>
        <v>0.5</v>
      </c>
      <c r="S1713" s="15">
        <f>IF(H1713&lt;&gt;"",EXP(-Formula!$C$28*(EOMONTH(H1713,0)-H1713)),EXP(-Formula!$C$28*(EOMONTH(D1713,0)-D1713)))</f>
        <v>1</v>
      </c>
      <c r="T1713" s="15">
        <f t="shared" si="3"/>
        <v>0.1961161351</v>
      </c>
      <c r="U1713" s="15">
        <f t="shared" si="4"/>
        <v>0.09805806757</v>
      </c>
      <c r="V1713" s="16">
        <f>IF(AND(L1713="Among all respondents",NOT(OR(K1713="Online poll in Telegram channel",K1713="Website online poll",K1713="CAWI (Computer Assisted Web Interviewing)"))),1/(1-MIN(MAX(Formula!$C$33+(YEAR(D1713)-Formula!$C$34)/(Formula!$C$35-Formula!$C$34)*(Formula!$C$32-Formula!$C$33),Formula!$C$33),Formula!$C$32)),1)</f>
        <v>1</v>
      </c>
      <c r="W1713" s="17">
        <f t="shared" si="5"/>
        <v>3.2</v>
      </c>
    </row>
    <row r="1714" ht="15.75" customHeight="1">
      <c r="A1714" s="8" t="s">
        <v>2563</v>
      </c>
      <c r="B1714" s="7" t="s">
        <v>2554</v>
      </c>
      <c r="C1714" s="13" t="s">
        <v>2555</v>
      </c>
      <c r="D1714" s="7" t="s">
        <v>225</v>
      </c>
      <c r="E1714" s="8" t="s">
        <v>155</v>
      </c>
      <c r="F1714" s="8" t="s">
        <v>318</v>
      </c>
      <c r="G1714" s="7" t="s">
        <v>228</v>
      </c>
      <c r="H1714" s="7" t="s">
        <v>2556</v>
      </c>
      <c r="I1714" s="8">
        <v>3017.0</v>
      </c>
      <c r="J1714" s="8">
        <v>1.9</v>
      </c>
      <c r="K1714" s="8" t="s">
        <v>583</v>
      </c>
      <c r="L1714" s="8" t="s">
        <v>322</v>
      </c>
      <c r="M1714" s="8" t="s">
        <v>838</v>
      </c>
      <c r="N1714" s="8">
        <v>3.0</v>
      </c>
      <c r="O1714" s="14">
        <f t="shared" si="1"/>
        <v>44256</v>
      </c>
      <c r="P1714" s="15">
        <f>IFERROR(VLOOKUP(K1714,Formula!$A$11:$B$20,2,FALSE),Formula!$C$26)</f>
        <v>0.95</v>
      </c>
      <c r="Q1714" s="15">
        <f>IF(AND(ISNUMBER(J1714),J1714&gt;0),1/J1714,IF(AND(ISNUMBER(I1714),I1714&gt;0),SQRT(MIN(I1714,Formula!$C$27))/Formula!$C$24,1/Formula!$C$25))</f>
        <v>0.5263157895</v>
      </c>
      <c r="R1714" s="15">
        <f t="shared" si="2"/>
        <v>0.5</v>
      </c>
      <c r="S1714" s="15">
        <f>IF(H1714&lt;&gt;"",EXP(-Formula!$C$28*(EOMONTH(H1714,0)-H1714)),EXP(-Formula!$C$28*(EOMONTH(D1714,0)-D1714)))</f>
        <v>1</v>
      </c>
      <c r="T1714" s="15">
        <f t="shared" si="3"/>
        <v>0.1961161351</v>
      </c>
      <c r="U1714" s="15">
        <f t="shared" si="4"/>
        <v>0.09805806757</v>
      </c>
      <c r="V1714" s="16">
        <f>IF(AND(L1714="Among all respondents",NOT(OR(K1714="Online poll in Telegram channel",K1714="Website online poll",K1714="CAWI (Computer Assisted Web Interviewing)"))),1/(1-MIN(MAX(Formula!$C$33+(YEAR(D1714)-Formula!$C$34)/(Formula!$C$35-Formula!$C$34)*(Formula!$C$32-Formula!$C$33),Formula!$C$33),Formula!$C$32)),1)</f>
        <v>1</v>
      </c>
      <c r="W1714" s="17">
        <f t="shared" si="5"/>
        <v>3</v>
      </c>
    </row>
    <row r="1715" ht="15.75" customHeight="1">
      <c r="A1715" s="8" t="s">
        <v>2564</v>
      </c>
      <c r="B1715" s="7" t="s">
        <v>2554</v>
      </c>
      <c r="C1715" s="13" t="s">
        <v>2555</v>
      </c>
      <c r="D1715" s="7" t="s">
        <v>225</v>
      </c>
      <c r="E1715" s="8" t="s">
        <v>155</v>
      </c>
      <c r="F1715" s="8" t="s">
        <v>318</v>
      </c>
      <c r="G1715" s="7" t="s">
        <v>228</v>
      </c>
      <c r="H1715" s="7" t="s">
        <v>2556</v>
      </c>
      <c r="I1715" s="8">
        <v>3017.0</v>
      </c>
      <c r="J1715" s="8">
        <v>1.9</v>
      </c>
      <c r="K1715" s="8" t="s">
        <v>583</v>
      </c>
      <c r="L1715" s="8" t="s">
        <v>322</v>
      </c>
      <c r="M1715" s="8" t="s">
        <v>388</v>
      </c>
      <c r="N1715" s="8">
        <v>2.8</v>
      </c>
      <c r="O1715" s="14">
        <f t="shared" si="1"/>
        <v>44256</v>
      </c>
      <c r="P1715" s="15">
        <f>IFERROR(VLOOKUP(K1715,Formula!$A$11:$B$20,2,FALSE),Formula!$C$26)</f>
        <v>0.95</v>
      </c>
      <c r="Q1715" s="15">
        <f>IF(AND(ISNUMBER(J1715),J1715&gt;0),1/J1715,IF(AND(ISNUMBER(I1715),I1715&gt;0),SQRT(MIN(I1715,Formula!$C$27))/Formula!$C$24,1/Formula!$C$25))</f>
        <v>0.5263157895</v>
      </c>
      <c r="R1715" s="15">
        <f t="shared" si="2"/>
        <v>0.5</v>
      </c>
      <c r="S1715" s="15">
        <f>IF(H1715&lt;&gt;"",EXP(-Formula!$C$28*(EOMONTH(H1715,0)-H1715)),EXP(-Formula!$C$28*(EOMONTH(D1715,0)-D1715)))</f>
        <v>1</v>
      </c>
      <c r="T1715" s="15">
        <f t="shared" si="3"/>
        <v>0.1961161351</v>
      </c>
      <c r="U1715" s="15">
        <f t="shared" si="4"/>
        <v>0.09805806757</v>
      </c>
      <c r="V1715" s="16">
        <f>IF(AND(L1715="Among all respondents",NOT(OR(K1715="Online poll in Telegram channel",K1715="Website online poll",K1715="CAWI (Computer Assisted Web Interviewing)"))),1/(1-MIN(MAX(Formula!$C$33+(YEAR(D1715)-Formula!$C$34)/(Formula!$C$35-Formula!$C$34)*(Formula!$C$32-Formula!$C$33),Formula!$C$33),Formula!$C$32)),1)</f>
        <v>1</v>
      </c>
      <c r="W1715" s="17">
        <f t="shared" si="5"/>
        <v>2.8</v>
      </c>
    </row>
    <row r="1716" ht="15.75" customHeight="1">
      <c r="A1716" s="8" t="s">
        <v>2565</v>
      </c>
      <c r="B1716" s="7" t="s">
        <v>2554</v>
      </c>
      <c r="C1716" s="13" t="s">
        <v>2555</v>
      </c>
      <c r="D1716" s="7" t="s">
        <v>225</v>
      </c>
      <c r="E1716" s="8" t="s">
        <v>155</v>
      </c>
      <c r="F1716" s="8" t="s">
        <v>318</v>
      </c>
      <c r="G1716" s="7" t="s">
        <v>228</v>
      </c>
      <c r="H1716" s="7" t="s">
        <v>2556</v>
      </c>
      <c r="I1716" s="8">
        <v>3017.0</v>
      </c>
      <c r="J1716" s="8">
        <v>1.9</v>
      </c>
      <c r="K1716" s="8" t="s">
        <v>583</v>
      </c>
      <c r="L1716" s="8" t="s">
        <v>322</v>
      </c>
      <c r="M1716" s="8" t="s">
        <v>343</v>
      </c>
      <c r="N1716" s="8">
        <v>1.9</v>
      </c>
      <c r="O1716" s="14">
        <f t="shared" si="1"/>
        <v>44256</v>
      </c>
      <c r="P1716" s="15">
        <f>IFERROR(VLOOKUP(K1716,Formula!$A$11:$B$20,2,FALSE),Formula!$C$26)</f>
        <v>0.95</v>
      </c>
      <c r="Q1716" s="15">
        <f>IF(AND(ISNUMBER(J1716),J1716&gt;0),1/J1716,IF(AND(ISNUMBER(I1716),I1716&gt;0),SQRT(MIN(I1716,Formula!$C$27))/Formula!$C$24,1/Formula!$C$25))</f>
        <v>0.5263157895</v>
      </c>
      <c r="R1716" s="15">
        <f t="shared" si="2"/>
        <v>0.5</v>
      </c>
      <c r="S1716" s="15">
        <f>IF(H1716&lt;&gt;"",EXP(-Formula!$C$28*(EOMONTH(H1716,0)-H1716)),EXP(-Formula!$C$28*(EOMONTH(D1716,0)-D1716)))</f>
        <v>1</v>
      </c>
      <c r="T1716" s="15">
        <f t="shared" si="3"/>
        <v>0.1961161351</v>
      </c>
      <c r="U1716" s="15">
        <f t="shared" si="4"/>
        <v>0.09805806757</v>
      </c>
      <c r="V1716" s="16">
        <f>IF(AND(L1716="Among all respondents",NOT(OR(K1716="Online poll in Telegram channel",K1716="Website online poll",K1716="CAWI (Computer Assisted Web Interviewing)"))),1/(1-MIN(MAX(Formula!$C$33+(YEAR(D1716)-Formula!$C$34)/(Formula!$C$35-Formula!$C$34)*(Formula!$C$32-Formula!$C$33),Formula!$C$33),Formula!$C$32)),1)</f>
        <v>1</v>
      </c>
      <c r="W1716" s="17">
        <f t="shared" si="5"/>
        <v>1.9</v>
      </c>
    </row>
    <row r="1717" ht="15.75" customHeight="1">
      <c r="A1717" s="8" t="s">
        <v>2566</v>
      </c>
      <c r="B1717" s="7" t="s">
        <v>2554</v>
      </c>
      <c r="C1717" s="13" t="s">
        <v>2555</v>
      </c>
      <c r="D1717" s="7" t="s">
        <v>225</v>
      </c>
      <c r="E1717" s="8" t="s">
        <v>155</v>
      </c>
      <c r="F1717" s="8" t="s">
        <v>318</v>
      </c>
      <c r="G1717" s="7" t="s">
        <v>228</v>
      </c>
      <c r="H1717" s="7" t="s">
        <v>2556</v>
      </c>
      <c r="I1717" s="8">
        <v>3017.0</v>
      </c>
      <c r="J1717" s="8">
        <v>1.9</v>
      </c>
      <c r="K1717" s="8" t="s">
        <v>583</v>
      </c>
      <c r="L1717" s="8" t="s">
        <v>322</v>
      </c>
      <c r="M1717" s="8" t="s">
        <v>743</v>
      </c>
      <c r="N1717" s="8">
        <v>1.6</v>
      </c>
      <c r="O1717" s="14">
        <f t="shared" si="1"/>
        <v>44256</v>
      </c>
      <c r="P1717" s="15">
        <f>IFERROR(VLOOKUP(K1717,Formula!$A$11:$B$20,2,FALSE),Formula!$C$26)</f>
        <v>0.95</v>
      </c>
      <c r="Q1717" s="15">
        <f>IF(AND(ISNUMBER(J1717),J1717&gt;0),1/J1717,IF(AND(ISNUMBER(I1717),I1717&gt;0),SQRT(MIN(I1717,Formula!$C$27))/Formula!$C$24,1/Formula!$C$25))</f>
        <v>0.5263157895</v>
      </c>
      <c r="R1717" s="15">
        <f t="shared" si="2"/>
        <v>0.5</v>
      </c>
      <c r="S1717" s="15">
        <f>IF(H1717&lt;&gt;"",EXP(-Formula!$C$28*(EOMONTH(H1717,0)-H1717)),EXP(-Formula!$C$28*(EOMONTH(D1717,0)-D1717)))</f>
        <v>1</v>
      </c>
      <c r="T1717" s="15">
        <f t="shared" si="3"/>
        <v>0.1961161351</v>
      </c>
      <c r="U1717" s="15">
        <f t="shared" si="4"/>
        <v>0.09805806757</v>
      </c>
      <c r="V1717" s="16">
        <f>IF(AND(L1717="Among all respondents",NOT(OR(K1717="Online poll in Telegram channel",K1717="Website online poll",K1717="CAWI (Computer Assisted Web Interviewing)"))),1/(1-MIN(MAX(Formula!$C$33+(YEAR(D1717)-Formula!$C$34)/(Formula!$C$35-Formula!$C$34)*(Formula!$C$32-Formula!$C$33),Formula!$C$33),Formula!$C$32)),1)</f>
        <v>1</v>
      </c>
      <c r="W1717" s="17">
        <f t="shared" si="5"/>
        <v>1.6</v>
      </c>
    </row>
    <row r="1718" ht="15.75" customHeight="1">
      <c r="A1718" s="8" t="s">
        <v>2567</v>
      </c>
      <c r="B1718" s="7" t="s">
        <v>2554</v>
      </c>
      <c r="C1718" s="13" t="s">
        <v>2555</v>
      </c>
      <c r="D1718" s="7" t="s">
        <v>225</v>
      </c>
      <c r="E1718" s="8" t="s">
        <v>155</v>
      </c>
      <c r="F1718" s="8" t="s">
        <v>318</v>
      </c>
      <c r="G1718" s="7" t="s">
        <v>228</v>
      </c>
      <c r="H1718" s="7" t="s">
        <v>2556</v>
      </c>
      <c r="I1718" s="8">
        <v>3017.0</v>
      </c>
      <c r="J1718" s="8">
        <v>1.9</v>
      </c>
      <c r="K1718" s="8" t="s">
        <v>583</v>
      </c>
      <c r="L1718" s="8" t="s">
        <v>322</v>
      </c>
      <c r="M1718" s="8" t="s">
        <v>740</v>
      </c>
      <c r="N1718" s="8">
        <v>1.5</v>
      </c>
      <c r="O1718" s="14">
        <f t="shared" si="1"/>
        <v>44256</v>
      </c>
      <c r="P1718" s="15">
        <f>IFERROR(VLOOKUP(K1718,Formula!$A$11:$B$20,2,FALSE),Formula!$C$26)</f>
        <v>0.95</v>
      </c>
      <c r="Q1718" s="15">
        <f>IF(AND(ISNUMBER(J1718),J1718&gt;0),1/J1718,IF(AND(ISNUMBER(I1718),I1718&gt;0),SQRT(MIN(I1718,Formula!$C$27))/Formula!$C$24,1/Formula!$C$25))</f>
        <v>0.5263157895</v>
      </c>
      <c r="R1718" s="15">
        <f t="shared" si="2"/>
        <v>0.5</v>
      </c>
      <c r="S1718" s="15">
        <f>IF(H1718&lt;&gt;"",EXP(-Formula!$C$28*(EOMONTH(H1718,0)-H1718)),EXP(-Formula!$C$28*(EOMONTH(D1718,0)-D1718)))</f>
        <v>1</v>
      </c>
      <c r="T1718" s="15">
        <f t="shared" si="3"/>
        <v>0.1961161351</v>
      </c>
      <c r="U1718" s="15">
        <f t="shared" si="4"/>
        <v>0.09805806757</v>
      </c>
      <c r="V1718" s="16">
        <f>IF(AND(L1718="Among all respondents",NOT(OR(K1718="Online poll in Telegram channel",K1718="Website online poll",K1718="CAWI (Computer Assisted Web Interviewing)"))),1/(1-MIN(MAX(Formula!$C$33+(YEAR(D1718)-Formula!$C$34)/(Formula!$C$35-Formula!$C$34)*(Formula!$C$32-Formula!$C$33),Formula!$C$33),Formula!$C$32)),1)</f>
        <v>1</v>
      </c>
      <c r="W1718" s="17">
        <f t="shared" si="5"/>
        <v>1.5</v>
      </c>
    </row>
    <row r="1719" ht="15.75" customHeight="1">
      <c r="A1719" s="8" t="s">
        <v>2568</v>
      </c>
      <c r="B1719" s="7" t="s">
        <v>2554</v>
      </c>
      <c r="C1719" s="13" t="s">
        <v>2555</v>
      </c>
      <c r="D1719" s="7" t="s">
        <v>225</v>
      </c>
      <c r="E1719" s="8" t="s">
        <v>155</v>
      </c>
      <c r="F1719" s="8" t="s">
        <v>318</v>
      </c>
      <c r="G1719" s="7" t="s">
        <v>228</v>
      </c>
      <c r="H1719" s="7" t="s">
        <v>2556</v>
      </c>
      <c r="I1719" s="8">
        <v>3017.0</v>
      </c>
      <c r="J1719" s="8">
        <v>1.9</v>
      </c>
      <c r="K1719" s="8" t="s">
        <v>583</v>
      </c>
      <c r="L1719" s="8" t="s">
        <v>322</v>
      </c>
      <c r="M1719" s="8" t="s">
        <v>335</v>
      </c>
      <c r="N1719" s="8">
        <v>0.7</v>
      </c>
      <c r="O1719" s="14">
        <f t="shared" si="1"/>
        <v>44256</v>
      </c>
      <c r="P1719" s="15">
        <f>IFERROR(VLOOKUP(K1719,Formula!$A$11:$B$20,2,FALSE),Formula!$C$26)</f>
        <v>0.95</v>
      </c>
      <c r="Q1719" s="15">
        <f>IF(AND(ISNUMBER(J1719),J1719&gt;0),1/J1719,IF(AND(ISNUMBER(I1719),I1719&gt;0),SQRT(MIN(I1719,Formula!$C$27))/Formula!$C$24,1/Formula!$C$25))</f>
        <v>0.5263157895</v>
      </c>
      <c r="R1719" s="15">
        <f t="shared" si="2"/>
        <v>0.5</v>
      </c>
      <c r="S1719" s="15">
        <f>IF(H1719&lt;&gt;"",EXP(-Formula!$C$28*(EOMONTH(H1719,0)-H1719)),EXP(-Formula!$C$28*(EOMONTH(D1719,0)-D1719)))</f>
        <v>1</v>
      </c>
      <c r="T1719" s="15">
        <f t="shared" si="3"/>
        <v>0.1961161351</v>
      </c>
      <c r="U1719" s="15">
        <f t="shared" si="4"/>
        <v>0.09805806757</v>
      </c>
      <c r="V1719" s="16">
        <f>IF(AND(L1719="Among all respondents",NOT(OR(K1719="Online poll in Telegram channel",K1719="Website online poll",K1719="CAWI (Computer Assisted Web Interviewing)"))),1/(1-MIN(MAX(Formula!$C$33+(YEAR(D1719)-Formula!$C$34)/(Formula!$C$35-Formula!$C$34)*(Formula!$C$32-Formula!$C$33),Formula!$C$33),Formula!$C$32)),1)</f>
        <v>1</v>
      </c>
      <c r="W1719" s="17">
        <f t="shared" si="5"/>
        <v>0.7</v>
      </c>
    </row>
    <row r="1720" ht="15.75" customHeight="1">
      <c r="A1720" s="8" t="s">
        <v>2553</v>
      </c>
      <c r="B1720" s="7" t="s">
        <v>2554</v>
      </c>
      <c r="C1720" s="13" t="s">
        <v>2555</v>
      </c>
      <c r="D1720" s="7" t="s">
        <v>225</v>
      </c>
      <c r="E1720" s="8" t="s">
        <v>155</v>
      </c>
      <c r="F1720" s="8" t="s">
        <v>318</v>
      </c>
      <c r="G1720" s="7" t="s">
        <v>228</v>
      </c>
      <c r="H1720" s="7" t="s">
        <v>2556</v>
      </c>
      <c r="I1720" s="8">
        <v>3017.0</v>
      </c>
      <c r="J1720" s="8">
        <v>1.9</v>
      </c>
      <c r="K1720" s="8" t="s">
        <v>583</v>
      </c>
      <c r="L1720" s="8" t="s">
        <v>322</v>
      </c>
      <c r="M1720" s="8" t="s">
        <v>323</v>
      </c>
      <c r="N1720" s="8">
        <v>24.6</v>
      </c>
      <c r="O1720" s="14">
        <f t="shared" si="1"/>
        <v>44256</v>
      </c>
      <c r="P1720" s="15">
        <f>IFERROR(VLOOKUP(K1720,Formula!$A$11:$B$20,2,FALSE),Formula!$C$26)</f>
        <v>0.95</v>
      </c>
      <c r="Q1720" s="15">
        <f>IF(AND(ISNUMBER(J1720),J1720&gt;0),1/J1720,IF(AND(ISNUMBER(I1720),I1720&gt;0),SQRT(MIN(I1720,Formula!$C$27))/Formula!$C$24,1/Formula!$C$25))</f>
        <v>0.5263157895</v>
      </c>
      <c r="R1720" s="15">
        <f t="shared" si="2"/>
        <v>0.5</v>
      </c>
      <c r="S1720" s="15">
        <f>IF(H1720&lt;&gt;"",EXP(-Formula!$C$28*(EOMONTH(H1720,0)-H1720)),EXP(-Formula!$C$28*(EOMONTH(D1720,0)-D1720)))</f>
        <v>1</v>
      </c>
      <c r="T1720" s="15">
        <f t="shared" si="3"/>
        <v>0.1961161351</v>
      </c>
      <c r="U1720" s="15">
        <f t="shared" si="4"/>
        <v>0.09805806757</v>
      </c>
      <c r="V1720" s="16">
        <f>IF(AND(L1720="Among all respondents",NOT(OR(K1720="Online poll in Telegram channel",K1720="Website online poll",K1720="CAWI (Computer Assisted Web Interviewing)"))),1/(1-MIN(MAX(Formula!$C$33+(YEAR(D1720)-Formula!$C$34)/(Formula!$C$35-Formula!$C$34)*(Formula!$C$32-Formula!$C$33),Formula!$C$33),Formula!$C$32)),1)</f>
        <v>1</v>
      </c>
      <c r="W1720" s="17">
        <f t="shared" si="5"/>
        <v>24.6</v>
      </c>
    </row>
    <row r="1721" ht="15.75" customHeight="1">
      <c r="A1721" s="8" t="s">
        <v>2569</v>
      </c>
      <c r="B1721" s="7" t="s">
        <v>2554</v>
      </c>
      <c r="C1721" s="13" t="s">
        <v>2555</v>
      </c>
      <c r="D1721" s="7" t="s">
        <v>225</v>
      </c>
      <c r="E1721" s="8" t="s">
        <v>155</v>
      </c>
      <c r="F1721" s="8" t="s">
        <v>318</v>
      </c>
      <c r="G1721" s="7" t="s">
        <v>228</v>
      </c>
      <c r="H1721" s="7" t="s">
        <v>2556</v>
      </c>
      <c r="I1721" s="8">
        <v>3017.0</v>
      </c>
      <c r="J1721" s="8">
        <v>1.9</v>
      </c>
      <c r="K1721" s="8" t="s">
        <v>583</v>
      </c>
      <c r="L1721" s="8" t="s">
        <v>322</v>
      </c>
      <c r="M1721" s="8" t="s">
        <v>1334</v>
      </c>
      <c r="N1721" s="8">
        <v>16.3</v>
      </c>
      <c r="O1721" s="14">
        <f t="shared" si="1"/>
        <v>44256</v>
      </c>
      <c r="P1721" s="15">
        <f>IFERROR(VLOOKUP(K1721,Formula!$A$11:$B$20,2,FALSE),Formula!$C$26)</f>
        <v>0.95</v>
      </c>
      <c r="Q1721" s="15">
        <f>IF(AND(ISNUMBER(J1721),J1721&gt;0),1/J1721,IF(AND(ISNUMBER(I1721),I1721&gt;0),SQRT(MIN(I1721,Formula!$C$27))/Formula!$C$24,1/Formula!$C$25))</f>
        <v>0.5263157895</v>
      </c>
      <c r="R1721" s="15">
        <f t="shared" si="2"/>
        <v>0.5</v>
      </c>
      <c r="S1721" s="15">
        <f>IF(H1721&lt;&gt;"",EXP(-Formula!$C$28*(EOMONTH(H1721,0)-H1721)),EXP(-Formula!$C$28*(EOMONTH(D1721,0)-D1721)))</f>
        <v>1</v>
      </c>
      <c r="T1721" s="15">
        <f t="shared" si="3"/>
        <v>0.1961161351</v>
      </c>
      <c r="U1721" s="15">
        <f t="shared" si="4"/>
        <v>0.09805806757</v>
      </c>
      <c r="V1721" s="16">
        <f>IF(AND(L1721="Among all respondents",NOT(OR(K1721="Online poll in Telegram channel",K1721="Website online poll",K1721="CAWI (Computer Assisted Web Interviewing)"))),1/(1-MIN(MAX(Formula!$C$33+(YEAR(D1721)-Formula!$C$34)/(Formula!$C$35-Formula!$C$34)*(Formula!$C$32-Formula!$C$33),Formula!$C$33),Formula!$C$32)),1)</f>
        <v>1</v>
      </c>
      <c r="W1721" s="17">
        <f t="shared" si="5"/>
        <v>16.3</v>
      </c>
    </row>
    <row r="1722" ht="15.75" customHeight="1">
      <c r="A1722" s="8" t="s">
        <v>2558</v>
      </c>
      <c r="B1722" s="7" t="s">
        <v>2554</v>
      </c>
      <c r="C1722" s="13" t="s">
        <v>2555</v>
      </c>
      <c r="D1722" s="7" t="s">
        <v>225</v>
      </c>
      <c r="E1722" s="8" t="s">
        <v>155</v>
      </c>
      <c r="F1722" s="8" t="s">
        <v>318</v>
      </c>
      <c r="G1722" s="7" t="s">
        <v>228</v>
      </c>
      <c r="H1722" s="7" t="s">
        <v>2556</v>
      </c>
      <c r="I1722" s="8">
        <v>3017.0</v>
      </c>
      <c r="J1722" s="8">
        <v>1.9</v>
      </c>
      <c r="K1722" s="8" t="s">
        <v>583</v>
      </c>
      <c r="L1722" s="8" t="s">
        <v>322</v>
      </c>
      <c r="M1722" s="8" t="s">
        <v>329</v>
      </c>
      <c r="N1722" s="8">
        <v>15.1</v>
      </c>
      <c r="O1722" s="14">
        <f t="shared" si="1"/>
        <v>44256</v>
      </c>
      <c r="P1722" s="15">
        <f>IFERROR(VLOOKUP(K1722,Formula!$A$11:$B$20,2,FALSE),Formula!$C$26)</f>
        <v>0.95</v>
      </c>
      <c r="Q1722" s="15">
        <f>IF(AND(ISNUMBER(J1722),J1722&gt;0),1/J1722,IF(AND(ISNUMBER(I1722),I1722&gt;0),SQRT(MIN(I1722,Formula!$C$27))/Formula!$C$24,1/Formula!$C$25))</f>
        <v>0.5263157895</v>
      </c>
      <c r="R1722" s="15">
        <f t="shared" si="2"/>
        <v>0.5</v>
      </c>
      <c r="S1722" s="15">
        <f>IF(H1722&lt;&gt;"",EXP(-Formula!$C$28*(EOMONTH(H1722,0)-H1722)),EXP(-Formula!$C$28*(EOMONTH(D1722,0)-D1722)))</f>
        <v>1</v>
      </c>
      <c r="T1722" s="15">
        <f t="shared" si="3"/>
        <v>0.1961161351</v>
      </c>
      <c r="U1722" s="15">
        <f t="shared" si="4"/>
        <v>0.09805806757</v>
      </c>
      <c r="V1722" s="16">
        <f>IF(AND(L1722="Among all respondents",NOT(OR(K1722="Online poll in Telegram channel",K1722="Website online poll",K1722="CAWI (Computer Assisted Web Interviewing)"))),1/(1-MIN(MAX(Formula!$C$33+(YEAR(D1722)-Formula!$C$34)/(Formula!$C$35-Formula!$C$34)*(Formula!$C$32-Formula!$C$33),Formula!$C$33),Formula!$C$32)),1)</f>
        <v>1</v>
      </c>
      <c r="W1722" s="17">
        <f t="shared" si="5"/>
        <v>15.1</v>
      </c>
    </row>
    <row r="1723" ht="15.75" customHeight="1">
      <c r="A1723" s="8" t="s">
        <v>2559</v>
      </c>
      <c r="B1723" s="7" t="s">
        <v>2554</v>
      </c>
      <c r="C1723" s="13" t="s">
        <v>2555</v>
      </c>
      <c r="D1723" s="7" t="s">
        <v>225</v>
      </c>
      <c r="E1723" s="8" t="s">
        <v>155</v>
      </c>
      <c r="F1723" s="8" t="s">
        <v>318</v>
      </c>
      <c r="G1723" s="7" t="s">
        <v>228</v>
      </c>
      <c r="H1723" s="7" t="s">
        <v>2556</v>
      </c>
      <c r="I1723" s="8">
        <v>3017.0</v>
      </c>
      <c r="J1723" s="8">
        <v>1.9</v>
      </c>
      <c r="K1723" s="8" t="s">
        <v>583</v>
      </c>
      <c r="L1723" s="8" t="s">
        <v>322</v>
      </c>
      <c r="M1723" s="8" t="s">
        <v>337</v>
      </c>
      <c r="N1723" s="8">
        <v>11.1</v>
      </c>
      <c r="O1723" s="14">
        <f t="shared" si="1"/>
        <v>44256</v>
      </c>
      <c r="P1723" s="15">
        <f>IFERROR(VLOOKUP(K1723,Formula!$A$11:$B$20,2,FALSE),Formula!$C$26)</f>
        <v>0.95</v>
      </c>
      <c r="Q1723" s="15">
        <f>IF(AND(ISNUMBER(J1723),J1723&gt;0),1/J1723,IF(AND(ISNUMBER(I1723),I1723&gt;0),SQRT(MIN(I1723,Formula!$C$27))/Formula!$C$24,1/Formula!$C$25))</f>
        <v>0.5263157895</v>
      </c>
      <c r="R1723" s="15">
        <f t="shared" si="2"/>
        <v>0.5</v>
      </c>
      <c r="S1723" s="15">
        <f>IF(H1723&lt;&gt;"",EXP(-Formula!$C$28*(EOMONTH(H1723,0)-H1723)),EXP(-Formula!$C$28*(EOMONTH(D1723,0)-D1723)))</f>
        <v>1</v>
      </c>
      <c r="T1723" s="15">
        <f t="shared" si="3"/>
        <v>0.1961161351</v>
      </c>
      <c r="U1723" s="15">
        <f t="shared" si="4"/>
        <v>0.09805806757</v>
      </c>
      <c r="V1723" s="16">
        <f>IF(AND(L1723="Among all respondents",NOT(OR(K1723="Online poll in Telegram channel",K1723="Website online poll",K1723="CAWI (Computer Assisted Web Interviewing)"))),1/(1-MIN(MAX(Formula!$C$33+(YEAR(D1723)-Formula!$C$34)/(Formula!$C$35-Formula!$C$34)*(Formula!$C$32-Formula!$C$33),Formula!$C$33),Formula!$C$32)),1)</f>
        <v>1</v>
      </c>
      <c r="W1723" s="17">
        <f t="shared" si="5"/>
        <v>11.1</v>
      </c>
    </row>
    <row r="1724" ht="15.75" customHeight="1">
      <c r="A1724" s="8" t="s">
        <v>2560</v>
      </c>
      <c r="B1724" s="7" t="s">
        <v>2554</v>
      </c>
      <c r="C1724" s="13" t="s">
        <v>2555</v>
      </c>
      <c r="D1724" s="7" t="s">
        <v>225</v>
      </c>
      <c r="E1724" s="8" t="s">
        <v>155</v>
      </c>
      <c r="F1724" s="8" t="s">
        <v>318</v>
      </c>
      <c r="G1724" s="7" t="s">
        <v>228</v>
      </c>
      <c r="H1724" s="7" t="s">
        <v>2556</v>
      </c>
      <c r="I1724" s="8">
        <v>3017.0</v>
      </c>
      <c r="J1724" s="8">
        <v>1.9</v>
      </c>
      <c r="K1724" s="8" t="s">
        <v>583</v>
      </c>
      <c r="L1724" s="8" t="s">
        <v>322</v>
      </c>
      <c r="M1724" s="8" t="s">
        <v>828</v>
      </c>
      <c r="N1724" s="8">
        <v>5.2</v>
      </c>
      <c r="O1724" s="14">
        <f t="shared" si="1"/>
        <v>44256</v>
      </c>
      <c r="P1724" s="15">
        <f>IFERROR(VLOOKUP(K1724,Formula!$A$11:$B$20,2,FALSE),Formula!$C$26)</f>
        <v>0.95</v>
      </c>
      <c r="Q1724" s="15">
        <f>IF(AND(ISNUMBER(J1724),J1724&gt;0),1/J1724,IF(AND(ISNUMBER(I1724),I1724&gt;0),SQRT(MIN(I1724,Formula!$C$27))/Formula!$C$24,1/Formula!$C$25))</f>
        <v>0.5263157895</v>
      </c>
      <c r="R1724" s="15">
        <f t="shared" si="2"/>
        <v>0.5</v>
      </c>
      <c r="S1724" s="15">
        <f>IF(H1724&lt;&gt;"",EXP(-Formula!$C$28*(EOMONTH(H1724,0)-H1724)),EXP(-Formula!$C$28*(EOMONTH(D1724,0)-D1724)))</f>
        <v>1</v>
      </c>
      <c r="T1724" s="15">
        <f t="shared" si="3"/>
        <v>0.1961161351</v>
      </c>
      <c r="U1724" s="15">
        <f t="shared" si="4"/>
        <v>0.09805806757</v>
      </c>
      <c r="V1724" s="16">
        <f>IF(AND(L1724="Among all respondents",NOT(OR(K1724="Online poll in Telegram channel",K1724="Website online poll",K1724="CAWI (Computer Assisted Web Interviewing)"))),1/(1-MIN(MAX(Formula!$C$33+(YEAR(D1724)-Formula!$C$34)/(Formula!$C$35-Formula!$C$34)*(Formula!$C$32-Formula!$C$33),Formula!$C$33),Formula!$C$32)),1)</f>
        <v>1</v>
      </c>
      <c r="W1724" s="17">
        <f t="shared" si="5"/>
        <v>5.2</v>
      </c>
    </row>
    <row r="1725" ht="15.75" customHeight="1">
      <c r="A1725" s="8" t="s">
        <v>2561</v>
      </c>
      <c r="B1725" s="7" t="s">
        <v>2554</v>
      </c>
      <c r="C1725" s="13" t="s">
        <v>2555</v>
      </c>
      <c r="D1725" s="7" t="s">
        <v>225</v>
      </c>
      <c r="E1725" s="8" t="s">
        <v>155</v>
      </c>
      <c r="F1725" s="8" t="s">
        <v>318</v>
      </c>
      <c r="G1725" s="7" t="s">
        <v>228</v>
      </c>
      <c r="H1725" s="7" t="s">
        <v>2556</v>
      </c>
      <c r="I1725" s="8">
        <v>3017.0</v>
      </c>
      <c r="J1725" s="8">
        <v>1.9</v>
      </c>
      <c r="K1725" s="8" t="s">
        <v>583</v>
      </c>
      <c r="L1725" s="8" t="s">
        <v>322</v>
      </c>
      <c r="M1725" s="8" t="s">
        <v>386</v>
      </c>
      <c r="N1725" s="8">
        <v>4.4</v>
      </c>
      <c r="O1725" s="14">
        <f t="shared" si="1"/>
        <v>44256</v>
      </c>
      <c r="P1725" s="15">
        <f>IFERROR(VLOOKUP(K1725,Formula!$A$11:$B$20,2,FALSE),Formula!$C$26)</f>
        <v>0.95</v>
      </c>
      <c r="Q1725" s="15">
        <f>IF(AND(ISNUMBER(J1725),J1725&gt;0),1/J1725,IF(AND(ISNUMBER(I1725),I1725&gt;0),SQRT(MIN(I1725,Formula!$C$27))/Formula!$C$24,1/Formula!$C$25))</f>
        <v>0.5263157895</v>
      </c>
      <c r="R1725" s="15">
        <f t="shared" si="2"/>
        <v>0.5</v>
      </c>
      <c r="S1725" s="15">
        <f>IF(H1725&lt;&gt;"",EXP(-Formula!$C$28*(EOMONTH(H1725,0)-H1725)),EXP(-Formula!$C$28*(EOMONTH(D1725,0)-D1725)))</f>
        <v>1</v>
      </c>
      <c r="T1725" s="15">
        <f t="shared" si="3"/>
        <v>0.1961161351</v>
      </c>
      <c r="U1725" s="15">
        <f t="shared" si="4"/>
        <v>0.09805806757</v>
      </c>
      <c r="V1725" s="16">
        <f>IF(AND(L1725="Among all respondents",NOT(OR(K1725="Online poll in Telegram channel",K1725="Website online poll",K1725="CAWI (Computer Assisted Web Interviewing)"))),1/(1-MIN(MAX(Formula!$C$33+(YEAR(D1725)-Formula!$C$34)/(Formula!$C$35-Formula!$C$34)*(Formula!$C$32-Formula!$C$33),Formula!$C$33),Formula!$C$32)),1)</f>
        <v>1</v>
      </c>
      <c r="W1725" s="17">
        <f t="shared" si="5"/>
        <v>4.4</v>
      </c>
    </row>
    <row r="1726" ht="15.75" customHeight="1">
      <c r="A1726" s="8" t="s">
        <v>2564</v>
      </c>
      <c r="B1726" s="7" t="s">
        <v>2554</v>
      </c>
      <c r="C1726" s="13" t="s">
        <v>2555</v>
      </c>
      <c r="D1726" s="7" t="s">
        <v>225</v>
      </c>
      <c r="E1726" s="8" t="s">
        <v>155</v>
      </c>
      <c r="F1726" s="8" t="s">
        <v>318</v>
      </c>
      <c r="G1726" s="7" t="s">
        <v>228</v>
      </c>
      <c r="H1726" s="7" t="s">
        <v>2556</v>
      </c>
      <c r="I1726" s="8">
        <v>3017.0</v>
      </c>
      <c r="J1726" s="8">
        <v>1.9</v>
      </c>
      <c r="K1726" s="8" t="s">
        <v>583</v>
      </c>
      <c r="L1726" s="8" t="s">
        <v>322</v>
      </c>
      <c r="M1726" s="8" t="s">
        <v>388</v>
      </c>
      <c r="N1726" s="8">
        <v>3.2</v>
      </c>
      <c r="O1726" s="14">
        <f t="shared" si="1"/>
        <v>44256</v>
      </c>
      <c r="P1726" s="15">
        <f>IFERROR(VLOOKUP(K1726,Formula!$A$11:$B$20,2,FALSE),Formula!$C$26)</f>
        <v>0.95</v>
      </c>
      <c r="Q1726" s="15">
        <f>IF(AND(ISNUMBER(J1726),J1726&gt;0),1/J1726,IF(AND(ISNUMBER(I1726),I1726&gt;0),SQRT(MIN(I1726,Formula!$C$27))/Formula!$C$24,1/Formula!$C$25))</f>
        <v>0.5263157895</v>
      </c>
      <c r="R1726" s="15">
        <f t="shared" si="2"/>
        <v>0.5</v>
      </c>
      <c r="S1726" s="15">
        <f>IF(H1726&lt;&gt;"",EXP(-Formula!$C$28*(EOMONTH(H1726,0)-H1726)),EXP(-Formula!$C$28*(EOMONTH(D1726,0)-D1726)))</f>
        <v>1</v>
      </c>
      <c r="T1726" s="15">
        <f t="shared" si="3"/>
        <v>0.1961161351</v>
      </c>
      <c r="U1726" s="15">
        <f t="shared" si="4"/>
        <v>0.09805806757</v>
      </c>
      <c r="V1726" s="16">
        <f>IF(AND(L1726="Among all respondents",NOT(OR(K1726="Online poll in Telegram channel",K1726="Website online poll",K1726="CAWI (Computer Assisted Web Interviewing)"))),1/(1-MIN(MAX(Formula!$C$33+(YEAR(D1726)-Formula!$C$34)/(Formula!$C$35-Formula!$C$34)*(Formula!$C$32-Formula!$C$33),Formula!$C$33),Formula!$C$32)),1)</f>
        <v>1</v>
      </c>
      <c r="W1726" s="17">
        <f t="shared" si="5"/>
        <v>3.2</v>
      </c>
    </row>
    <row r="1727" ht="15.75" customHeight="1">
      <c r="A1727" s="8" t="s">
        <v>2562</v>
      </c>
      <c r="B1727" s="7" t="s">
        <v>2554</v>
      </c>
      <c r="C1727" s="13" t="s">
        <v>2555</v>
      </c>
      <c r="D1727" s="7" t="s">
        <v>225</v>
      </c>
      <c r="E1727" s="8" t="s">
        <v>155</v>
      </c>
      <c r="F1727" s="8" t="s">
        <v>318</v>
      </c>
      <c r="G1727" s="7" t="s">
        <v>228</v>
      </c>
      <c r="H1727" s="7" t="s">
        <v>2556</v>
      </c>
      <c r="I1727" s="8">
        <v>3017.0</v>
      </c>
      <c r="J1727" s="8">
        <v>1.9</v>
      </c>
      <c r="K1727" s="8" t="s">
        <v>583</v>
      </c>
      <c r="L1727" s="8" t="s">
        <v>322</v>
      </c>
      <c r="M1727" s="8" t="s">
        <v>333</v>
      </c>
      <c r="N1727" s="8">
        <v>3.0</v>
      </c>
      <c r="O1727" s="14">
        <f t="shared" si="1"/>
        <v>44256</v>
      </c>
      <c r="P1727" s="15">
        <f>IFERROR(VLOOKUP(K1727,Formula!$A$11:$B$20,2,FALSE),Formula!$C$26)</f>
        <v>0.95</v>
      </c>
      <c r="Q1727" s="15">
        <f>IF(AND(ISNUMBER(J1727),J1727&gt;0),1/J1727,IF(AND(ISNUMBER(I1727),I1727&gt;0),SQRT(MIN(I1727,Formula!$C$27))/Formula!$C$24,1/Formula!$C$25))</f>
        <v>0.5263157895</v>
      </c>
      <c r="R1727" s="15">
        <f t="shared" si="2"/>
        <v>0.5</v>
      </c>
      <c r="S1727" s="15">
        <f>IF(H1727&lt;&gt;"",EXP(-Formula!$C$28*(EOMONTH(H1727,0)-H1727)),EXP(-Formula!$C$28*(EOMONTH(D1727,0)-D1727)))</f>
        <v>1</v>
      </c>
      <c r="T1727" s="15">
        <f t="shared" si="3"/>
        <v>0.1961161351</v>
      </c>
      <c r="U1727" s="15">
        <f t="shared" si="4"/>
        <v>0.09805806757</v>
      </c>
      <c r="V1727" s="16">
        <f>IF(AND(L1727="Among all respondents",NOT(OR(K1727="Online poll in Telegram channel",K1727="Website online poll",K1727="CAWI (Computer Assisted Web Interviewing)"))),1/(1-MIN(MAX(Formula!$C$33+(YEAR(D1727)-Formula!$C$34)/(Formula!$C$35-Formula!$C$34)*(Formula!$C$32-Formula!$C$33),Formula!$C$33),Formula!$C$32)),1)</f>
        <v>1</v>
      </c>
      <c r="W1727" s="17">
        <f t="shared" si="5"/>
        <v>3</v>
      </c>
    </row>
    <row r="1728" ht="15.75" customHeight="1">
      <c r="A1728" s="8" t="s">
        <v>2563</v>
      </c>
      <c r="B1728" s="7" t="s">
        <v>2554</v>
      </c>
      <c r="C1728" s="13" t="s">
        <v>2555</v>
      </c>
      <c r="D1728" s="7" t="s">
        <v>225</v>
      </c>
      <c r="E1728" s="8" t="s">
        <v>155</v>
      </c>
      <c r="F1728" s="8" t="s">
        <v>318</v>
      </c>
      <c r="G1728" s="7" t="s">
        <v>228</v>
      </c>
      <c r="H1728" s="7" t="s">
        <v>2556</v>
      </c>
      <c r="I1728" s="8">
        <v>3017.0</v>
      </c>
      <c r="J1728" s="8">
        <v>1.9</v>
      </c>
      <c r="K1728" s="8" t="s">
        <v>583</v>
      </c>
      <c r="L1728" s="8" t="s">
        <v>322</v>
      </c>
      <c r="M1728" s="8" t="s">
        <v>838</v>
      </c>
      <c r="N1728" s="8">
        <v>2.9</v>
      </c>
      <c r="O1728" s="14">
        <f t="shared" si="1"/>
        <v>44256</v>
      </c>
      <c r="P1728" s="15">
        <f>IFERROR(VLOOKUP(K1728,Formula!$A$11:$B$20,2,FALSE),Formula!$C$26)</f>
        <v>0.95</v>
      </c>
      <c r="Q1728" s="15">
        <f>IF(AND(ISNUMBER(J1728),J1728&gt;0),1/J1728,IF(AND(ISNUMBER(I1728),I1728&gt;0),SQRT(MIN(I1728,Formula!$C$27))/Formula!$C$24,1/Formula!$C$25))</f>
        <v>0.5263157895</v>
      </c>
      <c r="R1728" s="15">
        <f t="shared" si="2"/>
        <v>0.5</v>
      </c>
      <c r="S1728" s="15">
        <f>IF(H1728&lt;&gt;"",EXP(-Formula!$C$28*(EOMONTH(H1728,0)-H1728)),EXP(-Formula!$C$28*(EOMONTH(D1728,0)-D1728)))</f>
        <v>1</v>
      </c>
      <c r="T1728" s="15">
        <f t="shared" si="3"/>
        <v>0.1961161351</v>
      </c>
      <c r="U1728" s="15">
        <f t="shared" si="4"/>
        <v>0.09805806757</v>
      </c>
      <c r="V1728" s="16">
        <f>IF(AND(L1728="Among all respondents",NOT(OR(K1728="Online poll in Telegram channel",K1728="Website online poll",K1728="CAWI (Computer Assisted Web Interviewing)"))),1/(1-MIN(MAX(Formula!$C$33+(YEAR(D1728)-Formula!$C$34)/(Formula!$C$35-Formula!$C$34)*(Formula!$C$32-Formula!$C$33),Formula!$C$33),Formula!$C$32)),1)</f>
        <v>1</v>
      </c>
      <c r="W1728" s="17">
        <f t="shared" si="5"/>
        <v>2.9</v>
      </c>
    </row>
    <row r="1729" ht="15.75" customHeight="1">
      <c r="A1729" s="8" t="s">
        <v>2565</v>
      </c>
      <c r="B1729" s="7" t="s">
        <v>2554</v>
      </c>
      <c r="C1729" s="13" t="s">
        <v>2555</v>
      </c>
      <c r="D1729" s="7" t="s">
        <v>225</v>
      </c>
      <c r="E1729" s="8" t="s">
        <v>155</v>
      </c>
      <c r="F1729" s="8" t="s">
        <v>318</v>
      </c>
      <c r="G1729" s="7" t="s">
        <v>228</v>
      </c>
      <c r="H1729" s="7" t="s">
        <v>2556</v>
      </c>
      <c r="I1729" s="8">
        <v>3017.0</v>
      </c>
      <c r="J1729" s="8">
        <v>1.9</v>
      </c>
      <c r="K1729" s="8" t="s">
        <v>583</v>
      </c>
      <c r="L1729" s="8" t="s">
        <v>322</v>
      </c>
      <c r="M1729" s="8" t="s">
        <v>343</v>
      </c>
      <c r="N1729" s="8">
        <v>1.6</v>
      </c>
      <c r="O1729" s="14">
        <f t="shared" si="1"/>
        <v>44256</v>
      </c>
      <c r="P1729" s="15">
        <f>IFERROR(VLOOKUP(K1729,Formula!$A$11:$B$20,2,FALSE),Formula!$C$26)</f>
        <v>0.95</v>
      </c>
      <c r="Q1729" s="15">
        <f>IF(AND(ISNUMBER(J1729),J1729&gt;0),1/J1729,IF(AND(ISNUMBER(I1729),I1729&gt;0),SQRT(MIN(I1729,Formula!$C$27))/Formula!$C$24,1/Formula!$C$25))</f>
        <v>0.5263157895</v>
      </c>
      <c r="R1729" s="15">
        <f t="shared" si="2"/>
        <v>0.5</v>
      </c>
      <c r="S1729" s="15">
        <f>IF(H1729&lt;&gt;"",EXP(-Formula!$C$28*(EOMONTH(H1729,0)-H1729)),EXP(-Formula!$C$28*(EOMONTH(D1729,0)-D1729)))</f>
        <v>1</v>
      </c>
      <c r="T1729" s="15">
        <f t="shared" si="3"/>
        <v>0.1961161351</v>
      </c>
      <c r="U1729" s="15">
        <f t="shared" si="4"/>
        <v>0.09805806757</v>
      </c>
      <c r="V1729" s="16">
        <f>IF(AND(L1729="Among all respondents",NOT(OR(K1729="Online poll in Telegram channel",K1729="Website online poll",K1729="CAWI (Computer Assisted Web Interviewing)"))),1/(1-MIN(MAX(Formula!$C$33+(YEAR(D1729)-Formula!$C$34)/(Formula!$C$35-Formula!$C$34)*(Formula!$C$32-Formula!$C$33),Formula!$C$33),Formula!$C$32)),1)</f>
        <v>1</v>
      </c>
      <c r="W1729" s="17">
        <f t="shared" si="5"/>
        <v>1.6</v>
      </c>
    </row>
    <row r="1730" ht="15.75" customHeight="1">
      <c r="A1730" s="8" t="s">
        <v>2567</v>
      </c>
      <c r="B1730" s="7" t="s">
        <v>2554</v>
      </c>
      <c r="C1730" s="13" t="s">
        <v>2555</v>
      </c>
      <c r="D1730" s="7" t="s">
        <v>225</v>
      </c>
      <c r="E1730" s="8" t="s">
        <v>155</v>
      </c>
      <c r="F1730" s="8" t="s">
        <v>318</v>
      </c>
      <c r="G1730" s="7" t="s">
        <v>228</v>
      </c>
      <c r="H1730" s="7" t="s">
        <v>2556</v>
      </c>
      <c r="I1730" s="8">
        <v>3017.0</v>
      </c>
      <c r="J1730" s="8">
        <v>1.9</v>
      </c>
      <c r="K1730" s="8" t="s">
        <v>583</v>
      </c>
      <c r="L1730" s="8" t="s">
        <v>322</v>
      </c>
      <c r="M1730" s="8" t="s">
        <v>740</v>
      </c>
      <c r="N1730" s="8">
        <v>1.4</v>
      </c>
      <c r="O1730" s="14">
        <f t="shared" si="1"/>
        <v>44256</v>
      </c>
      <c r="P1730" s="15">
        <f>IFERROR(VLOOKUP(K1730,Formula!$A$11:$B$20,2,FALSE),Formula!$C$26)</f>
        <v>0.95</v>
      </c>
      <c r="Q1730" s="15">
        <f>IF(AND(ISNUMBER(J1730),J1730&gt;0),1/J1730,IF(AND(ISNUMBER(I1730),I1730&gt;0),SQRT(MIN(I1730,Formula!$C$27))/Formula!$C$24,1/Formula!$C$25))</f>
        <v>0.5263157895</v>
      </c>
      <c r="R1730" s="15">
        <f t="shared" si="2"/>
        <v>0.5</v>
      </c>
      <c r="S1730" s="15">
        <f>IF(H1730&lt;&gt;"",EXP(-Formula!$C$28*(EOMONTH(H1730,0)-H1730)),EXP(-Formula!$C$28*(EOMONTH(D1730,0)-D1730)))</f>
        <v>1</v>
      </c>
      <c r="T1730" s="15">
        <f t="shared" si="3"/>
        <v>0.1961161351</v>
      </c>
      <c r="U1730" s="15">
        <f t="shared" si="4"/>
        <v>0.09805806757</v>
      </c>
      <c r="V1730" s="16">
        <f>IF(AND(L1730="Among all respondents",NOT(OR(K1730="Online poll in Telegram channel",K1730="Website online poll",K1730="CAWI (Computer Assisted Web Interviewing)"))),1/(1-MIN(MAX(Formula!$C$33+(YEAR(D1730)-Formula!$C$34)/(Formula!$C$35-Formula!$C$34)*(Formula!$C$32-Formula!$C$33),Formula!$C$33),Formula!$C$32)),1)</f>
        <v>1</v>
      </c>
      <c r="W1730" s="17">
        <f t="shared" si="5"/>
        <v>1.4</v>
      </c>
    </row>
    <row r="1731" ht="15.75" customHeight="1">
      <c r="A1731" s="8" t="s">
        <v>2566</v>
      </c>
      <c r="B1731" s="7" t="s">
        <v>2554</v>
      </c>
      <c r="C1731" s="13" t="s">
        <v>2555</v>
      </c>
      <c r="D1731" s="7" t="s">
        <v>225</v>
      </c>
      <c r="E1731" s="8" t="s">
        <v>155</v>
      </c>
      <c r="F1731" s="8" t="s">
        <v>318</v>
      </c>
      <c r="G1731" s="7" t="s">
        <v>228</v>
      </c>
      <c r="H1731" s="7" t="s">
        <v>2556</v>
      </c>
      <c r="I1731" s="8">
        <v>3017.0</v>
      </c>
      <c r="J1731" s="8">
        <v>1.9</v>
      </c>
      <c r="K1731" s="8" t="s">
        <v>583</v>
      </c>
      <c r="L1731" s="8" t="s">
        <v>322</v>
      </c>
      <c r="M1731" s="8" t="s">
        <v>743</v>
      </c>
      <c r="N1731" s="8">
        <v>1.2</v>
      </c>
      <c r="O1731" s="14">
        <f t="shared" si="1"/>
        <v>44256</v>
      </c>
      <c r="P1731" s="15">
        <f>IFERROR(VLOOKUP(K1731,Formula!$A$11:$B$20,2,FALSE),Formula!$C$26)</f>
        <v>0.95</v>
      </c>
      <c r="Q1731" s="15">
        <f>IF(AND(ISNUMBER(J1731),J1731&gt;0),1/J1731,IF(AND(ISNUMBER(I1731),I1731&gt;0),SQRT(MIN(I1731,Formula!$C$27))/Formula!$C$24,1/Formula!$C$25))</f>
        <v>0.5263157895</v>
      </c>
      <c r="R1731" s="15">
        <f t="shared" si="2"/>
        <v>0.5</v>
      </c>
      <c r="S1731" s="15">
        <f>IF(H1731&lt;&gt;"",EXP(-Formula!$C$28*(EOMONTH(H1731,0)-H1731)),EXP(-Formula!$C$28*(EOMONTH(D1731,0)-D1731)))</f>
        <v>1</v>
      </c>
      <c r="T1731" s="15">
        <f t="shared" si="3"/>
        <v>0.1961161351</v>
      </c>
      <c r="U1731" s="15">
        <f t="shared" si="4"/>
        <v>0.09805806757</v>
      </c>
      <c r="V1731" s="16">
        <f>IF(AND(L1731="Among all respondents",NOT(OR(K1731="Online poll in Telegram channel",K1731="Website online poll",K1731="CAWI (Computer Assisted Web Interviewing)"))),1/(1-MIN(MAX(Formula!$C$33+(YEAR(D1731)-Formula!$C$34)/(Formula!$C$35-Formula!$C$34)*(Formula!$C$32-Formula!$C$33),Formula!$C$33),Formula!$C$32)),1)</f>
        <v>1</v>
      </c>
      <c r="W1731" s="17">
        <f t="shared" si="5"/>
        <v>1.2</v>
      </c>
    </row>
    <row r="1732" ht="15.75" customHeight="1">
      <c r="A1732" s="8" t="s">
        <v>2568</v>
      </c>
      <c r="B1732" s="7" t="s">
        <v>2554</v>
      </c>
      <c r="C1732" s="13" t="s">
        <v>2555</v>
      </c>
      <c r="D1732" s="7" t="s">
        <v>225</v>
      </c>
      <c r="E1732" s="8" t="s">
        <v>155</v>
      </c>
      <c r="F1732" s="8" t="s">
        <v>318</v>
      </c>
      <c r="G1732" s="7" t="s">
        <v>228</v>
      </c>
      <c r="H1732" s="7" t="s">
        <v>2556</v>
      </c>
      <c r="I1732" s="8">
        <v>3017.0</v>
      </c>
      <c r="J1732" s="8">
        <v>1.9</v>
      </c>
      <c r="K1732" s="8" t="s">
        <v>583</v>
      </c>
      <c r="L1732" s="8" t="s">
        <v>322</v>
      </c>
      <c r="M1732" s="8" t="s">
        <v>335</v>
      </c>
      <c r="N1732" s="8">
        <v>0.4</v>
      </c>
      <c r="O1732" s="14">
        <f t="shared" si="1"/>
        <v>44256</v>
      </c>
      <c r="P1732" s="15">
        <f>IFERROR(VLOOKUP(K1732,Formula!$A$11:$B$20,2,FALSE),Formula!$C$26)</f>
        <v>0.95</v>
      </c>
      <c r="Q1732" s="15">
        <f>IF(AND(ISNUMBER(J1732),J1732&gt;0),1/J1732,IF(AND(ISNUMBER(I1732),I1732&gt;0),SQRT(MIN(I1732,Formula!$C$27))/Formula!$C$24,1/Formula!$C$25))</f>
        <v>0.5263157895</v>
      </c>
      <c r="R1732" s="15">
        <f t="shared" si="2"/>
        <v>0.5</v>
      </c>
      <c r="S1732" s="15">
        <f>IF(H1732&lt;&gt;"",EXP(-Formula!$C$28*(EOMONTH(H1732,0)-H1732)),EXP(-Formula!$C$28*(EOMONTH(D1732,0)-D1732)))</f>
        <v>1</v>
      </c>
      <c r="T1732" s="15">
        <f t="shared" si="3"/>
        <v>0.1961161351</v>
      </c>
      <c r="U1732" s="15">
        <f t="shared" si="4"/>
        <v>0.09805806757</v>
      </c>
      <c r="V1732" s="16">
        <f>IF(AND(L1732="Among all respondents",NOT(OR(K1732="Online poll in Telegram channel",K1732="Website online poll",K1732="CAWI (Computer Assisted Web Interviewing)"))),1/(1-MIN(MAX(Formula!$C$33+(YEAR(D1732)-Formula!$C$34)/(Formula!$C$35-Formula!$C$34)*(Formula!$C$32-Formula!$C$33),Formula!$C$33),Formula!$C$32)),1)</f>
        <v>1</v>
      </c>
      <c r="W1732" s="17">
        <f t="shared" si="5"/>
        <v>0.4</v>
      </c>
    </row>
    <row r="1733" ht="15.75" customHeight="1">
      <c r="A1733" s="8" t="s">
        <v>2570</v>
      </c>
      <c r="B1733" s="7" t="s">
        <v>2571</v>
      </c>
      <c r="C1733" s="13" t="s">
        <v>2572</v>
      </c>
      <c r="D1733" s="7" t="s">
        <v>216</v>
      </c>
      <c r="E1733" s="8" t="s">
        <v>222</v>
      </c>
      <c r="F1733" s="8" t="s">
        <v>318</v>
      </c>
      <c r="G1733" s="7" t="s">
        <v>227</v>
      </c>
      <c r="H1733" s="7" t="s">
        <v>2556</v>
      </c>
      <c r="I1733" s="8">
        <v>3000.0</v>
      </c>
      <c r="J1733" s="8">
        <v>2.8</v>
      </c>
      <c r="K1733" s="8" t="s">
        <v>321</v>
      </c>
      <c r="L1733" s="8" t="s">
        <v>322</v>
      </c>
      <c r="M1733" s="8" t="s">
        <v>323</v>
      </c>
      <c r="N1733" s="8">
        <v>18.2</v>
      </c>
      <c r="O1733" s="14">
        <f t="shared" si="1"/>
        <v>44256</v>
      </c>
      <c r="P1733" s="15">
        <f>IFERROR(VLOOKUP(K1733,Formula!$A$11:$B$20,2,FALSE),Formula!$C$26)</f>
        <v>0.9</v>
      </c>
      <c r="Q1733" s="15">
        <f>IF(AND(ISNUMBER(J1733),J1733&gt;0),1/J1733,IF(AND(ISNUMBER(I1733),I1733&gt;0),SQRT(MIN(I1733,Formula!$C$27))/Formula!$C$24,1/Formula!$C$25))</f>
        <v>0.3571428571</v>
      </c>
      <c r="R1733" s="15">
        <f t="shared" si="2"/>
        <v>0.3214285714</v>
      </c>
      <c r="S1733" s="15">
        <f>IF(H1733&lt;&gt;"",EXP(-Formula!$C$28*(EOMONTH(H1733,0)-H1733)),EXP(-Formula!$C$28*(EOMONTH(D1733,0)-D1733)))</f>
        <v>1</v>
      </c>
      <c r="T1733" s="15">
        <f t="shared" si="3"/>
        <v>0.1961161351</v>
      </c>
      <c r="U1733" s="15">
        <f t="shared" si="4"/>
        <v>0.06303732915</v>
      </c>
      <c r="V1733" s="16">
        <f>IF(AND(L1733="Among all respondents",NOT(OR(K1733="Online poll in Telegram channel",K1733="Website online poll",K1733="CAWI (Computer Assisted Web Interviewing)"))),1/(1-MIN(MAX(Formula!$C$33+(YEAR(D1733)-Formula!$C$34)/(Formula!$C$35-Formula!$C$34)*(Formula!$C$32-Formula!$C$33),Formula!$C$33),Formula!$C$32)),1)</f>
        <v>1</v>
      </c>
      <c r="W1733" s="17">
        <f t="shared" si="5"/>
        <v>18.2</v>
      </c>
    </row>
    <row r="1734" ht="15.75" customHeight="1">
      <c r="A1734" s="8" t="s">
        <v>2573</v>
      </c>
      <c r="B1734" s="7" t="s">
        <v>2571</v>
      </c>
      <c r="C1734" s="13" t="s">
        <v>2572</v>
      </c>
      <c r="D1734" s="7" t="s">
        <v>216</v>
      </c>
      <c r="E1734" s="8" t="s">
        <v>222</v>
      </c>
      <c r="F1734" s="8" t="s">
        <v>318</v>
      </c>
      <c r="G1734" s="7" t="s">
        <v>227</v>
      </c>
      <c r="H1734" s="7" t="s">
        <v>2556</v>
      </c>
      <c r="I1734" s="8">
        <v>3000.0</v>
      </c>
      <c r="J1734" s="8">
        <v>2.8</v>
      </c>
      <c r="K1734" s="8" t="s">
        <v>321</v>
      </c>
      <c r="L1734" s="8" t="s">
        <v>322</v>
      </c>
      <c r="M1734" s="8" t="s">
        <v>329</v>
      </c>
      <c r="N1734" s="8">
        <v>17.1</v>
      </c>
      <c r="O1734" s="14">
        <f t="shared" si="1"/>
        <v>44256</v>
      </c>
      <c r="P1734" s="15">
        <f>IFERROR(VLOOKUP(K1734,Formula!$A$11:$B$20,2,FALSE),Formula!$C$26)</f>
        <v>0.9</v>
      </c>
      <c r="Q1734" s="15">
        <f>IF(AND(ISNUMBER(J1734),J1734&gt;0),1/J1734,IF(AND(ISNUMBER(I1734),I1734&gt;0),SQRT(MIN(I1734,Formula!$C$27))/Formula!$C$24,1/Formula!$C$25))</f>
        <v>0.3571428571</v>
      </c>
      <c r="R1734" s="15">
        <f t="shared" si="2"/>
        <v>0.3214285714</v>
      </c>
      <c r="S1734" s="15">
        <f>IF(H1734&lt;&gt;"",EXP(-Formula!$C$28*(EOMONTH(H1734,0)-H1734)),EXP(-Formula!$C$28*(EOMONTH(D1734,0)-D1734)))</f>
        <v>1</v>
      </c>
      <c r="T1734" s="15">
        <f t="shared" si="3"/>
        <v>0.1961161351</v>
      </c>
      <c r="U1734" s="15">
        <f t="shared" si="4"/>
        <v>0.06303732915</v>
      </c>
      <c r="V1734" s="16">
        <f>IF(AND(L1734="Among all respondents",NOT(OR(K1734="Online poll in Telegram channel",K1734="Website online poll",K1734="CAWI (Computer Assisted Web Interviewing)"))),1/(1-MIN(MAX(Formula!$C$33+(YEAR(D1734)-Formula!$C$34)/(Formula!$C$35-Formula!$C$34)*(Formula!$C$32-Formula!$C$33),Formula!$C$33),Formula!$C$32)),1)</f>
        <v>1</v>
      </c>
      <c r="W1734" s="17">
        <f t="shared" si="5"/>
        <v>17.1</v>
      </c>
    </row>
    <row r="1735" ht="15.75" customHeight="1">
      <c r="A1735" s="8" t="s">
        <v>2574</v>
      </c>
      <c r="B1735" s="7" t="s">
        <v>2571</v>
      </c>
      <c r="C1735" s="13" t="s">
        <v>2572</v>
      </c>
      <c r="D1735" s="7" t="s">
        <v>216</v>
      </c>
      <c r="E1735" s="8" t="s">
        <v>222</v>
      </c>
      <c r="F1735" s="8" t="s">
        <v>318</v>
      </c>
      <c r="G1735" s="7" t="s">
        <v>227</v>
      </c>
      <c r="H1735" s="7" t="s">
        <v>2556</v>
      </c>
      <c r="I1735" s="8">
        <v>3000.0</v>
      </c>
      <c r="J1735" s="8">
        <v>2.8</v>
      </c>
      <c r="K1735" s="8" t="s">
        <v>321</v>
      </c>
      <c r="L1735" s="8" t="s">
        <v>322</v>
      </c>
      <c r="M1735" s="8" t="s">
        <v>365</v>
      </c>
      <c r="N1735" s="8">
        <v>10.2</v>
      </c>
      <c r="O1735" s="14">
        <f t="shared" si="1"/>
        <v>44256</v>
      </c>
      <c r="P1735" s="15">
        <f>IFERROR(VLOOKUP(K1735,Formula!$A$11:$B$20,2,FALSE),Formula!$C$26)</f>
        <v>0.9</v>
      </c>
      <c r="Q1735" s="15">
        <f>IF(AND(ISNUMBER(J1735),J1735&gt;0),1/J1735,IF(AND(ISNUMBER(I1735),I1735&gt;0),SQRT(MIN(I1735,Formula!$C$27))/Formula!$C$24,1/Formula!$C$25))</f>
        <v>0.3571428571</v>
      </c>
      <c r="R1735" s="15">
        <f t="shared" si="2"/>
        <v>0.3214285714</v>
      </c>
      <c r="S1735" s="15">
        <f>IF(H1735&lt;&gt;"",EXP(-Formula!$C$28*(EOMONTH(H1735,0)-H1735)),EXP(-Formula!$C$28*(EOMONTH(D1735,0)-D1735)))</f>
        <v>1</v>
      </c>
      <c r="T1735" s="15">
        <f t="shared" si="3"/>
        <v>0.1961161351</v>
      </c>
      <c r="U1735" s="15">
        <f t="shared" si="4"/>
        <v>0.06303732915</v>
      </c>
      <c r="V1735" s="16">
        <f>IF(AND(L1735="Among all respondents",NOT(OR(K1735="Online poll in Telegram channel",K1735="Website online poll",K1735="CAWI (Computer Assisted Web Interviewing)"))),1/(1-MIN(MAX(Formula!$C$33+(YEAR(D1735)-Formula!$C$34)/(Formula!$C$35-Formula!$C$34)*(Formula!$C$32-Formula!$C$33),Formula!$C$33),Formula!$C$32)),1)</f>
        <v>1</v>
      </c>
      <c r="W1735" s="17">
        <f t="shared" si="5"/>
        <v>10.2</v>
      </c>
    </row>
    <row r="1736" ht="15.75" customHeight="1">
      <c r="A1736" s="8" t="s">
        <v>2575</v>
      </c>
      <c r="B1736" s="7" t="s">
        <v>2571</v>
      </c>
      <c r="C1736" s="13" t="s">
        <v>2572</v>
      </c>
      <c r="D1736" s="7" t="s">
        <v>216</v>
      </c>
      <c r="E1736" s="8" t="s">
        <v>222</v>
      </c>
      <c r="F1736" s="8" t="s">
        <v>318</v>
      </c>
      <c r="G1736" s="7" t="s">
        <v>227</v>
      </c>
      <c r="H1736" s="7" t="s">
        <v>2556</v>
      </c>
      <c r="I1736" s="8">
        <v>3000.0</v>
      </c>
      <c r="J1736" s="8">
        <v>2.8</v>
      </c>
      <c r="K1736" s="8" t="s">
        <v>321</v>
      </c>
      <c r="L1736" s="8" t="s">
        <v>322</v>
      </c>
      <c r="M1736" s="8" t="s">
        <v>337</v>
      </c>
      <c r="N1736" s="8">
        <v>9.5</v>
      </c>
      <c r="O1736" s="14">
        <f t="shared" si="1"/>
        <v>44256</v>
      </c>
      <c r="P1736" s="15">
        <f>IFERROR(VLOOKUP(K1736,Formula!$A$11:$B$20,2,FALSE),Formula!$C$26)</f>
        <v>0.9</v>
      </c>
      <c r="Q1736" s="15">
        <f>IF(AND(ISNUMBER(J1736),J1736&gt;0),1/J1736,IF(AND(ISNUMBER(I1736),I1736&gt;0),SQRT(MIN(I1736,Formula!$C$27))/Formula!$C$24,1/Formula!$C$25))</f>
        <v>0.3571428571</v>
      </c>
      <c r="R1736" s="15">
        <f t="shared" si="2"/>
        <v>0.3214285714</v>
      </c>
      <c r="S1736" s="15">
        <f>IF(H1736&lt;&gt;"",EXP(-Formula!$C$28*(EOMONTH(H1736,0)-H1736)),EXP(-Formula!$C$28*(EOMONTH(D1736,0)-D1736)))</f>
        <v>1</v>
      </c>
      <c r="T1736" s="15">
        <f t="shared" si="3"/>
        <v>0.1961161351</v>
      </c>
      <c r="U1736" s="15">
        <f t="shared" si="4"/>
        <v>0.06303732915</v>
      </c>
      <c r="V1736" s="16">
        <f>IF(AND(L1736="Among all respondents",NOT(OR(K1736="Online poll in Telegram channel",K1736="Website online poll",K1736="CAWI (Computer Assisted Web Interviewing)"))),1/(1-MIN(MAX(Formula!$C$33+(YEAR(D1736)-Formula!$C$34)/(Formula!$C$35-Formula!$C$34)*(Formula!$C$32-Formula!$C$33),Formula!$C$33),Formula!$C$32)),1)</f>
        <v>1</v>
      </c>
      <c r="W1736" s="17">
        <f t="shared" si="5"/>
        <v>9.5</v>
      </c>
    </row>
    <row r="1737" ht="15.75" customHeight="1">
      <c r="A1737" s="8" t="s">
        <v>2576</v>
      </c>
      <c r="B1737" s="7" t="s">
        <v>2571</v>
      </c>
      <c r="C1737" s="13" t="s">
        <v>2572</v>
      </c>
      <c r="D1737" s="7" t="s">
        <v>216</v>
      </c>
      <c r="E1737" s="8" t="s">
        <v>222</v>
      </c>
      <c r="F1737" s="8" t="s">
        <v>318</v>
      </c>
      <c r="G1737" s="7" t="s">
        <v>227</v>
      </c>
      <c r="H1737" s="7" t="s">
        <v>2556</v>
      </c>
      <c r="I1737" s="8">
        <v>3000.0</v>
      </c>
      <c r="J1737" s="8">
        <v>2.8</v>
      </c>
      <c r="K1737" s="8" t="s">
        <v>321</v>
      </c>
      <c r="L1737" s="8" t="s">
        <v>322</v>
      </c>
      <c r="M1737" s="8" t="s">
        <v>828</v>
      </c>
      <c r="N1737" s="8">
        <v>5.2</v>
      </c>
      <c r="O1737" s="14">
        <f t="shared" si="1"/>
        <v>44256</v>
      </c>
      <c r="P1737" s="15">
        <f>IFERROR(VLOOKUP(K1737,Formula!$A$11:$B$20,2,FALSE),Formula!$C$26)</f>
        <v>0.9</v>
      </c>
      <c r="Q1737" s="15">
        <f>IF(AND(ISNUMBER(J1737),J1737&gt;0),1/J1737,IF(AND(ISNUMBER(I1737),I1737&gt;0),SQRT(MIN(I1737,Formula!$C$27))/Formula!$C$24,1/Formula!$C$25))</f>
        <v>0.3571428571</v>
      </c>
      <c r="R1737" s="15">
        <f t="shared" si="2"/>
        <v>0.3214285714</v>
      </c>
      <c r="S1737" s="15">
        <f>IF(H1737&lt;&gt;"",EXP(-Formula!$C$28*(EOMONTH(H1737,0)-H1737)),EXP(-Formula!$C$28*(EOMONTH(D1737,0)-D1737)))</f>
        <v>1</v>
      </c>
      <c r="T1737" s="15">
        <f t="shared" si="3"/>
        <v>0.1961161351</v>
      </c>
      <c r="U1737" s="15">
        <f t="shared" si="4"/>
        <v>0.06303732915</v>
      </c>
      <c r="V1737" s="16">
        <f>IF(AND(L1737="Among all respondents",NOT(OR(K1737="Online poll in Telegram channel",K1737="Website online poll",K1737="CAWI (Computer Assisted Web Interviewing)"))),1/(1-MIN(MAX(Formula!$C$33+(YEAR(D1737)-Formula!$C$34)/(Formula!$C$35-Formula!$C$34)*(Formula!$C$32-Formula!$C$33),Formula!$C$33),Formula!$C$32)),1)</f>
        <v>1</v>
      </c>
      <c r="W1737" s="17">
        <f t="shared" si="5"/>
        <v>5.2</v>
      </c>
    </row>
    <row r="1738" ht="15.75" customHeight="1">
      <c r="A1738" s="8" t="s">
        <v>2577</v>
      </c>
      <c r="B1738" s="7" t="s">
        <v>2571</v>
      </c>
      <c r="C1738" s="13" t="s">
        <v>2572</v>
      </c>
      <c r="D1738" s="7" t="s">
        <v>216</v>
      </c>
      <c r="E1738" s="8" t="s">
        <v>222</v>
      </c>
      <c r="F1738" s="8" t="s">
        <v>318</v>
      </c>
      <c r="G1738" s="7" t="s">
        <v>227</v>
      </c>
      <c r="H1738" s="7" t="s">
        <v>2556</v>
      </c>
      <c r="I1738" s="8">
        <v>3000.0</v>
      </c>
      <c r="J1738" s="8">
        <v>2.8</v>
      </c>
      <c r="K1738" s="8" t="s">
        <v>321</v>
      </c>
      <c r="L1738" s="8" t="s">
        <v>322</v>
      </c>
      <c r="M1738" s="8" t="s">
        <v>333</v>
      </c>
      <c r="N1738" s="8">
        <v>5.0</v>
      </c>
      <c r="O1738" s="14">
        <f t="shared" si="1"/>
        <v>44256</v>
      </c>
      <c r="P1738" s="15">
        <f>IFERROR(VLOOKUP(K1738,Formula!$A$11:$B$20,2,FALSE),Formula!$C$26)</f>
        <v>0.9</v>
      </c>
      <c r="Q1738" s="15">
        <f>IF(AND(ISNUMBER(J1738),J1738&gt;0),1/J1738,IF(AND(ISNUMBER(I1738),I1738&gt;0),SQRT(MIN(I1738,Formula!$C$27))/Formula!$C$24,1/Formula!$C$25))</f>
        <v>0.3571428571</v>
      </c>
      <c r="R1738" s="15">
        <f t="shared" si="2"/>
        <v>0.3214285714</v>
      </c>
      <c r="S1738" s="15">
        <f>IF(H1738&lt;&gt;"",EXP(-Formula!$C$28*(EOMONTH(H1738,0)-H1738)),EXP(-Formula!$C$28*(EOMONTH(D1738,0)-D1738)))</f>
        <v>1</v>
      </c>
      <c r="T1738" s="15">
        <f t="shared" si="3"/>
        <v>0.1961161351</v>
      </c>
      <c r="U1738" s="15">
        <f t="shared" si="4"/>
        <v>0.06303732915</v>
      </c>
      <c r="V1738" s="16">
        <f>IF(AND(L1738="Among all respondents",NOT(OR(K1738="Online poll in Telegram channel",K1738="Website online poll",K1738="CAWI (Computer Assisted Web Interviewing)"))),1/(1-MIN(MAX(Formula!$C$33+(YEAR(D1738)-Formula!$C$34)/(Formula!$C$35-Formula!$C$34)*(Formula!$C$32-Formula!$C$33),Formula!$C$33),Formula!$C$32)),1)</f>
        <v>1</v>
      </c>
      <c r="W1738" s="17">
        <f t="shared" si="5"/>
        <v>5</v>
      </c>
    </row>
    <row r="1739" ht="15.75" customHeight="1">
      <c r="A1739" s="8" t="s">
        <v>2578</v>
      </c>
      <c r="B1739" s="7" t="s">
        <v>2571</v>
      </c>
      <c r="C1739" s="13" t="s">
        <v>2572</v>
      </c>
      <c r="D1739" s="7" t="s">
        <v>216</v>
      </c>
      <c r="E1739" s="8" t="s">
        <v>222</v>
      </c>
      <c r="F1739" s="8" t="s">
        <v>318</v>
      </c>
      <c r="G1739" s="7" t="s">
        <v>227</v>
      </c>
      <c r="H1739" s="7" t="s">
        <v>2556</v>
      </c>
      <c r="I1739" s="8">
        <v>3000.0</v>
      </c>
      <c r="J1739" s="8">
        <v>2.8</v>
      </c>
      <c r="K1739" s="8" t="s">
        <v>321</v>
      </c>
      <c r="L1739" s="8" t="s">
        <v>322</v>
      </c>
      <c r="M1739" s="8" t="s">
        <v>386</v>
      </c>
      <c r="N1739" s="8">
        <v>4.7</v>
      </c>
      <c r="O1739" s="14">
        <f t="shared" si="1"/>
        <v>44256</v>
      </c>
      <c r="P1739" s="15">
        <f>IFERROR(VLOOKUP(K1739,Formula!$A$11:$B$20,2,FALSE),Formula!$C$26)</f>
        <v>0.9</v>
      </c>
      <c r="Q1739" s="15">
        <f>IF(AND(ISNUMBER(J1739),J1739&gt;0),1/J1739,IF(AND(ISNUMBER(I1739),I1739&gt;0),SQRT(MIN(I1739,Formula!$C$27))/Formula!$C$24,1/Formula!$C$25))</f>
        <v>0.3571428571</v>
      </c>
      <c r="R1739" s="15">
        <f t="shared" si="2"/>
        <v>0.3214285714</v>
      </c>
      <c r="S1739" s="15">
        <f>IF(H1739&lt;&gt;"",EXP(-Formula!$C$28*(EOMONTH(H1739,0)-H1739)),EXP(-Formula!$C$28*(EOMONTH(D1739,0)-D1739)))</f>
        <v>1</v>
      </c>
      <c r="T1739" s="15">
        <f t="shared" si="3"/>
        <v>0.1961161351</v>
      </c>
      <c r="U1739" s="15">
        <f t="shared" si="4"/>
        <v>0.06303732915</v>
      </c>
      <c r="V1739" s="16">
        <f>IF(AND(L1739="Among all respondents",NOT(OR(K1739="Online poll in Telegram channel",K1739="Website online poll",K1739="CAWI (Computer Assisted Web Interviewing)"))),1/(1-MIN(MAX(Formula!$C$33+(YEAR(D1739)-Formula!$C$34)/(Formula!$C$35-Formula!$C$34)*(Formula!$C$32-Formula!$C$33),Formula!$C$33),Formula!$C$32)),1)</f>
        <v>1</v>
      </c>
      <c r="W1739" s="17">
        <f t="shared" si="5"/>
        <v>4.7</v>
      </c>
    </row>
    <row r="1740" ht="15.75" customHeight="1">
      <c r="A1740" s="8" t="s">
        <v>2579</v>
      </c>
      <c r="B1740" s="7" t="s">
        <v>2571</v>
      </c>
      <c r="C1740" s="13" t="s">
        <v>2572</v>
      </c>
      <c r="D1740" s="7" t="s">
        <v>216</v>
      </c>
      <c r="E1740" s="8" t="s">
        <v>222</v>
      </c>
      <c r="F1740" s="8" t="s">
        <v>318</v>
      </c>
      <c r="G1740" s="7" t="s">
        <v>227</v>
      </c>
      <c r="H1740" s="7" t="s">
        <v>2556</v>
      </c>
      <c r="I1740" s="8">
        <v>3000.0</v>
      </c>
      <c r="J1740" s="8">
        <v>2.8</v>
      </c>
      <c r="K1740" s="8" t="s">
        <v>321</v>
      </c>
      <c r="L1740" s="8" t="s">
        <v>322</v>
      </c>
      <c r="M1740" s="8" t="s">
        <v>343</v>
      </c>
      <c r="N1740" s="8">
        <v>4.3</v>
      </c>
      <c r="O1740" s="14">
        <f t="shared" si="1"/>
        <v>44256</v>
      </c>
      <c r="P1740" s="15">
        <f>IFERROR(VLOOKUP(K1740,Formula!$A$11:$B$20,2,FALSE),Formula!$C$26)</f>
        <v>0.9</v>
      </c>
      <c r="Q1740" s="15">
        <f>IF(AND(ISNUMBER(J1740),J1740&gt;0),1/J1740,IF(AND(ISNUMBER(I1740),I1740&gt;0),SQRT(MIN(I1740,Formula!$C$27))/Formula!$C$24,1/Formula!$C$25))</f>
        <v>0.3571428571</v>
      </c>
      <c r="R1740" s="15">
        <f t="shared" si="2"/>
        <v>0.3214285714</v>
      </c>
      <c r="S1740" s="15">
        <f>IF(H1740&lt;&gt;"",EXP(-Formula!$C$28*(EOMONTH(H1740,0)-H1740)),EXP(-Formula!$C$28*(EOMONTH(D1740,0)-D1740)))</f>
        <v>1</v>
      </c>
      <c r="T1740" s="15">
        <f t="shared" si="3"/>
        <v>0.1961161351</v>
      </c>
      <c r="U1740" s="15">
        <f t="shared" si="4"/>
        <v>0.06303732915</v>
      </c>
      <c r="V1740" s="16">
        <f>IF(AND(L1740="Among all respondents",NOT(OR(K1740="Online poll in Telegram channel",K1740="Website online poll",K1740="CAWI (Computer Assisted Web Interviewing)"))),1/(1-MIN(MAX(Formula!$C$33+(YEAR(D1740)-Formula!$C$34)/(Formula!$C$35-Formula!$C$34)*(Formula!$C$32-Formula!$C$33),Formula!$C$33),Formula!$C$32)),1)</f>
        <v>1</v>
      </c>
      <c r="W1740" s="17">
        <f t="shared" si="5"/>
        <v>4.3</v>
      </c>
    </row>
    <row r="1741" ht="15.75" customHeight="1">
      <c r="A1741" s="8" t="s">
        <v>2580</v>
      </c>
      <c r="B1741" s="7" t="s">
        <v>2571</v>
      </c>
      <c r="C1741" s="13" t="s">
        <v>2572</v>
      </c>
      <c r="D1741" s="7" t="s">
        <v>216</v>
      </c>
      <c r="E1741" s="8" t="s">
        <v>222</v>
      </c>
      <c r="F1741" s="8" t="s">
        <v>318</v>
      </c>
      <c r="G1741" s="7" t="s">
        <v>227</v>
      </c>
      <c r="H1741" s="7" t="s">
        <v>2556</v>
      </c>
      <c r="I1741" s="8">
        <v>3000.0</v>
      </c>
      <c r="J1741" s="8">
        <v>2.8</v>
      </c>
      <c r="K1741" s="8" t="s">
        <v>321</v>
      </c>
      <c r="L1741" s="8" t="s">
        <v>322</v>
      </c>
      <c r="M1741" s="8" t="s">
        <v>388</v>
      </c>
      <c r="N1741" s="8">
        <v>4.2</v>
      </c>
      <c r="O1741" s="14">
        <f t="shared" si="1"/>
        <v>44256</v>
      </c>
      <c r="P1741" s="15">
        <f>IFERROR(VLOOKUP(K1741,Formula!$A$11:$B$20,2,FALSE),Formula!$C$26)</f>
        <v>0.9</v>
      </c>
      <c r="Q1741" s="15">
        <f>IF(AND(ISNUMBER(J1741),J1741&gt;0),1/J1741,IF(AND(ISNUMBER(I1741),I1741&gt;0),SQRT(MIN(I1741,Formula!$C$27))/Formula!$C$24,1/Formula!$C$25))</f>
        <v>0.3571428571</v>
      </c>
      <c r="R1741" s="15">
        <f t="shared" si="2"/>
        <v>0.3214285714</v>
      </c>
      <c r="S1741" s="15">
        <f>IF(H1741&lt;&gt;"",EXP(-Formula!$C$28*(EOMONTH(H1741,0)-H1741)),EXP(-Formula!$C$28*(EOMONTH(D1741,0)-D1741)))</f>
        <v>1</v>
      </c>
      <c r="T1741" s="15">
        <f t="shared" si="3"/>
        <v>0.1961161351</v>
      </c>
      <c r="U1741" s="15">
        <f t="shared" si="4"/>
        <v>0.06303732915</v>
      </c>
      <c r="V1741" s="16">
        <f>IF(AND(L1741="Among all respondents",NOT(OR(K1741="Online poll in Telegram channel",K1741="Website online poll",K1741="CAWI (Computer Assisted Web Interviewing)"))),1/(1-MIN(MAX(Formula!$C$33+(YEAR(D1741)-Formula!$C$34)/(Formula!$C$35-Formula!$C$34)*(Formula!$C$32-Formula!$C$33),Formula!$C$33),Formula!$C$32)),1)</f>
        <v>1</v>
      </c>
      <c r="W1741" s="17">
        <f t="shared" si="5"/>
        <v>4.2</v>
      </c>
    </row>
    <row r="1742" ht="15.75" customHeight="1">
      <c r="A1742" s="8" t="s">
        <v>2581</v>
      </c>
      <c r="B1742" s="7" t="s">
        <v>2571</v>
      </c>
      <c r="C1742" s="13" t="s">
        <v>2572</v>
      </c>
      <c r="D1742" s="7" t="s">
        <v>216</v>
      </c>
      <c r="E1742" s="8" t="s">
        <v>222</v>
      </c>
      <c r="F1742" s="8" t="s">
        <v>318</v>
      </c>
      <c r="G1742" s="7" t="s">
        <v>227</v>
      </c>
      <c r="H1742" s="7" t="s">
        <v>2556</v>
      </c>
      <c r="I1742" s="8">
        <v>3000.0</v>
      </c>
      <c r="J1742" s="8">
        <v>2.8</v>
      </c>
      <c r="K1742" s="8" t="s">
        <v>321</v>
      </c>
      <c r="L1742" s="8" t="s">
        <v>322</v>
      </c>
      <c r="M1742" s="8" t="s">
        <v>838</v>
      </c>
      <c r="N1742" s="8">
        <v>2.8</v>
      </c>
      <c r="O1742" s="14">
        <f t="shared" si="1"/>
        <v>44256</v>
      </c>
      <c r="P1742" s="15">
        <f>IFERROR(VLOOKUP(K1742,Formula!$A$11:$B$20,2,FALSE),Formula!$C$26)</f>
        <v>0.9</v>
      </c>
      <c r="Q1742" s="15">
        <f>IF(AND(ISNUMBER(J1742),J1742&gt;0),1/J1742,IF(AND(ISNUMBER(I1742),I1742&gt;0),SQRT(MIN(I1742,Formula!$C$27))/Formula!$C$24,1/Formula!$C$25))</f>
        <v>0.3571428571</v>
      </c>
      <c r="R1742" s="15">
        <f t="shared" si="2"/>
        <v>0.3214285714</v>
      </c>
      <c r="S1742" s="15">
        <f>IF(H1742&lt;&gt;"",EXP(-Formula!$C$28*(EOMONTH(H1742,0)-H1742)),EXP(-Formula!$C$28*(EOMONTH(D1742,0)-D1742)))</f>
        <v>1</v>
      </c>
      <c r="T1742" s="15">
        <f t="shared" si="3"/>
        <v>0.1961161351</v>
      </c>
      <c r="U1742" s="15">
        <f t="shared" si="4"/>
        <v>0.06303732915</v>
      </c>
      <c r="V1742" s="16">
        <f>IF(AND(L1742="Among all respondents",NOT(OR(K1742="Online poll in Telegram channel",K1742="Website online poll",K1742="CAWI (Computer Assisted Web Interviewing)"))),1/(1-MIN(MAX(Formula!$C$33+(YEAR(D1742)-Formula!$C$34)/(Formula!$C$35-Formula!$C$34)*(Formula!$C$32-Formula!$C$33),Formula!$C$33),Formula!$C$32)),1)</f>
        <v>1</v>
      </c>
      <c r="W1742" s="17">
        <f t="shared" si="5"/>
        <v>2.8</v>
      </c>
    </row>
    <row r="1743" ht="15.75" customHeight="1">
      <c r="A1743" s="8" t="s">
        <v>2582</v>
      </c>
      <c r="B1743" s="7" t="s">
        <v>2571</v>
      </c>
      <c r="C1743" s="13" t="s">
        <v>2572</v>
      </c>
      <c r="D1743" s="7" t="s">
        <v>216</v>
      </c>
      <c r="E1743" s="8" t="s">
        <v>222</v>
      </c>
      <c r="F1743" s="8" t="s">
        <v>318</v>
      </c>
      <c r="G1743" s="7" t="s">
        <v>227</v>
      </c>
      <c r="H1743" s="7" t="s">
        <v>2556</v>
      </c>
      <c r="I1743" s="8">
        <v>3000.0</v>
      </c>
      <c r="J1743" s="8">
        <v>2.8</v>
      </c>
      <c r="K1743" s="8" t="s">
        <v>321</v>
      </c>
      <c r="L1743" s="8" t="s">
        <v>322</v>
      </c>
      <c r="M1743" s="8" t="s">
        <v>740</v>
      </c>
      <c r="N1743" s="8">
        <v>1.6</v>
      </c>
      <c r="O1743" s="14">
        <f t="shared" si="1"/>
        <v>44256</v>
      </c>
      <c r="P1743" s="15">
        <f>IFERROR(VLOOKUP(K1743,Formula!$A$11:$B$20,2,FALSE),Formula!$C$26)</f>
        <v>0.9</v>
      </c>
      <c r="Q1743" s="15">
        <f>IF(AND(ISNUMBER(J1743),J1743&gt;0),1/J1743,IF(AND(ISNUMBER(I1743),I1743&gt;0),SQRT(MIN(I1743,Formula!$C$27))/Formula!$C$24,1/Formula!$C$25))</f>
        <v>0.3571428571</v>
      </c>
      <c r="R1743" s="15">
        <f t="shared" si="2"/>
        <v>0.3214285714</v>
      </c>
      <c r="S1743" s="15">
        <f>IF(H1743&lt;&gt;"",EXP(-Formula!$C$28*(EOMONTH(H1743,0)-H1743)),EXP(-Formula!$C$28*(EOMONTH(D1743,0)-D1743)))</f>
        <v>1</v>
      </c>
      <c r="T1743" s="15">
        <f t="shared" si="3"/>
        <v>0.1961161351</v>
      </c>
      <c r="U1743" s="15">
        <f t="shared" si="4"/>
        <v>0.06303732915</v>
      </c>
      <c r="V1743" s="16">
        <f>IF(AND(L1743="Among all respondents",NOT(OR(K1743="Online poll in Telegram channel",K1743="Website online poll",K1743="CAWI (Computer Assisted Web Interviewing)"))),1/(1-MIN(MAX(Formula!$C$33+(YEAR(D1743)-Formula!$C$34)/(Formula!$C$35-Formula!$C$34)*(Formula!$C$32-Formula!$C$33),Formula!$C$33),Formula!$C$32)),1)</f>
        <v>1</v>
      </c>
      <c r="W1743" s="17">
        <f t="shared" si="5"/>
        <v>1.6</v>
      </c>
    </row>
    <row r="1744" ht="15.75" customHeight="1">
      <c r="A1744" s="8" t="s">
        <v>2583</v>
      </c>
      <c r="B1744" s="7" t="s">
        <v>2571</v>
      </c>
      <c r="C1744" s="13" t="s">
        <v>2572</v>
      </c>
      <c r="D1744" s="7" t="s">
        <v>216</v>
      </c>
      <c r="E1744" s="8" t="s">
        <v>222</v>
      </c>
      <c r="F1744" s="8" t="s">
        <v>318</v>
      </c>
      <c r="G1744" s="7" t="s">
        <v>227</v>
      </c>
      <c r="H1744" s="7" t="s">
        <v>2556</v>
      </c>
      <c r="I1744" s="8">
        <v>3000.0</v>
      </c>
      <c r="J1744" s="8">
        <v>2.8</v>
      </c>
      <c r="K1744" s="8" t="s">
        <v>321</v>
      </c>
      <c r="L1744" s="8" t="s">
        <v>322</v>
      </c>
      <c r="M1744" s="8" t="s">
        <v>335</v>
      </c>
      <c r="N1744" s="8">
        <v>1.1</v>
      </c>
      <c r="O1744" s="14">
        <f t="shared" si="1"/>
        <v>44256</v>
      </c>
      <c r="P1744" s="15">
        <f>IFERROR(VLOOKUP(K1744,Formula!$A$11:$B$20,2,FALSE),Formula!$C$26)</f>
        <v>0.9</v>
      </c>
      <c r="Q1744" s="15">
        <f>IF(AND(ISNUMBER(J1744),J1744&gt;0),1/J1744,IF(AND(ISNUMBER(I1744),I1744&gt;0),SQRT(MIN(I1744,Formula!$C$27))/Formula!$C$24,1/Formula!$C$25))</f>
        <v>0.3571428571</v>
      </c>
      <c r="R1744" s="15">
        <f t="shared" si="2"/>
        <v>0.3214285714</v>
      </c>
      <c r="S1744" s="15">
        <f>IF(H1744&lt;&gt;"",EXP(-Formula!$C$28*(EOMONTH(H1744,0)-H1744)),EXP(-Formula!$C$28*(EOMONTH(D1744,0)-D1744)))</f>
        <v>1</v>
      </c>
      <c r="T1744" s="15">
        <f t="shared" si="3"/>
        <v>0.1961161351</v>
      </c>
      <c r="U1744" s="15">
        <f t="shared" si="4"/>
        <v>0.06303732915</v>
      </c>
      <c r="V1744" s="16">
        <f>IF(AND(L1744="Among all respondents",NOT(OR(K1744="Online poll in Telegram channel",K1744="Website online poll",K1744="CAWI (Computer Assisted Web Interviewing)"))),1/(1-MIN(MAX(Formula!$C$33+(YEAR(D1744)-Formula!$C$34)/(Formula!$C$35-Formula!$C$34)*(Formula!$C$32-Formula!$C$33),Formula!$C$33),Formula!$C$32)),1)</f>
        <v>1</v>
      </c>
      <c r="W1744" s="17">
        <f t="shared" si="5"/>
        <v>1.1</v>
      </c>
    </row>
    <row r="1745" ht="15.75" customHeight="1">
      <c r="A1745" s="8" t="s">
        <v>2584</v>
      </c>
      <c r="B1745" s="7" t="s">
        <v>2571</v>
      </c>
      <c r="C1745" s="13" t="s">
        <v>2572</v>
      </c>
      <c r="D1745" s="7" t="s">
        <v>216</v>
      </c>
      <c r="E1745" s="8" t="s">
        <v>222</v>
      </c>
      <c r="F1745" s="8" t="s">
        <v>318</v>
      </c>
      <c r="G1745" s="7" t="s">
        <v>227</v>
      </c>
      <c r="H1745" s="7" t="s">
        <v>2556</v>
      </c>
      <c r="I1745" s="8">
        <v>3000.0</v>
      </c>
      <c r="J1745" s="8">
        <v>2.8</v>
      </c>
      <c r="K1745" s="8" t="s">
        <v>321</v>
      </c>
      <c r="L1745" s="8" t="s">
        <v>322</v>
      </c>
      <c r="M1745" s="8" t="s">
        <v>743</v>
      </c>
      <c r="N1745" s="8">
        <v>0.6</v>
      </c>
      <c r="O1745" s="14">
        <f t="shared" si="1"/>
        <v>44256</v>
      </c>
      <c r="P1745" s="15">
        <f>IFERROR(VLOOKUP(K1745,Formula!$A$11:$B$20,2,FALSE),Formula!$C$26)</f>
        <v>0.9</v>
      </c>
      <c r="Q1745" s="15">
        <f>IF(AND(ISNUMBER(J1745),J1745&gt;0),1/J1745,IF(AND(ISNUMBER(I1745),I1745&gt;0),SQRT(MIN(I1745,Formula!$C$27))/Formula!$C$24,1/Formula!$C$25))</f>
        <v>0.3571428571</v>
      </c>
      <c r="R1745" s="15">
        <f t="shared" si="2"/>
        <v>0.3214285714</v>
      </c>
      <c r="S1745" s="15">
        <f>IF(H1745&lt;&gt;"",EXP(-Formula!$C$28*(EOMONTH(H1745,0)-H1745)),EXP(-Formula!$C$28*(EOMONTH(D1745,0)-D1745)))</f>
        <v>1</v>
      </c>
      <c r="T1745" s="15">
        <f t="shared" si="3"/>
        <v>0.1961161351</v>
      </c>
      <c r="U1745" s="15">
        <f t="shared" si="4"/>
        <v>0.06303732915</v>
      </c>
      <c r="V1745" s="16">
        <f>IF(AND(L1745="Among all respondents",NOT(OR(K1745="Online poll in Telegram channel",K1745="Website online poll",K1745="CAWI (Computer Assisted Web Interviewing)"))),1/(1-MIN(MAX(Formula!$C$33+(YEAR(D1745)-Formula!$C$34)/(Formula!$C$35-Formula!$C$34)*(Formula!$C$32-Formula!$C$33),Formula!$C$33),Formula!$C$32)),1)</f>
        <v>1</v>
      </c>
      <c r="W1745" s="17">
        <f t="shared" si="5"/>
        <v>0.6</v>
      </c>
    </row>
    <row r="1746" ht="15.75" customHeight="1">
      <c r="A1746" s="8" t="s">
        <v>2585</v>
      </c>
      <c r="B1746" s="7" t="s">
        <v>2586</v>
      </c>
      <c r="C1746" s="13" t="s">
        <v>2587</v>
      </c>
      <c r="D1746" s="7" t="s">
        <v>227</v>
      </c>
      <c r="E1746" s="8" t="s">
        <v>220</v>
      </c>
      <c r="F1746" s="8" t="s">
        <v>318</v>
      </c>
      <c r="G1746" s="7" t="s">
        <v>2588</v>
      </c>
      <c r="H1746" s="7" t="s">
        <v>2523</v>
      </c>
      <c r="I1746" s="8">
        <v>3000.0</v>
      </c>
      <c r="J1746" s="8">
        <v>2.8</v>
      </c>
      <c r="K1746" s="8" t="s">
        <v>321</v>
      </c>
      <c r="L1746" s="8" t="s">
        <v>322</v>
      </c>
      <c r="M1746" s="8" t="s">
        <v>323</v>
      </c>
      <c r="N1746" s="8">
        <v>18.7</v>
      </c>
      <c r="O1746" s="14">
        <f t="shared" si="1"/>
        <v>44228</v>
      </c>
      <c r="P1746" s="15">
        <f>IFERROR(VLOOKUP(K1746,Formula!$A$11:$B$20,2,FALSE),Formula!$C$26)</f>
        <v>0.9</v>
      </c>
      <c r="Q1746" s="15">
        <f>IF(AND(ISNUMBER(J1746),J1746&gt;0),1/J1746,IF(AND(ISNUMBER(I1746),I1746&gt;0),SQRT(MIN(I1746,Formula!$C$27))/Formula!$C$24,1/Formula!$C$25))</f>
        <v>0.3571428571</v>
      </c>
      <c r="R1746" s="15">
        <f t="shared" si="2"/>
        <v>0.3214285714</v>
      </c>
      <c r="S1746" s="15">
        <f>IF(H1746&lt;&gt;"",EXP(-Formula!$C$28*(EOMONTH(H1746,0)-H1746)),EXP(-Formula!$C$28*(EOMONTH(D1746,0)-D1746)))</f>
        <v>0.7788007831</v>
      </c>
      <c r="T1746" s="15">
        <f t="shared" si="3"/>
        <v>0.2773500981</v>
      </c>
      <c r="U1746" s="15">
        <f t="shared" si="4"/>
        <v>0.06942872366</v>
      </c>
      <c r="V1746" s="16">
        <f>IF(AND(L1746="Among all respondents",NOT(OR(K1746="Online poll in Telegram channel",K1746="Website online poll",K1746="CAWI (Computer Assisted Web Interviewing)"))),1/(1-MIN(MAX(Formula!$C$33+(YEAR(D1746)-Formula!$C$34)/(Formula!$C$35-Formula!$C$34)*(Formula!$C$32-Formula!$C$33),Formula!$C$33),Formula!$C$32)),1)</f>
        <v>1</v>
      </c>
      <c r="W1746" s="17">
        <f t="shared" si="5"/>
        <v>18.7</v>
      </c>
    </row>
    <row r="1747" ht="15.75" customHeight="1">
      <c r="A1747" s="8" t="s">
        <v>2589</v>
      </c>
      <c r="B1747" s="7" t="s">
        <v>2586</v>
      </c>
      <c r="C1747" s="13" t="s">
        <v>2587</v>
      </c>
      <c r="D1747" s="7" t="s">
        <v>227</v>
      </c>
      <c r="E1747" s="8" t="s">
        <v>220</v>
      </c>
      <c r="F1747" s="8" t="s">
        <v>318</v>
      </c>
      <c r="G1747" s="7" t="s">
        <v>2588</v>
      </c>
      <c r="H1747" s="7" t="s">
        <v>2523</v>
      </c>
      <c r="I1747" s="8">
        <v>3000.0</v>
      </c>
      <c r="J1747" s="8">
        <v>2.8</v>
      </c>
      <c r="K1747" s="8" t="s">
        <v>321</v>
      </c>
      <c r="L1747" s="8" t="s">
        <v>322</v>
      </c>
      <c r="M1747" s="8" t="s">
        <v>329</v>
      </c>
      <c r="N1747" s="8">
        <v>16.5</v>
      </c>
      <c r="O1747" s="14">
        <f t="shared" si="1"/>
        <v>44228</v>
      </c>
      <c r="P1747" s="15">
        <f>IFERROR(VLOOKUP(K1747,Formula!$A$11:$B$20,2,FALSE),Formula!$C$26)</f>
        <v>0.9</v>
      </c>
      <c r="Q1747" s="15">
        <f>IF(AND(ISNUMBER(J1747),J1747&gt;0),1/J1747,IF(AND(ISNUMBER(I1747),I1747&gt;0),SQRT(MIN(I1747,Formula!$C$27))/Formula!$C$24,1/Formula!$C$25))</f>
        <v>0.3571428571</v>
      </c>
      <c r="R1747" s="15">
        <f t="shared" si="2"/>
        <v>0.3214285714</v>
      </c>
      <c r="S1747" s="15">
        <f>IF(H1747&lt;&gt;"",EXP(-Formula!$C$28*(EOMONTH(H1747,0)-H1747)),EXP(-Formula!$C$28*(EOMONTH(D1747,0)-D1747)))</f>
        <v>0.7788007831</v>
      </c>
      <c r="T1747" s="15">
        <f t="shared" si="3"/>
        <v>0.2773500981</v>
      </c>
      <c r="U1747" s="15">
        <f t="shared" si="4"/>
        <v>0.06942872366</v>
      </c>
      <c r="V1747" s="16">
        <f>IF(AND(L1747="Among all respondents",NOT(OR(K1747="Online poll in Telegram channel",K1747="Website online poll",K1747="CAWI (Computer Assisted Web Interviewing)"))),1/(1-MIN(MAX(Formula!$C$33+(YEAR(D1747)-Formula!$C$34)/(Formula!$C$35-Formula!$C$34)*(Formula!$C$32-Formula!$C$33),Formula!$C$33),Formula!$C$32)),1)</f>
        <v>1</v>
      </c>
      <c r="W1747" s="17">
        <f t="shared" si="5"/>
        <v>16.5</v>
      </c>
    </row>
    <row r="1748" ht="15.75" customHeight="1">
      <c r="A1748" s="8" t="s">
        <v>2590</v>
      </c>
      <c r="B1748" s="7" t="s">
        <v>2586</v>
      </c>
      <c r="C1748" s="13" t="s">
        <v>2587</v>
      </c>
      <c r="D1748" s="7" t="s">
        <v>227</v>
      </c>
      <c r="E1748" s="8" t="s">
        <v>220</v>
      </c>
      <c r="F1748" s="8" t="s">
        <v>318</v>
      </c>
      <c r="G1748" s="7" t="s">
        <v>2588</v>
      </c>
      <c r="H1748" s="7" t="s">
        <v>2523</v>
      </c>
      <c r="I1748" s="8">
        <v>3000.0</v>
      </c>
      <c r="J1748" s="8">
        <v>2.8</v>
      </c>
      <c r="K1748" s="8" t="s">
        <v>321</v>
      </c>
      <c r="L1748" s="8" t="s">
        <v>322</v>
      </c>
      <c r="M1748" s="8" t="s">
        <v>365</v>
      </c>
      <c r="N1748" s="8">
        <v>10.4</v>
      </c>
      <c r="O1748" s="14">
        <f t="shared" si="1"/>
        <v>44228</v>
      </c>
      <c r="P1748" s="15">
        <f>IFERROR(VLOOKUP(K1748,Formula!$A$11:$B$20,2,FALSE),Formula!$C$26)</f>
        <v>0.9</v>
      </c>
      <c r="Q1748" s="15">
        <f>IF(AND(ISNUMBER(J1748),J1748&gt;0),1/J1748,IF(AND(ISNUMBER(I1748),I1748&gt;0),SQRT(MIN(I1748,Formula!$C$27))/Formula!$C$24,1/Formula!$C$25))</f>
        <v>0.3571428571</v>
      </c>
      <c r="R1748" s="15">
        <f t="shared" si="2"/>
        <v>0.3214285714</v>
      </c>
      <c r="S1748" s="15">
        <f>IF(H1748&lt;&gt;"",EXP(-Formula!$C$28*(EOMONTH(H1748,0)-H1748)),EXP(-Formula!$C$28*(EOMONTH(D1748,0)-D1748)))</f>
        <v>0.7788007831</v>
      </c>
      <c r="T1748" s="15">
        <f t="shared" si="3"/>
        <v>0.2773500981</v>
      </c>
      <c r="U1748" s="15">
        <f t="shared" si="4"/>
        <v>0.06942872366</v>
      </c>
      <c r="V1748" s="16">
        <f>IF(AND(L1748="Among all respondents",NOT(OR(K1748="Online poll in Telegram channel",K1748="Website online poll",K1748="CAWI (Computer Assisted Web Interviewing)"))),1/(1-MIN(MAX(Formula!$C$33+(YEAR(D1748)-Formula!$C$34)/(Formula!$C$35-Formula!$C$34)*(Formula!$C$32-Formula!$C$33),Formula!$C$33),Formula!$C$32)),1)</f>
        <v>1</v>
      </c>
      <c r="W1748" s="17">
        <f t="shared" si="5"/>
        <v>10.4</v>
      </c>
    </row>
    <row r="1749" ht="15.75" customHeight="1">
      <c r="A1749" s="8" t="s">
        <v>2591</v>
      </c>
      <c r="B1749" s="7" t="s">
        <v>2586</v>
      </c>
      <c r="C1749" s="13" t="s">
        <v>2587</v>
      </c>
      <c r="D1749" s="7" t="s">
        <v>227</v>
      </c>
      <c r="E1749" s="8" t="s">
        <v>220</v>
      </c>
      <c r="F1749" s="8" t="s">
        <v>318</v>
      </c>
      <c r="G1749" s="7" t="s">
        <v>2588</v>
      </c>
      <c r="H1749" s="7" t="s">
        <v>2523</v>
      </c>
      <c r="I1749" s="8">
        <v>3000.0</v>
      </c>
      <c r="J1749" s="8">
        <v>2.8</v>
      </c>
      <c r="K1749" s="8" t="s">
        <v>321</v>
      </c>
      <c r="L1749" s="8" t="s">
        <v>322</v>
      </c>
      <c r="M1749" s="8" t="s">
        <v>337</v>
      </c>
      <c r="N1749" s="8">
        <v>9.6</v>
      </c>
      <c r="O1749" s="14">
        <f t="shared" si="1"/>
        <v>44228</v>
      </c>
      <c r="P1749" s="15">
        <f>IFERROR(VLOOKUP(K1749,Formula!$A$11:$B$20,2,FALSE),Formula!$C$26)</f>
        <v>0.9</v>
      </c>
      <c r="Q1749" s="15">
        <f>IF(AND(ISNUMBER(J1749),J1749&gt;0),1/J1749,IF(AND(ISNUMBER(I1749),I1749&gt;0),SQRT(MIN(I1749,Formula!$C$27))/Formula!$C$24,1/Formula!$C$25))</f>
        <v>0.3571428571</v>
      </c>
      <c r="R1749" s="15">
        <f t="shared" si="2"/>
        <v>0.3214285714</v>
      </c>
      <c r="S1749" s="15">
        <f>IF(H1749&lt;&gt;"",EXP(-Formula!$C$28*(EOMONTH(H1749,0)-H1749)),EXP(-Formula!$C$28*(EOMONTH(D1749,0)-D1749)))</f>
        <v>0.7788007831</v>
      </c>
      <c r="T1749" s="15">
        <f t="shared" si="3"/>
        <v>0.2773500981</v>
      </c>
      <c r="U1749" s="15">
        <f t="shared" si="4"/>
        <v>0.06942872366</v>
      </c>
      <c r="V1749" s="16">
        <f>IF(AND(L1749="Among all respondents",NOT(OR(K1749="Online poll in Telegram channel",K1749="Website online poll",K1749="CAWI (Computer Assisted Web Interviewing)"))),1/(1-MIN(MAX(Formula!$C$33+(YEAR(D1749)-Formula!$C$34)/(Formula!$C$35-Formula!$C$34)*(Formula!$C$32-Formula!$C$33),Formula!$C$33),Formula!$C$32)),1)</f>
        <v>1</v>
      </c>
      <c r="W1749" s="17">
        <f t="shared" si="5"/>
        <v>9.6</v>
      </c>
    </row>
    <row r="1750" ht="15.75" customHeight="1">
      <c r="A1750" s="8" t="s">
        <v>2592</v>
      </c>
      <c r="B1750" s="7" t="s">
        <v>2586</v>
      </c>
      <c r="C1750" s="13" t="s">
        <v>2587</v>
      </c>
      <c r="D1750" s="7" t="s">
        <v>227</v>
      </c>
      <c r="E1750" s="8" t="s">
        <v>220</v>
      </c>
      <c r="F1750" s="8" t="s">
        <v>318</v>
      </c>
      <c r="G1750" s="7" t="s">
        <v>2588</v>
      </c>
      <c r="H1750" s="7" t="s">
        <v>2523</v>
      </c>
      <c r="I1750" s="8">
        <v>3000.0</v>
      </c>
      <c r="J1750" s="8">
        <v>2.8</v>
      </c>
      <c r="K1750" s="8" t="s">
        <v>321</v>
      </c>
      <c r="L1750" s="8" t="s">
        <v>322</v>
      </c>
      <c r="M1750" s="8" t="s">
        <v>828</v>
      </c>
      <c r="N1750" s="8">
        <v>5.7</v>
      </c>
      <c r="O1750" s="14">
        <f t="shared" si="1"/>
        <v>44228</v>
      </c>
      <c r="P1750" s="15">
        <f>IFERROR(VLOOKUP(K1750,Formula!$A$11:$B$20,2,FALSE),Formula!$C$26)</f>
        <v>0.9</v>
      </c>
      <c r="Q1750" s="15">
        <f>IF(AND(ISNUMBER(J1750),J1750&gt;0),1/J1750,IF(AND(ISNUMBER(I1750),I1750&gt;0),SQRT(MIN(I1750,Formula!$C$27))/Formula!$C$24,1/Formula!$C$25))</f>
        <v>0.3571428571</v>
      </c>
      <c r="R1750" s="15">
        <f t="shared" si="2"/>
        <v>0.3214285714</v>
      </c>
      <c r="S1750" s="15">
        <f>IF(H1750&lt;&gt;"",EXP(-Formula!$C$28*(EOMONTH(H1750,0)-H1750)),EXP(-Formula!$C$28*(EOMONTH(D1750,0)-D1750)))</f>
        <v>0.7788007831</v>
      </c>
      <c r="T1750" s="15">
        <f t="shared" si="3"/>
        <v>0.2773500981</v>
      </c>
      <c r="U1750" s="15">
        <f t="shared" si="4"/>
        <v>0.06942872366</v>
      </c>
      <c r="V1750" s="16">
        <f>IF(AND(L1750="Among all respondents",NOT(OR(K1750="Online poll in Telegram channel",K1750="Website online poll",K1750="CAWI (Computer Assisted Web Interviewing)"))),1/(1-MIN(MAX(Formula!$C$33+(YEAR(D1750)-Formula!$C$34)/(Formula!$C$35-Formula!$C$34)*(Formula!$C$32-Formula!$C$33),Formula!$C$33),Formula!$C$32)),1)</f>
        <v>1</v>
      </c>
      <c r="W1750" s="17">
        <f t="shared" si="5"/>
        <v>5.7</v>
      </c>
    </row>
    <row r="1751" ht="15.75" customHeight="1">
      <c r="A1751" s="8" t="s">
        <v>2593</v>
      </c>
      <c r="B1751" s="7" t="s">
        <v>2586</v>
      </c>
      <c r="C1751" s="13" t="s">
        <v>2587</v>
      </c>
      <c r="D1751" s="7" t="s">
        <v>227</v>
      </c>
      <c r="E1751" s="8" t="s">
        <v>220</v>
      </c>
      <c r="F1751" s="8" t="s">
        <v>318</v>
      </c>
      <c r="G1751" s="7" t="s">
        <v>2588</v>
      </c>
      <c r="H1751" s="7" t="s">
        <v>2523</v>
      </c>
      <c r="I1751" s="8">
        <v>3000.0</v>
      </c>
      <c r="J1751" s="8">
        <v>2.8</v>
      </c>
      <c r="K1751" s="8" t="s">
        <v>321</v>
      </c>
      <c r="L1751" s="8" t="s">
        <v>322</v>
      </c>
      <c r="M1751" s="8" t="s">
        <v>333</v>
      </c>
      <c r="N1751" s="8">
        <v>5.5</v>
      </c>
      <c r="O1751" s="14">
        <f t="shared" si="1"/>
        <v>44228</v>
      </c>
      <c r="P1751" s="15">
        <f>IFERROR(VLOOKUP(K1751,Formula!$A$11:$B$20,2,FALSE),Formula!$C$26)</f>
        <v>0.9</v>
      </c>
      <c r="Q1751" s="15">
        <f>IF(AND(ISNUMBER(J1751),J1751&gt;0),1/J1751,IF(AND(ISNUMBER(I1751),I1751&gt;0),SQRT(MIN(I1751,Formula!$C$27))/Formula!$C$24,1/Formula!$C$25))</f>
        <v>0.3571428571</v>
      </c>
      <c r="R1751" s="15">
        <f t="shared" si="2"/>
        <v>0.3214285714</v>
      </c>
      <c r="S1751" s="15">
        <f>IF(H1751&lt;&gt;"",EXP(-Formula!$C$28*(EOMONTH(H1751,0)-H1751)),EXP(-Formula!$C$28*(EOMONTH(D1751,0)-D1751)))</f>
        <v>0.7788007831</v>
      </c>
      <c r="T1751" s="15">
        <f t="shared" si="3"/>
        <v>0.2773500981</v>
      </c>
      <c r="U1751" s="15">
        <f t="shared" si="4"/>
        <v>0.06942872366</v>
      </c>
      <c r="V1751" s="16">
        <f>IF(AND(L1751="Among all respondents",NOT(OR(K1751="Online poll in Telegram channel",K1751="Website online poll",K1751="CAWI (Computer Assisted Web Interviewing)"))),1/(1-MIN(MAX(Formula!$C$33+(YEAR(D1751)-Formula!$C$34)/(Formula!$C$35-Formula!$C$34)*(Formula!$C$32-Formula!$C$33),Formula!$C$33),Formula!$C$32)),1)</f>
        <v>1</v>
      </c>
      <c r="W1751" s="17">
        <f t="shared" si="5"/>
        <v>5.5</v>
      </c>
    </row>
    <row r="1752" ht="15.75" customHeight="1">
      <c r="A1752" s="8" t="s">
        <v>2594</v>
      </c>
      <c r="B1752" s="7" t="s">
        <v>2586</v>
      </c>
      <c r="C1752" s="13" t="s">
        <v>2587</v>
      </c>
      <c r="D1752" s="7" t="s">
        <v>227</v>
      </c>
      <c r="E1752" s="8" t="s">
        <v>220</v>
      </c>
      <c r="F1752" s="8" t="s">
        <v>318</v>
      </c>
      <c r="G1752" s="7" t="s">
        <v>2588</v>
      </c>
      <c r="H1752" s="7" t="s">
        <v>2523</v>
      </c>
      <c r="I1752" s="8">
        <v>3000.0</v>
      </c>
      <c r="J1752" s="8">
        <v>2.8</v>
      </c>
      <c r="K1752" s="8" t="s">
        <v>321</v>
      </c>
      <c r="L1752" s="8" t="s">
        <v>322</v>
      </c>
      <c r="M1752" s="8" t="s">
        <v>386</v>
      </c>
      <c r="N1752" s="8">
        <v>5.1</v>
      </c>
      <c r="O1752" s="14">
        <f t="shared" si="1"/>
        <v>44228</v>
      </c>
      <c r="P1752" s="15">
        <f>IFERROR(VLOOKUP(K1752,Formula!$A$11:$B$20,2,FALSE),Formula!$C$26)</f>
        <v>0.9</v>
      </c>
      <c r="Q1752" s="15">
        <f>IF(AND(ISNUMBER(J1752),J1752&gt;0),1/J1752,IF(AND(ISNUMBER(I1752),I1752&gt;0),SQRT(MIN(I1752,Formula!$C$27))/Formula!$C$24,1/Formula!$C$25))</f>
        <v>0.3571428571</v>
      </c>
      <c r="R1752" s="15">
        <f t="shared" si="2"/>
        <v>0.3214285714</v>
      </c>
      <c r="S1752" s="15">
        <f>IF(H1752&lt;&gt;"",EXP(-Formula!$C$28*(EOMONTH(H1752,0)-H1752)),EXP(-Formula!$C$28*(EOMONTH(D1752,0)-D1752)))</f>
        <v>0.7788007831</v>
      </c>
      <c r="T1752" s="15">
        <f t="shared" si="3"/>
        <v>0.2773500981</v>
      </c>
      <c r="U1752" s="15">
        <f t="shared" si="4"/>
        <v>0.06942872366</v>
      </c>
      <c r="V1752" s="16">
        <f>IF(AND(L1752="Among all respondents",NOT(OR(K1752="Online poll in Telegram channel",K1752="Website online poll",K1752="CAWI (Computer Assisted Web Interviewing)"))),1/(1-MIN(MAX(Formula!$C$33+(YEAR(D1752)-Formula!$C$34)/(Formula!$C$35-Formula!$C$34)*(Formula!$C$32-Formula!$C$33),Formula!$C$33),Formula!$C$32)),1)</f>
        <v>1</v>
      </c>
      <c r="W1752" s="17">
        <f t="shared" si="5"/>
        <v>5.1</v>
      </c>
    </row>
    <row r="1753" ht="15.75" customHeight="1">
      <c r="A1753" s="8" t="s">
        <v>2595</v>
      </c>
      <c r="B1753" s="7" t="s">
        <v>2586</v>
      </c>
      <c r="C1753" s="13" t="s">
        <v>2587</v>
      </c>
      <c r="D1753" s="7" t="s">
        <v>227</v>
      </c>
      <c r="E1753" s="8" t="s">
        <v>220</v>
      </c>
      <c r="F1753" s="8" t="s">
        <v>318</v>
      </c>
      <c r="G1753" s="7" t="s">
        <v>2588</v>
      </c>
      <c r="H1753" s="7" t="s">
        <v>2523</v>
      </c>
      <c r="I1753" s="8">
        <v>3000.0</v>
      </c>
      <c r="J1753" s="8">
        <v>2.8</v>
      </c>
      <c r="K1753" s="8" t="s">
        <v>321</v>
      </c>
      <c r="L1753" s="8" t="s">
        <v>322</v>
      </c>
      <c r="M1753" s="8" t="s">
        <v>343</v>
      </c>
      <c r="N1753" s="8">
        <v>4.5</v>
      </c>
      <c r="O1753" s="14">
        <f t="shared" si="1"/>
        <v>44228</v>
      </c>
      <c r="P1753" s="15">
        <f>IFERROR(VLOOKUP(K1753,Formula!$A$11:$B$20,2,FALSE),Formula!$C$26)</f>
        <v>0.9</v>
      </c>
      <c r="Q1753" s="15">
        <f>IF(AND(ISNUMBER(J1753),J1753&gt;0),1/J1753,IF(AND(ISNUMBER(I1753),I1753&gt;0),SQRT(MIN(I1753,Formula!$C$27))/Formula!$C$24,1/Formula!$C$25))</f>
        <v>0.3571428571</v>
      </c>
      <c r="R1753" s="15">
        <f t="shared" si="2"/>
        <v>0.3214285714</v>
      </c>
      <c r="S1753" s="15">
        <f>IF(H1753&lt;&gt;"",EXP(-Formula!$C$28*(EOMONTH(H1753,0)-H1753)),EXP(-Formula!$C$28*(EOMONTH(D1753,0)-D1753)))</f>
        <v>0.7788007831</v>
      </c>
      <c r="T1753" s="15">
        <f t="shared" si="3"/>
        <v>0.2773500981</v>
      </c>
      <c r="U1753" s="15">
        <f t="shared" si="4"/>
        <v>0.06942872366</v>
      </c>
      <c r="V1753" s="16">
        <f>IF(AND(L1753="Among all respondents",NOT(OR(K1753="Online poll in Telegram channel",K1753="Website online poll",K1753="CAWI (Computer Assisted Web Interviewing)"))),1/(1-MIN(MAX(Formula!$C$33+(YEAR(D1753)-Formula!$C$34)/(Formula!$C$35-Formula!$C$34)*(Formula!$C$32-Formula!$C$33),Formula!$C$33),Formula!$C$32)),1)</f>
        <v>1</v>
      </c>
      <c r="W1753" s="17">
        <f t="shared" si="5"/>
        <v>4.5</v>
      </c>
    </row>
    <row r="1754" ht="15.75" customHeight="1">
      <c r="A1754" s="8" t="s">
        <v>2596</v>
      </c>
      <c r="B1754" s="7" t="s">
        <v>2586</v>
      </c>
      <c r="C1754" s="13" t="s">
        <v>2587</v>
      </c>
      <c r="D1754" s="7" t="s">
        <v>227</v>
      </c>
      <c r="E1754" s="8" t="s">
        <v>220</v>
      </c>
      <c r="F1754" s="8" t="s">
        <v>318</v>
      </c>
      <c r="G1754" s="7" t="s">
        <v>2588</v>
      </c>
      <c r="H1754" s="7" t="s">
        <v>2523</v>
      </c>
      <c r="I1754" s="8">
        <v>3000.0</v>
      </c>
      <c r="J1754" s="8">
        <v>2.8</v>
      </c>
      <c r="K1754" s="8" t="s">
        <v>321</v>
      </c>
      <c r="L1754" s="8" t="s">
        <v>322</v>
      </c>
      <c r="M1754" s="8" t="s">
        <v>388</v>
      </c>
      <c r="N1754" s="8">
        <v>4.0</v>
      </c>
      <c r="O1754" s="14">
        <f t="shared" si="1"/>
        <v>44228</v>
      </c>
      <c r="P1754" s="15">
        <f>IFERROR(VLOOKUP(K1754,Formula!$A$11:$B$20,2,FALSE),Formula!$C$26)</f>
        <v>0.9</v>
      </c>
      <c r="Q1754" s="15">
        <f>IF(AND(ISNUMBER(J1754),J1754&gt;0),1/J1754,IF(AND(ISNUMBER(I1754),I1754&gt;0),SQRT(MIN(I1754,Formula!$C$27))/Formula!$C$24,1/Formula!$C$25))</f>
        <v>0.3571428571</v>
      </c>
      <c r="R1754" s="15">
        <f t="shared" si="2"/>
        <v>0.3214285714</v>
      </c>
      <c r="S1754" s="15">
        <f>IF(H1754&lt;&gt;"",EXP(-Formula!$C$28*(EOMONTH(H1754,0)-H1754)),EXP(-Formula!$C$28*(EOMONTH(D1754,0)-D1754)))</f>
        <v>0.7788007831</v>
      </c>
      <c r="T1754" s="15">
        <f t="shared" si="3"/>
        <v>0.2773500981</v>
      </c>
      <c r="U1754" s="15">
        <f t="shared" si="4"/>
        <v>0.06942872366</v>
      </c>
      <c r="V1754" s="16">
        <f>IF(AND(L1754="Among all respondents",NOT(OR(K1754="Online poll in Telegram channel",K1754="Website online poll",K1754="CAWI (Computer Assisted Web Interviewing)"))),1/(1-MIN(MAX(Formula!$C$33+(YEAR(D1754)-Formula!$C$34)/(Formula!$C$35-Formula!$C$34)*(Formula!$C$32-Formula!$C$33),Formula!$C$33),Formula!$C$32)),1)</f>
        <v>1</v>
      </c>
      <c r="W1754" s="17">
        <f t="shared" si="5"/>
        <v>4</v>
      </c>
    </row>
    <row r="1755" ht="15.75" customHeight="1">
      <c r="A1755" s="8" t="s">
        <v>2597</v>
      </c>
      <c r="B1755" s="7" t="s">
        <v>2586</v>
      </c>
      <c r="C1755" s="13" t="s">
        <v>2587</v>
      </c>
      <c r="D1755" s="7" t="s">
        <v>227</v>
      </c>
      <c r="E1755" s="8" t="s">
        <v>220</v>
      </c>
      <c r="F1755" s="8" t="s">
        <v>318</v>
      </c>
      <c r="G1755" s="7" t="s">
        <v>2588</v>
      </c>
      <c r="H1755" s="7" t="s">
        <v>2523</v>
      </c>
      <c r="I1755" s="8">
        <v>3000.0</v>
      </c>
      <c r="J1755" s="8">
        <v>2.8</v>
      </c>
      <c r="K1755" s="8" t="s">
        <v>321</v>
      </c>
      <c r="L1755" s="8" t="s">
        <v>322</v>
      </c>
      <c r="M1755" s="8" t="s">
        <v>838</v>
      </c>
      <c r="N1755" s="8">
        <v>3.5</v>
      </c>
      <c r="O1755" s="14">
        <f t="shared" si="1"/>
        <v>44228</v>
      </c>
      <c r="P1755" s="15">
        <f>IFERROR(VLOOKUP(K1755,Formula!$A$11:$B$20,2,FALSE),Formula!$C$26)</f>
        <v>0.9</v>
      </c>
      <c r="Q1755" s="15">
        <f>IF(AND(ISNUMBER(J1755),J1755&gt;0),1/J1755,IF(AND(ISNUMBER(I1755),I1755&gt;0),SQRT(MIN(I1755,Formula!$C$27))/Formula!$C$24,1/Formula!$C$25))</f>
        <v>0.3571428571</v>
      </c>
      <c r="R1755" s="15">
        <f t="shared" si="2"/>
        <v>0.3214285714</v>
      </c>
      <c r="S1755" s="15">
        <f>IF(H1755&lt;&gt;"",EXP(-Formula!$C$28*(EOMONTH(H1755,0)-H1755)),EXP(-Formula!$C$28*(EOMONTH(D1755,0)-D1755)))</f>
        <v>0.7788007831</v>
      </c>
      <c r="T1755" s="15">
        <f t="shared" si="3"/>
        <v>0.2773500981</v>
      </c>
      <c r="U1755" s="15">
        <f t="shared" si="4"/>
        <v>0.06942872366</v>
      </c>
      <c r="V1755" s="16">
        <f>IF(AND(L1755="Among all respondents",NOT(OR(K1755="Online poll in Telegram channel",K1755="Website online poll",K1755="CAWI (Computer Assisted Web Interviewing)"))),1/(1-MIN(MAX(Formula!$C$33+(YEAR(D1755)-Formula!$C$34)/(Formula!$C$35-Formula!$C$34)*(Formula!$C$32-Formula!$C$33),Formula!$C$33),Formula!$C$32)),1)</f>
        <v>1</v>
      </c>
      <c r="W1755" s="17">
        <f t="shared" si="5"/>
        <v>3.5</v>
      </c>
    </row>
    <row r="1756" ht="15.75" customHeight="1">
      <c r="A1756" s="8" t="s">
        <v>2598</v>
      </c>
      <c r="B1756" s="7" t="s">
        <v>2586</v>
      </c>
      <c r="C1756" s="13" t="s">
        <v>2587</v>
      </c>
      <c r="D1756" s="7" t="s">
        <v>227</v>
      </c>
      <c r="E1756" s="8" t="s">
        <v>220</v>
      </c>
      <c r="F1756" s="8" t="s">
        <v>318</v>
      </c>
      <c r="G1756" s="7" t="s">
        <v>2588</v>
      </c>
      <c r="H1756" s="7" t="s">
        <v>2523</v>
      </c>
      <c r="I1756" s="8">
        <v>3000.0</v>
      </c>
      <c r="J1756" s="8">
        <v>2.8</v>
      </c>
      <c r="K1756" s="8" t="s">
        <v>321</v>
      </c>
      <c r="L1756" s="8" t="s">
        <v>322</v>
      </c>
      <c r="M1756" s="8" t="s">
        <v>740</v>
      </c>
      <c r="N1756" s="8">
        <v>1.8</v>
      </c>
      <c r="O1756" s="14">
        <f t="shared" si="1"/>
        <v>44228</v>
      </c>
      <c r="P1756" s="15">
        <f>IFERROR(VLOOKUP(K1756,Formula!$A$11:$B$20,2,FALSE),Formula!$C$26)</f>
        <v>0.9</v>
      </c>
      <c r="Q1756" s="15">
        <f>IF(AND(ISNUMBER(J1756),J1756&gt;0),1/J1756,IF(AND(ISNUMBER(I1756),I1756&gt;0),SQRT(MIN(I1756,Formula!$C$27))/Formula!$C$24,1/Formula!$C$25))</f>
        <v>0.3571428571</v>
      </c>
      <c r="R1756" s="15">
        <f t="shared" si="2"/>
        <v>0.3214285714</v>
      </c>
      <c r="S1756" s="15">
        <f>IF(H1756&lt;&gt;"",EXP(-Formula!$C$28*(EOMONTH(H1756,0)-H1756)),EXP(-Formula!$C$28*(EOMONTH(D1756,0)-D1756)))</f>
        <v>0.7788007831</v>
      </c>
      <c r="T1756" s="15">
        <f t="shared" si="3"/>
        <v>0.2773500981</v>
      </c>
      <c r="U1756" s="15">
        <f t="shared" si="4"/>
        <v>0.06942872366</v>
      </c>
      <c r="V1756" s="16">
        <f>IF(AND(L1756="Among all respondents",NOT(OR(K1756="Online poll in Telegram channel",K1756="Website online poll",K1756="CAWI (Computer Assisted Web Interviewing)"))),1/(1-MIN(MAX(Formula!$C$33+(YEAR(D1756)-Formula!$C$34)/(Formula!$C$35-Formula!$C$34)*(Formula!$C$32-Formula!$C$33),Formula!$C$33),Formula!$C$32)),1)</f>
        <v>1</v>
      </c>
      <c r="W1756" s="17">
        <f t="shared" si="5"/>
        <v>1.8</v>
      </c>
    </row>
    <row r="1757" ht="15.75" customHeight="1">
      <c r="A1757" s="8" t="s">
        <v>2599</v>
      </c>
      <c r="B1757" s="7" t="s">
        <v>2586</v>
      </c>
      <c r="C1757" s="13" t="s">
        <v>2587</v>
      </c>
      <c r="D1757" s="7" t="s">
        <v>227</v>
      </c>
      <c r="E1757" s="8" t="s">
        <v>220</v>
      </c>
      <c r="F1757" s="8" t="s">
        <v>318</v>
      </c>
      <c r="G1757" s="7" t="s">
        <v>2588</v>
      </c>
      <c r="H1757" s="7" t="s">
        <v>2523</v>
      </c>
      <c r="I1757" s="8">
        <v>3000.0</v>
      </c>
      <c r="J1757" s="8">
        <v>2.8</v>
      </c>
      <c r="K1757" s="8" t="s">
        <v>321</v>
      </c>
      <c r="L1757" s="8" t="s">
        <v>322</v>
      </c>
      <c r="M1757" s="8" t="s">
        <v>743</v>
      </c>
      <c r="N1757" s="8">
        <v>1.2</v>
      </c>
      <c r="O1757" s="14">
        <f t="shared" si="1"/>
        <v>44228</v>
      </c>
      <c r="P1757" s="15">
        <f>IFERROR(VLOOKUP(K1757,Formula!$A$11:$B$20,2,FALSE),Formula!$C$26)</f>
        <v>0.9</v>
      </c>
      <c r="Q1757" s="15">
        <f>IF(AND(ISNUMBER(J1757),J1757&gt;0),1/J1757,IF(AND(ISNUMBER(I1757),I1757&gt;0),SQRT(MIN(I1757,Formula!$C$27))/Formula!$C$24,1/Formula!$C$25))</f>
        <v>0.3571428571</v>
      </c>
      <c r="R1757" s="15">
        <f t="shared" si="2"/>
        <v>0.3214285714</v>
      </c>
      <c r="S1757" s="15">
        <f>IF(H1757&lt;&gt;"",EXP(-Formula!$C$28*(EOMONTH(H1757,0)-H1757)),EXP(-Formula!$C$28*(EOMONTH(D1757,0)-D1757)))</f>
        <v>0.7788007831</v>
      </c>
      <c r="T1757" s="15">
        <f t="shared" si="3"/>
        <v>0.2773500981</v>
      </c>
      <c r="U1757" s="15">
        <f t="shared" si="4"/>
        <v>0.06942872366</v>
      </c>
      <c r="V1757" s="16">
        <f>IF(AND(L1757="Among all respondents",NOT(OR(K1757="Online poll in Telegram channel",K1757="Website online poll",K1757="CAWI (Computer Assisted Web Interviewing)"))),1/(1-MIN(MAX(Formula!$C$33+(YEAR(D1757)-Formula!$C$34)/(Formula!$C$35-Formula!$C$34)*(Formula!$C$32-Formula!$C$33),Formula!$C$33),Formula!$C$32)),1)</f>
        <v>1</v>
      </c>
      <c r="W1757" s="17">
        <f t="shared" si="5"/>
        <v>1.2</v>
      </c>
    </row>
    <row r="1758" ht="15.75" customHeight="1">
      <c r="A1758" s="8" t="s">
        <v>2600</v>
      </c>
      <c r="B1758" s="7" t="s">
        <v>2586</v>
      </c>
      <c r="C1758" s="13" t="s">
        <v>2587</v>
      </c>
      <c r="D1758" s="7" t="s">
        <v>227</v>
      </c>
      <c r="E1758" s="8" t="s">
        <v>220</v>
      </c>
      <c r="F1758" s="8" t="s">
        <v>318</v>
      </c>
      <c r="G1758" s="7" t="s">
        <v>2588</v>
      </c>
      <c r="H1758" s="7" t="s">
        <v>2523</v>
      </c>
      <c r="I1758" s="8">
        <v>3000.0</v>
      </c>
      <c r="J1758" s="8">
        <v>2.8</v>
      </c>
      <c r="K1758" s="8" t="s">
        <v>321</v>
      </c>
      <c r="L1758" s="8" t="s">
        <v>322</v>
      </c>
      <c r="M1758" s="8" t="s">
        <v>335</v>
      </c>
      <c r="N1758" s="8">
        <v>1.2</v>
      </c>
      <c r="O1758" s="14">
        <f t="shared" si="1"/>
        <v>44228</v>
      </c>
      <c r="P1758" s="15">
        <f>IFERROR(VLOOKUP(K1758,Formula!$A$11:$B$20,2,FALSE),Formula!$C$26)</f>
        <v>0.9</v>
      </c>
      <c r="Q1758" s="15">
        <f>IF(AND(ISNUMBER(J1758),J1758&gt;0),1/J1758,IF(AND(ISNUMBER(I1758),I1758&gt;0),SQRT(MIN(I1758,Formula!$C$27))/Formula!$C$24,1/Formula!$C$25))</f>
        <v>0.3571428571</v>
      </c>
      <c r="R1758" s="15">
        <f t="shared" si="2"/>
        <v>0.3214285714</v>
      </c>
      <c r="S1758" s="15">
        <f>IF(H1758&lt;&gt;"",EXP(-Formula!$C$28*(EOMONTH(H1758,0)-H1758)),EXP(-Formula!$C$28*(EOMONTH(D1758,0)-D1758)))</f>
        <v>0.7788007831</v>
      </c>
      <c r="T1758" s="15">
        <f t="shared" si="3"/>
        <v>0.2773500981</v>
      </c>
      <c r="U1758" s="15">
        <f t="shared" si="4"/>
        <v>0.06942872366</v>
      </c>
      <c r="V1758" s="16">
        <f>IF(AND(L1758="Among all respondents",NOT(OR(K1758="Online poll in Telegram channel",K1758="Website online poll",K1758="CAWI (Computer Assisted Web Interviewing)"))),1/(1-MIN(MAX(Formula!$C$33+(YEAR(D1758)-Formula!$C$34)/(Formula!$C$35-Formula!$C$34)*(Formula!$C$32-Formula!$C$33),Formula!$C$33),Formula!$C$32)),1)</f>
        <v>1</v>
      </c>
      <c r="W1758" s="17">
        <f t="shared" si="5"/>
        <v>1.2</v>
      </c>
    </row>
    <row r="1759" ht="15.75" customHeight="1">
      <c r="A1759" s="8" t="s">
        <v>2601</v>
      </c>
      <c r="B1759" s="7" t="s">
        <v>2602</v>
      </c>
      <c r="C1759" s="13" t="s">
        <v>2603</v>
      </c>
      <c r="D1759" s="7" t="s">
        <v>226</v>
      </c>
      <c r="E1759" s="8" t="s">
        <v>40</v>
      </c>
      <c r="F1759" s="8" t="s">
        <v>318</v>
      </c>
      <c r="G1759" s="7" t="s">
        <v>2604</v>
      </c>
      <c r="H1759" s="7" t="s">
        <v>2523</v>
      </c>
      <c r="I1759" s="8">
        <v>2500.0</v>
      </c>
      <c r="J1759" s="8">
        <v>2.0</v>
      </c>
      <c r="K1759" s="8" t="s">
        <v>321</v>
      </c>
      <c r="L1759" s="8" t="s">
        <v>322</v>
      </c>
      <c r="M1759" s="8" t="s">
        <v>323</v>
      </c>
      <c r="N1759" s="8">
        <v>23.1</v>
      </c>
      <c r="O1759" s="14">
        <f t="shared" si="1"/>
        <v>44228</v>
      </c>
      <c r="P1759" s="15">
        <f>IFERROR(VLOOKUP(K1759,Formula!$A$11:$B$20,2,FALSE),Formula!$C$26)</f>
        <v>0.9</v>
      </c>
      <c r="Q1759" s="15">
        <f>IF(AND(ISNUMBER(J1759),J1759&gt;0),1/J1759,IF(AND(ISNUMBER(I1759),I1759&gt;0),SQRT(MIN(I1759,Formula!$C$27))/Formula!$C$24,1/Formula!$C$25))</f>
        <v>0.5</v>
      </c>
      <c r="R1759" s="15">
        <f t="shared" si="2"/>
        <v>0.45</v>
      </c>
      <c r="S1759" s="15">
        <f>IF(H1759&lt;&gt;"",EXP(-Formula!$C$28*(EOMONTH(H1759,0)-H1759)),EXP(-Formula!$C$28*(EOMONTH(D1759,0)-D1759)))</f>
        <v>0.7788007831</v>
      </c>
      <c r="T1759" s="15">
        <f t="shared" si="3"/>
        <v>0.2041241452</v>
      </c>
      <c r="U1759" s="15">
        <f t="shared" si="4"/>
        <v>0.07153741987</v>
      </c>
      <c r="V1759" s="16">
        <f>IF(AND(L1759="Among all respondents",NOT(OR(K1759="Online poll in Telegram channel",K1759="Website online poll",K1759="CAWI (Computer Assisted Web Interviewing)"))),1/(1-MIN(MAX(Formula!$C$33+(YEAR(D1759)-Formula!$C$34)/(Formula!$C$35-Formula!$C$34)*(Formula!$C$32-Formula!$C$33),Formula!$C$33),Formula!$C$32)),1)</f>
        <v>1</v>
      </c>
      <c r="W1759" s="17">
        <f t="shared" si="5"/>
        <v>23.1</v>
      </c>
    </row>
    <row r="1760" ht="15.75" customHeight="1">
      <c r="A1760" s="8" t="s">
        <v>2605</v>
      </c>
      <c r="B1760" s="7" t="s">
        <v>2602</v>
      </c>
      <c r="C1760" s="13" t="s">
        <v>2603</v>
      </c>
      <c r="D1760" s="7" t="s">
        <v>226</v>
      </c>
      <c r="E1760" s="8" t="s">
        <v>40</v>
      </c>
      <c r="F1760" s="8" t="s">
        <v>318</v>
      </c>
      <c r="G1760" s="7" t="s">
        <v>2604</v>
      </c>
      <c r="H1760" s="7" t="s">
        <v>2523</v>
      </c>
      <c r="I1760" s="8">
        <v>2500.0</v>
      </c>
      <c r="J1760" s="8">
        <v>2.0</v>
      </c>
      <c r="K1760" s="8" t="s">
        <v>321</v>
      </c>
      <c r="L1760" s="8" t="s">
        <v>322</v>
      </c>
      <c r="M1760" s="8" t="s">
        <v>329</v>
      </c>
      <c r="N1760" s="8">
        <v>14.4</v>
      </c>
      <c r="O1760" s="14">
        <f t="shared" si="1"/>
        <v>44228</v>
      </c>
      <c r="P1760" s="15">
        <f>IFERROR(VLOOKUP(K1760,Formula!$A$11:$B$20,2,FALSE),Formula!$C$26)</f>
        <v>0.9</v>
      </c>
      <c r="Q1760" s="15">
        <f>IF(AND(ISNUMBER(J1760),J1760&gt;0),1/J1760,IF(AND(ISNUMBER(I1760),I1760&gt;0),SQRT(MIN(I1760,Formula!$C$27))/Formula!$C$24,1/Formula!$C$25))</f>
        <v>0.5</v>
      </c>
      <c r="R1760" s="15">
        <f t="shared" si="2"/>
        <v>0.45</v>
      </c>
      <c r="S1760" s="15">
        <f>IF(H1760&lt;&gt;"",EXP(-Formula!$C$28*(EOMONTH(H1760,0)-H1760)),EXP(-Formula!$C$28*(EOMONTH(D1760,0)-D1760)))</f>
        <v>0.7788007831</v>
      </c>
      <c r="T1760" s="15">
        <f t="shared" si="3"/>
        <v>0.2041241452</v>
      </c>
      <c r="U1760" s="15">
        <f t="shared" si="4"/>
        <v>0.07153741987</v>
      </c>
      <c r="V1760" s="16">
        <f>IF(AND(L1760="Among all respondents",NOT(OR(K1760="Online poll in Telegram channel",K1760="Website online poll",K1760="CAWI (Computer Assisted Web Interviewing)"))),1/(1-MIN(MAX(Formula!$C$33+(YEAR(D1760)-Formula!$C$34)/(Formula!$C$35-Formula!$C$34)*(Formula!$C$32-Formula!$C$33),Formula!$C$33),Formula!$C$32)),1)</f>
        <v>1</v>
      </c>
      <c r="W1760" s="17">
        <f t="shared" si="5"/>
        <v>14.4</v>
      </c>
    </row>
    <row r="1761" ht="15.75" customHeight="1">
      <c r="A1761" s="8" t="s">
        <v>2606</v>
      </c>
      <c r="B1761" s="7" t="s">
        <v>2602</v>
      </c>
      <c r="C1761" s="13" t="s">
        <v>2603</v>
      </c>
      <c r="D1761" s="7" t="s">
        <v>226</v>
      </c>
      <c r="E1761" s="8" t="s">
        <v>40</v>
      </c>
      <c r="F1761" s="8" t="s">
        <v>318</v>
      </c>
      <c r="G1761" s="7" t="s">
        <v>2604</v>
      </c>
      <c r="H1761" s="7" t="s">
        <v>2523</v>
      </c>
      <c r="I1761" s="8">
        <v>2500.0</v>
      </c>
      <c r="J1761" s="8">
        <v>2.0</v>
      </c>
      <c r="K1761" s="8" t="s">
        <v>321</v>
      </c>
      <c r="L1761" s="8" t="s">
        <v>322</v>
      </c>
      <c r="M1761" s="8" t="s">
        <v>365</v>
      </c>
      <c r="N1761" s="8">
        <v>11.3</v>
      </c>
      <c r="O1761" s="14">
        <f t="shared" si="1"/>
        <v>44228</v>
      </c>
      <c r="P1761" s="15">
        <f>IFERROR(VLOOKUP(K1761,Formula!$A$11:$B$20,2,FALSE),Formula!$C$26)</f>
        <v>0.9</v>
      </c>
      <c r="Q1761" s="15">
        <f>IF(AND(ISNUMBER(J1761),J1761&gt;0),1/J1761,IF(AND(ISNUMBER(I1761),I1761&gt;0),SQRT(MIN(I1761,Formula!$C$27))/Formula!$C$24,1/Formula!$C$25))</f>
        <v>0.5</v>
      </c>
      <c r="R1761" s="15">
        <f t="shared" si="2"/>
        <v>0.45</v>
      </c>
      <c r="S1761" s="15">
        <f>IF(H1761&lt;&gt;"",EXP(-Formula!$C$28*(EOMONTH(H1761,0)-H1761)),EXP(-Formula!$C$28*(EOMONTH(D1761,0)-D1761)))</f>
        <v>0.7788007831</v>
      </c>
      <c r="T1761" s="15">
        <f t="shared" si="3"/>
        <v>0.2041241452</v>
      </c>
      <c r="U1761" s="15">
        <f t="shared" si="4"/>
        <v>0.07153741987</v>
      </c>
      <c r="V1761" s="16">
        <f>IF(AND(L1761="Among all respondents",NOT(OR(K1761="Online poll in Telegram channel",K1761="Website online poll",K1761="CAWI (Computer Assisted Web Interviewing)"))),1/(1-MIN(MAX(Formula!$C$33+(YEAR(D1761)-Formula!$C$34)/(Formula!$C$35-Formula!$C$34)*(Formula!$C$32-Formula!$C$33),Formula!$C$33),Formula!$C$32)),1)</f>
        <v>1</v>
      </c>
      <c r="W1761" s="17">
        <f t="shared" si="5"/>
        <v>11.3</v>
      </c>
    </row>
    <row r="1762" ht="15.75" customHeight="1">
      <c r="A1762" s="8" t="s">
        <v>2607</v>
      </c>
      <c r="B1762" s="7" t="s">
        <v>2602</v>
      </c>
      <c r="C1762" s="13" t="s">
        <v>2603</v>
      </c>
      <c r="D1762" s="7" t="s">
        <v>226</v>
      </c>
      <c r="E1762" s="8" t="s">
        <v>40</v>
      </c>
      <c r="F1762" s="8" t="s">
        <v>318</v>
      </c>
      <c r="G1762" s="7" t="s">
        <v>2604</v>
      </c>
      <c r="H1762" s="7" t="s">
        <v>2523</v>
      </c>
      <c r="I1762" s="8">
        <v>2500.0</v>
      </c>
      <c r="J1762" s="8">
        <v>2.0</v>
      </c>
      <c r="K1762" s="8" t="s">
        <v>321</v>
      </c>
      <c r="L1762" s="8" t="s">
        <v>322</v>
      </c>
      <c r="M1762" s="8" t="s">
        <v>337</v>
      </c>
      <c r="N1762" s="8">
        <v>10.9</v>
      </c>
      <c r="O1762" s="14">
        <f t="shared" si="1"/>
        <v>44228</v>
      </c>
      <c r="P1762" s="15">
        <f>IFERROR(VLOOKUP(K1762,Formula!$A$11:$B$20,2,FALSE),Formula!$C$26)</f>
        <v>0.9</v>
      </c>
      <c r="Q1762" s="15">
        <f>IF(AND(ISNUMBER(J1762),J1762&gt;0),1/J1762,IF(AND(ISNUMBER(I1762),I1762&gt;0),SQRT(MIN(I1762,Formula!$C$27))/Formula!$C$24,1/Formula!$C$25))</f>
        <v>0.5</v>
      </c>
      <c r="R1762" s="15">
        <f t="shared" si="2"/>
        <v>0.45</v>
      </c>
      <c r="S1762" s="15">
        <f>IF(H1762&lt;&gt;"",EXP(-Formula!$C$28*(EOMONTH(H1762,0)-H1762)),EXP(-Formula!$C$28*(EOMONTH(D1762,0)-D1762)))</f>
        <v>0.7788007831</v>
      </c>
      <c r="T1762" s="15">
        <f t="shared" si="3"/>
        <v>0.2041241452</v>
      </c>
      <c r="U1762" s="15">
        <f t="shared" si="4"/>
        <v>0.07153741987</v>
      </c>
      <c r="V1762" s="16">
        <f>IF(AND(L1762="Among all respondents",NOT(OR(K1762="Online poll in Telegram channel",K1762="Website online poll",K1762="CAWI (Computer Assisted Web Interviewing)"))),1/(1-MIN(MAX(Formula!$C$33+(YEAR(D1762)-Formula!$C$34)/(Formula!$C$35-Formula!$C$34)*(Formula!$C$32-Formula!$C$33),Formula!$C$33),Formula!$C$32)),1)</f>
        <v>1</v>
      </c>
      <c r="W1762" s="17">
        <f t="shared" si="5"/>
        <v>10.9</v>
      </c>
    </row>
    <row r="1763" ht="15.75" customHeight="1">
      <c r="A1763" s="8" t="s">
        <v>2608</v>
      </c>
      <c r="B1763" s="7" t="s">
        <v>2602</v>
      </c>
      <c r="C1763" s="13" t="s">
        <v>2603</v>
      </c>
      <c r="D1763" s="7" t="s">
        <v>226</v>
      </c>
      <c r="E1763" s="8" t="s">
        <v>40</v>
      </c>
      <c r="F1763" s="8" t="s">
        <v>318</v>
      </c>
      <c r="G1763" s="7" t="s">
        <v>2604</v>
      </c>
      <c r="H1763" s="7" t="s">
        <v>2523</v>
      </c>
      <c r="I1763" s="8">
        <v>2500.0</v>
      </c>
      <c r="J1763" s="8">
        <v>2.0</v>
      </c>
      <c r="K1763" s="8" t="s">
        <v>321</v>
      </c>
      <c r="L1763" s="8" t="s">
        <v>322</v>
      </c>
      <c r="M1763" s="8" t="s">
        <v>828</v>
      </c>
      <c r="N1763" s="8">
        <v>7.2</v>
      </c>
      <c r="O1763" s="14">
        <f t="shared" si="1"/>
        <v>44228</v>
      </c>
      <c r="P1763" s="15">
        <f>IFERROR(VLOOKUP(K1763,Formula!$A$11:$B$20,2,FALSE),Formula!$C$26)</f>
        <v>0.9</v>
      </c>
      <c r="Q1763" s="15">
        <f>IF(AND(ISNUMBER(J1763),J1763&gt;0),1/J1763,IF(AND(ISNUMBER(I1763),I1763&gt;0),SQRT(MIN(I1763,Formula!$C$27))/Formula!$C$24,1/Formula!$C$25))</f>
        <v>0.5</v>
      </c>
      <c r="R1763" s="15">
        <f t="shared" si="2"/>
        <v>0.45</v>
      </c>
      <c r="S1763" s="15">
        <f>IF(H1763&lt;&gt;"",EXP(-Formula!$C$28*(EOMONTH(H1763,0)-H1763)),EXP(-Formula!$C$28*(EOMONTH(D1763,0)-D1763)))</f>
        <v>0.7788007831</v>
      </c>
      <c r="T1763" s="15">
        <f t="shared" si="3"/>
        <v>0.2041241452</v>
      </c>
      <c r="U1763" s="15">
        <f t="shared" si="4"/>
        <v>0.07153741987</v>
      </c>
      <c r="V1763" s="16">
        <f>IF(AND(L1763="Among all respondents",NOT(OR(K1763="Online poll in Telegram channel",K1763="Website online poll",K1763="CAWI (Computer Assisted Web Interviewing)"))),1/(1-MIN(MAX(Formula!$C$33+(YEAR(D1763)-Formula!$C$34)/(Formula!$C$35-Formula!$C$34)*(Formula!$C$32-Formula!$C$33),Formula!$C$33),Formula!$C$32)),1)</f>
        <v>1</v>
      </c>
      <c r="W1763" s="17">
        <f t="shared" si="5"/>
        <v>7.2</v>
      </c>
    </row>
    <row r="1764" ht="15.75" customHeight="1">
      <c r="A1764" s="8" t="s">
        <v>2609</v>
      </c>
      <c r="B1764" s="7" t="s">
        <v>2602</v>
      </c>
      <c r="C1764" s="13" t="s">
        <v>2603</v>
      </c>
      <c r="D1764" s="7" t="s">
        <v>226</v>
      </c>
      <c r="E1764" s="8" t="s">
        <v>40</v>
      </c>
      <c r="F1764" s="8" t="s">
        <v>318</v>
      </c>
      <c r="G1764" s="7" t="s">
        <v>2604</v>
      </c>
      <c r="H1764" s="7" t="s">
        <v>2523</v>
      </c>
      <c r="I1764" s="8">
        <v>2500.0</v>
      </c>
      <c r="J1764" s="8">
        <v>2.0</v>
      </c>
      <c r="K1764" s="8" t="s">
        <v>321</v>
      </c>
      <c r="L1764" s="8" t="s">
        <v>322</v>
      </c>
      <c r="M1764" s="8" t="s">
        <v>386</v>
      </c>
      <c r="N1764" s="8">
        <v>5.7</v>
      </c>
      <c r="O1764" s="14">
        <f t="shared" si="1"/>
        <v>44228</v>
      </c>
      <c r="P1764" s="15">
        <f>IFERROR(VLOOKUP(K1764,Formula!$A$11:$B$20,2,FALSE),Formula!$C$26)</f>
        <v>0.9</v>
      </c>
      <c r="Q1764" s="15">
        <f>IF(AND(ISNUMBER(J1764),J1764&gt;0),1/J1764,IF(AND(ISNUMBER(I1764),I1764&gt;0),SQRT(MIN(I1764,Formula!$C$27))/Formula!$C$24,1/Formula!$C$25))</f>
        <v>0.5</v>
      </c>
      <c r="R1764" s="15">
        <f t="shared" si="2"/>
        <v>0.45</v>
      </c>
      <c r="S1764" s="15">
        <f>IF(H1764&lt;&gt;"",EXP(-Formula!$C$28*(EOMONTH(H1764,0)-H1764)),EXP(-Formula!$C$28*(EOMONTH(D1764,0)-D1764)))</f>
        <v>0.7788007831</v>
      </c>
      <c r="T1764" s="15">
        <f t="shared" si="3"/>
        <v>0.2041241452</v>
      </c>
      <c r="U1764" s="15">
        <f t="shared" si="4"/>
        <v>0.07153741987</v>
      </c>
      <c r="V1764" s="16">
        <f>IF(AND(L1764="Among all respondents",NOT(OR(K1764="Online poll in Telegram channel",K1764="Website online poll",K1764="CAWI (Computer Assisted Web Interviewing)"))),1/(1-MIN(MAX(Formula!$C$33+(YEAR(D1764)-Formula!$C$34)/(Formula!$C$35-Formula!$C$34)*(Formula!$C$32-Formula!$C$33),Formula!$C$33),Formula!$C$32)),1)</f>
        <v>1</v>
      </c>
      <c r="W1764" s="17">
        <f t="shared" si="5"/>
        <v>5.7</v>
      </c>
    </row>
    <row r="1765" ht="15.75" customHeight="1">
      <c r="A1765" s="8" t="s">
        <v>2610</v>
      </c>
      <c r="B1765" s="7" t="s">
        <v>2602</v>
      </c>
      <c r="C1765" s="13" t="s">
        <v>2603</v>
      </c>
      <c r="D1765" s="7" t="s">
        <v>226</v>
      </c>
      <c r="E1765" s="8" t="s">
        <v>40</v>
      </c>
      <c r="F1765" s="8" t="s">
        <v>318</v>
      </c>
      <c r="G1765" s="7" t="s">
        <v>2604</v>
      </c>
      <c r="H1765" s="7" t="s">
        <v>2523</v>
      </c>
      <c r="I1765" s="8">
        <v>2500.0</v>
      </c>
      <c r="J1765" s="8">
        <v>2.0</v>
      </c>
      <c r="K1765" s="8" t="s">
        <v>321</v>
      </c>
      <c r="L1765" s="8" t="s">
        <v>322</v>
      </c>
      <c r="M1765" s="8" t="s">
        <v>333</v>
      </c>
      <c r="N1765" s="8">
        <v>5.3</v>
      </c>
      <c r="O1765" s="14">
        <f t="shared" si="1"/>
        <v>44228</v>
      </c>
      <c r="P1765" s="15">
        <f>IFERROR(VLOOKUP(K1765,Formula!$A$11:$B$20,2,FALSE),Formula!$C$26)</f>
        <v>0.9</v>
      </c>
      <c r="Q1765" s="15">
        <f>IF(AND(ISNUMBER(J1765),J1765&gt;0),1/J1765,IF(AND(ISNUMBER(I1765),I1765&gt;0),SQRT(MIN(I1765,Formula!$C$27))/Formula!$C$24,1/Formula!$C$25))</f>
        <v>0.5</v>
      </c>
      <c r="R1765" s="15">
        <f t="shared" si="2"/>
        <v>0.45</v>
      </c>
      <c r="S1765" s="15">
        <f>IF(H1765&lt;&gt;"",EXP(-Formula!$C$28*(EOMONTH(H1765,0)-H1765)),EXP(-Formula!$C$28*(EOMONTH(D1765,0)-D1765)))</f>
        <v>0.7788007831</v>
      </c>
      <c r="T1765" s="15">
        <f t="shared" si="3"/>
        <v>0.2041241452</v>
      </c>
      <c r="U1765" s="15">
        <f t="shared" si="4"/>
        <v>0.07153741987</v>
      </c>
      <c r="V1765" s="16">
        <f>IF(AND(L1765="Among all respondents",NOT(OR(K1765="Online poll in Telegram channel",K1765="Website online poll",K1765="CAWI (Computer Assisted Web Interviewing)"))),1/(1-MIN(MAX(Formula!$C$33+(YEAR(D1765)-Formula!$C$34)/(Formula!$C$35-Formula!$C$34)*(Formula!$C$32-Formula!$C$33),Formula!$C$33),Formula!$C$32)),1)</f>
        <v>1</v>
      </c>
      <c r="W1765" s="17">
        <f t="shared" si="5"/>
        <v>5.3</v>
      </c>
    </row>
    <row r="1766" ht="15.75" customHeight="1">
      <c r="A1766" s="8" t="s">
        <v>2611</v>
      </c>
      <c r="B1766" s="7" t="s">
        <v>2602</v>
      </c>
      <c r="C1766" s="13" t="s">
        <v>2603</v>
      </c>
      <c r="D1766" s="7" t="s">
        <v>226</v>
      </c>
      <c r="E1766" s="8" t="s">
        <v>40</v>
      </c>
      <c r="F1766" s="8" t="s">
        <v>318</v>
      </c>
      <c r="G1766" s="7" t="s">
        <v>2604</v>
      </c>
      <c r="H1766" s="7" t="s">
        <v>2523</v>
      </c>
      <c r="I1766" s="8">
        <v>2500.0</v>
      </c>
      <c r="J1766" s="8">
        <v>2.0</v>
      </c>
      <c r="K1766" s="8" t="s">
        <v>321</v>
      </c>
      <c r="L1766" s="8" t="s">
        <v>322</v>
      </c>
      <c r="M1766" s="8" t="s">
        <v>1153</v>
      </c>
      <c r="N1766" s="8">
        <v>4.9</v>
      </c>
      <c r="O1766" s="14">
        <f t="shared" si="1"/>
        <v>44228</v>
      </c>
      <c r="P1766" s="15">
        <f>IFERROR(VLOOKUP(K1766,Formula!$A$11:$B$20,2,FALSE),Formula!$C$26)</f>
        <v>0.9</v>
      </c>
      <c r="Q1766" s="15">
        <f>IF(AND(ISNUMBER(J1766),J1766&gt;0),1/J1766,IF(AND(ISNUMBER(I1766),I1766&gt;0),SQRT(MIN(I1766,Formula!$C$27))/Formula!$C$24,1/Formula!$C$25))</f>
        <v>0.5</v>
      </c>
      <c r="R1766" s="15">
        <f t="shared" si="2"/>
        <v>0.45</v>
      </c>
      <c r="S1766" s="15">
        <f>IF(H1766&lt;&gt;"",EXP(-Formula!$C$28*(EOMONTH(H1766,0)-H1766)),EXP(-Formula!$C$28*(EOMONTH(D1766,0)-D1766)))</f>
        <v>0.7788007831</v>
      </c>
      <c r="T1766" s="15">
        <f t="shared" si="3"/>
        <v>0.2041241452</v>
      </c>
      <c r="U1766" s="15">
        <f t="shared" si="4"/>
        <v>0.07153741987</v>
      </c>
      <c r="V1766" s="16">
        <f>IF(AND(L1766="Among all respondents",NOT(OR(K1766="Online poll in Telegram channel",K1766="Website online poll",K1766="CAWI (Computer Assisted Web Interviewing)"))),1/(1-MIN(MAX(Formula!$C$33+(YEAR(D1766)-Formula!$C$34)/(Formula!$C$35-Formula!$C$34)*(Formula!$C$32-Formula!$C$33),Formula!$C$33),Formula!$C$32)),1)</f>
        <v>1</v>
      </c>
      <c r="W1766" s="17">
        <f t="shared" si="5"/>
        <v>4.9</v>
      </c>
    </row>
    <row r="1767" ht="15.75" customHeight="1">
      <c r="A1767" s="8" t="s">
        <v>2612</v>
      </c>
      <c r="B1767" s="7" t="s">
        <v>2602</v>
      </c>
      <c r="C1767" s="13" t="s">
        <v>2603</v>
      </c>
      <c r="D1767" s="7" t="s">
        <v>226</v>
      </c>
      <c r="E1767" s="8" t="s">
        <v>40</v>
      </c>
      <c r="F1767" s="8" t="s">
        <v>318</v>
      </c>
      <c r="G1767" s="7" t="s">
        <v>2604</v>
      </c>
      <c r="H1767" s="7" t="s">
        <v>2523</v>
      </c>
      <c r="I1767" s="8">
        <v>2500.0</v>
      </c>
      <c r="J1767" s="8">
        <v>2.0</v>
      </c>
      <c r="K1767" s="8" t="s">
        <v>321</v>
      </c>
      <c r="L1767" s="8" t="s">
        <v>322</v>
      </c>
      <c r="M1767" s="8" t="s">
        <v>388</v>
      </c>
      <c r="N1767" s="8">
        <v>4.1</v>
      </c>
      <c r="O1767" s="14">
        <f t="shared" si="1"/>
        <v>44228</v>
      </c>
      <c r="P1767" s="15">
        <f>IFERROR(VLOOKUP(K1767,Formula!$A$11:$B$20,2,FALSE),Formula!$C$26)</f>
        <v>0.9</v>
      </c>
      <c r="Q1767" s="15">
        <f>IF(AND(ISNUMBER(J1767),J1767&gt;0),1/J1767,IF(AND(ISNUMBER(I1767),I1767&gt;0),SQRT(MIN(I1767,Formula!$C$27))/Formula!$C$24,1/Formula!$C$25))</f>
        <v>0.5</v>
      </c>
      <c r="R1767" s="15">
        <f t="shared" si="2"/>
        <v>0.45</v>
      </c>
      <c r="S1767" s="15">
        <f>IF(H1767&lt;&gt;"",EXP(-Formula!$C$28*(EOMONTH(H1767,0)-H1767)),EXP(-Formula!$C$28*(EOMONTH(D1767,0)-D1767)))</f>
        <v>0.7788007831</v>
      </c>
      <c r="T1767" s="15">
        <f t="shared" si="3"/>
        <v>0.2041241452</v>
      </c>
      <c r="U1767" s="15">
        <f t="shared" si="4"/>
        <v>0.07153741987</v>
      </c>
      <c r="V1767" s="16">
        <f>IF(AND(L1767="Among all respondents",NOT(OR(K1767="Online poll in Telegram channel",K1767="Website online poll",K1767="CAWI (Computer Assisted Web Interviewing)"))),1/(1-MIN(MAX(Formula!$C$33+(YEAR(D1767)-Formula!$C$34)/(Formula!$C$35-Formula!$C$34)*(Formula!$C$32-Formula!$C$33),Formula!$C$33),Formula!$C$32)),1)</f>
        <v>1</v>
      </c>
      <c r="W1767" s="17">
        <f t="shared" si="5"/>
        <v>4.1</v>
      </c>
    </row>
    <row r="1768" ht="15.75" customHeight="1">
      <c r="A1768" s="8" t="s">
        <v>2613</v>
      </c>
      <c r="B1768" s="7" t="s">
        <v>2602</v>
      </c>
      <c r="C1768" s="13" t="s">
        <v>2603</v>
      </c>
      <c r="D1768" s="7" t="s">
        <v>226</v>
      </c>
      <c r="E1768" s="8" t="s">
        <v>40</v>
      </c>
      <c r="F1768" s="8" t="s">
        <v>318</v>
      </c>
      <c r="G1768" s="7" t="s">
        <v>2604</v>
      </c>
      <c r="H1768" s="7" t="s">
        <v>2523</v>
      </c>
      <c r="I1768" s="8">
        <v>2500.0</v>
      </c>
      <c r="J1768" s="8">
        <v>2.0</v>
      </c>
      <c r="K1768" s="8" t="s">
        <v>321</v>
      </c>
      <c r="L1768" s="8" t="s">
        <v>322</v>
      </c>
      <c r="M1768" s="8" t="s">
        <v>743</v>
      </c>
      <c r="N1768" s="8">
        <v>2.9</v>
      </c>
      <c r="O1768" s="14">
        <f t="shared" si="1"/>
        <v>44228</v>
      </c>
      <c r="P1768" s="15">
        <f>IFERROR(VLOOKUP(K1768,Formula!$A$11:$B$20,2,FALSE),Formula!$C$26)</f>
        <v>0.9</v>
      </c>
      <c r="Q1768" s="15">
        <f>IF(AND(ISNUMBER(J1768),J1768&gt;0),1/J1768,IF(AND(ISNUMBER(I1768),I1768&gt;0),SQRT(MIN(I1768,Formula!$C$27))/Formula!$C$24,1/Formula!$C$25))</f>
        <v>0.5</v>
      </c>
      <c r="R1768" s="15">
        <f t="shared" si="2"/>
        <v>0.45</v>
      </c>
      <c r="S1768" s="15">
        <f>IF(H1768&lt;&gt;"",EXP(-Formula!$C$28*(EOMONTH(H1768,0)-H1768)),EXP(-Formula!$C$28*(EOMONTH(D1768,0)-D1768)))</f>
        <v>0.7788007831</v>
      </c>
      <c r="T1768" s="15">
        <f t="shared" si="3"/>
        <v>0.2041241452</v>
      </c>
      <c r="U1768" s="15">
        <f t="shared" si="4"/>
        <v>0.07153741987</v>
      </c>
      <c r="V1768" s="16">
        <f>IF(AND(L1768="Among all respondents",NOT(OR(K1768="Online poll in Telegram channel",K1768="Website online poll",K1768="CAWI (Computer Assisted Web Interviewing)"))),1/(1-MIN(MAX(Formula!$C$33+(YEAR(D1768)-Formula!$C$34)/(Formula!$C$35-Formula!$C$34)*(Formula!$C$32-Formula!$C$33),Formula!$C$33),Formula!$C$32)),1)</f>
        <v>1</v>
      </c>
      <c r="W1768" s="17">
        <f t="shared" si="5"/>
        <v>2.9</v>
      </c>
    </row>
    <row r="1769" ht="15.75" customHeight="1">
      <c r="A1769" s="8" t="s">
        <v>2614</v>
      </c>
      <c r="B1769" s="7" t="s">
        <v>2602</v>
      </c>
      <c r="C1769" s="13" t="s">
        <v>2603</v>
      </c>
      <c r="D1769" s="7" t="s">
        <v>226</v>
      </c>
      <c r="E1769" s="8" t="s">
        <v>40</v>
      </c>
      <c r="F1769" s="8" t="s">
        <v>318</v>
      </c>
      <c r="G1769" s="7" t="s">
        <v>2604</v>
      </c>
      <c r="H1769" s="7" t="s">
        <v>2523</v>
      </c>
      <c r="I1769" s="8">
        <v>2500.0</v>
      </c>
      <c r="J1769" s="8">
        <v>2.0</v>
      </c>
      <c r="K1769" s="8" t="s">
        <v>321</v>
      </c>
      <c r="L1769" s="8" t="s">
        <v>322</v>
      </c>
      <c r="M1769" s="8" t="s">
        <v>740</v>
      </c>
      <c r="N1769" s="8">
        <v>2.4</v>
      </c>
      <c r="O1769" s="14">
        <f t="shared" si="1"/>
        <v>44228</v>
      </c>
      <c r="P1769" s="15">
        <f>IFERROR(VLOOKUP(K1769,Formula!$A$11:$B$20,2,FALSE),Formula!$C$26)</f>
        <v>0.9</v>
      </c>
      <c r="Q1769" s="15">
        <f>IF(AND(ISNUMBER(J1769),J1769&gt;0),1/J1769,IF(AND(ISNUMBER(I1769),I1769&gt;0),SQRT(MIN(I1769,Formula!$C$27))/Formula!$C$24,1/Formula!$C$25))</f>
        <v>0.5</v>
      </c>
      <c r="R1769" s="15">
        <f t="shared" si="2"/>
        <v>0.45</v>
      </c>
      <c r="S1769" s="15">
        <f>IF(H1769&lt;&gt;"",EXP(-Formula!$C$28*(EOMONTH(H1769,0)-H1769)),EXP(-Formula!$C$28*(EOMONTH(D1769,0)-D1769)))</f>
        <v>0.7788007831</v>
      </c>
      <c r="T1769" s="15">
        <f t="shared" si="3"/>
        <v>0.2041241452</v>
      </c>
      <c r="U1769" s="15">
        <f t="shared" si="4"/>
        <v>0.07153741987</v>
      </c>
      <c r="V1769" s="16">
        <f>IF(AND(L1769="Among all respondents",NOT(OR(K1769="Online poll in Telegram channel",K1769="Website online poll",K1769="CAWI (Computer Assisted Web Interviewing)"))),1/(1-MIN(MAX(Formula!$C$33+(YEAR(D1769)-Formula!$C$34)/(Formula!$C$35-Formula!$C$34)*(Formula!$C$32-Formula!$C$33),Formula!$C$33),Formula!$C$32)),1)</f>
        <v>1</v>
      </c>
      <c r="W1769" s="17">
        <f t="shared" si="5"/>
        <v>2.4</v>
      </c>
    </row>
    <row r="1770" ht="15.75" customHeight="1">
      <c r="A1770" s="8" t="s">
        <v>2615</v>
      </c>
      <c r="B1770" s="7" t="s">
        <v>2602</v>
      </c>
      <c r="C1770" s="13" t="s">
        <v>2603</v>
      </c>
      <c r="D1770" s="7" t="s">
        <v>226</v>
      </c>
      <c r="E1770" s="8" t="s">
        <v>40</v>
      </c>
      <c r="F1770" s="8" t="s">
        <v>318</v>
      </c>
      <c r="G1770" s="7" t="s">
        <v>2604</v>
      </c>
      <c r="H1770" s="7" t="s">
        <v>2523</v>
      </c>
      <c r="I1770" s="8">
        <v>2500.0</v>
      </c>
      <c r="J1770" s="8">
        <v>2.0</v>
      </c>
      <c r="K1770" s="8" t="s">
        <v>321</v>
      </c>
      <c r="L1770" s="8" t="s">
        <v>322</v>
      </c>
      <c r="M1770" s="8" t="s">
        <v>343</v>
      </c>
      <c r="N1770" s="8">
        <v>2.4</v>
      </c>
      <c r="O1770" s="14">
        <f t="shared" si="1"/>
        <v>44228</v>
      </c>
      <c r="P1770" s="15">
        <f>IFERROR(VLOOKUP(K1770,Formula!$A$11:$B$20,2,FALSE),Formula!$C$26)</f>
        <v>0.9</v>
      </c>
      <c r="Q1770" s="15">
        <f>IF(AND(ISNUMBER(J1770),J1770&gt;0),1/J1770,IF(AND(ISNUMBER(I1770),I1770&gt;0),SQRT(MIN(I1770,Formula!$C$27))/Formula!$C$24,1/Formula!$C$25))</f>
        <v>0.5</v>
      </c>
      <c r="R1770" s="15">
        <f t="shared" si="2"/>
        <v>0.45</v>
      </c>
      <c r="S1770" s="15">
        <f>IF(H1770&lt;&gt;"",EXP(-Formula!$C$28*(EOMONTH(H1770,0)-H1770)),EXP(-Formula!$C$28*(EOMONTH(D1770,0)-D1770)))</f>
        <v>0.7788007831</v>
      </c>
      <c r="T1770" s="15">
        <f t="shared" si="3"/>
        <v>0.2041241452</v>
      </c>
      <c r="U1770" s="15">
        <f t="shared" si="4"/>
        <v>0.07153741987</v>
      </c>
      <c r="V1770" s="16">
        <f>IF(AND(L1770="Among all respondents",NOT(OR(K1770="Online poll in Telegram channel",K1770="Website online poll",K1770="CAWI (Computer Assisted Web Interviewing)"))),1/(1-MIN(MAX(Formula!$C$33+(YEAR(D1770)-Formula!$C$34)/(Formula!$C$35-Formula!$C$34)*(Formula!$C$32-Formula!$C$33),Formula!$C$33),Formula!$C$32)),1)</f>
        <v>1</v>
      </c>
      <c r="W1770" s="17">
        <f t="shared" si="5"/>
        <v>2.4</v>
      </c>
    </row>
    <row r="1771" ht="15.75" customHeight="1">
      <c r="A1771" s="8" t="s">
        <v>2616</v>
      </c>
      <c r="B1771" s="7" t="s">
        <v>2602</v>
      </c>
      <c r="C1771" s="13" t="s">
        <v>2603</v>
      </c>
      <c r="D1771" s="7" t="s">
        <v>226</v>
      </c>
      <c r="E1771" s="8" t="s">
        <v>40</v>
      </c>
      <c r="F1771" s="8" t="s">
        <v>318</v>
      </c>
      <c r="G1771" s="7" t="s">
        <v>2604</v>
      </c>
      <c r="H1771" s="7" t="s">
        <v>2523</v>
      </c>
      <c r="I1771" s="8">
        <v>2500.0</v>
      </c>
      <c r="J1771" s="8">
        <v>2.0</v>
      </c>
      <c r="K1771" s="8" t="s">
        <v>321</v>
      </c>
      <c r="L1771" s="8" t="s">
        <v>322</v>
      </c>
      <c r="M1771" s="8" t="s">
        <v>1171</v>
      </c>
      <c r="N1771" s="8">
        <v>0.5</v>
      </c>
      <c r="O1771" s="14">
        <f t="shared" si="1"/>
        <v>44228</v>
      </c>
      <c r="P1771" s="15">
        <f>IFERROR(VLOOKUP(K1771,Formula!$A$11:$B$20,2,FALSE),Formula!$C$26)</f>
        <v>0.9</v>
      </c>
      <c r="Q1771" s="15">
        <f>IF(AND(ISNUMBER(J1771),J1771&gt;0),1/J1771,IF(AND(ISNUMBER(I1771),I1771&gt;0),SQRT(MIN(I1771,Formula!$C$27))/Formula!$C$24,1/Formula!$C$25))</f>
        <v>0.5</v>
      </c>
      <c r="R1771" s="15">
        <f t="shared" si="2"/>
        <v>0.45</v>
      </c>
      <c r="S1771" s="15">
        <f>IF(H1771&lt;&gt;"",EXP(-Formula!$C$28*(EOMONTH(H1771,0)-H1771)),EXP(-Formula!$C$28*(EOMONTH(D1771,0)-D1771)))</f>
        <v>0.7788007831</v>
      </c>
      <c r="T1771" s="15">
        <f t="shared" si="3"/>
        <v>0.2041241452</v>
      </c>
      <c r="U1771" s="15">
        <f t="shared" si="4"/>
        <v>0.07153741987</v>
      </c>
      <c r="V1771" s="16">
        <f>IF(AND(L1771="Among all respondents",NOT(OR(K1771="Online poll in Telegram channel",K1771="Website online poll",K1771="CAWI (Computer Assisted Web Interviewing)"))),1/(1-MIN(MAX(Formula!$C$33+(YEAR(D1771)-Formula!$C$34)/(Formula!$C$35-Formula!$C$34)*(Formula!$C$32-Formula!$C$33),Formula!$C$33),Formula!$C$32)),1)</f>
        <v>1</v>
      </c>
      <c r="W1771" s="17">
        <f t="shared" si="5"/>
        <v>0.5</v>
      </c>
    </row>
    <row r="1772" ht="15.75" customHeight="1">
      <c r="A1772" s="8" t="s">
        <v>2617</v>
      </c>
      <c r="B1772" s="7" t="s">
        <v>2618</v>
      </c>
      <c r="C1772" s="13" t="s">
        <v>2619</v>
      </c>
      <c r="D1772" s="7" t="s">
        <v>228</v>
      </c>
      <c r="E1772" s="8" t="s">
        <v>229</v>
      </c>
      <c r="F1772" s="8" t="s">
        <v>318</v>
      </c>
      <c r="G1772" s="7" t="s">
        <v>2620</v>
      </c>
      <c r="H1772" s="7" t="s">
        <v>2621</v>
      </c>
      <c r="I1772" s="8">
        <v>3000.0</v>
      </c>
      <c r="J1772" s="8">
        <v>1.8</v>
      </c>
      <c r="K1772" s="8" t="s">
        <v>321</v>
      </c>
      <c r="L1772" s="8" t="s">
        <v>322</v>
      </c>
      <c r="M1772" s="8" t="s">
        <v>323</v>
      </c>
      <c r="N1772" s="8">
        <v>25.6</v>
      </c>
      <c r="O1772" s="14">
        <f t="shared" si="1"/>
        <v>44228</v>
      </c>
      <c r="P1772" s="15">
        <f>IFERROR(VLOOKUP(K1772,Formula!$A$11:$B$20,2,FALSE),Formula!$C$26)</f>
        <v>0.9</v>
      </c>
      <c r="Q1772" s="15">
        <f>IF(AND(ISNUMBER(J1772),J1772&gt;0),1/J1772,IF(AND(ISNUMBER(I1772),I1772&gt;0),SQRT(MIN(I1772,Formula!$C$27))/Formula!$C$24,1/Formula!$C$25))</f>
        <v>0.5555555556</v>
      </c>
      <c r="R1772" s="15">
        <f t="shared" si="2"/>
        <v>0.5</v>
      </c>
      <c r="S1772" s="15">
        <f>IF(H1772&lt;&gt;"",EXP(-Formula!$C$28*(EOMONTH(H1772,0)-H1772)),EXP(-Formula!$C$28*(EOMONTH(D1772,0)-D1772)))</f>
        <v>0.5488116361</v>
      </c>
      <c r="T1772" s="15">
        <f t="shared" si="3"/>
        <v>0.2773500981</v>
      </c>
      <c r="U1772" s="15">
        <f t="shared" si="4"/>
        <v>0.07610648056</v>
      </c>
      <c r="V1772" s="16">
        <f>IF(AND(L1772="Among all respondents",NOT(OR(K1772="Online poll in Telegram channel",K1772="Website online poll",K1772="CAWI (Computer Assisted Web Interviewing)"))),1/(1-MIN(MAX(Formula!$C$33+(YEAR(D1772)-Formula!$C$34)/(Formula!$C$35-Formula!$C$34)*(Formula!$C$32-Formula!$C$33),Formula!$C$33),Formula!$C$32)),1)</f>
        <v>1</v>
      </c>
      <c r="W1772" s="17">
        <f t="shared" si="5"/>
        <v>25.6</v>
      </c>
    </row>
    <row r="1773" ht="15.75" customHeight="1">
      <c r="A1773" s="8" t="s">
        <v>2622</v>
      </c>
      <c r="B1773" s="7" t="s">
        <v>2618</v>
      </c>
      <c r="C1773" s="13" t="s">
        <v>2619</v>
      </c>
      <c r="D1773" s="7" t="s">
        <v>228</v>
      </c>
      <c r="E1773" s="8" t="s">
        <v>229</v>
      </c>
      <c r="F1773" s="8" t="s">
        <v>318</v>
      </c>
      <c r="G1773" s="7" t="s">
        <v>2620</v>
      </c>
      <c r="H1773" s="7" t="s">
        <v>2621</v>
      </c>
      <c r="I1773" s="8">
        <v>3000.0</v>
      </c>
      <c r="J1773" s="8">
        <v>1.8</v>
      </c>
      <c r="K1773" s="8" t="s">
        <v>321</v>
      </c>
      <c r="L1773" s="8" t="s">
        <v>322</v>
      </c>
      <c r="M1773" s="8" t="s">
        <v>329</v>
      </c>
      <c r="N1773" s="8">
        <v>19.4</v>
      </c>
      <c r="O1773" s="14">
        <f t="shared" si="1"/>
        <v>44228</v>
      </c>
      <c r="P1773" s="15">
        <f>IFERROR(VLOOKUP(K1773,Formula!$A$11:$B$20,2,FALSE),Formula!$C$26)</f>
        <v>0.9</v>
      </c>
      <c r="Q1773" s="15">
        <f>IF(AND(ISNUMBER(J1773),J1773&gt;0),1/J1773,IF(AND(ISNUMBER(I1773),I1773&gt;0),SQRT(MIN(I1773,Formula!$C$27))/Formula!$C$24,1/Formula!$C$25))</f>
        <v>0.5555555556</v>
      </c>
      <c r="R1773" s="15">
        <f t="shared" si="2"/>
        <v>0.5</v>
      </c>
      <c r="S1773" s="15">
        <f>IF(H1773&lt;&gt;"",EXP(-Formula!$C$28*(EOMONTH(H1773,0)-H1773)),EXP(-Formula!$C$28*(EOMONTH(D1773,0)-D1773)))</f>
        <v>0.5488116361</v>
      </c>
      <c r="T1773" s="15">
        <f t="shared" si="3"/>
        <v>0.2773500981</v>
      </c>
      <c r="U1773" s="15">
        <f t="shared" si="4"/>
        <v>0.07610648056</v>
      </c>
      <c r="V1773" s="16">
        <f>IF(AND(L1773="Among all respondents",NOT(OR(K1773="Online poll in Telegram channel",K1773="Website online poll",K1773="CAWI (Computer Assisted Web Interviewing)"))),1/(1-MIN(MAX(Formula!$C$33+(YEAR(D1773)-Formula!$C$34)/(Formula!$C$35-Formula!$C$34)*(Formula!$C$32-Formula!$C$33),Formula!$C$33),Formula!$C$32)),1)</f>
        <v>1</v>
      </c>
      <c r="W1773" s="17">
        <f t="shared" si="5"/>
        <v>19.4</v>
      </c>
    </row>
    <row r="1774" ht="15.75" customHeight="1">
      <c r="A1774" s="8" t="s">
        <v>2623</v>
      </c>
      <c r="B1774" s="7" t="s">
        <v>2618</v>
      </c>
      <c r="C1774" s="13" t="s">
        <v>2619</v>
      </c>
      <c r="D1774" s="7" t="s">
        <v>228</v>
      </c>
      <c r="E1774" s="8" t="s">
        <v>229</v>
      </c>
      <c r="F1774" s="8" t="s">
        <v>318</v>
      </c>
      <c r="G1774" s="7" t="s">
        <v>2620</v>
      </c>
      <c r="H1774" s="7" t="s">
        <v>2621</v>
      </c>
      <c r="I1774" s="8">
        <v>3000.0</v>
      </c>
      <c r="J1774" s="8">
        <v>1.8</v>
      </c>
      <c r="K1774" s="8" t="s">
        <v>321</v>
      </c>
      <c r="L1774" s="8" t="s">
        <v>322</v>
      </c>
      <c r="M1774" s="8" t="s">
        <v>337</v>
      </c>
      <c r="N1774" s="8">
        <v>11.7</v>
      </c>
      <c r="O1774" s="14">
        <f t="shared" si="1"/>
        <v>44228</v>
      </c>
      <c r="P1774" s="15">
        <f>IFERROR(VLOOKUP(K1774,Formula!$A$11:$B$20,2,FALSE),Formula!$C$26)</f>
        <v>0.9</v>
      </c>
      <c r="Q1774" s="15">
        <f>IF(AND(ISNUMBER(J1774),J1774&gt;0),1/J1774,IF(AND(ISNUMBER(I1774),I1774&gt;0),SQRT(MIN(I1774,Formula!$C$27))/Formula!$C$24,1/Formula!$C$25))</f>
        <v>0.5555555556</v>
      </c>
      <c r="R1774" s="15">
        <f t="shared" si="2"/>
        <v>0.5</v>
      </c>
      <c r="S1774" s="15">
        <f>IF(H1774&lt;&gt;"",EXP(-Formula!$C$28*(EOMONTH(H1774,0)-H1774)),EXP(-Formula!$C$28*(EOMONTH(D1774,0)-D1774)))</f>
        <v>0.5488116361</v>
      </c>
      <c r="T1774" s="15">
        <f t="shared" si="3"/>
        <v>0.2773500981</v>
      </c>
      <c r="U1774" s="15">
        <f t="shared" si="4"/>
        <v>0.07610648056</v>
      </c>
      <c r="V1774" s="16">
        <f>IF(AND(L1774="Among all respondents",NOT(OR(K1774="Online poll in Telegram channel",K1774="Website online poll",K1774="CAWI (Computer Assisted Web Interviewing)"))),1/(1-MIN(MAX(Formula!$C$33+(YEAR(D1774)-Formula!$C$34)/(Formula!$C$35-Formula!$C$34)*(Formula!$C$32-Formula!$C$33),Formula!$C$33),Formula!$C$32)),1)</f>
        <v>1</v>
      </c>
      <c r="W1774" s="17">
        <f t="shared" si="5"/>
        <v>11.7</v>
      </c>
    </row>
    <row r="1775" ht="15.75" customHeight="1">
      <c r="A1775" s="8" t="s">
        <v>2624</v>
      </c>
      <c r="B1775" s="7" t="s">
        <v>2618</v>
      </c>
      <c r="C1775" s="13" t="s">
        <v>2619</v>
      </c>
      <c r="D1775" s="7" t="s">
        <v>228</v>
      </c>
      <c r="E1775" s="8" t="s">
        <v>229</v>
      </c>
      <c r="F1775" s="8" t="s">
        <v>318</v>
      </c>
      <c r="G1775" s="7" t="s">
        <v>2620</v>
      </c>
      <c r="H1775" s="7" t="s">
        <v>2621</v>
      </c>
      <c r="I1775" s="8">
        <v>3000.0</v>
      </c>
      <c r="J1775" s="8">
        <v>1.8</v>
      </c>
      <c r="K1775" s="8" t="s">
        <v>321</v>
      </c>
      <c r="L1775" s="8" t="s">
        <v>322</v>
      </c>
      <c r="M1775" s="8" t="s">
        <v>365</v>
      </c>
      <c r="N1775" s="8">
        <v>11.1</v>
      </c>
      <c r="O1775" s="14">
        <f t="shared" si="1"/>
        <v>44228</v>
      </c>
      <c r="P1775" s="15">
        <f>IFERROR(VLOOKUP(K1775,Formula!$A$11:$B$20,2,FALSE),Formula!$C$26)</f>
        <v>0.9</v>
      </c>
      <c r="Q1775" s="15">
        <f>IF(AND(ISNUMBER(J1775),J1775&gt;0),1/J1775,IF(AND(ISNUMBER(I1775),I1775&gt;0),SQRT(MIN(I1775,Formula!$C$27))/Formula!$C$24,1/Formula!$C$25))</f>
        <v>0.5555555556</v>
      </c>
      <c r="R1775" s="15">
        <f t="shared" si="2"/>
        <v>0.5</v>
      </c>
      <c r="S1775" s="15">
        <f>IF(H1775&lt;&gt;"",EXP(-Formula!$C$28*(EOMONTH(H1775,0)-H1775)),EXP(-Formula!$C$28*(EOMONTH(D1775,0)-D1775)))</f>
        <v>0.5488116361</v>
      </c>
      <c r="T1775" s="15">
        <f t="shared" si="3"/>
        <v>0.2773500981</v>
      </c>
      <c r="U1775" s="15">
        <f t="shared" si="4"/>
        <v>0.07610648056</v>
      </c>
      <c r="V1775" s="16">
        <f>IF(AND(L1775="Among all respondents",NOT(OR(K1775="Online poll in Telegram channel",K1775="Website online poll",K1775="CAWI (Computer Assisted Web Interviewing)"))),1/(1-MIN(MAX(Formula!$C$33+(YEAR(D1775)-Formula!$C$34)/(Formula!$C$35-Formula!$C$34)*(Formula!$C$32-Formula!$C$33),Formula!$C$33),Formula!$C$32)),1)</f>
        <v>1</v>
      </c>
      <c r="W1775" s="17">
        <f t="shared" si="5"/>
        <v>11.1</v>
      </c>
    </row>
    <row r="1776" ht="15.75" customHeight="1">
      <c r="A1776" s="8" t="s">
        <v>2625</v>
      </c>
      <c r="B1776" s="7" t="s">
        <v>2618</v>
      </c>
      <c r="C1776" s="13" t="s">
        <v>2619</v>
      </c>
      <c r="D1776" s="7" t="s">
        <v>228</v>
      </c>
      <c r="E1776" s="8" t="s">
        <v>229</v>
      </c>
      <c r="F1776" s="8" t="s">
        <v>318</v>
      </c>
      <c r="G1776" s="7" t="s">
        <v>2620</v>
      </c>
      <c r="H1776" s="7" t="s">
        <v>2621</v>
      </c>
      <c r="I1776" s="8">
        <v>3000.0</v>
      </c>
      <c r="J1776" s="8">
        <v>1.8</v>
      </c>
      <c r="K1776" s="8" t="s">
        <v>321</v>
      </c>
      <c r="L1776" s="8" t="s">
        <v>322</v>
      </c>
      <c r="M1776" s="8" t="s">
        <v>828</v>
      </c>
      <c r="N1776" s="8">
        <v>8.2</v>
      </c>
      <c r="O1776" s="14">
        <f t="shared" si="1"/>
        <v>44228</v>
      </c>
      <c r="P1776" s="15">
        <f>IFERROR(VLOOKUP(K1776,Formula!$A$11:$B$20,2,FALSE),Formula!$C$26)</f>
        <v>0.9</v>
      </c>
      <c r="Q1776" s="15">
        <f>IF(AND(ISNUMBER(J1776),J1776&gt;0),1/J1776,IF(AND(ISNUMBER(I1776),I1776&gt;0),SQRT(MIN(I1776,Formula!$C$27))/Formula!$C$24,1/Formula!$C$25))</f>
        <v>0.5555555556</v>
      </c>
      <c r="R1776" s="15">
        <f t="shared" si="2"/>
        <v>0.5</v>
      </c>
      <c r="S1776" s="15">
        <f>IF(H1776&lt;&gt;"",EXP(-Formula!$C$28*(EOMONTH(H1776,0)-H1776)),EXP(-Formula!$C$28*(EOMONTH(D1776,0)-D1776)))</f>
        <v>0.5488116361</v>
      </c>
      <c r="T1776" s="15">
        <f t="shared" si="3"/>
        <v>0.2773500981</v>
      </c>
      <c r="U1776" s="15">
        <f t="shared" si="4"/>
        <v>0.07610648056</v>
      </c>
      <c r="V1776" s="16">
        <f>IF(AND(L1776="Among all respondents",NOT(OR(K1776="Online poll in Telegram channel",K1776="Website online poll",K1776="CAWI (Computer Assisted Web Interviewing)"))),1/(1-MIN(MAX(Formula!$C$33+(YEAR(D1776)-Formula!$C$34)/(Formula!$C$35-Formula!$C$34)*(Formula!$C$32-Formula!$C$33),Formula!$C$33),Formula!$C$32)),1)</f>
        <v>1</v>
      </c>
      <c r="W1776" s="17">
        <f t="shared" si="5"/>
        <v>8.2</v>
      </c>
    </row>
    <row r="1777" ht="15.75" customHeight="1">
      <c r="A1777" s="8" t="s">
        <v>2626</v>
      </c>
      <c r="B1777" s="7" t="s">
        <v>2618</v>
      </c>
      <c r="C1777" s="13" t="s">
        <v>2619</v>
      </c>
      <c r="D1777" s="7" t="s">
        <v>228</v>
      </c>
      <c r="E1777" s="8" t="s">
        <v>229</v>
      </c>
      <c r="F1777" s="8" t="s">
        <v>318</v>
      </c>
      <c r="G1777" s="7" t="s">
        <v>2620</v>
      </c>
      <c r="H1777" s="7" t="s">
        <v>2621</v>
      </c>
      <c r="I1777" s="8">
        <v>3000.0</v>
      </c>
      <c r="J1777" s="8">
        <v>1.8</v>
      </c>
      <c r="K1777" s="8" t="s">
        <v>321</v>
      </c>
      <c r="L1777" s="8" t="s">
        <v>322</v>
      </c>
      <c r="M1777" s="8" t="s">
        <v>386</v>
      </c>
      <c r="N1777" s="8">
        <v>5.5</v>
      </c>
      <c r="O1777" s="14">
        <f t="shared" si="1"/>
        <v>44228</v>
      </c>
      <c r="P1777" s="15">
        <f>IFERROR(VLOOKUP(K1777,Formula!$A$11:$B$20,2,FALSE),Formula!$C$26)</f>
        <v>0.9</v>
      </c>
      <c r="Q1777" s="15">
        <f>IF(AND(ISNUMBER(J1777),J1777&gt;0),1/J1777,IF(AND(ISNUMBER(I1777),I1777&gt;0),SQRT(MIN(I1777,Formula!$C$27))/Formula!$C$24,1/Formula!$C$25))</f>
        <v>0.5555555556</v>
      </c>
      <c r="R1777" s="15">
        <f t="shared" si="2"/>
        <v>0.5</v>
      </c>
      <c r="S1777" s="15">
        <f>IF(H1777&lt;&gt;"",EXP(-Formula!$C$28*(EOMONTH(H1777,0)-H1777)),EXP(-Formula!$C$28*(EOMONTH(D1777,0)-D1777)))</f>
        <v>0.5488116361</v>
      </c>
      <c r="T1777" s="15">
        <f t="shared" si="3"/>
        <v>0.2773500981</v>
      </c>
      <c r="U1777" s="15">
        <f t="shared" si="4"/>
        <v>0.07610648056</v>
      </c>
      <c r="V1777" s="16">
        <f>IF(AND(L1777="Among all respondents",NOT(OR(K1777="Online poll in Telegram channel",K1777="Website online poll",K1777="CAWI (Computer Assisted Web Interviewing)"))),1/(1-MIN(MAX(Formula!$C$33+(YEAR(D1777)-Formula!$C$34)/(Formula!$C$35-Formula!$C$34)*(Formula!$C$32-Formula!$C$33),Formula!$C$33),Formula!$C$32)),1)</f>
        <v>1</v>
      </c>
      <c r="W1777" s="17">
        <f t="shared" si="5"/>
        <v>5.5</v>
      </c>
    </row>
    <row r="1778" ht="15.75" customHeight="1">
      <c r="A1778" s="8" t="s">
        <v>2627</v>
      </c>
      <c r="B1778" s="7" t="s">
        <v>2618</v>
      </c>
      <c r="C1778" s="13" t="s">
        <v>2619</v>
      </c>
      <c r="D1778" s="7" t="s">
        <v>228</v>
      </c>
      <c r="E1778" s="8" t="s">
        <v>229</v>
      </c>
      <c r="F1778" s="8" t="s">
        <v>318</v>
      </c>
      <c r="G1778" s="7" t="s">
        <v>2620</v>
      </c>
      <c r="H1778" s="7" t="s">
        <v>2621</v>
      </c>
      <c r="I1778" s="8">
        <v>3000.0</v>
      </c>
      <c r="J1778" s="8">
        <v>1.8</v>
      </c>
      <c r="K1778" s="8" t="s">
        <v>321</v>
      </c>
      <c r="L1778" s="8" t="s">
        <v>322</v>
      </c>
      <c r="M1778" s="8" t="s">
        <v>388</v>
      </c>
      <c r="N1778" s="8">
        <v>3.8</v>
      </c>
      <c r="O1778" s="14">
        <f t="shared" si="1"/>
        <v>44228</v>
      </c>
      <c r="P1778" s="15">
        <f>IFERROR(VLOOKUP(K1778,Formula!$A$11:$B$20,2,FALSE),Formula!$C$26)</f>
        <v>0.9</v>
      </c>
      <c r="Q1778" s="15">
        <f>IF(AND(ISNUMBER(J1778),J1778&gt;0),1/J1778,IF(AND(ISNUMBER(I1778),I1778&gt;0),SQRT(MIN(I1778,Formula!$C$27))/Formula!$C$24,1/Formula!$C$25))</f>
        <v>0.5555555556</v>
      </c>
      <c r="R1778" s="15">
        <f t="shared" si="2"/>
        <v>0.5</v>
      </c>
      <c r="S1778" s="15">
        <f>IF(H1778&lt;&gt;"",EXP(-Formula!$C$28*(EOMONTH(H1778,0)-H1778)),EXP(-Formula!$C$28*(EOMONTH(D1778,0)-D1778)))</f>
        <v>0.5488116361</v>
      </c>
      <c r="T1778" s="15">
        <f t="shared" si="3"/>
        <v>0.2773500981</v>
      </c>
      <c r="U1778" s="15">
        <f t="shared" si="4"/>
        <v>0.07610648056</v>
      </c>
      <c r="V1778" s="16">
        <f>IF(AND(L1778="Among all respondents",NOT(OR(K1778="Online poll in Telegram channel",K1778="Website online poll",K1778="CAWI (Computer Assisted Web Interviewing)"))),1/(1-MIN(MAX(Formula!$C$33+(YEAR(D1778)-Formula!$C$34)/(Formula!$C$35-Formula!$C$34)*(Formula!$C$32-Formula!$C$33),Formula!$C$33),Formula!$C$32)),1)</f>
        <v>1</v>
      </c>
      <c r="W1778" s="17">
        <f t="shared" si="5"/>
        <v>3.8</v>
      </c>
    </row>
    <row r="1779" ht="15.75" customHeight="1">
      <c r="A1779" s="8" t="s">
        <v>2628</v>
      </c>
      <c r="B1779" s="7" t="s">
        <v>2618</v>
      </c>
      <c r="C1779" s="13" t="s">
        <v>2619</v>
      </c>
      <c r="D1779" s="7" t="s">
        <v>228</v>
      </c>
      <c r="E1779" s="8" t="s">
        <v>229</v>
      </c>
      <c r="F1779" s="8" t="s">
        <v>318</v>
      </c>
      <c r="G1779" s="7" t="s">
        <v>2620</v>
      </c>
      <c r="H1779" s="7" t="s">
        <v>2621</v>
      </c>
      <c r="I1779" s="8">
        <v>3000.0</v>
      </c>
      <c r="J1779" s="8">
        <v>1.8</v>
      </c>
      <c r="K1779" s="8" t="s">
        <v>321</v>
      </c>
      <c r="L1779" s="8" t="s">
        <v>322</v>
      </c>
      <c r="M1779" s="8" t="s">
        <v>1334</v>
      </c>
      <c r="N1779" s="8">
        <v>3.5</v>
      </c>
      <c r="O1779" s="14">
        <f t="shared" si="1"/>
        <v>44228</v>
      </c>
      <c r="P1779" s="15">
        <f>IFERROR(VLOOKUP(K1779,Formula!$A$11:$B$20,2,FALSE),Formula!$C$26)</f>
        <v>0.9</v>
      </c>
      <c r="Q1779" s="15">
        <f>IF(AND(ISNUMBER(J1779),J1779&gt;0),1/J1779,IF(AND(ISNUMBER(I1779),I1779&gt;0),SQRT(MIN(I1779,Formula!$C$27))/Formula!$C$24,1/Formula!$C$25))</f>
        <v>0.5555555556</v>
      </c>
      <c r="R1779" s="15">
        <f t="shared" si="2"/>
        <v>0.5</v>
      </c>
      <c r="S1779" s="15">
        <f>IF(H1779&lt;&gt;"",EXP(-Formula!$C$28*(EOMONTH(H1779,0)-H1779)),EXP(-Formula!$C$28*(EOMONTH(D1779,0)-D1779)))</f>
        <v>0.5488116361</v>
      </c>
      <c r="T1779" s="15">
        <f t="shared" si="3"/>
        <v>0.2773500981</v>
      </c>
      <c r="U1779" s="15">
        <f t="shared" si="4"/>
        <v>0.07610648056</v>
      </c>
      <c r="V1779" s="16">
        <f>IF(AND(L1779="Among all respondents",NOT(OR(K1779="Online poll in Telegram channel",K1779="Website online poll",K1779="CAWI (Computer Assisted Web Interviewing)"))),1/(1-MIN(MAX(Formula!$C$33+(YEAR(D1779)-Formula!$C$34)/(Formula!$C$35-Formula!$C$34)*(Formula!$C$32-Formula!$C$33),Formula!$C$33),Formula!$C$32)),1)</f>
        <v>1</v>
      </c>
      <c r="W1779" s="17">
        <f t="shared" si="5"/>
        <v>3.5</v>
      </c>
    </row>
    <row r="1780" ht="15.75" customHeight="1">
      <c r="A1780" s="8" t="s">
        <v>2629</v>
      </c>
      <c r="B1780" s="7" t="s">
        <v>2618</v>
      </c>
      <c r="C1780" s="13" t="s">
        <v>2619</v>
      </c>
      <c r="D1780" s="7" t="s">
        <v>228</v>
      </c>
      <c r="E1780" s="8" t="s">
        <v>229</v>
      </c>
      <c r="F1780" s="8" t="s">
        <v>318</v>
      </c>
      <c r="G1780" s="7" t="s">
        <v>2620</v>
      </c>
      <c r="H1780" s="7" t="s">
        <v>2621</v>
      </c>
      <c r="I1780" s="8">
        <v>3000.0</v>
      </c>
      <c r="J1780" s="8">
        <v>1.8</v>
      </c>
      <c r="K1780" s="8" t="s">
        <v>321</v>
      </c>
      <c r="L1780" s="8" t="s">
        <v>322</v>
      </c>
      <c r="M1780" s="8" t="s">
        <v>333</v>
      </c>
      <c r="N1780" s="8">
        <v>3.5</v>
      </c>
      <c r="O1780" s="14">
        <f t="shared" si="1"/>
        <v>44228</v>
      </c>
      <c r="P1780" s="15">
        <f>IFERROR(VLOOKUP(K1780,Formula!$A$11:$B$20,2,FALSE),Formula!$C$26)</f>
        <v>0.9</v>
      </c>
      <c r="Q1780" s="15">
        <f>IF(AND(ISNUMBER(J1780),J1780&gt;0),1/J1780,IF(AND(ISNUMBER(I1780),I1780&gt;0),SQRT(MIN(I1780,Formula!$C$27))/Formula!$C$24,1/Formula!$C$25))</f>
        <v>0.5555555556</v>
      </c>
      <c r="R1780" s="15">
        <f t="shared" si="2"/>
        <v>0.5</v>
      </c>
      <c r="S1780" s="15">
        <f>IF(H1780&lt;&gt;"",EXP(-Formula!$C$28*(EOMONTH(H1780,0)-H1780)),EXP(-Formula!$C$28*(EOMONTH(D1780,0)-D1780)))</f>
        <v>0.5488116361</v>
      </c>
      <c r="T1780" s="15">
        <f t="shared" si="3"/>
        <v>0.2773500981</v>
      </c>
      <c r="U1780" s="15">
        <f t="shared" si="4"/>
        <v>0.07610648056</v>
      </c>
      <c r="V1780" s="16">
        <f>IF(AND(L1780="Among all respondents",NOT(OR(K1780="Online poll in Telegram channel",K1780="Website online poll",K1780="CAWI (Computer Assisted Web Interviewing)"))),1/(1-MIN(MAX(Formula!$C$33+(YEAR(D1780)-Formula!$C$34)/(Formula!$C$35-Formula!$C$34)*(Formula!$C$32-Formula!$C$33),Formula!$C$33),Formula!$C$32)),1)</f>
        <v>1</v>
      </c>
      <c r="W1780" s="17">
        <f t="shared" si="5"/>
        <v>3.5</v>
      </c>
    </row>
    <row r="1781" ht="15.75" customHeight="1">
      <c r="A1781" s="8" t="s">
        <v>2630</v>
      </c>
      <c r="B1781" s="7" t="s">
        <v>2618</v>
      </c>
      <c r="C1781" s="13" t="s">
        <v>2619</v>
      </c>
      <c r="D1781" s="7" t="s">
        <v>228</v>
      </c>
      <c r="E1781" s="8" t="s">
        <v>229</v>
      </c>
      <c r="F1781" s="8" t="s">
        <v>318</v>
      </c>
      <c r="G1781" s="7" t="s">
        <v>2620</v>
      </c>
      <c r="H1781" s="7" t="s">
        <v>2621</v>
      </c>
      <c r="I1781" s="8">
        <v>3000.0</v>
      </c>
      <c r="J1781" s="8">
        <v>1.8</v>
      </c>
      <c r="K1781" s="8" t="s">
        <v>321</v>
      </c>
      <c r="L1781" s="8" t="s">
        <v>322</v>
      </c>
      <c r="M1781" s="8" t="s">
        <v>1539</v>
      </c>
      <c r="N1781" s="8">
        <v>2.6</v>
      </c>
      <c r="O1781" s="14">
        <f t="shared" si="1"/>
        <v>44228</v>
      </c>
      <c r="P1781" s="15">
        <f>IFERROR(VLOOKUP(K1781,Formula!$A$11:$B$20,2,FALSE),Formula!$C$26)</f>
        <v>0.9</v>
      </c>
      <c r="Q1781" s="15">
        <f>IF(AND(ISNUMBER(J1781),J1781&gt;0),1/J1781,IF(AND(ISNUMBER(I1781),I1781&gt;0),SQRT(MIN(I1781,Formula!$C$27))/Formula!$C$24,1/Formula!$C$25))</f>
        <v>0.5555555556</v>
      </c>
      <c r="R1781" s="15">
        <f t="shared" si="2"/>
        <v>0.5</v>
      </c>
      <c r="S1781" s="15">
        <f>IF(H1781&lt;&gt;"",EXP(-Formula!$C$28*(EOMONTH(H1781,0)-H1781)),EXP(-Formula!$C$28*(EOMONTH(D1781,0)-D1781)))</f>
        <v>0.5488116361</v>
      </c>
      <c r="T1781" s="15">
        <f t="shared" si="3"/>
        <v>0.2773500981</v>
      </c>
      <c r="U1781" s="15">
        <f t="shared" si="4"/>
        <v>0.07610648056</v>
      </c>
      <c r="V1781" s="16">
        <f>IF(AND(L1781="Among all respondents",NOT(OR(K1781="Online poll in Telegram channel",K1781="Website online poll",K1781="CAWI (Computer Assisted Web Interviewing)"))),1/(1-MIN(MAX(Formula!$C$33+(YEAR(D1781)-Formula!$C$34)/(Formula!$C$35-Formula!$C$34)*(Formula!$C$32-Formula!$C$33),Formula!$C$33),Formula!$C$32)),1)</f>
        <v>1</v>
      </c>
      <c r="W1781" s="17">
        <f t="shared" si="5"/>
        <v>2.6</v>
      </c>
    </row>
    <row r="1782" ht="15.75" customHeight="1">
      <c r="A1782" s="8" t="s">
        <v>2631</v>
      </c>
      <c r="B1782" s="7" t="s">
        <v>2618</v>
      </c>
      <c r="C1782" s="13" t="s">
        <v>2619</v>
      </c>
      <c r="D1782" s="7" t="s">
        <v>228</v>
      </c>
      <c r="E1782" s="8" t="s">
        <v>229</v>
      </c>
      <c r="F1782" s="8" t="s">
        <v>318</v>
      </c>
      <c r="G1782" s="7" t="s">
        <v>2620</v>
      </c>
      <c r="H1782" s="7" t="s">
        <v>2621</v>
      </c>
      <c r="I1782" s="8">
        <v>3000.0</v>
      </c>
      <c r="J1782" s="8">
        <v>1.8</v>
      </c>
      <c r="K1782" s="8" t="s">
        <v>321</v>
      </c>
      <c r="L1782" s="8" t="s">
        <v>322</v>
      </c>
      <c r="M1782" s="8" t="s">
        <v>343</v>
      </c>
      <c r="N1782" s="8">
        <v>1.3</v>
      </c>
      <c r="O1782" s="14">
        <f t="shared" si="1"/>
        <v>44228</v>
      </c>
      <c r="P1782" s="15">
        <f>IFERROR(VLOOKUP(K1782,Formula!$A$11:$B$20,2,FALSE),Formula!$C$26)</f>
        <v>0.9</v>
      </c>
      <c r="Q1782" s="15">
        <f>IF(AND(ISNUMBER(J1782),J1782&gt;0),1/J1782,IF(AND(ISNUMBER(I1782),I1782&gt;0),SQRT(MIN(I1782,Formula!$C$27))/Formula!$C$24,1/Formula!$C$25))</f>
        <v>0.5555555556</v>
      </c>
      <c r="R1782" s="15">
        <f t="shared" si="2"/>
        <v>0.5</v>
      </c>
      <c r="S1782" s="15">
        <f>IF(H1782&lt;&gt;"",EXP(-Formula!$C$28*(EOMONTH(H1782,0)-H1782)),EXP(-Formula!$C$28*(EOMONTH(D1782,0)-D1782)))</f>
        <v>0.5488116361</v>
      </c>
      <c r="T1782" s="15">
        <f t="shared" si="3"/>
        <v>0.2773500981</v>
      </c>
      <c r="U1782" s="15">
        <f t="shared" si="4"/>
        <v>0.07610648056</v>
      </c>
      <c r="V1782" s="16">
        <f>IF(AND(L1782="Among all respondents",NOT(OR(K1782="Online poll in Telegram channel",K1782="Website online poll",K1782="CAWI (Computer Assisted Web Interviewing)"))),1/(1-MIN(MAX(Formula!$C$33+(YEAR(D1782)-Formula!$C$34)/(Formula!$C$35-Formula!$C$34)*(Formula!$C$32-Formula!$C$33),Formula!$C$33),Formula!$C$32)),1)</f>
        <v>1</v>
      </c>
      <c r="W1782" s="17">
        <f t="shared" si="5"/>
        <v>1.3</v>
      </c>
    </row>
    <row r="1783" ht="15.75" customHeight="1">
      <c r="A1783" s="8" t="s">
        <v>2632</v>
      </c>
      <c r="B1783" s="7" t="s">
        <v>2618</v>
      </c>
      <c r="C1783" s="13" t="s">
        <v>2619</v>
      </c>
      <c r="D1783" s="7" t="s">
        <v>228</v>
      </c>
      <c r="E1783" s="8" t="s">
        <v>229</v>
      </c>
      <c r="F1783" s="8" t="s">
        <v>318</v>
      </c>
      <c r="G1783" s="7" t="s">
        <v>2620</v>
      </c>
      <c r="H1783" s="7" t="s">
        <v>2621</v>
      </c>
      <c r="I1783" s="8">
        <v>3000.0</v>
      </c>
      <c r="J1783" s="8">
        <v>1.8</v>
      </c>
      <c r="K1783" s="8" t="s">
        <v>321</v>
      </c>
      <c r="L1783" s="8" t="s">
        <v>322</v>
      </c>
      <c r="M1783" s="8" t="s">
        <v>740</v>
      </c>
      <c r="N1783" s="8">
        <v>0.9</v>
      </c>
      <c r="O1783" s="14">
        <f t="shared" si="1"/>
        <v>44228</v>
      </c>
      <c r="P1783" s="15">
        <f>IFERROR(VLOOKUP(K1783,Formula!$A$11:$B$20,2,FALSE),Formula!$C$26)</f>
        <v>0.9</v>
      </c>
      <c r="Q1783" s="15">
        <f>IF(AND(ISNUMBER(J1783),J1783&gt;0),1/J1783,IF(AND(ISNUMBER(I1783),I1783&gt;0),SQRT(MIN(I1783,Formula!$C$27))/Formula!$C$24,1/Formula!$C$25))</f>
        <v>0.5555555556</v>
      </c>
      <c r="R1783" s="15">
        <f t="shared" si="2"/>
        <v>0.5</v>
      </c>
      <c r="S1783" s="15">
        <f>IF(H1783&lt;&gt;"",EXP(-Formula!$C$28*(EOMONTH(H1783,0)-H1783)),EXP(-Formula!$C$28*(EOMONTH(D1783,0)-D1783)))</f>
        <v>0.5488116361</v>
      </c>
      <c r="T1783" s="15">
        <f t="shared" si="3"/>
        <v>0.2773500981</v>
      </c>
      <c r="U1783" s="15">
        <f t="shared" si="4"/>
        <v>0.07610648056</v>
      </c>
      <c r="V1783" s="16">
        <f>IF(AND(L1783="Among all respondents",NOT(OR(K1783="Online poll in Telegram channel",K1783="Website online poll",K1783="CAWI (Computer Assisted Web Interviewing)"))),1/(1-MIN(MAX(Formula!$C$33+(YEAR(D1783)-Formula!$C$34)/(Formula!$C$35-Formula!$C$34)*(Formula!$C$32-Formula!$C$33),Formula!$C$33),Formula!$C$32)),1)</f>
        <v>1</v>
      </c>
      <c r="W1783" s="17">
        <f t="shared" si="5"/>
        <v>0.9</v>
      </c>
    </row>
    <row r="1784" ht="15.75" customHeight="1">
      <c r="A1784" s="8" t="s">
        <v>2633</v>
      </c>
      <c r="B1784" s="7" t="s">
        <v>2618</v>
      </c>
      <c r="C1784" s="13" t="s">
        <v>2619</v>
      </c>
      <c r="D1784" s="7" t="s">
        <v>228</v>
      </c>
      <c r="E1784" s="8" t="s">
        <v>229</v>
      </c>
      <c r="F1784" s="8" t="s">
        <v>318</v>
      </c>
      <c r="G1784" s="7" t="s">
        <v>2620</v>
      </c>
      <c r="H1784" s="7" t="s">
        <v>2621</v>
      </c>
      <c r="I1784" s="8">
        <v>3000.0</v>
      </c>
      <c r="J1784" s="8">
        <v>1.8</v>
      </c>
      <c r="K1784" s="8" t="s">
        <v>321</v>
      </c>
      <c r="L1784" s="8" t="s">
        <v>322</v>
      </c>
      <c r="M1784" s="8" t="s">
        <v>1171</v>
      </c>
      <c r="N1784" s="8">
        <v>0.3</v>
      </c>
      <c r="O1784" s="14">
        <f t="shared" si="1"/>
        <v>44228</v>
      </c>
      <c r="P1784" s="15">
        <f>IFERROR(VLOOKUP(K1784,Formula!$A$11:$B$20,2,FALSE),Formula!$C$26)</f>
        <v>0.9</v>
      </c>
      <c r="Q1784" s="15">
        <f>IF(AND(ISNUMBER(J1784),J1784&gt;0),1/J1784,IF(AND(ISNUMBER(I1784),I1784&gt;0),SQRT(MIN(I1784,Formula!$C$27))/Formula!$C$24,1/Formula!$C$25))</f>
        <v>0.5555555556</v>
      </c>
      <c r="R1784" s="15">
        <f t="shared" si="2"/>
        <v>0.5</v>
      </c>
      <c r="S1784" s="15">
        <f>IF(H1784&lt;&gt;"",EXP(-Formula!$C$28*(EOMONTH(H1784,0)-H1784)),EXP(-Formula!$C$28*(EOMONTH(D1784,0)-D1784)))</f>
        <v>0.5488116361</v>
      </c>
      <c r="T1784" s="15">
        <f t="shared" si="3"/>
        <v>0.2773500981</v>
      </c>
      <c r="U1784" s="15">
        <f t="shared" si="4"/>
        <v>0.07610648056</v>
      </c>
      <c r="V1784" s="16">
        <f>IF(AND(L1784="Among all respondents",NOT(OR(K1784="Online poll in Telegram channel",K1784="Website online poll",K1784="CAWI (Computer Assisted Web Interviewing)"))),1/(1-MIN(MAX(Formula!$C$33+(YEAR(D1784)-Formula!$C$34)/(Formula!$C$35-Formula!$C$34)*(Formula!$C$32-Formula!$C$33),Formula!$C$33),Formula!$C$32)),1)</f>
        <v>1</v>
      </c>
      <c r="W1784" s="17">
        <f t="shared" si="5"/>
        <v>0.3</v>
      </c>
    </row>
    <row r="1785" ht="15.75" customHeight="1">
      <c r="A1785" s="8" t="s">
        <v>2634</v>
      </c>
      <c r="B1785" s="7" t="s">
        <v>2635</v>
      </c>
      <c r="C1785" s="13" t="s">
        <v>2636</v>
      </c>
      <c r="D1785" s="7" t="s">
        <v>234</v>
      </c>
      <c r="E1785" s="8" t="s">
        <v>156</v>
      </c>
      <c r="F1785" s="8" t="s">
        <v>318</v>
      </c>
      <c r="G1785" s="7" t="s">
        <v>2637</v>
      </c>
      <c r="H1785" s="7" t="s">
        <v>2638</v>
      </c>
      <c r="I1785" s="8">
        <v>2400.0</v>
      </c>
      <c r="J1785" s="8">
        <v>2.1</v>
      </c>
      <c r="K1785" s="8" t="s">
        <v>583</v>
      </c>
      <c r="L1785" s="8" t="s">
        <v>322</v>
      </c>
      <c r="M1785" s="8" t="s">
        <v>323</v>
      </c>
      <c r="N1785" s="8">
        <v>25.2</v>
      </c>
      <c r="O1785" s="14">
        <f t="shared" si="1"/>
        <v>44228</v>
      </c>
      <c r="P1785" s="15">
        <f>IFERROR(VLOOKUP(K1785,Formula!$A$11:$B$20,2,FALSE),Formula!$C$26)</f>
        <v>0.95</v>
      </c>
      <c r="Q1785" s="15">
        <f>IF(AND(ISNUMBER(J1785),J1785&gt;0),1/J1785,IF(AND(ISNUMBER(I1785),I1785&gt;0),SQRT(MIN(I1785,Formula!$C$27))/Formula!$C$24,1/Formula!$C$25))</f>
        <v>0.4761904762</v>
      </c>
      <c r="R1785" s="15">
        <f t="shared" si="2"/>
        <v>0.4523809524</v>
      </c>
      <c r="S1785" s="15">
        <f>IF(H1785&lt;&gt;"",EXP(-Formula!$C$28*(EOMONTH(H1785,0)-H1785)),EXP(-Formula!$C$28*(EOMONTH(D1785,0)-D1785)))</f>
        <v>0.3166367694</v>
      </c>
      <c r="T1785" s="15">
        <f t="shared" si="3"/>
        <v>0.3015113446</v>
      </c>
      <c r="U1785" s="15">
        <f t="shared" si="4"/>
        <v>0.04318861865</v>
      </c>
      <c r="V1785" s="16">
        <f>IF(AND(L1785="Among all respondents",NOT(OR(K1785="Online poll in Telegram channel",K1785="Website online poll",K1785="CAWI (Computer Assisted Web Interviewing)"))),1/(1-MIN(MAX(Formula!$C$33+(YEAR(D1785)-Formula!$C$34)/(Formula!$C$35-Formula!$C$34)*(Formula!$C$32-Formula!$C$33),Formula!$C$33),Formula!$C$32)),1)</f>
        <v>1</v>
      </c>
      <c r="W1785" s="17">
        <f t="shared" si="5"/>
        <v>25.2</v>
      </c>
    </row>
    <row r="1786" ht="15.75" customHeight="1">
      <c r="A1786" s="8" t="s">
        <v>2639</v>
      </c>
      <c r="B1786" s="7" t="s">
        <v>2635</v>
      </c>
      <c r="C1786" s="13" t="s">
        <v>2636</v>
      </c>
      <c r="D1786" s="7" t="s">
        <v>234</v>
      </c>
      <c r="E1786" s="8" t="s">
        <v>156</v>
      </c>
      <c r="F1786" s="8" t="s">
        <v>318</v>
      </c>
      <c r="G1786" s="7" t="s">
        <v>2637</v>
      </c>
      <c r="H1786" s="7" t="s">
        <v>2638</v>
      </c>
      <c r="I1786" s="8">
        <v>2400.0</v>
      </c>
      <c r="J1786" s="8">
        <v>2.1</v>
      </c>
      <c r="K1786" s="8" t="s">
        <v>583</v>
      </c>
      <c r="L1786" s="8" t="s">
        <v>322</v>
      </c>
      <c r="M1786" s="8" t="s">
        <v>329</v>
      </c>
      <c r="N1786" s="8">
        <v>15.6</v>
      </c>
      <c r="O1786" s="14">
        <f t="shared" si="1"/>
        <v>44228</v>
      </c>
      <c r="P1786" s="15">
        <f>IFERROR(VLOOKUP(K1786,Formula!$A$11:$B$20,2,FALSE),Formula!$C$26)</f>
        <v>0.95</v>
      </c>
      <c r="Q1786" s="15">
        <f>IF(AND(ISNUMBER(J1786),J1786&gt;0),1/J1786,IF(AND(ISNUMBER(I1786),I1786&gt;0),SQRT(MIN(I1786,Formula!$C$27))/Formula!$C$24,1/Formula!$C$25))</f>
        <v>0.4761904762</v>
      </c>
      <c r="R1786" s="15">
        <f t="shared" si="2"/>
        <v>0.4523809524</v>
      </c>
      <c r="S1786" s="15">
        <f>IF(H1786&lt;&gt;"",EXP(-Formula!$C$28*(EOMONTH(H1786,0)-H1786)),EXP(-Formula!$C$28*(EOMONTH(D1786,0)-D1786)))</f>
        <v>0.3166367694</v>
      </c>
      <c r="T1786" s="15">
        <f t="shared" si="3"/>
        <v>0.3015113446</v>
      </c>
      <c r="U1786" s="15">
        <f t="shared" si="4"/>
        <v>0.04318861865</v>
      </c>
      <c r="V1786" s="16">
        <f>IF(AND(L1786="Among all respondents",NOT(OR(K1786="Online poll in Telegram channel",K1786="Website online poll",K1786="CAWI (Computer Assisted Web Interviewing)"))),1/(1-MIN(MAX(Formula!$C$33+(YEAR(D1786)-Formula!$C$34)/(Formula!$C$35-Formula!$C$34)*(Formula!$C$32-Formula!$C$33),Formula!$C$33),Formula!$C$32)),1)</f>
        <v>1</v>
      </c>
      <c r="W1786" s="17">
        <f t="shared" si="5"/>
        <v>15.6</v>
      </c>
    </row>
    <row r="1787" ht="15.75" customHeight="1">
      <c r="A1787" s="8" t="s">
        <v>2640</v>
      </c>
      <c r="B1787" s="7" t="s">
        <v>2635</v>
      </c>
      <c r="C1787" s="13" t="s">
        <v>2636</v>
      </c>
      <c r="D1787" s="7" t="s">
        <v>234</v>
      </c>
      <c r="E1787" s="8" t="s">
        <v>156</v>
      </c>
      <c r="F1787" s="8" t="s">
        <v>318</v>
      </c>
      <c r="G1787" s="7" t="s">
        <v>2637</v>
      </c>
      <c r="H1787" s="7" t="s">
        <v>2638</v>
      </c>
      <c r="I1787" s="8">
        <v>2400.0</v>
      </c>
      <c r="J1787" s="8">
        <v>2.1</v>
      </c>
      <c r="K1787" s="8" t="s">
        <v>583</v>
      </c>
      <c r="L1787" s="8" t="s">
        <v>322</v>
      </c>
      <c r="M1787" s="8" t="s">
        <v>365</v>
      </c>
      <c r="N1787" s="8">
        <v>13.0</v>
      </c>
      <c r="O1787" s="14">
        <f t="shared" si="1"/>
        <v>44228</v>
      </c>
      <c r="P1787" s="15">
        <f>IFERROR(VLOOKUP(K1787,Formula!$A$11:$B$20,2,FALSE),Formula!$C$26)</f>
        <v>0.95</v>
      </c>
      <c r="Q1787" s="15">
        <f>IF(AND(ISNUMBER(J1787),J1787&gt;0),1/J1787,IF(AND(ISNUMBER(I1787),I1787&gt;0),SQRT(MIN(I1787,Formula!$C$27))/Formula!$C$24,1/Formula!$C$25))</f>
        <v>0.4761904762</v>
      </c>
      <c r="R1787" s="15">
        <f t="shared" si="2"/>
        <v>0.4523809524</v>
      </c>
      <c r="S1787" s="15">
        <f>IF(H1787&lt;&gt;"",EXP(-Formula!$C$28*(EOMONTH(H1787,0)-H1787)),EXP(-Formula!$C$28*(EOMONTH(D1787,0)-D1787)))</f>
        <v>0.3166367694</v>
      </c>
      <c r="T1787" s="15">
        <f t="shared" si="3"/>
        <v>0.3015113446</v>
      </c>
      <c r="U1787" s="15">
        <f t="shared" si="4"/>
        <v>0.04318861865</v>
      </c>
      <c r="V1787" s="16">
        <f>IF(AND(L1787="Among all respondents",NOT(OR(K1787="Online poll in Telegram channel",K1787="Website online poll",K1787="CAWI (Computer Assisted Web Interviewing)"))),1/(1-MIN(MAX(Formula!$C$33+(YEAR(D1787)-Formula!$C$34)/(Formula!$C$35-Formula!$C$34)*(Formula!$C$32-Formula!$C$33),Formula!$C$33),Formula!$C$32)),1)</f>
        <v>1</v>
      </c>
      <c r="W1787" s="17">
        <f t="shared" si="5"/>
        <v>13</v>
      </c>
    </row>
    <row r="1788" ht="15.75" customHeight="1">
      <c r="A1788" s="8" t="s">
        <v>2641</v>
      </c>
      <c r="B1788" s="7" t="s">
        <v>2635</v>
      </c>
      <c r="C1788" s="13" t="s">
        <v>2636</v>
      </c>
      <c r="D1788" s="7" t="s">
        <v>234</v>
      </c>
      <c r="E1788" s="8" t="s">
        <v>156</v>
      </c>
      <c r="F1788" s="8" t="s">
        <v>318</v>
      </c>
      <c r="G1788" s="7" t="s">
        <v>2637</v>
      </c>
      <c r="H1788" s="7" t="s">
        <v>2638</v>
      </c>
      <c r="I1788" s="8">
        <v>2400.0</v>
      </c>
      <c r="J1788" s="8">
        <v>2.1</v>
      </c>
      <c r="K1788" s="8" t="s">
        <v>583</v>
      </c>
      <c r="L1788" s="8" t="s">
        <v>322</v>
      </c>
      <c r="M1788" s="8" t="s">
        <v>337</v>
      </c>
      <c r="N1788" s="8">
        <v>10.2</v>
      </c>
      <c r="O1788" s="14">
        <f t="shared" si="1"/>
        <v>44228</v>
      </c>
      <c r="P1788" s="15">
        <f>IFERROR(VLOOKUP(K1788,Formula!$A$11:$B$20,2,FALSE),Formula!$C$26)</f>
        <v>0.95</v>
      </c>
      <c r="Q1788" s="15">
        <f>IF(AND(ISNUMBER(J1788),J1788&gt;0),1/J1788,IF(AND(ISNUMBER(I1788),I1788&gt;0),SQRT(MIN(I1788,Formula!$C$27))/Formula!$C$24,1/Formula!$C$25))</f>
        <v>0.4761904762</v>
      </c>
      <c r="R1788" s="15">
        <f t="shared" si="2"/>
        <v>0.4523809524</v>
      </c>
      <c r="S1788" s="15">
        <f>IF(H1788&lt;&gt;"",EXP(-Formula!$C$28*(EOMONTH(H1788,0)-H1788)),EXP(-Formula!$C$28*(EOMONTH(D1788,0)-D1788)))</f>
        <v>0.3166367694</v>
      </c>
      <c r="T1788" s="15">
        <f t="shared" si="3"/>
        <v>0.3015113446</v>
      </c>
      <c r="U1788" s="15">
        <f t="shared" si="4"/>
        <v>0.04318861865</v>
      </c>
      <c r="V1788" s="16">
        <f>IF(AND(L1788="Among all respondents",NOT(OR(K1788="Online poll in Telegram channel",K1788="Website online poll",K1788="CAWI (Computer Assisted Web Interviewing)"))),1/(1-MIN(MAX(Formula!$C$33+(YEAR(D1788)-Formula!$C$34)/(Formula!$C$35-Formula!$C$34)*(Formula!$C$32-Formula!$C$33),Formula!$C$33),Formula!$C$32)),1)</f>
        <v>1</v>
      </c>
      <c r="W1788" s="17">
        <f t="shared" si="5"/>
        <v>10.2</v>
      </c>
    </row>
    <row r="1789" ht="15.75" customHeight="1">
      <c r="A1789" s="8" t="s">
        <v>2642</v>
      </c>
      <c r="B1789" s="7" t="s">
        <v>2635</v>
      </c>
      <c r="C1789" s="13" t="s">
        <v>2636</v>
      </c>
      <c r="D1789" s="7" t="s">
        <v>234</v>
      </c>
      <c r="E1789" s="8" t="s">
        <v>156</v>
      </c>
      <c r="F1789" s="8" t="s">
        <v>318</v>
      </c>
      <c r="G1789" s="7" t="s">
        <v>2637</v>
      </c>
      <c r="H1789" s="7" t="s">
        <v>2638</v>
      </c>
      <c r="I1789" s="8">
        <v>2400.0</v>
      </c>
      <c r="J1789" s="8">
        <v>2.1</v>
      </c>
      <c r="K1789" s="8" t="s">
        <v>583</v>
      </c>
      <c r="L1789" s="8" t="s">
        <v>322</v>
      </c>
      <c r="M1789" s="8" t="s">
        <v>828</v>
      </c>
      <c r="N1789" s="8">
        <v>6.9</v>
      </c>
      <c r="O1789" s="14">
        <f t="shared" si="1"/>
        <v>44228</v>
      </c>
      <c r="P1789" s="15">
        <f>IFERROR(VLOOKUP(K1789,Formula!$A$11:$B$20,2,FALSE),Formula!$C$26)</f>
        <v>0.95</v>
      </c>
      <c r="Q1789" s="15">
        <f>IF(AND(ISNUMBER(J1789),J1789&gt;0),1/J1789,IF(AND(ISNUMBER(I1789),I1789&gt;0),SQRT(MIN(I1789,Formula!$C$27))/Formula!$C$24,1/Formula!$C$25))</f>
        <v>0.4761904762</v>
      </c>
      <c r="R1789" s="15">
        <f t="shared" si="2"/>
        <v>0.4523809524</v>
      </c>
      <c r="S1789" s="15">
        <f>IF(H1789&lt;&gt;"",EXP(-Formula!$C$28*(EOMONTH(H1789,0)-H1789)),EXP(-Formula!$C$28*(EOMONTH(D1789,0)-D1789)))</f>
        <v>0.3166367694</v>
      </c>
      <c r="T1789" s="15">
        <f t="shared" si="3"/>
        <v>0.3015113446</v>
      </c>
      <c r="U1789" s="15">
        <f t="shared" si="4"/>
        <v>0.04318861865</v>
      </c>
      <c r="V1789" s="16">
        <f>IF(AND(L1789="Among all respondents",NOT(OR(K1789="Online poll in Telegram channel",K1789="Website online poll",K1789="CAWI (Computer Assisted Web Interviewing)"))),1/(1-MIN(MAX(Formula!$C$33+(YEAR(D1789)-Formula!$C$34)/(Formula!$C$35-Formula!$C$34)*(Formula!$C$32-Formula!$C$33),Formula!$C$33),Formula!$C$32)),1)</f>
        <v>1</v>
      </c>
      <c r="W1789" s="17">
        <f t="shared" si="5"/>
        <v>6.9</v>
      </c>
    </row>
    <row r="1790" ht="15.75" customHeight="1">
      <c r="A1790" s="8" t="s">
        <v>2643</v>
      </c>
      <c r="B1790" s="7" t="s">
        <v>2635</v>
      </c>
      <c r="C1790" s="13" t="s">
        <v>2636</v>
      </c>
      <c r="D1790" s="7" t="s">
        <v>234</v>
      </c>
      <c r="E1790" s="8" t="s">
        <v>156</v>
      </c>
      <c r="F1790" s="8" t="s">
        <v>318</v>
      </c>
      <c r="G1790" s="7" t="s">
        <v>2637</v>
      </c>
      <c r="H1790" s="7" t="s">
        <v>2638</v>
      </c>
      <c r="I1790" s="8">
        <v>2400.0</v>
      </c>
      <c r="J1790" s="8">
        <v>2.1</v>
      </c>
      <c r="K1790" s="8" t="s">
        <v>583</v>
      </c>
      <c r="L1790" s="8" t="s">
        <v>322</v>
      </c>
      <c r="M1790" s="8" t="s">
        <v>1334</v>
      </c>
      <c r="N1790" s="8">
        <v>6.0</v>
      </c>
      <c r="O1790" s="14">
        <f t="shared" si="1"/>
        <v>44228</v>
      </c>
      <c r="P1790" s="15">
        <f>IFERROR(VLOOKUP(K1790,Formula!$A$11:$B$20,2,FALSE),Formula!$C$26)</f>
        <v>0.95</v>
      </c>
      <c r="Q1790" s="15">
        <f>IF(AND(ISNUMBER(J1790),J1790&gt;0),1/J1790,IF(AND(ISNUMBER(I1790),I1790&gt;0),SQRT(MIN(I1790,Formula!$C$27))/Formula!$C$24,1/Formula!$C$25))</f>
        <v>0.4761904762</v>
      </c>
      <c r="R1790" s="15">
        <f t="shared" si="2"/>
        <v>0.4523809524</v>
      </c>
      <c r="S1790" s="15">
        <f>IF(H1790&lt;&gt;"",EXP(-Formula!$C$28*(EOMONTH(H1790,0)-H1790)),EXP(-Formula!$C$28*(EOMONTH(D1790,0)-D1790)))</f>
        <v>0.3166367694</v>
      </c>
      <c r="T1790" s="15">
        <f t="shared" si="3"/>
        <v>0.3015113446</v>
      </c>
      <c r="U1790" s="15">
        <f t="shared" si="4"/>
        <v>0.04318861865</v>
      </c>
      <c r="V1790" s="16">
        <f>IF(AND(L1790="Among all respondents",NOT(OR(K1790="Online poll in Telegram channel",K1790="Website online poll",K1790="CAWI (Computer Assisted Web Interviewing)"))),1/(1-MIN(MAX(Formula!$C$33+(YEAR(D1790)-Formula!$C$34)/(Formula!$C$35-Formula!$C$34)*(Formula!$C$32-Formula!$C$33),Formula!$C$33),Formula!$C$32)),1)</f>
        <v>1</v>
      </c>
      <c r="W1790" s="17">
        <f t="shared" si="5"/>
        <v>6</v>
      </c>
    </row>
    <row r="1791" ht="15.75" customHeight="1">
      <c r="A1791" s="8" t="s">
        <v>2644</v>
      </c>
      <c r="B1791" s="7" t="s">
        <v>2635</v>
      </c>
      <c r="C1791" s="13" t="s">
        <v>2636</v>
      </c>
      <c r="D1791" s="7" t="s">
        <v>234</v>
      </c>
      <c r="E1791" s="8" t="s">
        <v>156</v>
      </c>
      <c r="F1791" s="8" t="s">
        <v>318</v>
      </c>
      <c r="G1791" s="7" t="s">
        <v>2637</v>
      </c>
      <c r="H1791" s="7" t="s">
        <v>2638</v>
      </c>
      <c r="I1791" s="8">
        <v>2400.0</v>
      </c>
      <c r="J1791" s="8">
        <v>2.1</v>
      </c>
      <c r="K1791" s="8" t="s">
        <v>583</v>
      </c>
      <c r="L1791" s="8" t="s">
        <v>322</v>
      </c>
      <c r="M1791" s="8" t="s">
        <v>386</v>
      </c>
      <c r="N1791" s="8">
        <v>4.0</v>
      </c>
      <c r="O1791" s="14">
        <f t="shared" si="1"/>
        <v>44228</v>
      </c>
      <c r="P1791" s="15">
        <f>IFERROR(VLOOKUP(K1791,Formula!$A$11:$B$20,2,FALSE),Formula!$C$26)</f>
        <v>0.95</v>
      </c>
      <c r="Q1791" s="15">
        <f>IF(AND(ISNUMBER(J1791),J1791&gt;0),1/J1791,IF(AND(ISNUMBER(I1791),I1791&gt;0),SQRT(MIN(I1791,Formula!$C$27))/Formula!$C$24,1/Formula!$C$25))</f>
        <v>0.4761904762</v>
      </c>
      <c r="R1791" s="15">
        <f t="shared" si="2"/>
        <v>0.4523809524</v>
      </c>
      <c r="S1791" s="15">
        <f>IF(H1791&lt;&gt;"",EXP(-Formula!$C$28*(EOMONTH(H1791,0)-H1791)),EXP(-Formula!$C$28*(EOMONTH(D1791,0)-D1791)))</f>
        <v>0.3166367694</v>
      </c>
      <c r="T1791" s="15">
        <f t="shared" si="3"/>
        <v>0.3015113446</v>
      </c>
      <c r="U1791" s="15">
        <f t="shared" si="4"/>
        <v>0.04318861865</v>
      </c>
      <c r="V1791" s="16">
        <f>IF(AND(L1791="Among all respondents",NOT(OR(K1791="Online poll in Telegram channel",K1791="Website online poll",K1791="CAWI (Computer Assisted Web Interviewing)"))),1/(1-MIN(MAX(Formula!$C$33+(YEAR(D1791)-Formula!$C$34)/(Formula!$C$35-Formula!$C$34)*(Formula!$C$32-Formula!$C$33),Formula!$C$33),Formula!$C$32)),1)</f>
        <v>1</v>
      </c>
      <c r="W1791" s="17">
        <f t="shared" si="5"/>
        <v>4</v>
      </c>
    </row>
    <row r="1792" ht="15.75" customHeight="1">
      <c r="A1792" s="8" t="s">
        <v>2645</v>
      </c>
      <c r="B1792" s="7" t="s">
        <v>2635</v>
      </c>
      <c r="C1792" s="13" t="s">
        <v>2636</v>
      </c>
      <c r="D1792" s="7" t="s">
        <v>234</v>
      </c>
      <c r="E1792" s="8" t="s">
        <v>156</v>
      </c>
      <c r="F1792" s="8" t="s">
        <v>318</v>
      </c>
      <c r="G1792" s="7" t="s">
        <v>2637</v>
      </c>
      <c r="H1792" s="7" t="s">
        <v>2638</v>
      </c>
      <c r="I1792" s="8">
        <v>2400.0</v>
      </c>
      <c r="J1792" s="8">
        <v>2.1</v>
      </c>
      <c r="K1792" s="8" t="s">
        <v>583</v>
      </c>
      <c r="L1792" s="8" t="s">
        <v>322</v>
      </c>
      <c r="M1792" s="8" t="s">
        <v>333</v>
      </c>
      <c r="N1792" s="8">
        <v>3.8</v>
      </c>
      <c r="O1792" s="14">
        <f t="shared" si="1"/>
        <v>44228</v>
      </c>
      <c r="P1792" s="15">
        <f>IFERROR(VLOOKUP(K1792,Formula!$A$11:$B$20,2,FALSE),Formula!$C$26)</f>
        <v>0.95</v>
      </c>
      <c r="Q1792" s="15">
        <f>IF(AND(ISNUMBER(J1792),J1792&gt;0),1/J1792,IF(AND(ISNUMBER(I1792),I1792&gt;0),SQRT(MIN(I1792,Formula!$C$27))/Formula!$C$24,1/Formula!$C$25))</f>
        <v>0.4761904762</v>
      </c>
      <c r="R1792" s="15">
        <f t="shared" si="2"/>
        <v>0.4523809524</v>
      </c>
      <c r="S1792" s="15">
        <f>IF(H1792&lt;&gt;"",EXP(-Formula!$C$28*(EOMONTH(H1792,0)-H1792)),EXP(-Formula!$C$28*(EOMONTH(D1792,0)-D1792)))</f>
        <v>0.3166367694</v>
      </c>
      <c r="T1792" s="15">
        <f t="shared" si="3"/>
        <v>0.3015113446</v>
      </c>
      <c r="U1792" s="15">
        <f t="shared" si="4"/>
        <v>0.04318861865</v>
      </c>
      <c r="V1792" s="16">
        <f>IF(AND(L1792="Among all respondents",NOT(OR(K1792="Online poll in Telegram channel",K1792="Website online poll",K1792="CAWI (Computer Assisted Web Interviewing)"))),1/(1-MIN(MAX(Formula!$C$33+(YEAR(D1792)-Formula!$C$34)/(Formula!$C$35-Formula!$C$34)*(Formula!$C$32-Formula!$C$33),Formula!$C$33),Formula!$C$32)),1)</f>
        <v>1</v>
      </c>
      <c r="W1792" s="17">
        <f t="shared" si="5"/>
        <v>3.8</v>
      </c>
    </row>
    <row r="1793" ht="15.75" customHeight="1">
      <c r="A1793" s="8" t="s">
        <v>2646</v>
      </c>
      <c r="B1793" s="7" t="s">
        <v>2635</v>
      </c>
      <c r="C1793" s="13" t="s">
        <v>2636</v>
      </c>
      <c r="D1793" s="7" t="s">
        <v>234</v>
      </c>
      <c r="E1793" s="8" t="s">
        <v>156</v>
      </c>
      <c r="F1793" s="8" t="s">
        <v>318</v>
      </c>
      <c r="G1793" s="7" t="s">
        <v>2637</v>
      </c>
      <c r="H1793" s="7" t="s">
        <v>2638</v>
      </c>
      <c r="I1793" s="8">
        <v>2400.0</v>
      </c>
      <c r="J1793" s="8">
        <v>2.1</v>
      </c>
      <c r="K1793" s="8" t="s">
        <v>583</v>
      </c>
      <c r="L1793" s="8" t="s">
        <v>322</v>
      </c>
      <c r="M1793" s="8" t="s">
        <v>1539</v>
      </c>
      <c r="N1793" s="8">
        <v>3.6</v>
      </c>
      <c r="O1793" s="14">
        <f t="shared" si="1"/>
        <v>44228</v>
      </c>
      <c r="P1793" s="15">
        <f>IFERROR(VLOOKUP(K1793,Formula!$A$11:$B$20,2,FALSE),Formula!$C$26)</f>
        <v>0.95</v>
      </c>
      <c r="Q1793" s="15">
        <f>IF(AND(ISNUMBER(J1793),J1793&gt;0),1/J1793,IF(AND(ISNUMBER(I1793),I1793&gt;0),SQRT(MIN(I1793,Formula!$C$27))/Formula!$C$24,1/Formula!$C$25))</f>
        <v>0.4761904762</v>
      </c>
      <c r="R1793" s="15">
        <f t="shared" si="2"/>
        <v>0.4523809524</v>
      </c>
      <c r="S1793" s="15">
        <f>IF(H1793&lt;&gt;"",EXP(-Formula!$C$28*(EOMONTH(H1793,0)-H1793)),EXP(-Formula!$C$28*(EOMONTH(D1793,0)-D1793)))</f>
        <v>0.3166367694</v>
      </c>
      <c r="T1793" s="15">
        <f t="shared" si="3"/>
        <v>0.3015113446</v>
      </c>
      <c r="U1793" s="15">
        <f t="shared" si="4"/>
        <v>0.04318861865</v>
      </c>
      <c r="V1793" s="16">
        <f>IF(AND(L1793="Among all respondents",NOT(OR(K1793="Online poll in Telegram channel",K1793="Website online poll",K1793="CAWI (Computer Assisted Web Interviewing)"))),1/(1-MIN(MAX(Formula!$C$33+(YEAR(D1793)-Formula!$C$34)/(Formula!$C$35-Formula!$C$34)*(Formula!$C$32-Formula!$C$33),Formula!$C$33),Formula!$C$32)),1)</f>
        <v>1</v>
      </c>
      <c r="W1793" s="17">
        <f t="shared" si="5"/>
        <v>3.6</v>
      </c>
    </row>
    <row r="1794" ht="15.75" customHeight="1">
      <c r="A1794" s="8" t="s">
        <v>2647</v>
      </c>
      <c r="B1794" s="7" t="s">
        <v>2635</v>
      </c>
      <c r="C1794" s="13" t="s">
        <v>2636</v>
      </c>
      <c r="D1794" s="7" t="s">
        <v>234</v>
      </c>
      <c r="E1794" s="8" t="s">
        <v>156</v>
      </c>
      <c r="F1794" s="8" t="s">
        <v>318</v>
      </c>
      <c r="G1794" s="7" t="s">
        <v>2637</v>
      </c>
      <c r="H1794" s="7" t="s">
        <v>2638</v>
      </c>
      <c r="I1794" s="8">
        <v>2400.0</v>
      </c>
      <c r="J1794" s="8">
        <v>2.1</v>
      </c>
      <c r="K1794" s="8" t="s">
        <v>583</v>
      </c>
      <c r="L1794" s="8" t="s">
        <v>322</v>
      </c>
      <c r="M1794" s="8" t="s">
        <v>838</v>
      </c>
      <c r="N1794" s="8">
        <v>2.4</v>
      </c>
      <c r="O1794" s="14">
        <f t="shared" si="1"/>
        <v>44228</v>
      </c>
      <c r="P1794" s="15">
        <f>IFERROR(VLOOKUP(K1794,Formula!$A$11:$B$20,2,FALSE),Formula!$C$26)</f>
        <v>0.95</v>
      </c>
      <c r="Q1794" s="15">
        <f>IF(AND(ISNUMBER(J1794),J1794&gt;0),1/J1794,IF(AND(ISNUMBER(I1794),I1794&gt;0),SQRT(MIN(I1794,Formula!$C$27))/Formula!$C$24,1/Formula!$C$25))</f>
        <v>0.4761904762</v>
      </c>
      <c r="R1794" s="15">
        <f t="shared" si="2"/>
        <v>0.4523809524</v>
      </c>
      <c r="S1794" s="15">
        <f>IF(H1794&lt;&gt;"",EXP(-Formula!$C$28*(EOMONTH(H1794,0)-H1794)),EXP(-Formula!$C$28*(EOMONTH(D1794,0)-D1794)))</f>
        <v>0.3166367694</v>
      </c>
      <c r="T1794" s="15">
        <f t="shared" si="3"/>
        <v>0.3015113446</v>
      </c>
      <c r="U1794" s="15">
        <f t="shared" si="4"/>
        <v>0.04318861865</v>
      </c>
      <c r="V1794" s="16">
        <f>IF(AND(L1794="Among all respondents",NOT(OR(K1794="Online poll in Telegram channel",K1794="Website online poll",K1794="CAWI (Computer Assisted Web Interviewing)"))),1/(1-MIN(MAX(Formula!$C$33+(YEAR(D1794)-Formula!$C$34)/(Formula!$C$35-Formula!$C$34)*(Formula!$C$32-Formula!$C$33),Formula!$C$33),Formula!$C$32)),1)</f>
        <v>1</v>
      </c>
      <c r="W1794" s="17">
        <f t="shared" si="5"/>
        <v>2.4</v>
      </c>
    </row>
    <row r="1795" ht="15.75" customHeight="1">
      <c r="A1795" s="8" t="s">
        <v>2648</v>
      </c>
      <c r="B1795" s="7" t="s">
        <v>2635</v>
      </c>
      <c r="C1795" s="13" t="s">
        <v>2636</v>
      </c>
      <c r="D1795" s="7" t="s">
        <v>234</v>
      </c>
      <c r="E1795" s="8" t="s">
        <v>156</v>
      </c>
      <c r="F1795" s="8" t="s">
        <v>318</v>
      </c>
      <c r="G1795" s="7" t="s">
        <v>2637</v>
      </c>
      <c r="H1795" s="7" t="s">
        <v>2638</v>
      </c>
      <c r="I1795" s="8">
        <v>2400.0</v>
      </c>
      <c r="J1795" s="8">
        <v>2.1</v>
      </c>
      <c r="K1795" s="8" t="s">
        <v>583</v>
      </c>
      <c r="L1795" s="8" t="s">
        <v>322</v>
      </c>
      <c r="M1795" s="8" t="s">
        <v>343</v>
      </c>
      <c r="N1795" s="8">
        <v>1.4</v>
      </c>
      <c r="O1795" s="14">
        <f t="shared" si="1"/>
        <v>44228</v>
      </c>
      <c r="P1795" s="15">
        <f>IFERROR(VLOOKUP(K1795,Formula!$A$11:$B$20,2,FALSE),Formula!$C$26)</f>
        <v>0.95</v>
      </c>
      <c r="Q1795" s="15">
        <f>IF(AND(ISNUMBER(J1795),J1795&gt;0),1/J1795,IF(AND(ISNUMBER(I1795),I1795&gt;0),SQRT(MIN(I1795,Formula!$C$27))/Formula!$C$24,1/Formula!$C$25))</f>
        <v>0.4761904762</v>
      </c>
      <c r="R1795" s="15">
        <f t="shared" si="2"/>
        <v>0.4523809524</v>
      </c>
      <c r="S1795" s="15">
        <f>IF(H1795&lt;&gt;"",EXP(-Formula!$C$28*(EOMONTH(H1795,0)-H1795)),EXP(-Formula!$C$28*(EOMONTH(D1795,0)-D1795)))</f>
        <v>0.3166367694</v>
      </c>
      <c r="T1795" s="15">
        <f t="shared" si="3"/>
        <v>0.3015113446</v>
      </c>
      <c r="U1795" s="15">
        <f t="shared" si="4"/>
        <v>0.04318861865</v>
      </c>
      <c r="V1795" s="16">
        <f>IF(AND(L1795="Among all respondents",NOT(OR(K1795="Online poll in Telegram channel",K1795="Website online poll",K1795="CAWI (Computer Assisted Web Interviewing)"))),1/(1-MIN(MAX(Formula!$C$33+(YEAR(D1795)-Formula!$C$34)/(Formula!$C$35-Formula!$C$34)*(Formula!$C$32-Formula!$C$33),Formula!$C$33),Formula!$C$32)),1)</f>
        <v>1</v>
      </c>
      <c r="W1795" s="17">
        <f t="shared" si="5"/>
        <v>1.4</v>
      </c>
    </row>
    <row r="1796" ht="15.75" customHeight="1">
      <c r="A1796" s="8" t="s">
        <v>2649</v>
      </c>
      <c r="B1796" s="7" t="s">
        <v>2650</v>
      </c>
      <c r="C1796" s="13" t="s">
        <v>2651</v>
      </c>
      <c r="D1796" s="7" t="s">
        <v>230</v>
      </c>
      <c r="E1796" s="8" t="s">
        <v>27</v>
      </c>
      <c r="F1796" s="8" t="s">
        <v>318</v>
      </c>
      <c r="G1796" s="7" t="s">
        <v>2652</v>
      </c>
      <c r="H1796" s="7" t="s">
        <v>2638</v>
      </c>
      <c r="I1796" s="8">
        <v>1003.0</v>
      </c>
      <c r="J1796" s="8">
        <v>3.1</v>
      </c>
      <c r="K1796" s="8" t="s">
        <v>583</v>
      </c>
      <c r="L1796" s="8" t="s">
        <v>322</v>
      </c>
      <c r="M1796" s="8" t="s">
        <v>323</v>
      </c>
      <c r="N1796" s="8">
        <v>28.8</v>
      </c>
      <c r="O1796" s="14">
        <f t="shared" si="1"/>
        <v>44228</v>
      </c>
      <c r="P1796" s="15">
        <f>IFERROR(VLOOKUP(K1796,Formula!$A$11:$B$20,2,FALSE),Formula!$C$26)</f>
        <v>0.95</v>
      </c>
      <c r="Q1796" s="15">
        <f>IF(AND(ISNUMBER(J1796),J1796&gt;0),1/J1796,IF(AND(ISNUMBER(I1796),I1796&gt;0),SQRT(MIN(I1796,Formula!$C$27))/Formula!$C$24,1/Formula!$C$25))</f>
        <v>0.3225806452</v>
      </c>
      <c r="R1796" s="15">
        <f t="shared" si="2"/>
        <v>0.3064516129</v>
      </c>
      <c r="S1796" s="15">
        <f>IF(H1796&lt;&gt;"",EXP(-Formula!$C$28*(EOMONTH(H1796,0)-H1796)),EXP(-Formula!$C$28*(EOMONTH(D1796,0)-D1796)))</f>
        <v>0.3166367694</v>
      </c>
      <c r="T1796" s="15">
        <f t="shared" si="3"/>
        <v>0.2182178902</v>
      </c>
      <c r="U1796" s="15">
        <f t="shared" si="4"/>
        <v>0.02117452174</v>
      </c>
      <c r="V1796" s="16">
        <f>IF(AND(L1796="Among all respondents",NOT(OR(K1796="Online poll in Telegram channel",K1796="Website online poll",K1796="CAWI (Computer Assisted Web Interviewing)"))),1/(1-MIN(MAX(Formula!$C$33+(YEAR(D1796)-Formula!$C$34)/(Formula!$C$35-Formula!$C$34)*(Formula!$C$32-Formula!$C$33),Formula!$C$33),Formula!$C$32)),1)</f>
        <v>1</v>
      </c>
      <c r="W1796" s="17">
        <f t="shared" si="5"/>
        <v>28.8</v>
      </c>
    </row>
    <row r="1797" ht="15.75" customHeight="1">
      <c r="A1797" s="8" t="s">
        <v>2653</v>
      </c>
      <c r="B1797" s="7" t="s">
        <v>2650</v>
      </c>
      <c r="C1797" s="13" t="s">
        <v>2651</v>
      </c>
      <c r="D1797" s="7" t="s">
        <v>230</v>
      </c>
      <c r="E1797" s="8" t="s">
        <v>27</v>
      </c>
      <c r="F1797" s="8" t="s">
        <v>318</v>
      </c>
      <c r="G1797" s="7" t="s">
        <v>2652</v>
      </c>
      <c r="H1797" s="7" t="s">
        <v>2638</v>
      </c>
      <c r="I1797" s="8">
        <v>1003.0</v>
      </c>
      <c r="J1797" s="8">
        <v>3.1</v>
      </c>
      <c r="K1797" s="8" t="s">
        <v>583</v>
      </c>
      <c r="L1797" s="8" t="s">
        <v>322</v>
      </c>
      <c r="M1797" s="8" t="s">
        <v>329</v>
      </c>
      <c r="N1797" s="8">
        <v>20.4</v>
      </c>
      <c r="O1797" s="14">
        <f t="shared" si="1"/>
        <v>44228</v>
      </c>
      <c r="P1797" s="15">
        <f>IFERROR(VLOOKUP(K1797,Formula!$A$11:$B$20,2,FALSE),Formula!$C$26)</f>
        <v>0.95</v>
      </c>
      <c r="Q1797" s="15">
        <f>IF(AND(ISNUMBER(J1797),J1797&gt;0),1/J1797,IF(AND(ISNUMBER(I1797),I1797&gt;0),SQRT(MIN(I1797,Formula!$C$27))/Formula!$C$24,1/Formula!$C$25))</f>
        <v>0.3225806452</v>
      </c>
      <c r="R1797" s="15">
        <f t="shared" si="2"/>
        <v>0.3064516129</v>
      </c>
      <c r="S1797" s="15">
        <f>IF(H1797&lt;&gt;"",EXP(-Formula!$C$28*(EOMONTH(H1797,0)-H1797)),EXP(-Formula!$C$28*(EOMONTH(D1797,0)-D1797)))</f>
        <v>0.3166367694</v>
      </c>
      <c r="T1797" s="15">
        <f t="shared" si="3"/>
        <v>0.2182178902</v>
      </c>
      <c r="U1797" s="15">
        <f t="shared" si="4"/>
        <v>0.02117452174</v>
      </c>
      <c r="V1797" s="16">
        <f>IF(AND(L1797="Among all respondents",NOT(OR(K1797="Online poll in Telegram channel",K1797="Website online poll",K1797="CAWI (Computer Assisted Web Interviewing)"))),1/(1-MIN(MAX(Formula!$C$33+(YEAR(D1797)-Formula!$C$34)/(Formula!$C$35-Formula!$C$34)*(Formula!$C$32-Formula!$C$33),Formula!$C$33),Formula!$C$32)),1)</f>
        <v>1</v>
      </c>
      <c r="W1797" s="17">
        <f t="shared" si="5"/>
        <v>20.4</v>
      </c>
    </row>
    <row r="1798" ht="15.75" customHeight="1">
      <c r="A1798" s="8" t="s">
        <v>2654</v>
      </c>
      <c r="B1798" s="7" t="s">
        <v>2650</v>
      </c>
      <c r="C1798" s="13" t="s">
        <v>2651</v>
      </c>
      <c r="D1798" s="7" t="s">
        <v>230</v>
      </c>
      <c r="E1798" s="8" t="s">
        <v>27</v>
      </c>
      <c r="F1798" s="8" t="s">
        <v>318</v>
      </c>
      <c r="G1798" s="7" t="s">
        <v>2652</v>
      </c>
      <c r="H1798" s="7" t="s">
        <v>2638</v>
      </c>
      <c r="I1798" s="8">
        <v>1003.0</v>
      </c>
      <c r="J1798" s="8">
        <v>3.1</v>
      </c>
      <c r="K1798" s="8" t="s">
        <v>583</v>
      </c>
      <c r="L1798" s="8" t="s">
        <v>322</v>
      </c>
      <c r="M1798" s="8" t="s">
        <v>365</v>
      </c>
      <c r="N1798" s="8">
        <v>18.2</v>
      </c>
      <c r="O1798" s="14">
        <f t="shared" si="1"/>
        <v>44228</v>
      </c>
      <c r="P1798" s="15">
        <f>IFERROR(VLOOKUP(K1798,Formula!$A$11:$B$20,2,FALSE),Formula!$C$26)</f>
        <v>0.95</v>
      </c>
      <c r="Q1798" s="15">
        <f>IF(AND(ISNUMBER(J1798),J1798&gt;0),1/J1798,IF(AND(ISNUMBER(I1798),I1798&gt;0),SQRT(MIN(I1798,Formula!$C$27))/Formula!$C$24,1/Formula!$C$25))</f>
        <v>0.3225806452</v>
      </c>
      <c r="R1798" s="15">
        <f t="shared" si="2"/>
        <v>0.3064516129</v>
      </c>
      <c r="S1798" s="15">
        <f>IF(H1798&lt;&gt;"",EXP(-Formula!$C$28*(EOMONTH(H1798,0)-H1798)),EXP(-Formula!$C$28*(EOMONTH(D1798,0)-D1798)))</f>
        <v>0.3166367694</v>
      </c>
      <c r="T1798" s="15">
        <f t="shared" si="3"/>
        <v>0.2182178902</v>
      </c>
      <c r="U1798" s="15">
        <f t="shared" si="4"/>
        <v>0.02117452174</v>
      </c>
      <c r="V1798" s="16">
        <f>IF(AND(L1798="Among all respondents",NOT(OR(K1798="Online poll in Telegram channel",K1798="Website online poll",K1798="CAWI (Computer Assisted Web Interviewing)"))),1/(1-MIN(MAX(Formula!$C$33+(YEAR(D1798)-Formula!$C$34)/(Formula!$C$35-Formula!$C$34)*(Formula!$C$32-Formula!$C$33),Formula!$C$33),Formula!$C$32)),1)</f>
        <v>1</v>
      </c>
      <c r="W1798" s="17">
        <f t="shared" si="5"/>
        <v>18.2</v>
      </c>
    </row>
    <row r="1799" ht="15.75" customHeight="1">
      <c r="A1799" s="8" t="s">
        <v>2655</v>
      </c>
      <c r="B1799" s="7" t="s">
        <v>2650</v>
      </c>
      <c r="C1799" s="13" t="s">
        <v>2651</v>
      </c>
      <c r="D1799" s="7" t="s">
        <v>230</v>
      </c>
      <c r="E1799" s="8" t="s">
        <v>27</v>
      </c>
      <c r="F1799" s="8" t="s">
        <v>318</v>
      </c>
      <c r="G1799" s="7" t="s">
        <v>2652</v>
      </c>
      <c r="H1799" s="7" t="s">
        <v>2638</v>
      </c>
      <c r="I1799" s="8">
        <v>1003.0</v>
      </c>
      <c r="J1799" s="8">
        <v>3.1</v>
      </c>
      <c r="K1799" s="8" t="s">
        <v>583</v>
      </c>
      <c r="L1799" s="8" t="s">
        <v>322</v>
      </c>
      <c r="M1799" s="8" t="s">
        <v>337</v>
      </c>
      <c r="N1799" s="8">
        <v>12.0</v>
      </c>
      <c r="O1799" s="14">
        <f t="shared" si="1"/>
        <v>44228</v>
      </c>
      <c r="P1799" s="15">
        <f>IFERROR(VLOOKUP(K1799,Formula!$A$11:$B$20,2,FALSE),Formula!$C$26)</f>
        <v>0.95</v>
      </c>
      <c r="Q1799" s="15">
        <f>IF(AND(ISNUMBER(J1799),J1799&gt;0),1/J1799,IF(AND(ISNUMBER(I1799),I1799&gt;0),SQRT(MIN(I1799,Formula!$C$27))/Formula!$C$24,1/Formula!$C$25))</f>
        <v>0.3225806452</v>
      </c>
      <c r="R1799" s="15">
        <f t="shared" si="2"/>
        <v>0.3064516129</v>
      </c>
      <c r="S1799" s="15">
        <f>IF(H1799&lt;&gt;"",EXP(-Formula!$C$28*(EOMONTH(H1799,0)-H1799)),EXP(-Formula!$C$28*(EOMONTH(D1799,0)-D1799)))</f>
        <v>0.3166367694</v>
      </c>
      <c r="T1799" s="15">
        <f t="shared" si="3"/>
        <v>0.2182178902</v>
      </c>
      <c r="U1799" s="15">
        <f t="shared" si="4"/>
        <v>0.02117452174</v>
      </c>
      <c r="V1799" s="16">
        <f>IF(AND(L1799="Among all respondents",NOT(OR(K1799="Online poll in Telegram channel",K1799="Website online poll",K1799="CAWI (Computer Assisted Web Interviewing)"))),1/(1-MIN(MAX(Formula!$C$33+(YEAR(D1799)-Formula!$C$34)/(Formula!$C$35-Formula!$C$34)*(Formula!$C$32-Formula!$C$33),Formula!$C$33),Formula!$C$32)),1)</f>
        <v>1</v>
      </c>
      <c r="W1799" s="17">
        <f t="shared" si="5"/>
        <v>12</v>
      </c>
    </row>
    <row r="1800" ht="15.75" customHeight="1">
      <c r="A1800" s="8" t="s">
        <v>2656</v>
      </c>
      <c r="B1800" s="7" t="s">
        <v>2650</v>
      </c>
      <c r="C1800" s="13" t="s">
        <v>2651</v>
      </c>
      <c r="D1800" s="7" t="s">
        <v>230</v>
      </c>
      <c r="E1800" s="8" t="s">
        <v>27</v>
      </c>
      <c r="F1800" s="8" t="s">
        <v>318</v>
      </c>
      <c r="G1800" s="7" t="s">
        <v>2652</v>
      </c>
      <c r="H1800" s="7" t="s">
        <v>2638</v>
      </c>
      <c r="I1800" s="8">
        <v>1003.0</v>
      </c>
      <c r="J1800" s="8">
        <v>3.1</v>
      </c>
      <c r="K1800" s="8" t="s">
        <v>583</v>
      </c>
      <c r="L1800" s="8" t="s">
        <v>322</v>
      </c>
      <c r="M1800" s="8" t="s">
        <v>388</v>
      </c>
      <c r="N1800" s="8">
        <v>4.2</v>
      </c>
      <c r="O1800" s="14">
        <f t="shared" si="1"/>
        <v>44228</v>
      </c>
      <c r="P1800" s="15">
        <f>IFERROR(VLOOKUP(K1800,Formula!$A$11:$B$20,2,FALSE),Formula!$C$26)</f>
        <v>0.95</v>
      </c>
      <c r="Q1800" s="15">
        <f>IF(AND(ISNUMBER(J1800),J1800&gt;0),1/J1800,IF(AND(ISNUMBER(I1800),I1800&gt;0),SQRT(MIN(I1800,Formula!$C$27))/Formula!$C$24,1/Formula!$C$25))</f>
        <v>0.3225806452</v>
      </c>
      <c r="R1800" s="15">
        <f t="shared" si="2"/>
        <v>0.3064516129</v>
      </c>
      <c r="S1800" s="15">
        <f>IF(H1800&lt;&gt;"",EXP(-Formula!$C$28*(EOMONTH(H1800,0)-H1800)),EXP(-Formula!$C$28*(EOMONTH(D1800,0)-D1800)))</f>
        <v>0.3166367694</v>
      </c>
      <c r="T1800" s="15">
        <f t="shared" si="3"/>
        <v>0.2182178902</v>
      </c>
      <c r="U1800" s="15">
        <f t="shared" si="4"/>
        <v>0.02117452174</v>
      </c>
      <c r="V1800" s="16">
        <f>IF(AND(L1800="Among all respondents",NOT(OR(K1800="Online poll in Telegram channel",K1800="Website online poll",K1800="CAWI (Computer Assisted Web Interviewing)"))),1/(1-MIN(MAX(Formula!$C$33+(YEAR(D1800)-Formula!$C$34)/(Formula!$C$35-Formula!$C$34)*(Formula!$C$32-Formula!$C$33),Formula!$C$33),Formula!$C$32)),1)</f>
        <v>1</v>
      </c>
      <c r="W1800" s="17">
        <f t="shared" si="5"/>
        <v>4.2</v>
      </c>
    </row>
    <row r="1801" ht="15.75" customHeight="1">
      <c r="A1801" s="8" t="s">
        <v>2657</v>
      </c>
      <c r="B1801" s="7" t="s">
        <v>2650</v>
      </c>
      <c r="C1801" s="13" t="s">
        <v>2651</v>
      </c>
      <c r="D1801" s="7" t="s">
        <v>230</v>
      </c>
      <c r="E1801" s="8" t="s">
        <v>27</v>
      </c>
      <c r="F1801" s="8" t="s">
        <v>318</v>
      </c>
      <c r="G1801" s="7" t="s">
        <v>2652</v>
      </c>
      <c r="H1801" s="7" t="s">
        <v>2638</v>
      </c>
      <c r="I1801" s="8">
        <v>1003.0</v>
      </c>
      <c r="J1801" s="8">
        <v>3.1</v>
      </c>
      <c r="K1801" s="8" t="s">
        <v>583</v>
      </c>
      <c r="L1801" s="8" t="s">
        <v>322</v>
      </c>
      <c r="M1801" s="8" t="s">
        <v>828</v>
      </c>
      <c r="N1801" s="8">
        <v>4.0</v>
      </c>
      <c r="O1801" s="14">
        <f t="shared" si="1"/>
        <v>44228</v>
      </c>
      <c r="P1801" s="15">
        <f>IFERROR(VLOOKUP(K1801,Formula!$A$11:$B$20,2,FALSE),Formula!$C$26)</f>
        <v>0.95</v>
      </c>
      <c r="Q1801" s="15">
        <f>IF(AND(ISNUMBER(J1801),J1801&gt;0),1/J1801,IF(AND(ISNUMBER(I1801),I1801&gt;0),SQRT(MIN(I1801,Formula!$C$27))/Formula!$C$24,1/Formula!$C$25))</f>
        <v>0.3225806452</v>
      </c>
      <c r="R1801" s="15">
        <f t="shared" si="2"/>
        <v>0.3064516129</v>
      </c>
      <c r="S1801" s="15">
        <f>IF(H1801&lt;&gt;"",EXP(-Formula!$C$28*(EOMONTH(H1801,0)-H1801)),EXP(-Formula!$C$28*(EOMONTH(D1801,0)-D1801)))</f>
        <v>0.3166367694</v>
      </c>
      <c r="T1801" s="15">
        <f t="shared" si="3"/>
        <v>0.2182178902</v>
      </c>
      <c r="U1801" s="15">
        <f t="shared" si="4"/>
        <v>0.02117452174</v>
      </c>
      <c r="V1801" s="16">
        <f>IF(AND(L1801="Among all respondents",NOT(OR(K1801="Online poll in Telegram channel",K1801="Website online poll",K1801="CAWI (Computer Assisted Web Interviewing)"))),1/(1-MIN(MAX(Formula!$C$33+(YEAR(D1801)-Formula!$C$34)/(Formula!$C$35-Formula!$C$34)*(Formula!$C$32-Formula!$C$33),Formula!$C$33),Formula!$C$32)),1)</f>
        <v>1</v>
      </c>
      <c r="W1801" s="17">
        <f t="shared" si="5"/>
        <v>4</v>
      </c>
    </row>
    <row r="1802" ht="15.75" customHeight="1">
      <c r="A1802" s="8" t="s">
        <v>2658</v>
      </c>
      <c r="B1802" s="7" t="s">
        <v>2650</v>
      </c>
      <c r="C1802" s="13" t="s">
        <v>2651</v>
      </c>
      <c r="D1802" s="7" t="s">
        <v>230</v>
      </c>
      <c r="E1802" s="8" t="s">
        <v>27</v>
      </c>
      <c r="F1802" s="8" t="s">
        <v>318</v>
      </c>
      <c r="G1802" s="7" t="s">
        <v>2652</v>
      </c>
      <c r="H1802" s="7" t="s">
        <v>2638</v>
      </c>
      <c r="I1802" s="8">
        <v>1003.0</v>
      </c>
      <c r="J1802" s="8">
        <v>3.1</v>
      </c>
      <c r="K1802" s="8" t="s">
        <v>583</v>
      </c>
      <c r="L1802" s="8" t="s">
        <v>322</v>
      </c>
      <c r="M1802" s="8" t="s">
        <v>386</v>
      </c>
      <c r="N1802" s="8">
        <v>3.5</v>
      </c>
      <c r="O1802" s="14">
        <f t="shared" si="1"/>
        <v>44228</v>
      </c>
      <c r="P1802" s="15">
        <f>IFERROR(VLOOKUP(K1802,Formula!$A$11:$B$20,2,FALSE),Formula!$C$26)</f>
        <v>0.95</v>
      </c>
      <c r="Q1802" s="15">
        <f>IF(AND(ISNUMBER(J1802),J1802&gt;0),1/J1802,IF(AND(ISNUMBER(I1802),I1802&gt;0),SQRT(MIN(I1802,Formula!$C$27))/Formula!$C$24,1/Formula!$C$25))</f>
        <v>0.3225806452</v>
      </c>
      <c r="R1802" s="15">
        <f t="shared" si="2"/>
        <v>0.3064516129</v>
      </c>
      <c r="S1802" s="15">
        <f>IF(H1802&lt;&gt;"",EXP(-Formula!$C$28*(EOMONTH(H1802,0)-H1802)),EXP(-Formula!$C$28*(EOMONTH(D1802,0)-D1802)))</f>
        <v>0.3166367694</v>
      </c>
      <c r="T1802" s="15">
        <f t="shared" si="3"/>
        <v>0.2182178902</v>
      </c>
      <c r="U1802" s="15">
        <f t="shared" si="4"/>
        <v>0.02117452174</v>
      </c>
      <c r="V1802" s="16">
        <f>IF(AND(L1802="Among all respondents",NOT(OR(K1802="Online poll in Telegram channel",K1802="Website online poll",K1802="CAWI (Computer Assisted Web Interviewing)"))),1/(1-MIN(MAX(Formula!$C$33+(YEAR(D1802)-Formula!$C$34)/(Formula!$C$35-Formula!$C$34)*(Formula!$C$32-Formula!$C$33),Formula!$C$33),Formula!$C$32)),1)</f>
        <v>1</v>
      </c>
      <c r="W1802" s="17">
        <f t="shared" si="5"/>
        <v>3.5</v>
      </c>
    </row>
    <row r="1803" ht="15.75" customHeight="1">
      <c r="A1803" s="8" t="s">
        <v>2659</v>
      </c>
      <c r="B1803" s="7" t="s">
        <v>2650</v>
      </c>
      <c r="C1803" s="13" t="s">
        <v>2651</v>
      </c>
      <c r="D1803" s="7" t="s">
        <v>230</v>
      </c>
      <c r="E1803" s="8" t="s">
        <v>27</v>
      </c>
      <c r="F1803" s="8" t="s">
        <v>318</v>
      </c>
      <c r="G1803" s="7" t="s">
        <v>2652</v>
      </c>
      <c r="H1803" s="7" t="s">
        <v>2638</v>
      </c>
      <c r="I1803" s="8">
        <v>1003.0</v>
      </c>
      <c r="J1803" s="8">
        <v>3.1</v>
      </c>
      <c r="K1803" s="8" t="s">
        <v>583</v>
      </c>
      <c r="L1803" s="8" t="s">
        <v>322</v>
      </c>
      <c r="M1803" s="8" t="s">
        <v>1334</v>
      </c>
      <c r="N1803" s="8">
        <v>2.7</v>
      </c>
      <c r="O1803" s="14">
        <f t="shared" si="1"/>
        <v>44228</v>
      </c>
      <c r="P1803" s="15">
        <f>IFERROR(VLOOKUP(K1803,Formula!$A$11:$B$20,2,FALSE),Formula!$C$26)</f>
        <v>0.95</v>
      </c>
      <c r="Q1803" s="15">
        <f>IF(AND(ISNUMBER(J1803),J1803&gt;0),1/J1803,IF(AND(ISNUMBER(I1803),I1803&gt;0),SQRT(MIN(I1803,Formula!$C$27))/Formula!$C$24,1/Formula!$C$25))</f>
        <v>0.3225806452</v>
      </c>
      <c r="R1803" s="15">
        <f t="shared" si="2"/>
        <v>0.3064516129</v>
      </c>
      <c r="S1803" s="15">
        <f>IF(H1803&lt;&gt;"",EXP(-Formula!$C$28*(EOMONTH(H1803,0)-H1803)),EXP(-Formula!$C$28*(EOMONTH(D1803,0)-D1803)))</f>
        <v>0.3166367694</v>
      </c>
      <c r="T1803" s="15">
        <f t="shared" si="3"/>
        <v>0.2182178902</v>
      </c>
      <c r="U1803" s="15">
        <f t="shared" si="4"/>
        <v>0.02117452174</v>
      </c>
      <c r="V1803" s="16">
        <f>IF(AND(L1803="Among all respondents",NOT(OR(K1803="Online poll in Telegram channel",K1803="Website online poll",K1803="CAWI (Computer Assisted Web Interviewing)"))),1/(1-MIN(MAX(Formula!$C$33+(YEAR(D1803)-Formula!$C$34)/(Formula!$C$35-Formula!$C$34)*(Formula!$C$32-Formula!$C$33),Formula!$C$33),Formula!$C$32)),1)</f>
        <v>1</v>
      </c>
      <c r="W1803" s="17">
        <f t="shared" si="5"/>
        <v>2.7</v>
      </c>
    </row>
    <row r="1804" ht="15.75" customHeight="1">
      <c r="A1804" s="8" t="s">
        <v>2660</v>
      </c>
      <c r="B1804" s="7" t="s">
        <v>2650</v>
      </c>
      <c r="C1804" s="13" t="s">
        <v>2651</v>
      </c>
      <c r="D1804" s="7" t="s">
        <v>230</v>
      </c>
      <c r="E1804" s="8" t="s">
        <v>27</v>
      </c>
      <c r="F1804" s="8" t="s">
        <v>318</v>
      </c>
      <c r="G1804" s="7" t="s">
        <v>2652</v>
      </c>
      <c r="H1804" s="7" t="s">
        <v>2638</v>
      </c>
      <c r="I1804" s="8">
        <v>1003.0</v>
      </c>
      <c r="J1804" s="8">
        <v>3.1</v>
      </c>
      <c r="K1804" s="8" t="s">
        <v>583</v>
      </c>
      <c r="L1804" s="8" t="s">
        <v>322</v>
      </c>
      <c r="M1804" s="8" t="s">
        <v>339</v>
      </c>
      <c r="N1804" s="8">
        <v>2.0</v>
      </c>
      <c r="O1804" s="14">
        <f t="shared" si="1"/>
        <v>44228</v>
      </c>
      <c r="P1804" s="15">
        <f>IFERROR(VLOOKUP(K1804,Formula!$A$11:$B$20,2,FALSE),Formula!$C$26)</f>
        <v>0.95</v>
      </c>
      <c r="Q1804" s="15">
        <f>IF(AND(ISNUMBER(J1804),J1804&gt;0),1/J1804,IF(AND(ISNUMBER(I1804),I1804&gt;0),SQRT(MIN(I1804,Formula!$C$27))/Formula!$C$24,1/Formula!$C$25))</f>
        <v>0.3225806452</v>
      </c>
      <c r="R1804" s="15">
        <f t="shared" si="2"/>
        <v>0.3064516129</v>
      </c>
      <c r="S1804" s="15">
        <f>IF(H1804&lt;&gt;"",EXP(-Formula!$C$28*(EOMONTH(H1804,0)-H1804)),EXP(-Formula!$C$28*(EOMONTH(D1804,0)-D1804)))</f>
        <v>0.3166367694</v>
      </c>
      <c r="T1804" s="15">
        <f t="shared" si="3"/>
        <v>0.2182178902</v>
      </c>
      <c r="U1804" s="15">
        <f t="shared" si="4"/>
        <v>0.02117452174</v>
      </c>
      <c r="V1804" s="16">
        <f>IF(AND(L1804="Among all respondents",NOT(OR(K1804="Online poll in Telegram channel",K1804="Website online poll",K1804="CAWI (Computer Assisted Web Interviewing)"))),1/(1-MIN(MAX(Formula!$C$33+(YEAR(D1804)-Formula!$C$34)/(Formula!$C$35-Formula!$C$34)*(Formula!$C$32-Formula!$C$33),Formula!$C$33),Formula!$C$32)),1)</f>
        <v>1</v>
      </c>
      <c r="W1804" s="17">
        <f t="shared" si="5"/>
        <v>2</v>
      </c>
    </row>
    <row r="1805" ht="15.75" customHeight="1">
      <c r="A1805" s="8" t="s">
        <v>2661</v>
      </c>
      <c r="B1805" s="7" t="s">
        <v>2650</v>
      </c>
      <c r="C1805" s="13" t="s">
        <v>2651</v>
      </c>
      <c r="D1805" s="7" t="s">
        <v>230</v>
      </c>
      <c r="E1805" s="8" t="s">
        <v>27</v>
      </c>
      <c r="F1805" s="8" t="s">
        <v>318</v>
      </c>
      <c r="G1805" s="7" t="s">
        <v>2652</v>
      </c>
      <c r="H1805" s="7" t="s">
        <v>2638</v>
      </c>
      <c r="I1805" s="8">
        <v>1003.0</v>
      </c>
      <c r="J1805" s="8">
        <v>3.1</v>
      </c>
      <c r="K1805" s="8" t="s">
        <v>583</v>
      </c>
      <c r="L1805" s="8" t="s">
        <v>322</v>
      </c>
      <c r="M1805" s="8" t="s">
        <v>740</v>
      </c>
      <c r="N1805" s="8">
        <v>0.5</v>
      </c>
      <c r="O1805" s="14">
        <f t="shared" si="1"/>
        <v>44228</v>
      </c>
      <c r="P1805" s="15">
        <f>IFERROR(VLOOKUP(K1805,Formula!$A$11:$B$20,2,FALSE),Formula!$C$26)</f>
        <v>0.95</v>
      </c>
      <c r="Q1805" s="15">
        <f>IF(AND(ISNUMBER(J1805),J1805&gt;0),1/J1805,IF(AND(ISNUMBER(I1805),I1805&gt;0),SQRT(MIN(I1805,Formula!$C$27))/Formula!$C$24,1/Formula!$C$25))</f>
        <v>0.3225806452</v>
      </c>
      <c r="R1805" s="15">
        <f t="shared" si="2"/>
        <v>0.3064516129</v>
      </c>
      <c r="S1805" s="15">
        <f>IF(H1805&lt;&gt;"",EXP(-Formula!$C$28*(EOMONTH(H1805,0)-H1805)),EXP(-Formula!$C$28*(EOMONTH(D1805,0)-D1805)))</f>
        <v>0.3166367694</v>
      </c>
      <c r="T1805" s="15">
        <f t="shared" si="3"/>
        <v>0.2182178902</v>
      </c>
      <c r="U1805" s="15">
        <f t="shared" si="4"/>
        <v>0.02117452174</v>
      </c>
      <c r="V1805" s="16">
        <f>IF(AND(L1805="Among all respondents",NOT(OR(K1805="Online poll in Telegram channel",K1805="Website online poll",K1805="CAWI (Computer Assisted Web Interviewing)"))),1/(1-MIN(MAX(Formula!$C$33+(YEAR(D1805)-Formula!$C$34)/(Formula!$C$35-Formula!$C$34)*(Formula!$C$32-Formula!$C$33),Formula!$C$33),Formula!$C$32)),1)</f>
        <v>1</v>
      </c>
      <c r="W1805" s="17">
        <f t="shared" si="5"/>
        <v>0.5</v>
      </c>
    </row>
    <row r="1806" ht="15.75" customHeight="1">
      <c r="A1806" s="8" t="s">
        <v>2662</v>
      </c>
      <c r="B1806" s="7" t="s">
        <v>2650</v>
      </c>
      <c r="C1806" s="13" t="s">
        <v>2651</v>
      </c>
      <c r="D1806" s="7" t="s">
        <v>230</v>
      </c>
      <c r="E1806" s="8" t="s">
        <v>27</v>
      </c>
      <c r="F1806" s="8" t="s">
        <v>318</v>
      </c>
      <c r="G1806" s="7" t="s">
        <v>2652</v>
      </c>
      <c r="H1806" s="7" t="s">
        <v>2638</v>
      </c>
      <c r="I1806" s="8">
        <v>1003.0</v>
      </c>
      <c r="J1806" s="8">
        <v>3.1</v>
      </c>
      <c r="K1806" s="8" t="s">
        <v>583</v>
      </c>
      <c r="L1806" s="8" t="s">
        <v>322</v>
      </c>
      <c r="M1806" s="8" t="s">
        <v>343</v>
      </c>
      <c r="N1806" s="8">
        <v>0.5</v>
      </c>
      <c r="O1806" s="14">
        <f t="shared" si="1"/>
        <v>44228</v>
      </c>
      <c r="P1806" s="15">
        <f>IFERROR(VLOOKUP(K1806,Formula!$A$11:$B$20,2,FALSE),Formula!$C$26)</f>
        <v>0.95</v>
      </c>
      <c r="Q1806" s="15">
        <f>IF(AND(ISNUMBER(J1806),J1806&gt;0),1/J1806,IF(AND(ISNUMBER(I1806),I1806&gt;0),SQRT(MIN(I1806,Formula!$C$27))/Formula!$C$24,1/Formula!$C$25))</f>
        <v>0.3225806452</v>
      </c>
      <c r="R1806" s="15">
        <f t="shared" si="2"/>
        <v>0.3064516129</v>
      </c>
      <c r="S1806" s="15">
        <f>IF(H1806&lt;&gt;"",EXP(-Formula!$C$28*(EOMONTH(H1806,0)-H1806)),EXP(-Formula!$C$28*(EOMONTH(D1806,0)-D1806)))</f>
        <v>0.3166367694</v>
      </c>
      <c r="T1806" s="15">
        <f t="shared" si="3"/>
        <v>0.2182178902</v>
      </c>
      <c r="U1806" s="15">
        <f t="shared" si="4"/>
        <v>0.02117452174</v>
      </c>
      <c r="V1806" s="16">
        <f>IF(AND(L1806="Among all respondents",NOT(OR(K1806="Online poll in Telegram channel",K1806="Website online poll",K1806="CAWI (Computer Assisted Web Interviewing)"))),1/(1-MIN(MAX(Formula!$C$33+(YEAR(D1806)-Formula!$C$34)/(Formula!$C$35-Formula!$C$34)*(Formula!$C$32-Formula!$C$33),Formula!$C$33),Formula!$C$32)),1)</f>
        <v>1</v>
      </c>
      <c r="W1806" s="17">
        <f t="shared" si="5"/>
        <v>0.5</v>
      </c>
    </row>
    <row r="1807" ht="15.75" customHeight="1">
      <c r="A1807" s="8" t="s">
        <v>2663</v>
      </c>
      <c r="B1807" s="7" t="s">
        <v>2664</v>
      </c>
      <c r="C1807" s="13" t="s">
        <v>2665</v>
      </c>
      <c r="D1807" s="7" t="s">
        <v>230</v>
      </c>
      <c r="E1807" s="8" t="s">
        <v>72</v>
      </c>
      <c r="F1807" s="8" t="s">
        <v>318</v>
      </c>
      <c r="G1807" s="7" t="s">
        <v>2638</v>
      </c>
      <c r="H1807" s="7" t="s">
        <v>2666</v>
      </c>
      <c r="I1807" s="8">
        <v>2005.0</v>
      </c>
      <c r="J1807" s="8">
        <v>2.4</v>
      </c>
      <c r="K1807" s="8" t="s">
        <v>321</v>
      </c>
      <c r="L1807" s="8" t="s">
        <v>322</v>
      </c>
      <c r="M1807" s="8" t="s">
        <v>323</v>
      </c>
      <c r="N1807" s="8">
        <v>22.7</v>
      </c>
      <c r="O1807" s="14">
        <f t="shared" si="1"/>
        <v>44228</v>
      </c>
      <c r="P1807" s="15">
        <f>IFERROR(VLOOKUP(K1807,Formula!$A$11:$B$20,2,FALSE),Formula!$C$26)</f>
        <v>0.9</v>
      </c>
      <c r="Q1807" s="15">
        <f>IF(AND(ISNUMBER(J1807),J1807&gt;0),1/J1807,IF(AND(ISNUMBER(I1807),I1807&gt;0),SQRT(MIN(I1807,Formula!$C$27))/Formula!$C$24,1/Formula!$C$25))</f>
        <v>0.4166666667</v>
      </c>
      <c r="R1807" s="15">
        <f t="shared" si="2"/>
        <v>0.375</v>
      </c>
      <c r="S1807" s="15">
        <f>IF(H1807&lt;&gt;"",EXP(-Formula!$C$28*(EOMONTH(H1807,0)-H1807)),EXP(-Formula!$C$28*(EOMONTH(D1807,0)-D1807)))</f>
        <v>0.3499377491</v>
      </c>
      <c r="T1807" s="15">
        <f t="shared" si="3"/>
        <v>0.1601281538</v>
      </c>
      <c r="U1807" s="15">
        <f t="shared" si="4"/>
        <v>0.02101308214</v>
      </c>
      <c r="V1807" s="16">
        <f>IF(AND(L1807="Among all respondents",NOT(OR(K1807="Online poll in Telegram channel",K1807="Website online poll",K1807="CAWI (Computer Assisted Web Interviewing)"))),1/(1-MIN(MAX(Formula!$C$33+(YEAR(D1807)-Formula!$C$34)/(Formula!$C$35-Formula!$C$34)*(Formula!$C$32-Formula!$C$33),Formula!$C$33),Formula!$C$32)),1)</f>
        <v>1</v>
      </c>
      <c r="W1807" s="17">
        <f t="shared" si="5"/>
        <v>22.7</v>
      </c>
    </row>
    <row r="1808" ht="15.75" customHeight="1">
      <c r="A1808" s="8" t="s">
        <v>2667</v>
      </c>
      <c r="B1808" s="7" t="s">
        <v>2664</v>
      </c>
      <c r="C1808" s="13" t="s">
        <v>2665</v>
      </c>
      <c r="D1808" s="7" t="s">
        <v>230</v>
      </c>
      <c r="E1808" s="8" t="s">
        <v>72</v>
      </c>
      <c r="F1808" s="8" t="s">
        <v>318</v>
      </c>
      <c r="G1808" s="7" t="s">
        <v>2638</v>
      </c>
      <c r="H1808" s="7" t="s">
        <v>2666</v>
      </c>
      <c r="I1808" s="8">
        <v>2005.0</v>
      </c>
      <c r="J1808" s="8">
        <v>2.4</v>
      </c>
      <c r="K1808" s="8" t="s">
        <v>321</v>
      </c>
      <c r="L1808" s="8" t="s">
        <v>322</v>
      </c>
      <c r="M1808" s="8" t="s">
        <v>329</v>
      </c>
      <c r="N1808" s="8">
        <v>18.3</v>
      </c>
      <c r="O1808" s="14">
        <f t="shared" si="1"/>
        <v>44228</v>
      </c>
      <c r="P1808" s="15">
        <f>IFERROR(VLOOKUP(K1808,Formula!$A$11:$B$20,2,FALSE),Formula!$C$26)</f>
        <v>0.9</v>
      </c>
      <c r="Q1808" s="15">
        <f>IF(AND(ISNUMBER(J1808),J1808&gt;0),1/J1808,IF(AND(ISNUMBER(I1808),I1808&gt;0),SQRT(MIN(I1808,Formula!$C$27))/Formula!$C$24,1/Formula!$C$25))</f>
        <v>0.4166666667</v>
      </c>
      <c r="R1808" s="15">
        <f t="shared" si="2"/>
        <v>0.375</v>
      </c>
      <c r="S1808" s="15">
        <f>IF(H1808&lt;&gt;"",EXP(-Formula!$C$28*(EOMONTH(H1808,0)-H1808)),EXP(-Formula!$C$28*(EOMONTH(D1808,0)-D1808)))</f>
        <v>0.3499377491</v>
      </c>
      <c r="T1808" s="15">
        <f t="shared" si="3"/>
        <v>0.1601281538</v>
      </c>
      <c r="U1808" s="15">
        <f t="shared" si="4"/>
        <v>0.02101308214</v>
      </c>
      <c r="V1808" s="16">
        <f>IF(AND(L1808="Among all respondents",NOT(OR(K1808="Online poll in Telegram channel",K1808="Website online poll",K1808="CAWI (Computer Assisted Web Interviewing)"))),1/(1-MIN(MAX(Formula!$C$33+(YEAR(D1808)-Formula!$C$34)/(Formula!$C$35-Formula!$C$34)*(Formula!$C$32-Formula!$C$33),Formula!$C$33),Formula!$C$32)),1)</f>
        <v>1</v>
      </c>
      <c r="W1808" s="17">
        <f t="shared" si="5"/>
        <v>18.3</v>
      </c>
    </row>
    <row r="1809" ht="15.75" customHeight="1">
      <c r="A1809" s="8" t="s">
        <v>2668</v>
      </c>
      <c r="B1809" s="7" t="s">
        <v>2664</v>
      </c>
      <c r="C1809" s="13" t="s">
        <v>2665</v>
      </c>
      <c r="D1809" s="7" t="s">
        <v>230</v>
      </c>
      <c r="E1809" s="8" t="s">
        <v>72</v>
      </c>
      <c r="F1809" s="8" t="s">
        <v>318</v>
      </c>
      <c r="G1809" s="7" t="s">
        <v>2638</v>
      </c>
      <c r="H1809" s="7" t="s">
        <v>2666</v>
      </c>
      <c r="I1809" s="8">
        <v>2005.0</v>
      </c>
      <c r="J1809" s="8">
        <v>2.4</v>
      </c>
      <c r="K1809" s="8" t="s">
        <v>321</v>
      </c>
      <c r="L1809" s="8" t="s">
        <v>322</v>
      </c>
      <c r="M1809" s="8" t="s">
        <v>337</v>
      </c>
      <c r="N1809" s="8">
        <v>14.5</v>
      </c>
      <c r="O1809" s="14">
        <f t="shared" si="1"/>
        <v>44228</v>
      </c>
      <c r="P1809" s="15">
        <f>IFERROR(VLOOKUP(K1809,Formula!$A$11:$B$20,2,FALSE),Formula!$C$26)</f>
        <v>0.9</v>
      </c>
      <c r="Q1809" s="15">
        <f>IF(AND(ISNUMBER(J1809),J1809&gt;0),1/J1809,IF(AND(ISNUMBER(I1809),I1809&gt;0),SQRT(MIN(I1809,Formula!$C$27))/Formula!$C$24,1/Formula!$C$25))</f>
        <v>0.4166666667</v>
      </c>
      <c r="R1809" s="15">
        <f t="shared" si="2"/>
        <v>0.375</v>
      </c>
      <c r="S1809" s="15">
        <f>IF(H1809&lt;&gt;"",EXP(-Formula!$C$28*(EOMONTH(H1809,0)-H1809)),EXP(-Formula!$C$28*(EOMONTH(D1809,0)-D1809)))</f>
        <v>0.3499377491</v>
      </c>
      <c r="T1809" s="15">
        <f t="shared" si="3"/>
        <v>0.1601281538</v>
      </c>
      <c r="U1809" s="15">
        <f t="shared" si="4"/>
        <v>0.02101308214</v>
      </c>
      <c r="V1809" s="16">
        <f>IF(AND(L1809="Among all respondents",NOT(OR(K1809="Online poll in Telegram channel",K1809="Website online poll",K1809="CAWI (Computer Assisted Web Interviewing)"))),1/(1-MIN(MAX(Formula!$C$33+(YEAR(D1809)-Formula!$C$34)/(Formula!$C$35-Formula!$C$34)*(Formula!$C$32-Formula!$C$33),Formula!$C$33),Formula!$C$32)),1)</f>
        <v>1</v>
      </c>
      <c r="W1809" s="17">
        <f t="shared" si="5"/>
        <v>14.5</v>
      </c>
    </row>
    <row r="1810" ht="15.75" customHeight="1">
      <c r="A1810" s="8" t="s">
        <v>2669</v>
      </c>
      <c r="B1810" s="7" t="s">
        <v>2664</v>
      </c>
      <c r="C1810" s="13" t="s">
        <v>2665</v>
      </c>
      <c r="D1810" s="7" t="s">
        <v>230</v>
      </c>
      <c r="E1810" s="8" t="s">
        <v>72</v>
      </c>
      <c r="F1810" s="8" t="s">
        <v>318</v>
      </c>
      <c r="G1810" s="7" t="s">
        <v>2638</v>
      </c>
      <c r="H1810" s="7" t="s">
        <v>2666</v>
      </c>
      <c r="I1810" s="8">
        <v>2005.0</v>
      </c>
      <c r="J1810" s="8">
        <v>2.4</v>
      </c>
      <c r="K1810" s="8" t="s">
        <v>321</v>
      </c>
      <c r="L1810" s="8" t="s">
        <v>322</v>
      </c>
      <c r="M1810" s="8" t="s">
        <v>365</v>
      </c>
      <c r="N1810" s="8">
        <v>11.4</v>
      </c>
      <c r="O1810" s="14">
        <f t="shared" si="1"/>
        <v>44228</v>
      </c>
      <c r="P1810" s="15">
        <f>IFERROR(VLOOKUP(K1810,Formula!$A$11:$B$20,2,FALSE),Formula!$C$26)</f>
        <v>0.9</v>
      </c>
      <c r="Q1810" s="15">
        <f>IF(AND(ISNUMBER(J1810),J1810&gt;0),1/J1810,IF(AND(ISNUMBER(I1810),I1810&gt;0),SQRT(MIN(I1810,Formula!$C$27))/Formula!$C$24,1/Formula!$C$25))</f>
        <v>0.4166666667</v>
      </c>
      <c r="R1810" s="15">
        <f t="shared" si="2"/>
        <v>0.375</v>
      </c>
      <c r="S1810" s="15">
        <f>IF(H1810&lt;&gt;"",EXP(-Formula!$C$28*(EOMONTH(H1810,0)-H1810)),EXP(-Formula!$C$28*(EOMONTH(D1810,0)-D1810)))</f>
        <v>0.3499377491</v>
      </c>
      <c r="T1810" s="15">
        <f t="shared" si="3"/>
        <v>0.1601281538</v>
      </c>
      <c r="U1810" s="15">
        <f t="shared" si="4"/>
        <v>0.02101308214</v>
      </c>
      <c r="V1810" s="16">
        <f>IF(AND(L1810="Among all respondents",NOT(OR(K1810="Online poll in Telegram channel",K1810="Website online poll",K1810="CAWI (Computer Assisted Web Interviewing)"))),1/(1-MIN(MAX(Formula!$C$33+(YEAR(D1810)-Formula!$C$34)/(Formula!$C$35-Formula!$C$34)*(Formula!$C$32-Formula!$C$33),Formula!$C$33),Formula!$C$32)),1)</f>
        <v>1</v>
      </c>
      <c r="W1810" s="17">
        <f t="shared" si="5"/>
        <v>11.4</v>
      </c>
    </row>
    <row r="1811" ht="15.75" customHeight="1">
      <c r="A1811" s="8" t="s">
        <v>2670</v>
      </c>
      <c r="B1811" s="7" t="s">
        <v>2664</v>
      </c>
      <c r="C1811" s="13" t="s">
        <v>2665</v>
      </c>
      <c r="D1811" s="7" t="s">
        <v>230</v>
      </c>
      <c r="E1811" s="8" t="s">
        <v>72</v>
      </c>
      <c r="F1811" s="8" t="s">
        <v>318</v>
      </c>
      <c r="G1811" s="7" t="s">
        <v>2638</v>
      </c>
      <c r="H1811" s="7" t="s">
        <v>2666</v>
      </c>
      <c r="I1811" s="8">
        <v>2005.0</v>
      </c>
      <c r="J1811" s="8">
        <v>2.4</v>
      </c>
      <c r="K1811" s="8" t="s">
        <v>321</v>
      </c>
      <c r="L1811" s="8" t="s">
        <v>322</v>
      </c>
      <c r="M1811" s="8" t="s">
        <v>828</v>
      </c>
      <c r="N1811" s="8">
        <v>8.2</v>
      </c>
      <c r="O1811" s="14">
        <f t="shared" si="1"/>
        <v>44228</v>
      </c>
      <c r="P1811" s="15">
        <f>IFERROR(VLOOKUP(K1811,Formula!$A$11:$B$20,2,FALSE),Formula!$C$26)</f>
        <v>0.9</v>
      </c>
      <c r="Q1811" s="15">
        <f>IF(AND(ISNUMBER(J1811),J1811&gt;0),1/J1811,IF(AND(ISNUMBER(I1811),I1811&gt;0),SQRT(MIN(I1811,Formula!$C$27))/Formula!$C$24,1/Formula!$C$25))</f>
        <v>0.4166666667</v>
      </c>
      <c r="R1811" s="15">
        <f t="shared" si="2"/>
        <v>0.375</v>
      </c>
      <c r="S1811" s="15">
        <f>IF(H1811&lt;&gt;"",EXP(-Formula!$C$28*(EOMONTH(H1811,0)-H1811)),EXP(-Formula!$C$28*(EOMONTH(D1811,0)-D1811)))</f>
        <v>0.3499377491</v>
      </c>
      <c r="T1811" s="15">
        <f t="shared" si="3"/>
        <v>0.1601281538</v>
      </c>
      <c r="U1811" s="15">
        <f t="shared" si="4"/>
        <v>0.02101308214</v>
      </c>
      <c r="V1811" s="16">
        <f>IF(AND(L1811="Among all respondents",NOT(OR(K1811="Online poll in Telegram channel",K1811="Website online poll",K1811="CAWI (Computer Assisted Web Interviewing)"))),1/(1-MIN(MAX(Formula!$C$33+(YEAR(D1811)-Formula!$C$34)/(Formula!$C$35-Formula!$C$34)*(Formula!$C$32-Formula!$C$33),Formula!$C$33),Formula!$C$32)),1)</f>
        <v>1</v>
      </c>
      <c r="W1811" s="17">
        <f t="shared" si="5"/>
        <v>8.2</v>
      </c>
    </row>
    <row r="1812" ht="15.75" customHeight="1">
      <c r="A1812" s="8" t="s">
        <v>2671</v>
      </c>
      <c r="B1812" s="7" t="s">
        <v>2664</v>
      </c>
      <c r="C1812" s="13" t="s">
        <v>2665</v>
      </c>
      <c r="D1812" s="7" t="s">
        <v>230</v>
      </c>
      <c r="E1812" s="8" t="s">
        <v>72</v>
      </c>
      <c r="F1812" s="8" t="s">
        <v>318</v>
      </c>
      <c r="G1812" s="7" t="s">
        <v>2638</v>
      </c>
      <c r="H1812" s="7" t="s">
        <v>2666</v>
      </c>
      <c r="I1812" s="8">
        <v>2005.0</v>
      </c>
      <c r="J1812" s="8">
        <v>2.4</v>
      </c>
      <c r="K1812" s="8" t="s">
        <v>321</v>
      </c>
      <c r="L1812" s="8" t="s">
        <v>322</v>
      </c>
      <c r="M1812" s="8" t="s">
        <v>1334</v>
      </c>
      <c r="N1812" s="8">
        <v>5.1</v>
      </c>
      <c r="O1812" s="14">
        <f t="shared" si="1"/>
        <v>44228</v>
      </c>
      <c r="P1812" s="15">
        <f>IFERROR(VLOOKUP(K1812,Formula!$A$11:$B$20,2,FALSE),Formula!$C$26)</f>
        <v>0.9</v>
      </c>
      <c r="Q1812" s="15">
        <f>IF(AND(ISNUMBER(J1812),J1812&gt;0),1/J1812,IF(AND(ISNUMBER(I1812),I1812&gt;0),SQRT(MIN(I1812,Formula!$C$27))/Formula!$C$24,1/Formula!$C$25))</f>
        <v>0.4166666667</v>
      </c>
      <c r="R1812" s="15">
        <f t="shared" si="2"/>
        <v>0.375</v>
      </c>
      <c r="S1812" s="15">
        <f>IF(H1812&lt;&gt;"",EXP(-Formula!$C$28*(EOMONTH(H1812,0)-H1812)),EXP(-Formula!$C$28*(EOMONTH(D1812,0)-D1812)))</f>
        <v>0.3499377491</v>
      </c>
      <c r="T1812" s="15">
        <f t="shared" si="3"/>
        <v>0.1601281538</v>
      </c>
      <c r="U1812" s="15">
        <f t="shared" si="4"/>
        <v>0.02101308214</v>
      </c>
      <c r="V1812" s="16">
        <f>IF(AND(L1812="Among all respondents",NOT(OR(K1812="Online poll in Telegram channel",K1812="Website online poll",K1812="CAWI (Computer Assisted Web Interviewing)"))),1/(1-MIN(MAX(Formula!$C$33+(YEAR(D1812)-Formula!$C$34)/(Formula!$C$35-Formula!$C$34)*(Formula!$C$32-Formula!$C$33),Formula!$C$33),Formula!$C$32)),1)</f>
        <v>1</v>
      </c>
      <c r="W1812" s="17">
        <f t="shared" si="5"/>
        <v>5.1</v>
      </c>
    </row>
    <row r="1813" ht="15.75" customHeight="1">
      <c r="A1813" s="8" t="s">
        <v>2672</v>
      </c>
      <c r="B1813" s="7" t="s">
        <v>2664</v>
      </c>
      <c r="C1813" s="13" t="s">
        <v>2665</v>
      </c>
      <c r="D1813" s="7" t="s">
        <v>230</v>
      </c>
      <c r="E1813" s="8" t="s">
        <v>72</v>
      </c>
      <c r="F1813" s="8" t="s">
        <v>318</v>
      </c>
      <c r="G1813" s="7" t="s">
        <v>2638</v>
      </c>
      <c r="H1813" s="7" t="s">
        <v>2666</v>
      </c>
      <c r="I1813" s="8">
        <v>2005.0</v>
      </c>
      <c r="J1813" s="8">
        <v>2.4</v>
      </c>
      <c r="K1813" s="8" t="s">
        <v>321</v>
      </c>
      <c r="L1813" s="8" t="s">
        <v>322</v>
      </c>
      <c r="M1813" s="8" t="s">
        <v>386</v>
      </c>
      <c r="N1813" s="8">
        <v>4.5</v>
      </c>
      <c r="O1813" s="14">
        <f t="shared" si="1"/>
        <v>44228</v>
      </c>
      <c r="P1813" s="15">
        <f>IFERROR(VLOOKUP(K1813,Formula!$A$11:$B$20,2,FALSE),Formula!$C$26)</f>
        <v>0.9</v>
      </c>
      <c r="Q1813" s="15">
        <f>IF(AND(ISNUMBER(J1813),J1813&gt;0),1/J1813,IF(AND(ISNUMBER(I1813),I1813&gt;0),SQRT(MIN(I1813,Formula!$C$27))/Formula!$C$24,1/Formula!$C$25))</f>
        <v>0.4166666667</v>
      </c>
      <c r="R1813" s="15">
        <f t="shared" si="2"/>
        <v>0.375</v>
      </c>
      <c r="S1813" s="15">
        <f>IF(H1813&lt;&gt;"",EXP(-Formula!$C$28*(EOMONTH(H1813,0)-H1813)),EXP(-Formula!$C$28*(EOMONTH(D1813,0)-D1813)))</f>
        <v>0.3499377491</v>
      </c>
      <c r="T1813" s="15">
        <f t="shared" si="3"/>
        <v>0.1601281538</v>
      </c>
      <c r="U1813" s="15">
        <f t="shared" si="4"/>
        <v>0.02101308214</v>
      </c>
      <c r="V1813" s="16">
        <f>IF(AND(L1813="Among all respondents",NOT(OR(K1813="Online poll in Telegram channel",K1813="Website online poll",K1813="CAWI (Computer Assisted Web Interviewing)"))),1/(1-MIN(MAX(Formula!$C$33+(YEAR(D1813)-Formula!$C$34)/(Formula!$C$35-Formula!$C$34)*(Formula!$C$32-Formula!$C$33),Formula!$C$33),Formula!$C$32)),1)</f>
        <v>1</v>
      </c>
      <c r="W1813" s="17">
        <f t="shared" si="5"/>
        <v>4.5</v>
      </c>
    </row>
    <row r="1814" ht="15.75" customHeight="1">
      <c r="A1814" s="8" t="s">
        <v>2673</v>
      </c>
      <c r="B1814" s="7" t="s">
        <v>2664</v>
      </c>
      <c r="C1814" s="13" t="s">
        <v>2665</v>
      </c>
      <c r="D1814" s="7" t="s">
        <v>230</v>
      </c>
      <c r="E1814" s="8" t="s">
        <v>72</v>
      </c>
      <c r="F1814" s="8" t="s">
        <v>318</v>
      </c>
      <c r="G1814" s="7" t="s">
        <v>2638</v>
      </c>
      <c r="H1814" s="7" t="s">
        <v>2666</v>
      </c>
      <c r="I1814" s="8">
        <v>2005.0</v>
      </c>
      <c r="J1814" s="8">
        <v>2.4</v>
      </c>
      <c r="K1814" s="8" t="s">
        <v>321</v>
      </c>
      <c r="L1814" s="8" t="s">
        <v>322</v>
      </c>
      <c r="M1814" s="8" t="s">
        <v>838</v>
      </c>
      <c r="N1814" s="8">
        <v>4.1</v>
      </c>
      <c r="O1814" s="14">
        <f t="shared" si="1"/>
        <v>44228</v>
      </c>
      <c r="P1814" s="15">
        <f>IFERROR(VLOOKUP(K1814,Formula!$A$11:$B$20,2,FALSE),Formula!$C$26)</f>
        <v>0.9</v>
      </c>
      <c r="Q1814" s="15">
        <f>IF(AND(ISNUMBER(J1814),J1814&gt;0),1/J1814,IF(AND(ISNUMBER(I1814),I1814&gt;0),SQRT(MIN(I1814,Formula!$C$27))/Formula!$C$24,1/Formula!$C$25))</f>
        <v>0.4166666667</v>
      </c>
      <c r="R1814" s="15">
        <f t="shared" si="2"/>
        <v>0.375</v>
      </c>
      <c r="S1814" s="15">
        <f>IF(H1814&lt;&gt;"",EXP(-Formula!$C$28*(EOMONTH(H1814,0)-H1814)),EXP(-Formula!$C$28*(EOMONTH(D1814,0)-D1814)))</f>
        <v>0.3499377491</v>
      </c>
      <c r="T1814" s="15">
        <f t="shared" si="3"/>
        <v>0.1601281538</v>
      </c>
      <c r="U1814" s="15">
        <f t="shared" si="4"/>
        <v>0.02101308214</v>
      </c>
      <c r="V1814" s="16">
        <f>IF(AND(L1814="Among all respondents",NOT(OR(K1814="Online poll in Telegram channel",K1814="Website online poll",K1814="CAWI (Computer Assisted Web Interviewing)"))),1/(1-MIN(MAX(Formula!$C$33+(YEAR(D1814)-Formula!$C$34)/(Formula!$C$35-Formula!$C$34)*(Formula!$C$32-Formula!$C$33),Formula!$C$33),Formula!$C$32)),1)</f>
        <v>1</v>
      </c>
      <c r="W1814" s="17">
        <f t="shared" si="5"/>
        <v>4.1</v>
      </c>
    </row>
    <row r="1815" ht="15.75" customHeight="1">
      <c r="A1815" s="8" t="s">
        <v>2674</v>
      </c>
      <c r="B1815" s="7" t="s">
        <v>2664</v>
      </c>
      <c r="C1815" s="13" t="s">
        <v>2665</v>
      </c>
      <c r="D1815" s="7" t="s">
        <v>230</v>
      </c>
      <c r="E1815" s="8" t="s">
        <v>72</v>
      </c>
      <c r="F1815" s="8" t="s">
        <v>318</v>
      </c>
      <c r="G1815" s="7" t="s">
        <v>2638</v>
      </c>
      <c r="H1815" s="7" t="s">
        <v>2666</v>
      </c>
      <c r="I1815" s="8">
        <v>2005.0</v>
      </c>
      <c r="J1815" s="8">
        <v>2.4</v>
      </c>
      <c r="K1815" s="8" t="s">
        <v>321</v>
      </c>
      <c r="L1815" s="8" t="s">
        <v>322</v>
      </c>
      <c r="M1815" s="8" t="s">
        <v>333</v>
      </c>
      <c r="N1815" s="8">
        <v>3.3</v>
      </c>
      <c r="O1815" s="14">
        <f t="shared" si="1"/>
        <v>44228</v>
      </c>
      <c r="P1815" s="15">
        <f>IFERROR(VLOOKUP(K1815,Formula!$A$11:$B$20,2,FALSE),Formula!$C$26)</f>
        <v>0.9</v>
      </c>
      <c r="Q1815" s="15">
        <f>IF(AND(ISNUMBER(J1815),J1815&gt;0),1/J1815,IF(AND(ISNUMBER(I1815),I1815&gt;0),SQRT(MIN(I1815,Formula!$C$27))/Formula!$C$24,1/Formula!$C$25))</f>
        <v>0.4166666667</v>
      </c>
      <c r="R1815" s="15">
        <f t="shared" si="2"/>
        <v>0.375</v>
      </c>
      <c r="S1815" s="15">
        <f>IF(H1815&lt;&gt;"",EXP(-Formula!$C$28*(EOMONTH(H1815,0)-H1815)),EXP(-Formula!$C$28*(EOMONTH(D1815,0)-D1815)))</f>
        <v>0.3499377491</v>
      </c>
      <c r="T1815" s="15">
        <f t="shared" si="3"/>
        <v>0.1601281538</v>
      </c>
      <c r="U1815" s="15">
        <f t="shared" si="4"/>
        <v>0.02101308214</v>
      </c>
      <c r="V1815" s="16">
        <f>IF(AND(L1815="Among all respondents",NOT(OR(K1815="Online poll in Telegram channel",K1815="Website online poll",K1815="CAWI (Computer Assisted Web Interviewing)"))),1/(1-MIN(MAX(Formula!$C$33+(YEAR(D1815)-Formula!$C$34)/(Formula!$C$35-Formula!$C$34)*(Formula!$C$32-Formula!$C$33),Formula!$C$33),Formula!$C$32)),1)</f>
        <v>1</v>
      </c>
      <c r="W1815" s="17">
        <f t="shared" si="5"/>
        <v>3.3</v>
      </c>
    </row>
    <row r="1816" ht="15.75" customHeight="1">
      <c r="A1816" s="8" t="s">
        <v>2675</v>
      </c>
      <c r="B1816" s="7" t="s">
        <v>2664</v>
      </c>
      <c r="C1816" s="13" t="s">
        <v>2665</v>
      </c>
      <c r="D1816" s="7" t="s">
        <v>230</v>
      </c>
      <c r="E1816" s="8" t="s">
        <v>72</v>
      </c>
      <c r="F1816" s="8" t="s">
        <v>318</v>
      </c>
      <c r="G1816" s="7" t="s">
        <v>2638</v>
      </c>
      <c r="H1816" s="7" t="s">
        <v>2666</v>
      </c>
      <c r="I1816" s="8">
        <v>2005.0</v>
      </c>
      <c r="J1816" s="8">
        <v>2.4</v>
      </c>
      <c r="K1816" s="8" t="s">
        <v>321</v>
      </c>
      <c r="L1816" s="8" t="s">
        <v>322</v>
      </c>
      <c r="M1816" s="8" t="s">
        <v>343</v>
      </c>
      <c r="N1816" s="8">
        <v>1.9</v>
      </c>
      <c r="O1816" s="14">
        <f t="shared" si="1"/>
        <v>44228</v>
      </c>
      <c r="P1816" s="15">
        <f>IFERROR(VLOOKUP(K1816,Formula!$A$11:$B$20,2,FALSE),Formula!$C$26)</f>
        <v>0.9</v>
      </c>
      <c r="Q1816" s="15">
        <f>IF(AND(ISNUMBER(J1816),J1816&gt;0),1/J1816,IF(AND(ISNUMBER(I1816),I1816&gt;0),SQRT(MIN(I1816,Formula!$C$27))/Formula!$C$24,1/Formula!$C$25))</f>
        <v>0.4166666667</v>
      </c>
      <c r="R1816" s="15">
        <f t="shared" si="2"/>
        <v>0.375</v>
      </c>
      <c r="S1816" s="15">
        <f>IF(H1816&lt;&gt;"",EXP(-Formula!$C$28*(EOMONTH(H1816,0)-H1816)),EXP(-Formula!$C$28*(EOMONTH(D1816,0)-D1816)))</f>
        <v>0.3499377491</v>
      </c>
      <c r="T1816" s="15">
        <f t="shared" si="3"/>
        <v>0.1601281538</v>
      </c>
      <c r="U1816" s="15">
        <f t="shared" si="4"/>
        <v>0.02101308214</v>
      </c>
      <c r="V1816" s="16">
        <f>IF(AND(L1816="Among all respondents",NOT(OR(K1816="Online poll in Telegram channel",K1816="Website online poll",K1816="CAWI (Computer Assisted Web Interviewing)"))),1/(1-MIN(MAX(Formula!$C$33+(YEAR(D1816)-Formula!$C$34)/(Formula!$C$35-Formula!$C$34)*(Formula!$C$32-Formula!$C$33),Formula!$C$33),Formula!$C$32)),1)</f>
        <v>1</v>
      </c>
      <c r="W1816" s="17">
        <f t="shared" si="5"/>
        <v>1.9</v>
      </c>
    </row>
    <row r="1817" ht="15.75" customHeight="1">
      <c r="A1817" s="8" t="s">
        <v>2676</v>
      </c>
      <c r="B1817" s="7" t="s">
        <v>2664</v>
      </c>
      <c r="C1817" s="13" t="s">
        <v>2665</v>
      </c>
      <c r="D1817" s="7" t="s">
        <v>230</v>
      </c>
      <c r="E1817" s="8" t="s">
        <v>72</v>
      </c>
      <c r="F1817" s="8" t="s">
        <v>318</v>
      </c>
      <c r="G1817" s="7" t="s">
        <v>2638</v>
      </c>
      <c r="H1817" s="7" t="s">
        <v>2666</v>
      </c>
      <c r="I1817" s="8">
        <v>2005.0</v>
      </c>
      <c r="J1817" s="8">
        <v>2.4</v>
      </c>
      <c r="K1817" s="8" t="s">
        <v>321</v>
      </c>
      <c r="L1817" s="8" t="s">
        <v>322</v>
      </c>
      <c r="M1817" s="8" t="s">
        <v>345</v>
      </c>
      <c r="N1817" s="8">
        <v>1.7</v>
      </c>
      <c r="O1817" s="14">
        <f t="shared" si="1"/>
        <v>44228</v>
      </c>
      <c r="P1817" s="15">
        <f>IFERROR(VLOOKUP(K1817,Formula!$A$11:$B$20,2,FALSE),Formula!$C$26)</f>
        <v>0.9</v>
      </c>
      <c r="Q1817" s="15">
        <f>IF(AND(ISNUMBER(J1817),J1817&gt;0),1/J1817,IF(AND(ISNUMBER(I1817),I1817&gt;0),SQRT(MIN(I1817,Formula!$C$27))/Formula!$C$24,1/Formula!$C$25))</f>
        <v>0.4166666667</v>
      </c>
      <c r="R1817" s="15">
        <f t="shared" si="2"/>
        <v>0.375</v>
      </c>
      <c r="S1817" s="15">
        <f>IF(H1817&lt;&gt;"",EXP(-Formula!$C$28*(EOMONTH(H1817,0)-H1817)),EXP(-Formula!$C$28*(EOMONTH(D1817,0)-D1817)))</f>
        <v>0.3499377491</v>
      </c>
      <c r="T1817" s="15">
        <f t="shared" si="3"/>
        <v>0.1601281538</v>
      </c>
      <c r="U1817" s="15">
        <f t="shared" si="4"/>
        <v>0.02101308214</v>
      </c>
      <c r="V1817" s="16">
        <f>IF(AND(L1817="Among all respondents",NOT(OR(K1817="Online poll in Telegram channel",K1817="Website online poll",K1817="CAWI (Computer Assisted Web Interviewing)"))),1/(1-MIN(MAX(Formula!$C$33+(YEAR(D1817)-Formula!$C$34)/(Formula!$C$35-Formula!$C$34)*(Formula!$C$32-Formula!$C$33),Formula!$C$33),Formula!$C$32)),1)</f>
        <v>1</v>
      </c>
      <c r="W1817" s="17">
        <f t="shared" si="5"/>
        <v>1.7</v>
      </c>
    </row>
    <row r="1818" ht="15.75" customHeight="1">
      <c r="A1818" s="8" t="s">
        <v>2677</v>
      </c>
      <c r="B1818" s="7" t="s">
        <v>2664</v>
      </c>
      <c r="C1818" s="13" t="s">
        <v>2665</v>
      </c>
      <c r="D1818" s="7" t="s">
        <v>230</v>
      </c>
      <c r="E1818" s="8" t="s">
        <v>72</v>
      </c>
      <c r="F1818" s="8" t="s">
        <v>318</v>
      </c>
      <c r="G1818" s="7" t="s">
        <v>2638</v>
      </c>
      <c r="H1818" s="7" t="s">
        <v>2666</v>
      </c>
      <c r="I1818" s="8">
        <v>2005.0</v>
      </c>
      <c r="J1818" s="8">
        <v>2.4</v>
      </c>
      <c r="K1818" s="8" t="s">
        <v>321</v>
      </c>
      <c r="L1818" s="8" t="s">
        <v>322</v>
      </c>
      <c r="M1818" s="8" t="s">
        <v>2678</v>
      </c>
      <c r="N1818" s="8">
        <v>0.1</v>
      </c>
      <c r="O1818" s="14">
        <f t="shared" si="1"/>
        <v>44228</v>
      </c>
      <c r="P1818" s="15">
        <f>IFERROR(VLOOKUP(K1818,Formula!$A$11:$B$20,2,FALSE),Formula!$C$26)</f>
        <v>0.9</v>
      </c>
      <c r="Q1818" s="15">
        <f>IF(AND(ISNUMBER(J1818),J1818&gt;0),1/J1818,IF(AND(ISNUMBER(I1818),I1818&gt;0),SQRT(MIN(I1818,Formula!$C$27))/Formula!$C$24,1/Formula!$C$25))</f>
        <v>0.4166666667</v>
      </c>
      <c r="R1818" s="15">
        <f t="shared" si="2"/>
        <v>0.375</v>
      </c>
      <c r="S1818" s="15">
        <f>IF(H1818&lt;&gt;"",EXP(-Formula!$C$28*(EOMONTH(H1818,0)-H1818)),EXP(-Formula!$C$28*(EOMONTH(D1818,0)-D1818)))</f>
        <v>0.3499377491</v>
      </c>
      <c r="T1818" s="15">
        <f t="shared" si="3"/>
        <v>0.1601281538</v>
      </c>
      <c r="U1818" s="15">
        <f t="shared" si="4"/>
        <v>0.02101308214</v>
      </c>
      <c r="V1818" s="16">
        <f>IF(AND(L1818="Among all respondents",NOT(OR(K1818="Online poll in Telegram channel",K1818="Website online poll",K1818="CAWI (Computer Assisted Web Interviewing)"))),1/(1-MIN(MAX(Formula!$C$33+(YEAR(D1818)-Formula!$C$34)/(Formula!$C$35-Formula!$C$34)*(Formula!$C$32-Formula!$C$33),Formula!$C$33),Formula!$C$32)),1)</f>
        <v>1</v>
      </c>
      <c r="W1818" s="17">
        <f t="shared" si="5"/>
        <v>0.1</v>
      </c>
    </row>
    <row r="1819" ht="15.75" customHeight="1">
      <c r="A1819" s="8" t="s">
        <v>2679</v>
      </c>
      <c r="B1819" s="7" t="s">
        <v>2680</v>
      </c>
      <c r="C1819" s="13" t="s">
        <v>2681</v>
      </c>
      <c r="D1819" s="7" t="s">
        <v>236</v>
      </c>
      <c r="E1819" s="8" t="s">
        <v>106</v>
      </c>
      <c r="F1819" s="8" t="s">
        <v>318</v>
      </c>
      <c r="G1819" s="7" t="s">
        <v>2682</v>
      </c>
      <c r="H1819" s="7" t="s">
        <v>2683</v>
      </c>
      <c r="I1819" s="8">
        <v>2019.0</v>
      </c>
      <c r="J1819" s="8">
        <v>2.3</v>
      </c>
      <c r="K1819" s="8" t="s">
        <v>583</v>
      </c>
      <c r="L1819" s="8" t="s">
        <v>322</v>
      </c>
      <c r="M1819" s="8" t="s">
        <v>323</v>
      </c>
      <c r="N1819" s="8">
        <v>23.1</v>
      </c>
      <c r="O1819" s="14">
        <f t="shared" si="1"/>
        <v>44228</v>
      </c>
      <c r="P1819" s="15">
        <f>IFERROR(VLOOKUP(K1819,Formula!$A$11:$B$20,2,FALSE),Formula!$C$26)</f>
        <v>0.95</v>
      </c>
      <c r="Q1819" s="15">
        <f>IF(AND(ISNUMBER(J1819),J1819&gt;0),1/J1819,IF(AND(ISNUMBER(I1819),I1819&gt;0),SQRT(MIN(I1819,Formula!$C$27))/Formula!$C$24,1/Formula!$C$25))</f>
        <v>0.4347826087</v>
      </c>
      <c r="R1819" s="15">
        <f t="shared" si="2"/>
        <v>0.4130434783</v>
      </c>
      <c r="S1819" s="15">
        <f>IF(H1819&lt;&gt;"",EXP(-Formula!$C$28*(EOMONTH(H1819,0)-H1819)),EXP(-Formula!$C$28*(EOMONTH(D1819,0)-D1819)))</f>
        <v>0.2865047969</v>
      </c>
      <c r="T1819" s="15">
        <f t="shared" si="3"/>
        <v>0.2886751346</v>
      </c>
      <c r="U1819" s="15">
        <f t="shared" si="4"/>
        <v>0.03416150881</v>
      </c>
      <c r="V1819" s="16">
        <f>IF(AND(L1819="Among all respondents",NOT(OR(K1819="Online poll in Telegram channel",K1819="Website online poll",K1819="CAWI (Computer Assisted Web Interviewing)"))),1/(1-MIN(MAX(Formula!$C$33+(YEAR(D1819)-Formula!$C$34)/(Formula!$C$35-Formula!$C$34)*(Formula!$C$32-Formula!$C$33),Formula!$C$33),Formula!$C$32)),1)</f>
        <v>1</v>
      </c>
      <c r="W1819" s="17">
        <f t="shared" si="5"/>
        <v>23.1</v>
      </c>
    </row>
    <row r="1820" ht="15.75" customHeight="1">
      <c r="A1820" s="8" t="s">
        <v>2684</v>
      </c>
      <c r="B1820" s="7" t="s">
        <v>2680</v>
      </c>
      <c r="C1820" s="13" t="s">
        <v>2681</v>
      </c>
      <c r="D1820" s="7" t="s">
        <v>236</v>
      </c>
      <c r="E1820" s="8" t="s">
        <v>106</v>
      </c>
      <c r="F1820" s="8" t="s">
        <v>318</v>
      </c>
      <c r="G1820" s="7" t="s">
        <v>2682</v>
      </c>
      <c r="H1820" s="7" t="s">
        <v>2683</v>
      </c>
      <c r="I1820" s="8">
        <v>2019.0</v>
      </c>
      <c r="J1820" s="8">
        <v>2.3</v>
      </c>
      <c r="K1820" s="8" t="s">
        <v>583</v>
      </c>
      <c r="L1820" s="8" t="s">
        <v>322</v>
      </c>
      <c r="M1820" s="8" t="s">
        <v>365</v>
      </c>
      <c r="N1820" s="8">
        <v>19.9</v>
      </c>
      <c r="O1820" s="14">
        <f t="shared" si="1"/>
        <v>44228</v>
      </c>
      <c r="P1820" s="15">
        <f>IFERROR(VLOOKUP(K1820,Formula!$A$11:$B$20,2,FALSE),Formula!$C$26)</f>
        <v>0.95</v>
      </c>
      <c r="Q1820" s="15">
        <f>IF(AND(ISNUMBER(J1820),J1820&gt;0),1/J1820,IF(AND(ISNUMBER(I1820),I1820&gt;0),SQRT(MIN(I1820,Formula!$C$27))/Formula!$C$24,1/Formula!$C$25))</f>
        <v>0.4347826087</v>
      </c>
      <c r="R1820" s="15">
        <f t="shared" si="2"/>
        <v>0.4130434783</v>
      </c>
      <c r="S1820" s="15">
        <f>IF(H1820&lt;&gt;"",EXP(-Formula!$C$28*(EOMONTH(H1820,0)-H1820)),EXP(-Formula!$C$28*(EOMONTH(D1820,0)-D1820)))</f>
        <v>0.2865047969</v>
      </c>
      <c r="T1820" s="15">
        <f t="shared" si="3"/>
        <v>0.2886751346</v>
      </c>
      <c r="U1820" s="15">
        <f t="shared" si="4"/>
        <v>0.03416150881</v>
      </c>
      <c r="V1820" s="16">
        <f>IF(AND(L1820="Among all respondents",NOT(OR(K1820="Online poll in Telegram channel",K1820="Website online poll",K1820="CAWI (Computer Assisted Web Interviewing)"))),1/(1-MIN(MAX(Formula!$C$33+(YEAR(D1820)-Formula!$C$34)/(Formula!$C$35-Formula!$C$34)*(Formula!$C$32-Formula!$C$33),Formula!$C$33),Formula!$C$32)),1)</f>
        <v>1</v>
      </c>
      <c r="W1820" s="17">
        <f t="shared" si="5"/>
        <v>19.9</v>
      </c>
    </row>
    <row r="1821" ht="15.75" customHeight="1">
      <c r="A1821" s="8" t="s">
        <v>2685</v>
      </c>
      <c r="B1821" s="7" t="s">
        <v>2680</v>
      </c>
      <c r="C1821" s="13" t="s">
        <v>2681</v>
      </c>
      <c r="D1821" s="7" t="s">
        <v>236</v>
      </c>
      <c r="E1821" s="8" t="s">
        <v>106</v>
      </c>
      <c r="F1821" s="8" t="s">
        <v>318</v>
      </c>
      <c r="G1821" s="7" t="s">
        <v>2682</v>
      </c>
      <c r="H1821" s="7" t="s">
        <v>2683</v>
      </c>
      <c r="I1821" s="8">
        <v>2019.0</v>
      </c>
      <c r="J1821" s="8">
        <v>2.3</v>
      </c>
      <c r="K1821" s="8" t="s">
        <v>583</v>
      </c>
      <c r="L1821" s="8" t="s">
        <v>322</v>
      </c>
      <c r="M1821" s="8" t="s">
        <v>329</v>
      </c>
      <c r="N1821" s="8">
        <v>17.8</v>
      </c>
      <c r="O1821" s="14">
        <f t="shared" si="1"/>
        <v>44228</v>
      </c>
      <c r="P1821" s="15">
        <f>IFERROR(VLOOKUP(K1821,Formula!$A$11:$B$20,2,FALSE),Formula!$C$26)</f>
        <v>0.95</v>
      </c>
      <c r="Q1821" s="15">
        <f>IF(AND(ISNUMBER(J1821),J1821&gt;0),1/J1821,IF(AND(ISNUMBER(I1821),I1821&gt;0),SQRT(MIN(I1821,Formula!$C$27))/Formula!$C$24,1/Formula!$C$25))</f>
        <v>0.4347826087</v>
      </c>
      <c r="R1821" s="15">
        <f t="shared" si="2"/>
        <v>0.4130434783</v>
      </c>
      <c r="S1821" s="15">
        <f>IF(H1821&lt;&gt;"",EXP(-Formula!$C$28*(EOMONTH(H1821,0)-H1821)),EXP(-Formula!$C$28*(EOMONTH(D1821,0)-D1821)))</f>
        <v>0.2865047969</v>
      </c>
      <c r="T1821" s="15">
        <f t="shared" si="3"/>
        <v>0.2886751346</v>
      </c>
      <c r="U1821" s="15">
        <f t="shared" si="4"/>
        <v>0.03416150881</v>
      </c>
      <c r="V1821" s="16">
        <f>IF(AND(L1821="Among all respondents",NOT(OR(K1821="Online poll in Telegram channel",K1821="Website online poll",K1821="CAWI (Computer Assisted Web Interviewing)"))),1/(1-MIN(MAX(Formula!$C$33+(YEAR(D1821)-Formula!$C$34)/(Formula!$C$35-Formula!$C$34)*(Formula!$C$32-Formula!$C$33),Formula!$C$33),Formula!$C$32)),1)</f>
        <v>1</v>
      </c>
      <c r="W1821" s="17">
        <f t="shared" si="5"/>
        <v>17.8</v>
      </c>
    </row>
    <row r="1822" ht="15.75" customHeight="1">
      <c r="A1822" s="8" t="s">
        <v>2686</v>
      </c>
      <c r="B1822" s="7" t="s">
        <v>2680</v>
      </c>
      <c r="C1822" s="13" t="s">
        <v>2681</v>
      </c>
      <c r="D1822" s="7" t="s">
        <v>236</v>
      </c>
      <c r="E1822" s="8" t="s">
        <v>106</v>
      </c>
      <c r="F1822" s="8" t="s">
        <v>318</v>
      </c>
      <c r="G1822" s="7" t="s">
        <v>2682</v>
      </c>
      <c r="H1822" s="7" t="s">
        <v>2683</v>
      </c>
      <c r="I1822" s="8">
        <v>2019.0</v>
      </c>
      <c r="J1822" s="8">
        <v>2.3</v>
      </c>
      <c r="K1822" s="8" t="s">
        <v>583</v>
      </c>
      <c r="L1822" s="8" t="s">
        <v>322</v>
      </c>
      <c r="M1822" s="8" t="s">
        <v>337</v>
      </c>
      <c r="N1822" s="8">
        <v>11.2</v>
      </c>
      <c r="O1822" s="14">
        <f t="shared" si="1"/>
        <v>44228</v>
      </c>
      <c r="P1822" s="15">
        <f>IFERROR(VLOOKUP(K1822,Formula!$A$11:$B$20,2,FALSE),Formula!$C$26)</f>
        <v>0.95</v>
      </c>
      <c r="Q1822" s="15">
        <f>IF(AND(ISNUMBER(J1822),J1822&gt;0),1/J1822,IF(AND(ISNUMBER(I1822),I1822&gt;0),SQRT(MIN(I1822,Formula!$C$27))/Formula!$C$24,1/Formula!$C$25))</f>
        <v>0.4347826087</v>
      </c>
      <c r="R1822" s="15">
        <f t="shared" si="2"/>
        <v>0.4130434783</v>
      </c>
      <c r="S1822" s="15">
        <f>IF(H1822&lt;&gt;"",EXP(-Formula!$C$28*(EOMONTH(H1822,0)-H1822)),EXP(-Formula!$C$28*(EOMONTH(D1822,0)-D1822)))</f>
        <v>0.2865047969</v>
      </c>
      <c r="T1822" s="15">
        <f t="shared" si="3"/>
        <v>0.2886751346</v>
      </c>
      <c r="U1822" s="15">
        <f t="shared" si="4"/>
        <v>0.03416150881</v>
      </c>
      <c r="V1822" s="16">
        <f>IF(AND(L1822="Among all respondents",NOT(OR(K1822="Online poll in Telegram channel",K1822="Website online poll",K1822="CAWI (Computer Assisted Web Interviewing)"))),1/(1-MIN(MAX(Formula!$C$33+(YEAR(D1822)-Formula!$C$34)/(Formula!$C$35-Formula!$C$34)*(Formula!$C$32-Formula!$C$33),Formula!$C$33),Formula!$C$32)),1)</f>
        <v>1</v>
      </c>
      <c r="W1822" s="17">
        <f t="shared" si="5"/>
        <v>11.2</v>
      </c>
    </row>
    <row r="1823" ht="15.75" customHeight="1">
      <c r="A1823" s="8" t="s">
        <v>2687</v>
      </c>
      <c r="B1823" s="7" t="s">
        <v>2680</v>
      </c>
      <c r="C1823" s="13" t="s">
        <v>2681</v>
      </c>
      <c r="D1823" s="7" t="s">
        <v>236</v>
      </c>
      <c r="E1823" s="8" t="s">
        <v>106</v>
      </c>
      <c r="F1823" s="8" t="s">
        <v>318</v>
      </c>
      <c r="G1823" s="7" t="s">
        <v>2682</v>
      </c>
      <c r="H1823" s="7" t="s">
        <v>2683</v>
      </c>
      <c r="I1823" s="8">
        <v>2019.0</v>
      </c>
      <c r="J1823" s="8">
        <v>2.3</v>
      </c>
      <c r="K1823" s="8" t="s">
        <v>583</v>
      </c>
      <c r="L1823" s="8" t="s">
        <v>322</v>
      </c>
      <c r="M1823" s="8" t="s">
        <v>828</v>
      </c>
      <c r="N1823" s="8">
        <v>4.9</v>
      </c>
      <c r="O1823" s="14">
        <f t="shared" si="1"/>
        <v>44228</v>
      </c>
      <c r="P1823" s="15">
        <f>IFERROR(VLOOKUP(K1823,Formula!$A$11:$B$20,2,FALSE),Formula!$C$26)</f>
        <v>0.95</v>
      </c>
      <c r="Q1823" s="15">
        <f>IF(AND(ISNUMBER(J1823),J1823&gt;0),1/J1823,IF(AND(ISNUMBER(I1823),I1823&gt;0),SQRT(MIN(I1823,Formula!$C$27))/Formula!$C$24,1/Formula!$C$25))</f>
        <v>0.4347826087</v>
      </c>
      <c r="R1823" s="15">
        <f t="shared" si="2"/>
        <v>0.4130434783</v>
      </c>
      <c r="S1823" s="15">
        <f>IF(H1823&lt;&gt;"",EXP(-Formula!$C$28*(EOMONTH(H1823,0)-H1823)),EXP(-Formula!$C$28*(EOMONTH(D1823,0)-D1823)))</f>
        <v>0.2865047969</v>
      </c>
      <c r="T1823" s="15">
        <f t="shared" si="3"/>
        <v>0.2886751346</v>
      </c>
      <c r="U1823" s="15">
        <f t="shared" si="4"/>
        <v>0.03416150881</v>
      </c>
      <c r="V1823" s="16">
        <f>IF(AND(L1823="Among all respondents",NOT(OR(K1823="Online poll in Telegram channel",K1823="Website online poll",K1823="CAWI (Computer Assisted Web Interviewing)"))),1/(1-MIN(MAX(Formula!$C$33+(YEAR(D1823)-Formula!$C$34)/(Formula!$C$35-Formula!$C$34)*(Formula!$C$32-Formula!$C$33),Formula!$C$33),Formula!$C$32)),1)</f>
        <v>1</v>
      </c>
      <c r="W1823" s="17">
        <f t="shared" si="5"/>
        <v>4.9</v>
      </c>
    </row>
    <row r="1824" ht="15.75" customHeight="1">
      <c r="A1824" s="8" t="s">
        <v>2688</v>
      </c>
      <c r="B1824" s="7" t="s">
        <v>2680</v>
      </c>
      <c r="C1824" s="13" t="s">
        <v>2681</v>
      </c>
      <c r="D1824" s="7" t="s">
        <v>236</v>
      </c>
      <c r="E1824" s="8" t="s">
        <v>106</v>
      </c>
      <c r="F1824" s="8" t="s">
        <v>318</v>
      </c>
      <c r="G1824" s="7" t="s">
        <v>2682</v>
      </c>
      <c r="H1824" s="7" t="s">
        <v>2683</v>
      </c>
      <c r="I1824" s="8">
        <v>2019.0</v>
      </c>
      <c r="J1824" s="8">
        <v>2.3</v>
      </c>
      <c r="K1824" s="8" t="s">
        <v>583</v>
      </c>
      <c r="L1824" s="8" t="s">
        <v>322</v>
      </c>
      <c r="M1824" s="8" t="s">
        <v>838</v>
      </c>
      <c r="N1824" s="8">
        <v>3.4</v>
      </c>
      <c r="O1824" s="14">
        <f t="shared" si="1"/>
        <v>44228</v>
      </c>
      <c r="P1824" s="15">
        <f>IFERROR(VLOOKUP(K1824,Formula!$A$11:$B$20,2,FALSE),Formula!$C$26)</f>
        <v>0.95</v>
      </c>
      <c r="Q1824" s="15">
        <f>IF(AND(ISNUMBER(J1824),J1824&gt;0),1/J1824,IF(AND(ISNUMBER(I1824),I1824&gt;0),SQRT(MIN(I1824,Formula!$C$27))/Formula!$C$24,1/Formula!$C$25))</f>
        <v>0.4347826087</v>
      </c>
      <c r="R1824" s="15">
        <f t="shared" si="2"/>
        <v>0.4130434783</v>
      </c>
      <c r="S1824" s="15">
        <f>IF(H1824&lt;&gt;"",EXP(-Formula!$C$28*(EOMONTH(H1824,0)-H1824)),EXP(-Formula!$C$28*(EOMONTH(D1824,0)-D1824)))</f>
        <v>0.2865047969</v>
      </c>
      <c r="T1824" s="15">
        <f t="shared" si="3"/>
        <v>0.2886751346</v>
      </c>
      <c r="U1824" s="15">
        <f t="shared" si="4"/>
        <v>0.03416150881</v>
      </c>
      <c r="V1824" s="16">
        <f>IF(AND(L1824="Among all respondents",NOT(OR(K1824="Online poll in Telegram channel",K1824="Website online poll",K1824="CAWI (Computer Assisted Web Interviewing)"))),1/(1-MIN(MAX(Formula!$C$33+(YEAR(D1824)-Formula!$C$34)/(Formula!$C$35-Formula!$C$34)*(Formula!$C$32-Formula!$C$33),Formula!$C$33),Formula!$C$32)),1)</f>
        <v>1</v>
      </c>
      <c r="W1824" s="17">
        <f t="shared" si="5"/>
        <v>3.4</v>
      </c>
    </row>
    <row r="1825" ht="15.75" customHeight="1">
      <c r="A1825" s="8" t="s">
        <v>2689</v>
      </c>
      <c r="B1825" s="7" t="s">
        <v>2680</v>
      </c>
      <c r="C1825" s="13" t="s">
        <v>2681</v>
      </c>
      <c r="D1825" s="7" t="s">
        <v>236</v>
      </c>
      <c r="E1825" s="8" t="s">
        <v>106</v>
      </c>
      <c r="F1825" s="8" t="s">
        <v>318</v>
      </c>
      <c r="G1825" s="7" t="s">
        <v>2682</v>
      </c>
      <c r="H1825" s="7" t="s">
        <v>2683</v>
      </c>
      <c r="I1825" s="8">
        <v>2019.0</v>
      </c>
      <c r="J1825" s="8">
        <v>2.3</v>
      </c>
      <c r="K1825" s="8" t="s">
        <v>583</v>
      </c>
      <c r="L1825" s="8" t="s">
        <v>322</v>
      </c>
      <c r="M1825" s="8" t="s">
        <v>386</v>
      </c>
      <c r="N1825" s="8">
        <v>3.1</v>
      </c>
      <c r="O1825" s="14">
        <f t="shared" si="1"/>
        <v>44228</v>
      </c>
      <c r="P1825" s="15">
        <f>IFERROR(VLOOKUP(K1825,Formula!$A$11:$B$20,2,FALSE),Formula!$C$26)</f>
        <v>0.95</v>
      </c>
      <c r="Q1825" s="15">
        <f>IF(AND(ISNUMBER(J1825),J1825&gt;0),1/J1825,IF(AND(ISNUMBER(I1825),I1825&gt;0),SQRT(MIN(I1825,Formula!$C$27))/Formula!$C$24,1/Formula!$C$25))</f>
        <v>0.4347826087</v>
      </c>
      <c r="R1825" s="15">
        <f t="shared" si="2"/>
        <v>0.4130434783</v>
      </c>
      <c r="S1825" s="15">
        <f>IF(H1825&lt;&gt;"",EXP(-Formula!$C$28*(EOMONTH(H1825,0)-H1825)),EXP(-Formula!$C$28*(EOMONTH(D1825,0)-D1825)))</f>
        <v>0.2865047969</v>
      </c>
      <c r="T1825" s="15">
        <f t="shared" si="3"/>
        <v>0.2886751346</v>
      </c>
      <c r="U1825" s="15">
        <f t="shared" si="4"/>
        <v>0.03416150881</v>
      </c>
      <c r="V1825" s="16">
        <f>IF(AND(L1825="Among all respondents",NOT(OR(K1825="Online poll in Telegram channel",K1825="Website online poll",K1825="CAWI (Computer Assisted Web Interviewing)"))),1/(1-MIN(MAX(Formula!$C$33+(YEAR(D1825)-Formula!$C$34)/(Formula!$C$35-Formula!$C$34)*(Formula!$C$32-Formula!$C$33),Formula!$C$33),Formula!$C$32)),1)</f>
        <v>1</v>
      </c>
      <c r="W1825" s="17">
        <f t="shared" si="5"/>
        <v>3.1</v>
      </c>
    </row>
    <row r="1826" ht="15.75" customHeight="1">
      <c r="A1826" s="8" t="s">
        <v>2690</v>
      </c>
      <c r="B1826" s="7" t="s">
        <v>2680</v>
      </c>
      <c r="C1826" s="13" t="s">
        <v>2681</v>
      </c>
      <c r="D1826" s="7" t="s">
        <v>236</v>
      </c>
      <c r="E1826" s="8" t="s">
        <v>106</v>
      </c>
      <c r="F1826" s="8" t="s">
        <v>318</v>
      </c>
      <c r="G1826" s="7" t="s">
        <v>2682</v>
      </c>
      <c r="H1826" s="7" t="s">
        <v>2683</v>
      </c>
      <c r="I1826" s="8">
        <v>2019.0</v>
      </c>
      <c r="J1826" s="8">
        <v>2.3</v>
      </c>
      <c r="K1826" s="8" t="s">
        <v>583</v>
      </c>
      <c r="L1826" s="8" t="s">
        <v>322</v>
      </c>
      <c r="M1826" s="8" t="s">
        <v>388</v>
      </c>
      <c r="N1826" s="8">
        <v>2.8</v>
      </c>
      <c r="O1826" s="14">
        <f t="shared" si="1"/>
        <v>44228</v>
      </c>
      <c r="P1826" s="15">
        <f>IFERROR(VLOOKUP(K1826,Formula!$A$11:$B$20,2,FALSE),Formula!$C$26)</f>
        <v>0.95</v>
      </c>
      <c r="Q1826" s="15">
        <f>IF(AND(ISNUMBER(J1826),J1826&gt;0),1/J1826,IF(AND(ISNUMBER(I1826),I1826&gt;0),SQRT(MIN(I1826,Formula!$C$27))/Formula!$C$24,1/Formula!$C$25))</f>
        <v>0.4347826087</v>
      </c>
      <c r="R1826" s="15">
        <f t="shared" si="2"/>
        <v>0.4130434783</v>
      </c>
      <c r="S1826" s="15">
        <f>IF(H1826&lt;&gt;"",EXP(-Formula!$C$28*(EOMONTH(H1826,0)-H1826)),EXP(-Formula!$C$28*(EOMONTH(D1826,0)-D1826)))</f>
        <v>0.2865047969</v>
      </c>
      <c r="T1826" s="15">
        <f t="shared" si="3"/>
        <v>0.2886751346</v>
      </c>
      <c r="U1826" s="15">
        <f t="shared" si="4"/>
        <v>0.03416150881</v>
      </c>
      <c r="V1826" s="16">
        <f>IF(AND(L1826="Among all respondents",NOT(OR(K1826="Online poll in Telegram channel",K1826="Website online poll",K1826="CAWI (Computer Assisted Web Interviewing)"))),1/(1-MIN(MAX(Formula!$C$33+(YEAR(D1826)-Formula!$C$34)/(Formula!$C$35-Formula!$C$34)*(Formula!$C$32-Formula!$C$33),Formula!$C$33),Formula!$C$32)),1)</f>
        <v>1</v>
      </c>
      <c r="W1826" s="17">
        <f t="shared" si="5"/>
        <v>2.8</v>
      </c>
    </row>
    <row r="1827" ht="15.75" customHeight="1">
      <c r="A1827" s="8" t="s">
        <v>2691</v>
      </c>
      <c r="B1827" s="7" t="s">
        <v>2680</v>
      </c>
      <c r="C1827" s="13" t="s">
        <v>2681</v>
      </c>
      <c r="D1827" s="7" t="s">
        <v>236</v>
      </c>
      <c r="E1827" s="8" t="s">
        <v>106</v>
      </c>
      <c r="F1827" s="8" t="s">
        <v>318</v>
      </c>
      <c r="G1827" s="7" t="s">
        <v>2682</v>
      </c>
      <c r="H1827" s="7" t="s">
        <v>2683</v>
      </c>
      <c r="I1827" s="8">
        <v>2019.0</v>
      </c>
      <c r="J1827" s="8">
        <v>2.3</v>
      </c>
      <c r="K1827" s="8" t="s">
        <v>583</v>
      </c>
      <c r="L1827" s="8" t="s">
        <v>322</v>
      </c>
      <c r="M1827" s="8" t="s">
        <v>333</v>
      </c>
      <c r="N1827" s="8">
        <v>2.1</v>
      </c>
      <c r="O1827" s="14">
        <f t="shared" si="1"/>
        <v>44228</v>
      </c>
      <c r="P1827" s="15">
        <f>IFERROR(VLOOKUP(K1827,Formula!$A$11:$B$20,2,FALSE),Formula!$C$26)</f>
        <v>0.95</v>
      </c>
      <c r="Q1827" s="15">
        <f>IF(AND(ISNUMBER(J1827),J1827&gt;0),1/J1827,IF(AND(ISNUMBER(I1827),I1827&gt;0),SQRT(MIN(I1827,Formula!$C$27))/Formula!$C$24,1/Formula!$C$25))</f>
        <v>0.4347826087</v>
      </c>
      <c r="R1827" s="15">
        <f t="shared" si="2"/>
        <v>0.4130434783</v>
      </c>
      <c r="S1827" s="15">
        <f>IF(H1827&lt;&gt;"",EXP(-Formula!$C$28*(EOMONTH(H1827,0)-H1827)),EXP(-Formula!$C$28*(EOMONTH(D1827,0)-D1827)))</f>
        <v>0.2865047969</v>
      </c>
      <c r="T1827" s="15">
        <f t="shared" si="3"/>
        <v>0.2886751346</v>
      </c>
      <c r="U1827" s="15">
        <f t="shared" si="4"/>
        <v>0.03416150881</v>
      </c>
      <c r="V1827" s="16">
        <f>IF(AND(L1827="Among all respondents",NOT(OR(K1827="Online poll in Telegram channel",K1827="Website online poll",K1827="CAWI (Computer Assisted Web Interviewing)"))),1/(1-MIN(MAX(Formula!$C$33+(YEAR(D1827)-Formula!$C$34)/(Formula!$C$35-Formula!$C$34)*(Formula!$C$32-Formula!$C$33),Formula!$C$33),Formula!$C$32)),1)</f>
        <v>1</v>
      </c>
      <c r="W1827" s="17">
        <f t="shared" si="5"/>
        <v>2.1</v>
      </c>
    </row>
    <row r="1828" ht="15.75" customHeight="1">
      <c r="A1828" s="8" t="s">
        <v>2692</v>
      </c>
      <c r="B1828" s="7" t="s">
        <v>2680</v>
      </c>
      <c r="C1828" s="13" t="s">
        <v>2681</v>
      </c>
      <c r="D1828" s="7" t="s">
        <v>236</v>
      </c>
      <c r="E1828" s="8" t="s">
        <v>106</v>
      </c>
      <c r="F1828" s="8" t="s">
        <v>318</v>
      </c>
      <c r="G1828" s="7" t="s">
        <v>2682</v>
      </c>
      <c r="H1828" s="7" t="s">
        <v>2683</v>
      </c>
      <c r="I1828" s="8">
        <v>2019.0</v>
      </c>
      <c r="J1828" s="8">
        <v>2.3</v>
      </c>
      <c r="K1828" s="8" t="s">
        <v>583</v>
      </c>
      <c r="L1828" s="8" t="s">
        <v>322</v>
      </c>
      <c r="M1828" s="8" t="s">
        <v>1398</v>
      </c>
      <c r="N1828" s="8">
        <v>1.6</v>
      </c>
      <c r="O1828" s="14">
        <f t="shared" si="1"/>
        <v>44228</v>
      </c>
      <c r="P1828" s="15">
        <f>IFERROR(VLOOKUP(K1828,Formula!$A$11:$B$20,2,FALSE),Formula!$C$26)</f>
        <v>0.95</v>
      </c>
      <c r="Q1828" s="15">
        <f>IF(AND(ISNUMBER(J1828),J1828&gt;0),1/J1828,IF(AND(ISNUMBER(I1828),I1828&gt;0),SQRT(MIN(I1828,Formula!$C$27))/Formula!$C$24,1/Formula!$C$25))</f>
        <v>0.4347826087</v>
      </c>
      <c r="R1828" s="15">
        <f t="shared" si="2"/>
        <v>0.4130434783</v>
      </c>
      <c r="S1828" s="15">
        <f>IF(H1828&lt;&gt;"",EXP(-Formula!$C$28*(EOMONTH(H1828,0)-H1828)),EXP(-Formula!$C$28*(EOMONTH(D1828,0)-D1828)))</f>
        <v>0.2865047969</v>
      </c>
      <c r="T1828" s="15">
        <f t="shared" si="3"/>
        <v>0.2886751346</v>
      </c>
      <c r="U1828" s="15">
        <f t="shared" si="4"/>
        <v>0.03416150881</v>
      </c>
      <c r="V1828" s="16">
        <f>IF(AND(L1828="Among all respondents",NOT(OR(K1828="Online poll in Telegram channel",K1828="Website online poll",K1828="CAWI (Computer Assisted Web Interviewing)"))),1/(1-MIN(MAX(Formula!$C$33+(YEAR(D1828)-Formula!$C$34)/(Formula!$C$35-Formula!$C$34)*(Formula!$C$32-Formula!$C$33),Formula!$C$33),Formula!$C$32)),1)</f>
        <v>1</v>
      </c>
      <c r="W1828" s="17">
        <f t="shared" si="5"/>
        <v>1.6</v>
      </c>
    </row>
    <row r="1829" ht="15.75" customHeight="1">
      <c r="A1829" s="8" t="s">
        <v>2693</v>
      </c>
      <c r="B1829" s="7" t="s">
        <v>2680</v>
      </c>
      <c r="C1829" s="13" t="s">
        <v>2681</v>
      </c>
      <c r="D1829" s="7" t="s">
        <v>236</v>
      </c>
      <c r="E1829" s="8" t="s">
        <v>106</v>
      </c>
      <c r="F1829" s="8" t="s">
        <v>318</v>
      </c>
      <c r="G1829" s="7" t="s">
        <v>2682</v>
      </c>
      <c r="H1829" s="7" t="s">
        <v>2683</v>
      </c>
      <c r="I1829" s="8">
        <v>2019.0</v>
      </c>
      <c r="J1829" s="8">
        <v>2.3</v>
      </c>
      <c r="K1829" s="8" t="s">
        <v>583</v>
      </c>
      <c r="L1829" s="8" t="s">
        <v>322</v>
      </c>
      <c r="M1829" s="8" t="s">
        <v>345</v>
      </c>
      <c r="N1829" s="8">
        <v>1.5</v>
      </c>
      <c r="O1829" s="14">
        <f t="shared" si="1"/>
        <v>44228</v>
      </c>
      <c r="P1829" s="15">
        <f>IFERROR(VLOOKUP(K1829,Formula!$A$11:$B$20,2,FALSE),Formula!$C$26)</f>
        <v>0.95</v>
      </c>
      <c r="Q1829" s="15">
        <f>IF(AND(ISNUMBER(J1829),J1829&gt;0),1/J1829,IF(AND(ISNUMBER(I1829),I1829&gt;0),SQRT(MIN(I1829,Formula!$C$27))/Formula!$C$24,1/Formula!$C$25))</f>
        <v>0.4347826087</v>
      </c>
      <c r="R1829" s="15">
        <f t="shared" si="2"/>
        <v>0.4130434783</v>
      </c>
      <c r="S1829" s="15">
        <f>IF(H1829&lt;&gt;"",EXP(-Formula!$C$28*(EOMONTH(H1829,0)-H1829)),EXP(-Formula!$C$28*(EOMONTH(D1829,0)-D1829)))</f>
        <v>0.2865047969</v>
      </c>
      <c r="T1829" s="15">
        <f t="shared" si="3"/>
        <v>0.2886751346</v>
      </c>
      <c r="U1829" s="15">
        <f t="shared" si="4"/>
        <v>0.03416150881</v>
      </c>
      <c r="V1829" s="16">
        <f>IF(AND(L1829="Among all respondents",NOT(OR(K1829="Online poll in Telegram channel",K1829="Website online poll",K1829="CAWI (Computer Assisted Web Interviewing)"))),1/(1-MIN(MAX(Formula!$C$33+(YEAR(D1829)-Formula!$C$34)/(Formula!$C$35-Formula!$C$34)*(Formula!$C$32-Formula!$C$33),Formula!$C$33),Formula!$C$32)),1)</f>
        <v>1</v>
      </c>
      <c r="W1829" s="17">
        <f t="shared" si="5"/>
        <v>1.5</v>
      </c>
    </row>
    <row r="1830" ht="15.75" customHeight="1">
      <c r="A1830" s="8" t="s">
        <v>2694</v>
      </c>
      <c r="B1830" s="7" t="s">
        <v>2680</v>
      </c>
      <c r="C1830" s="13" t="s">
        <v>2681</v>
      </c>
      <c r="D1830" s="7" t="s">
        <v>236</v>
      </c>
      <c r="E1830" s="8" t="s">
        <v>106</v>
      </c>
      <c r="F1830" s="8" t="s">
        <v>318</v>
      </c>
      <c r="G1830" s="7" t="s">
        <v>2682</v>
      </c>
      <c r="H1830" s="7" t="s">
        <v>2683</v>
      </c>
      <c r="I1830" s="8">
        <v>2019.0</v>
      </c>
      <c r="J1830" s="8">
        <v>2.3</v>
      </c>
      <c r="K1830" s="8" t="s">
        <v>583</v>
      </c>
      <c r="L1830" s="8" t="s">
        <v>322</v>
      </c>
      <c r="M1830" s="8" t="s">
        <v>343</v>
      </c>
      <c r="N1830" s="8">
        <v>1.2</v>
      </c>
      <c r="O1830" s="14">
        <f t="shared" si="1"/>
        <v>44228</v>
      </c>
      <c r="P1830" s="15">
        <f>IFERROR(VLOOKUP(K1830,Formula!$A$11:$B$20,2,FALSE),Formula!$C$26)</f>
        <v>0.95</v>
      </c>
      <c r="Q1830" s="15">
        <f>IF(AND(ISNUMBER(J1830),J1830&gt;0),1/J1830,IF(AND(ISNUMBER(I1830),I1830&gt;0),SQRT(MIN(I1830,Formula!$C$27))/Formula!$C$24,1/Formula!$C$25))</f>
        <v>0.4347826087</v>
      </c>
      <c r="R1830" s="15">
        <f t="shared" si="2"/>
        <v>0.4130434783</v>
      </c>
      <c r="S1830" s="15">
        <f>IF(H1830&lt;&gt;"",EXP(-Formula!$C$28*(EOMONTH(H1830,0)-H1830)),EXP(-Formula!$C$28*(EOMONTH(D1830,0)-D1830)))</f>
        <v>0.2865047969</v>
      </c>
      <c r="T1830" s="15">
        <f t="shared" si="3"/>
        <v>0.2886751346</v>
      </c>
      <c r="U1830" s="15">
        <f t="shared" si="4"/>
        <v>0.03416150881</v>
      </c>
      <c r="V1830" s="16">
        <f>IF(AND(L1830="Among all respondents",NOT(OR(K1830="Online poll in Telegram channel",K1830="Website online poll",K1830="CAWI (Computer Assisted Web Interviewing)"))),1/(1-MIN(MAX(Formula!$C$33+(YEAR(D1830)-Formula!$C$34)/(Formula!$C$35-Formula!$C$34)*(Formula!$C$32-Formula!$C$33),Formula!$C$33),Formula!$C$32)),1)</f>
        <v>1</v>
      </c>
      <c r="W1830" s="17">
        <f t="shared" si="5"/>
        <v>1.2</v>
      </c>
    </row>
    <row r="1831" ht="15.75" customHeight="1">
      <c r="A1831" s="8" t="s">
        <v>2695</v>
      </c>
      <c r="B1831" s="7" t="s">
        <v>2696</v>
      </c>
      <c r="C1831" s="13" t="s">
        <v>2697</v>
      </c>
      <c r="D1831" s="7" t="s">
        <v>232</v>
      </c>
      <c r="E1831" s="8" t="s">
        <v>233</v>
      </c>
      <c r="F1831" s="8" t="s">
        <v>318</v>
      </c>
      <c r="G1831" s="7" t="s">
        <v>2698</v>
      </c>
      <c r="H1831" s="7" t="s">
        <v>2683</v>
      </c>
      <c r="I1831" s="8">
        <v>1600.0</v>
      </c>
      <c r="J1831" s="8">
        <v>2.5</v>
      </c>
      <c r="K1831" s="8" t="s">
        <v>583</v>
      </c>
      <c r="L1831" s="8" t="s">
        <v>970</v>
      </c>
      <c r="M1831" s="8" t="s">
        <v>323</v>
      </c>
      <c r="N1831" s="8">
        <v>18.4</v>
      </c>
      <c r="O1831" s="14">
        <f t="shared" si="1"/>
        <v>44228</v>
      </c>
      <c r="P1831" s="15">
        <f>IFERROR(VLOOKUP(K1831,Formula!$A$11:$B$20,2,FALSE),Formula!$C$26)</f>
        <v>0.95</v>
      </c>
      <c r="Q1831" s="15">
        <f>IF(AND(ISNUMBER(J1831),J1831&gt;0),1/J1831,IF(AND(ISNUMBER(I1831),I1831&gt;0),SQRT(MIN(I1831,Formula!$C$27))/Formula!$C$24,1/Formula!$C$25))</f>
        <v>0.4</v>
      </c>
      <c r="R1831" s="15">
        <f t="shared" si="2"/>
        <v>0.38</v>
      </c>
      <c r="S1831" s="15">
        <f>IF(H1831&lt;&gt;"",EXP(-Formula!$C$28*(EOMONTH(H1831,0)-H1831)),EXP(-Formula!$C$28*(EOMONTH(D1831,0)-D1831)))</f>
        <v>0.2865047969</v>
      </c>
      <c r="T1831" s="15">
        <f t="shared" si="3"/>
        <v>0.2773500981</v>
      </c>
      <c r="U1831" s="15">
        <f t="shared" si="4"/>
        <v>0.03019561074</v>
      </c>
      <c r="V1831" s="16">
        <f>IF(AND(L1831="Among all respondents",NOT(OR(K1831="Online poll in Telegram channel",K1831="Website online poll",K1831="CAWI (Computer Assisted Web Interviewing)"))),1/(1-MIN(MAX(Formula!$C$33+(YEAR(D1831)-Formula!$C$34)/(Formula!$C$35-Formula!$C$34)*(Formula!$C$32-Formula!$C$33),Formula!$C$33),Formula!$C$32)),1)</f>
        <v>1</v>
      </c>
      <c r="W1831" s="17">
        <f t="shared" si="5"/>
        <v>18.4</v>
      </c>
    </row>
    <row r="1832" ht="15.75" customHeight="1">
      <c r="A1832" s="8" t="s">
        <v>2699</v>
      </c>
      <c r="B1832" s="7" t="s">
        <v>2696</v>
      </c>
      <c r="C1832" s="13" t="s">
        <v>2697</v>
      </c>
      <c r="D1832" s="7" t="s">
        <v>232</v>
      </c>
      <c r="E1832" s="8" t="s">
        <v>233</v>
      </c>
      <c r="F1832" s="8" t="s">
        <v>318</v>
      </c>
      <c r="G1832" s="7" t="s">
        <v>2698</v>
      </c>
      <c r="H1832" s="7" t="s">
        <v>2683</v>
      </c>
      <c r="I1832" s="8">
        <v>1600.0</v>
      </c>
      <c r="J1832" s="8">
        <v>2.5</v>
      </c>
      <c r="K1832" s="8" t="s">
        <v>583</v>
      </c>
      <c r="L1832" s="8" t="s">
        <v>970</v>
      </c>
      <c r="M1832" s="8" t="s">
        <v>365</v>
      </c>
      <c r="N1832" s="8">
        <v>15.5</v>
      </c>
      <c r="O1832" s="14">
        <f t="shared" si="1"/>
        <v>44228</v>
      </c>
      <c r="P1832" s="15">
        <f>IFERROR(VLOOKUP(K1832,Formula!$A$11:$B$20,2,FALSE),Formula!$C$26)</f>
        <v>0.95</v>
      </c>
      <c r="Q1832" s="15">
        <f>IF(AND(ISNUMBER(J1832),J1832&gt;0),1/J1832,IF(AND(ISNUMBER(I1832),I1832&gt;0),SQRT(MIN(I1832,Formula!$C$27))/Formula!$C$24,1/Formula!$C$25))</f>
        <v>0.4</v>
      </c>
      <c r="R1832" s="15">
        <f t="shared" si="2"/>
        <v>0.38</v>
      </c>
      <c r="S1832" s="15">
        <f>IF(H1832&lt;&gt;"",EXP(-Formula!$C$28*(EOMONTH(H1832,0)-H1832)),EXP(-Formula!$C$28*(EOMONTH(D1832,0)-D1832)))</f>
        <v>0.2865047969</v>
      </c>
      <c r="T1832" s="15">
        <f t="shared" si="3"/>
        <v>0.2773500981</v>
      </c>
      <c r="U1832" s="15">
        <f t="shared" si="4"/>
        <v>0.03019561074</v>
      </c>
      <c r="V1832" s="16">
        <f>IF(AND(L1832="Among all respondents",NOT(OR(K1832="Online poll in Telegram channel",K1832="Website online poll",K1832="CAWI (Computer Assisted Web Interviewing)"))),1/(1-MIN(MAX(Formula!$C$33+(YEAR(D1832)-Formula!$C$34)/(Formula!$C$35-Formula!$C$34)*(Formula!$C$32-Formula!$C$33),Formula!$C$33),Formula!$C$32)),1)</f>
        <v>1</v>
      </c>
      <c r="W1832" s="17">
        <f t="shared" si="5"/>
        <v>15.5</v>
      </c>
    </row>
    <row r="1833" ht="15.75" customHeight="1">
      <c r="A1833" s="8" t="s">
        <v>2700</v>
      </c>
      <c r="B1833" s="7" t="s">
        <v>2696</v>
      </c>
      <c r="C1833" s="13" t="s">
        <v>2697</v>
      </c>
      <c r="D1833" s="7" t="s">
        <v>232</v>
      </c>
      <c r="E1833" s="8" t="s">
        <v>233</v>
      </c>
      <c r="F1833" s="8" t="s">
        <v>318</v>
      </c>
      <c r="G1833" s="7" t="s">
        <v>2698</v>
      </c>
      <c r="H1833" s="7" t="s">
        <v>2683</v>
      </c>
      <c r="I1833" s="8">
        <v>1600.0</v>
      </c>
      <c r="J1833" s="8">
        <v>2.5</v>
      </c>
      <c r="K1833" s="8" t="s">
        <v>583</v>
      </c>
      <c r="L1833" s="8" t="s">
        <v>970</v>
      </c>
      <c r="M1833" s="8" t="s">
        <v>329</v>
      </c>
      <c r="N1833" s="8">
        <v>12.9</v>
      </c>
      <c r="O1833" s="14">
        <f t="shared" si="1"/>
        <v>44228</v>
      </c>
      <c r="P1833" s="15">
        <f>IFERROR(VLOOKUP(K1833,Formula!$A$11:$B$20,2,FALSE),Formula!$C$26)</f>
        <v>0.95</v>
      </c>
      <c r="Q1833" s="15">
        <f>IF(AND(ISNUMBER(J1833),J1833&gt;0),1/J1833,IF(AND(ISNUMBER(I1833),I1833&gt;0),SQRT(MIN(I1833,Formula!$C$27))/Formula!$C$24,1/Formula!$C$25))</f>
        <v>0.4</v>
      </c>
      <c r="R1833" s="15">
        <f t="shared" si="2"/>
        <v>0.38</v>
      </c>
      <c r="S1833" s="15">
        <f>IF(H1833&lt;&gt;"",EXP(-Formula!$C$28*(EOMONTH(H1833,0)-H1833)),EXP(-Formula!$C$28*(EOMONTH(D1833,0)-D1833)))</f>
        <v>0.2865047969</v>
      </c>
      <c r="T1833" s="15">
        <f t="shared" si="3"/>
        <v>0.2773500981</v>
      </c>
      <c r="U1833" s="15">
        <f t="shared" si="4"/>
        <v>0.03019561074</v>
      </c>
      <c r="V1833" s="16">
        <f>IF(AND(L1833="Among all respondents",NOT(OR(K1833="Online poll in Telegram channel",K1833="Website online poll",K1833="CAWI (Computer Assisted Web Interviewing)"))),1/(1-MIN(MAX(Formula!$C$33+(YEAR(D1833)-Formula!$C$34)/(Formula!$C$35-Formula!$C$34)*(Formula!$C$32-Formula!$C$33),Formula!$C$33),Formula!$C$32)),1)</f>
        <v>1</v>
      </c>
      <c r="W1833" s="17">
        <f t="shared" si="5"/>
        <v>12.9</v>
      </c>
    </row>
    <row r="1834" ht="15.75" customHeight="1">
      <c r="A1834" s="8" t="s">
        <v>2701</v>
      </c>
      <c r="B1834" s="7" t="s">
        <v>2696</v>
      </c>
      <c r="C1834" s="13" t="s">
        <v>2697</v>
      </c>
      <c r="D1834" s="7" t="s">
        <v>232</v>
      </c>
      <c r="E1834" s="8" t="s">
        <v>233</v>
      </c>
      <c r="F1834" s="8" t="s">
        <v>318</v>
      </c>
      <c r="G1834" s="7" t="s">
        <v>2698</v>
      </c>
      <c r="H1834" s="7" t="s">
        <v>2683</v>
      </c>
      <c r="I1834" s="8">
        <v>1600.0</v>
      </c>
      <c r="J1834" s="8">
        <v>2.5</v>
      </c>
      <c r="K1834" s="8" t="s">
        <v>583</v>
      </c>
      <c r="L1834" s="8" t="s">
        <v>970</v>
      </c>
      <c r="M1834" s="8" t="s">
        <v>337</v>
      </c>
      <c r="N1834" s="8">
        <v>9.0</v>
      </c>
      <c r="O1834" s="14">
        <f t="shared" si="1"/>
        <v>44228</v>
      </c>
      <c r="P1834" s="15">
        <f>IFERROR(VLOOKUP(K1834,Formula!$A$11:$B$20,2,FALSE),Formula!$C$26)</f>
        <v>0.95</v>
      </c>
      <c r="Q1834" s="15">
        <f>IF(AND(ISNUMBER(J1834),J1834&gt;0),1/J1834,IF(AND(ISNUMBER(I1834),I1834&gt;0),SQRT(MIN(I1834,Formula!$C$27))/Formula!$C$24,1/Formula!$C$25))</f>
        <v>0.4</v>
      </c>
      <c r="R1834" s="15">
        <f t="shared" si="2"/>
        <v>0.38</v>
      </c>
      <c r="S1834" s="15">
        <f>IF(H1834&lt;&gt;"",EXP(-Formula!$C$28*(EOMONTH(H1834,0)-H1834)),EXP(-Formula!$C$28*(EOMONTH(D1834,0)-D1834)))</f>
        <v>0.2865047969</v>
      </c>
      <c r="T1834" s="15">
        <f t="shared" si="3"/>
        <v>0.2773500981</v>
      </c>
      <c r="U1834" s="15">
        <f t="shared" si="4"/>
        <v>0.03019561074</v>
      </c>
      <c r="V1834" s="16">
        <f>IF(AND(L1834="Among all respondents",NOT(OR(K1834="Online poll in Telegram channel",K1834="Website online poll",K1834="CAWI (Computer Assisted Web Interviewing)"))),1/(1-MIN(MAX(Formula!$C$33+(YEAR(D1834)-Formula!$C$34)/(Formula!$C$35-Formula!$C$34)*(Formula!$C$32-Formula!$C$33),Formula!$C$33),Formula!$C$32)),1)</f>
        <v>1</v>
      </c>
      <c r="W1834" s="17">
        <f t="shared" si="5"/>
        <v>9</v>
      </c>
    </row>
    <row r="1835" ht="15.75" customHeight="1">
      <c r="A1835" s="8" t="s">
        <v>2702</v>
      </c>
      <c r="B1835" s="7" t="s">
        <v>2696</v>
      </c>
      <c r="C1835" s="13" t="s">
        <v>2697</v>
      </c>
      <c r="D1835" s="7" t="s">
        <v>232</v>
      </c>
      <c r="E1835" s="8" t="s">
        <v>233</v>
      </c>
      <c r="F1835" s="8" t="s">
        <v>318</v>
      </c>
      <c r="G1835" s="7" t="s">
        <v>2698</v>
      </c>
      <c r="H1835" s="7" t="s">
        <v>2683</v>
      </c>
      <c r="I1835" s="8">
        <v>1600.0</v>
      </c>
      <c r="J1835" s="8">
        <v>2.5</v>
      </c>
      <c r="K1835" s="8" t="s">
        <v>583</v>
      </c>
      <c r="L1835" s="8" t="s">
        <v>970</v>
      </c>
      <c r="M1835" s="8" t="s">
        <v>828</v>
      </c>
      <c r="N1835" s="8">
        <v>5.5</v>
      </c>
      <c r="O1835" s="14">
        <f t="shared" si="1"/>
        <v>44228</v>
      </c>
      <c r="P1835" s="15">
        <f>IFERROR(VLOOKUP(K1835,Formula!$A$11:$B$20,2,FALSE),Formula!$C$26)</f>
        <v>0.95</v>
      </c>
      <c r="Q1835" s="15">
        <f>IF(AND(ISNUMBER(J1835),J1835&gt;0),1/J1835,IF(AND(ISNUMBER(I1835),I1835&gt;0),SQRT(MIN(I1835,Formula!$C$27))/Formula!$C$24,1/Formula!$C$25))</f>
        <v>0.4</v>
      </c>
      <c r="R1835" s="15">
        <f t="shared" si="2"/>
        <v>0.38</v>
      </c>
      <c r="S1835" s="15">
        <f>IF(H1835&lt;&gt;"",EXP(-Formula!$C$28*(EOMONTH(H1835,0)-H1835)),EXP(-Formula!$C$28*(EOMONTH(D1835,0)-D1835)))</f>
        <v>0.2865047969</v>
      </c>
      <c r="T1835" s="15">
        <f t="shared" si="3"/>
        <v>0.2773500981</v>
      </c>
      <c r="U1835" s="15">
        <f t="shared" si="4"/>
        <v>0.03019561074</v>
      </c>
      <c r="V1835" s="16">
        <f>IF(AND(L1835="Among all respondents",NOT(OR(K1835="Online poll in Telegram channel",K1835="Website online poll",K1835="CAWI (Computer Assisted Web Interviewing)"))),1/(1-MIN(MAX(Formula!$C$33+(YEAR(D1835)-Formula!$C$34)/(Formula!$C$35-Formula!$C$34)*(Formula!$C$32-Formula!$C$33),Formula!$C$33),Formula!$C$32)),1)</f>
        <v>1</v>
      </c>
      <c r="W1835" s="17">
        <f t="shared" si="5"/>
        <v>5.5</v>
      </c>
    </row>
    <row r="1836" ht="15.75" customHeight="1">
      <c r="A1836" s="8" t="s">
        <v>2703</v>
      </c>
      <c r="B1836" s="7" t="s">
        <v>2696</v>
      </c>
      <c r="C1836" s="13" t="s">
        <v>2697</v>
      </c>
      <c r="D1836" s="7" t="s">
        <v>232</v>
      </c>
      <c r="E1836" s="8" t="s">
        <v>233</v>
      </c>
      <c r="F1836" s="8" t="s">
        <v>318</v>
      </c>
      <c r="G1836" s="7" t="s">
        <v>2698</v>
      </c>
      <c r="H1836" s="7" t="s">
        <v>2683</v>
      </c>
      <c r="I1836" s="8">
        <v>1600.0</v>
      </c>
      <c r="J1836" s="8">
        <v>2.5</v>
      </c>
      <c r="K1836" s="8" t="s">
        <v>583</v>
      </c>
      <c r="L1836" s="8" t="s">
        <v>970</v>
      </c>
      <c r="M1836" s="8" t="s">
        <v>386</v>
      </c>
      <c r="N1836" s="8">
        <v>4.2</v>
      </c>
      <c r="O1836" s="14">
        <f t="shared" si="1"/>
        <v>44228</v>
      </c>
      <c r="P1836" s="15">
        <f>IFERROR(VLOOKUP(K1836,Formula!$A$11:$B$20,2,FALSE),Formula!$C$26)</f>
        <v>0.95</v>
      </c>
      <c r="Q1836" s="15">
        <f>IF(AND(ISNUMBER(J1836),J1836&gt;0),1/J1836,IF(AND(ISNUMBER(I1836),I1836&gt;0),SQRT(MIN(I1836,Formula!$C$27))/Formula!$C$24,1/Formula!$C$25))</f>
        <v>0.4</v>
      </c>
      <c r="R1836" s="15">
        <f t="shared" si="2"/>
        <v>0.38</v>
      </c>
      <c r="S1836" s="15">
        <f>IF(H1836&lt;&gt;"",EXP(-Formula!$C$28*(EOMONTH(H1836,0)-H1836)),EXP(-Formula!$C$28*(EOMONTH(D1836,0)-D1836)))</f>
        <v>0.2865047969</v>
      </c>
      <c r="T1836" s="15">
        <f t="shared" si="3"/>
        <v>0.2773500981</v>
      </c>
      <c r="U1836" s="15">
        <f t="shared" si="4"/>
        <v>0.03019561074</v>
      </c>
      <c r="V1836" s="16">
        <f>IF(AND(L1836="Among all respondents",NOT(OR(K1836="Online poll in Telegram channel",K1836="Website online poll",K1836="CAWI (Computer Assisted Web Interviewing)"))),1/(1-MIN(MAX(Formula!$C$33+(YEAR(D1836)-Formula!$C$34)/(Formula!$C$35-Formula!$C$34)*(Formula!$C$32-Formula!$C$33),Formula!$C$33),Formula!$C$32)),1)</f>
        <v>1</v>
      </c>
      <c r="W1836" s="17">
        <f t="shared" si="5"/>
        <v>4.2</v>
      </c>
    </row>
    <row r="1837" ht="15.75" customHeight="1">
      <c r="A1837" s="8" t="s">
        <v>2704</v>
      </c>
      <c r="B1837" s="7" t="s">
        <v>2696</v>
      </c>
      <c r="C1837" s="13" t="s">
        <v>2697</v>
      </c>
      <c r="D1837" s="7" t="s">
        <v>232</v>
      </c>
      <c r="E1837" s="8" t="s">
        <v>233</v>
      </c>
      <c r="F1837" s="8" t="s">
        <v>318</v>
      </c>
      <c r="G1837" s="7" t="s">
        <v>2698</v>
      </c>
      <c r="H1837" s="7" t="s">
        <v>2683</v>
      </c>
      <c r="I1837" s="8">
        <v>1600.0</v>
      </c>
      <c r="J1837" s="8">
        <v>2.5</v>
      </c>
      <c r="K1837" s="8" t="s">
        <v>583</v>
      </c>
      <c r="L1837" s="8" t="s">
        <v>970</v>
      </c>
      <c r="M1837" s="8" t="s">
        <v>333</v>
      </c>
      <c r="N1837" s="8">
        <v>3.5</v>
      </c>
      <c r="O1837" s="14">
        <f t="shared" si="1"/>
        <v>44228</v>
      </c>
      <c r="P1837" s="15">
        <f>IFERROR(VLOOKUP(K1837,Formula!$A$11:$B$20,2,FALSE),Formula!$C$26)</f>
        <v>0.95</v>
      </c>
      <c r="Q1837" s="15">
        <f>IF(AND(ISNUMBER(J1837),J1837&gt;0),1/J1837,IF(AND(ISNUMBER(I1837),I1837&gt;0),SQRT(MIN(I1837,Formula!$C$27))/Formula!$C$24,1/Formula!$C$25))</f>
        <v>0.4</v>
      </c>
      <c r="R1837" s="15">
        <f t="shared" si="2"/>
        <v>0.38</v>
      </c>
      <c r="S1837" s="15">
        <f>IF(H1837&lt;&gt;"",EXP(-Formula!$C$28*(EOMONTH(H1837,0)-H1837)),EXP(-Formula!$C$28*(EOMONTH(D1837,0)-D1837)))</f>
        <v>0.2865047969</v>
      </c>
      <c r="T1837" s="15">
        <f t="shared" si="3"/>
        <v>0.2773500981</v>
      </c>
      <c r="U1837" s="15">
        <f t="shared" si="4"/>
        <v>0.03019561074</v>
      </c>
      <c r="V1837" s="16">
        <f>IF(AND(L1837="Among all respondents",NOT(OR(K1837="Online poll in Telegram channel",K1837="Website online poll",K1837="CAWI (Computer Assisted Web Interviewing)"))),1/(1-MIN(MAX(Formula!$C$33+(YEAR(D1837)-Formula!$C$34)/(Formula!$C$35-Formula!$C$34)*(Formula!$C$32-Formula!$C$33),Formula!$C$33),Formula!$C$32)),1)</f>
        <v>1</v>
      </c>
      <c r="W1837" s="17">
        <f t="shared" si="5"/>
        <v>3.5</v>
      </c>
    </row>
    <row r="1838" ht="15.75" customHeight="1">
      <c r="A1838" s="8" t="s">
        <v>2705</v>
      </c>
      <c r="B1838" s="7" t="s">
        <v>2696</v>
      </c>
      <c r="C1838" s="13" t="s">
        <v>2697</v>
      </c>
      <c r="D1838" s="7" t="s">
        <v>232</v>
      </c>
      <c r="E1838" s="8" t="s">
        <v>233</v>
      </c>
      <c r="F1838" s="8" t="s">
        <v>318</v>
      </c>
      <c r="G1838" s="7" t="s">
        <v>2698</v>
      </c>
      <c r="H1838" s="7" t="s">
        <v>2683</v>
      </c>
      <c r="I1838" s="8">
        <v>1600.0</v>
      </c>
      <c r="J1838" s="8">
        <v>2.5</v>
      </c>
      <c r="K1838" s="8" t="s">
        <v>583</v>
      </c>
      <c r="L1838" s="8" t="s">
        <v>970</v>
      </c>
      <c r="M1838" s="8" t="s">
        <v>388</v>
      </c>
      <c r="N1838" s="8">
        <v>3.3</v>
      </c>
      <c r="O1838" s="14">
        <f t="shared" si="1"/>
        <v>44228</v>
      </c>
      <c r="P1838" s="15">
        <f>IFERROR(VLOOKUP(K1838,Formula!$A$11:$B$20,2,FALSE),Formula!$C$26)</f>
        <v>0.95</v>
      </c>
      <c r="Q1838" s="15">
        <f>IF(AND(ISNUMBER(J1838),J1838&gt;0),1/J1838,IF(AND(ISNUMBER(I1838),I1838&gt;0),SQRT(MIN(I1838,Formula!$C$27))/Formula!$C$24,1/Formula!$C$25))</f>
        <v>0.4</v>
      </c>
      <c r="R1838" s="15">
        <f t="shared" si="2"/>
        <v>0.38</v>
      </c>
      <c r="S1838" s="15">
        <f>IF(H1838&lt;&gt;"",EXP(-Formula!$C$28*(EOMONTH(H1838,0)-H1838)),EXP(-Formula!$C$28*(EOMONTH(D1838,0)-D1838)))</f>
        <v>0.2865047969</v>
      </c>
      <c r="T1838" s="15">
        <f t="shared" si="3"/>
        <v>0.2773500981</v>
      </c>
      <c r="U1838" s="15">
        <f t="shared" si="4"/>
        <v>0.03019561074</v>
      </c>
      <c r="V1838" s="16">
        <f>IF(AND(L1838="Among all respondents",NOT(OR(K1838="Online poll in Telegram channel",K1838="Website online poll",K1838="CAWI (Computer Assisted Web Interviewing)"))),1/(1-MIN(MAX(Formula!$C$33+(YEAR(D1838)-Formula!$C$34)/(Formula!$C$35-Formula!$C$34)*(Formula!$C$32-Formula!$C$33),Formula!$C$33),Formula!$C$32)),1)</f>
        <v>1</v>
      </c>
      <c r="W1838" s="17">
        <f t="shared" si="5"/>
        <v>3.3</v>
      </c>
    </row>
    <row r="1839" ht="15.75" customHeight="1">
      <c r="A1839" s="8" t="s">
        <v>2706</v>
      </c>
      <c r="B1839" s="7" t="s">
        <v>2696</v>
      </c>
      <c r="C1839" s="13" t="s">
        <v>2697</v>
      </c>
      <c r="D1839" s="7" t="s">
        <v>232</v>
      </c>
      <c r="E1839" s="8" t="s">
        <v>233</v>
      </c>
      <c r="F1839" s="8" t="s">
        <v>318</v>
      </c>
      <c r="G1839" s="7" t="s">
        <v>2698</v>
      </c>
      <c r="H1839" s="7" t="s">
        <v>2683</v>
      </c>
      <c r="I1839" s="8">
        <v>1600.0</v>
      </c>
      <c r="J1839" s="8">
        <v>2.5</v>
      </c>
      <c r="K1839" s="8" t="s">
        <v>583</v>
      </c>
      <c r="L1839" s="8" t="s">
        <v>970</v>
      </c>
      <c r="M1839" s="8" t="s">
        <v>1539</v>
      </c>
      <c r="N1839" s="8">
        <v>2.7</v>
      </c>
      <c r="O1839" s="14">
        <f t="shared" si="1"/>
        <v>44228</v>
      </c>
      <c r="P1839" s="15">
        <f>IFERROR(VLOOKUP(K1839,Formula!$A$11:$B$20,2,FALSE),Formula!$C$26)</f>
        <v>0.95</v>
      </c>
      <c r="Q1839" s="15">
        <f>IF(AND(ISNUMBER(J1839),J1839&gt;0),1/J1839,IF(AND(ISNUMBER(I1839),I1839&gt;0),SQRT(MIN(I1839,Formula!$C$27))/Formula!$C$24,1/Formula!$C$25))</f>
        <v>0.4</v>
      </c>
      <c r="R1839" s="15">
        <f t="shared" si="2"/>
        <v>0.38</v>
      </c>
      <c r="S1839" s="15">
        <f>IF(H1839&lt;&gt;"",EXP(-Formula!$C$28*(EOMONTH(H1839,0)-H1839)),EXP(-Formula!$C$28*(EOMONTH(D1839,0)-D1839)))</f>
        <v>0.2865047969</v>
      </c>
      <c r="T1839" s="15">
        <f t="shared" si="3"/>
        <v>0.2773500981</v>
      </c>
      <c r="U1839" s="15">
        <f t="shared" si="4"/>
        <v>0.03019561074</v>
      </c>
      <c r="V1839" s="16">
        <f>IF(AND(L1839="Among all respondents",NOT(OR(K1839="Online poll in Telegram channel",K1839="Website online poll",K1839="CAWI (Computer Assisted Web Interviewing)"))),1/(1-MIN(MAX(Formula!$C$33+(YEAR(D1839)-Formula!$C$34)/(Formula!$C$35-Formula!$C$34)*(Formula!$C$32-Formula!$C$33),Formula!$C$33),Formula!$C$32)),1)</f>
        <v>1</v>
      </c>
      <c r="W1839" s="17">
        <f t="shared" si="5"/>
        <v>2.7</v>
      </c>
    </row>
    <row r="1840" ht="15.75" customHeight="1">
      <c r="A1840" s="8" t="s">
        <v>2707</v>
      </c>
      <c r="B1840" s="7" t="s">
        <v>2696</v>
      </c>
      <c r="C1840" s="13" t="s">
        <v>2697</v>
      </c>
      <c r="D1840" s="7" t="s">
        <v>232</v>
      </c>
      <c r="E1840" s="8" t="s">
        <v>233</v>
      </c>
      <c r="F1840" s="8" t="s">
        <v>318</v>
      </c>
      <c r="G1840" s="7" t="s">
        <v>2698</v>
      </c>
      <c r="H1840" s="7" t="s">
        <v>2683</v>
      </c>
      <c r="I1840" s="8">
        <v>1600.0</v>
      </c>
      <c r="J1840" s="8">
        <v>2.5</v>
      </c>
      <c r="K1840" s="8" t="s">
        <v>583</v>
      </c>
      <c r="L1840" s="8" t="s">
        <v>970</v>
      </c>
      <c r="M1840" s="8" t="s">
        <v>343</v>
      </c>
      <c r="N1840" s="8">
        <v>2.1</v>
      </c>
      <c r="O1840" s="14">
        <f t="shared" si="1"/>
        <v>44228</v>
      </c>
      <c r="P1840" s="15">
        <f>IFERROR(VLOOKUP(K1840,Formula!$A$11:$B$20,2,FALSE),Formula!$C$26)</f>
        <v>0.95</v>
      </c>
      <c r="Q1840" s="15">
        <f>IF(AND(ISNUMBER(J1840),J1840&gt;0),1/J1840,IF(AND(ISNUMBER(I1840),I1840&gt;0),SQRT(MIN(I1840,Formula!$C$27))/Formula!$C$24,1/Formula!$C$25))</f>
        <v>0.4</v>
      </c>
      <c r="R1840" s="15">
        <f t="shared" si="2"/>
        <v>0.38</v>
      </c>
      <c r="S1840" s="15">
        <f>IF(H1840&lt;&gt;"",EXP(-Formula!$C$28*(EOMONTH(H1840,0)-H1840)),EXP(-Formula!$C$28*(EOMONTH(D1840,0)-D1840)))</f>
        <v>0.2865047969</v>
      </c>
      <c r="T1840" s="15">
        <f t="shared" si="3"/>
        <v>0.2773500981</v>
      </c>
      <c r="U1840" s="15">
        <f t="shared" si="4"/>
        <v>0.03019561074</v>
      </c>
      <c r="V1840" s="16">
        <f>IF(AND(L1840="Among all respondents",NOT(OR(K1840="Online poll in Telegram channel",K1840="Website online poll",K1840="CAWI (Computer Assisted Web Interviewing)"))),1/(1-MIN(MAX(Formula!$C$33+(YEAR(D1840)-Formula!$C$34)/(Formula!$C$35-Formula!$C$34)*(Formula!$C$32-Formula!$C$33),Formula!$C$33),Formula!$C$32)),1)</f>
        <v>1</v>
      </c>
      <c r="W1840" s="17">
        <f t="shared" si="5"/>
        <v>2.1</v>
      </c>
    </row>
    <row r="1841" ht="15.75" customHeight="1">
      <c r="A1841" s="8" t="s">
        <v>2708</v>
      </c>
      <c r="B1841" s="7" t="s">
        <v>2696</v>
      </c>
      <c r="C1841" s="13" t="s">
        <v>2697</v>
      </c>
      <c r="D1841" s="7" t="s">
        <v>232</v>
      </c>
      <c r="E1841" s="8" t="s">
        <v>233</v>
      </c>
      <c r="F1841" s="8" t="s">
        <v>318</v>
      </c>
      <c r="G1841" s="7" t="s">
        <v>2698</v>
      </c>
      <c r="H1841" s="7" t="s">
        <v>2683</v>
      </c>
      <c r="I1841" s="8">
        <v>1600.0</v>
      </c>
      <c r="J1841" s="8">
        <v>2.5</v>
      </c>
      <c r="K1841" s="8" t="s">
        <v>583</v>
      </c>
      <c r="L1841" s="8" t="s">
        <v>970</v>
      </c>
      <c r="M1841" s="8" t="s">
        <v>1663</v>
      </c>
      <c r="N1841" s="8">
        <v>1.7</v>
      </c>
      <c r="O1841" s="14">
        <f t="shared" si="1"/>
        <v>44228</v>
      </c>
      <c r="P1841" s="15">
        <f>IFERROR(VLOOKUP(K1841,Formula!$A$11:$B$20,2,FALSE),Formula!$C$26)</f>
        <v>0.95</v>
      </c>
      <c r="Q1841" s="15">
        <f>IF(AND(ISNUMBER(J1841),J1841&gt;0),1/J1841,IF(AND(ISNUMBER(I1841),I1841&gt;0),SQRT(MIN(I1841,Formula!$C$27))/Formula!$C$24,1/Formula!$C$25))</f>
        <v>0.4</v>
      </c>
      <c r="R1841" s="15">
        <f t="shared" si="2"/>
        <v>0.38</v>
      </c>
      <c r="S1841" s="15">
        <f>IF(H1841&lt;&gt;"",EXP(-Formula!$C$28*(EOMONTH(H1841,0)-H1841)),EXP(-Formula!$C$28*(EOMONTH(D1841,0)-D1841)))</f>
        <v>0.2865047969</v>
      </c>
      <c r="T1841" s="15">
        <f t="shared" si="3"/>
        <v>0.2773500981</v>
      </c>
      <c r="U1841" s="15">
        <f t="shared" si="4"/>
        <v>0.03019561074</v>
      </c>
      <c r="V1841" s="16">
        <f>IF(AND(L1841="Among all respondents",NOT(OR(K1841="Online poll in Telegram channel",K1841="Website online poll",K1841="CAWI (Computer Assisted Web Interviewing)"))),1/(1-MIN(MAX(Formula!$C$33+(YEAR(D1841)-Formula!$C$34)/(Formula!$C$35-Formula!$C$34)*(Formula!$C$32-Formula!$C$33),Formula!$C$33),Formula!$C$32)),1)</f>
        <v>1</v>
      </c>
      <c r="W1841" s="17">
        <f t="shared" si="5"/>
        <v>1.7</v>
      </c>
    </row>
    <row r="1842" ht="15.75" customHeight="1">
      <c r="A1842" s="8" t="s">
        <v>2709</v>
      </c>
      <c r="B1842" s="7" t="s">
        <v>2696</v>
      </c>
      <c r="C1842" s="13" t="s">
        <v>2697</v>
      </c>
      <c r="D1842" s="7" t="s">
        <v>232</v>
      </c>
      <c r="E1842" s="8" t="s">
        <v>233</v>
      </c>
      <c r="F1842" s="8" t="s">
        <v>318</v>
      </c>
      <c r="G1842" s="7" t="s">
        <v>2698</v>
      </c>
      <c r="H1842" s="7" t="s">
        <v>2683</v>
      </c>
      <c r="I1842" s="8">
        <v>1600.0</v>
      </c>
      <c r="J1842" s="8">
        <v>2.5</v>
      </c>
      <c r="K1842" s="8" t="s">
        <v>583</v>
      </c>
      <c r="L1842" s="8" t="s">
        <v>970</v>
      </c>
      <c r="M1842" s="8" t="s">
        <v>339</v>
      </c>
      <c r="N1842" s="8">
        <v>1.6</v>
      </c>
      <c r="O1842" s="14">
        <f t="shared" si="1"/>
        <v>44228</v>
      </c>
      <c r="P1842" s="15">
        <f>IFERROR(VLOOKUP(K1842,Formula!$A$11:$B$20,2,FALSE),Formula!$C$26)</f>
        <v>0.95</v>
      </c>
      <c r="Q1842" s="15">
        <f>IF(AND(ISNUMBER(J1842),J1842&gt;0),1/J1842,IF(AND(ISNUMBER(I1842),I1842&gt;0),SQRT(MIN(I1842,Formula!$C$27))/Formula!$C$24,1/Formula!$C$25))</f>
        <v>0.4</v>
      </c>
      <c r="R1842" s="15">
        <f t="shared" si="2"/>
        <v>0.38</v>
      </c>
      <c r="S1842" s="15">
        <f>IF(H1842&lt;&gt;"",EXP(-Formula!$C$28*(EOMONTH(H1842,0)-H1842)),EXP(-Formula!$C$28*(EOMONTH(D1842,0)-D1842)))</f>
        <v>0.2865047969</v>
      </c>
      <c r="T1842" s="15">
        <f t="shared" si="3"/>
        <v>0.2773500981</v>
      </c>
      <c r="U1842" s="15">
        <f t="shared" si="4"/>
        <v>0.03019561074</v>
      </c>
      <c r="V1842" s="16">
        <f>IF(AND(L1842="Among all respondents",NOT(OR(K1842="Online poll in Telegram channel",K1842="Website online poll",K1842="CAWI (Computer Assisted Web Interviewing)"))),1/(1-MIN(MAX(Formula!$C$33+(YEAR(D1842)-Formula!$C$34)/(Formula!$C$35-Formula!$C$34)*(Formula!$C$32-Formula!$C$33),Formula!$C$33),Formula!$C$32)),1)</f>
        <v>1</v>
      </c>
      <c r="W1842" s="17">
        <f t="shared" si="5"/>
        <v>1.6</v>
      </c>
    </row>
    <row r="1843" ht="15.75" customHeight="1">
      <c r="A1843" s="8" t="s">
        <v>2710</v>
      </c>
      <c r="B1843" s="7" t="s">
        <v>2696</v>
      </c>
      <c r="C1843" s="13" t="s">
        <v>2697</v>
      </c>
      <c r="D1843" s="7" t="s">
        <v>232</v>
      </c>
      <c r="E1843" s="8" t="s">
        <v>233</v>
      </c>
      <c r="F1843" s="8" t="s">
        <v>318</v>
      </c>
      <c r="G1843" s="7" t="s">
        <v>2698</v>
      </c>
      <c r="H1843" s="7" t="s">
        <v>2683</v>
      </c>
      <c r="I1843" s="8">
        <v>1600.0</v>
      </c>
      <c r="J1843" s="8">
        <v>2.5</v>
      </c>
      <c r="K1843" s="8" t="s">
        <v>583</v>
      </c>
      <c r="L1843" s="8" t="s">
        <v>970</v>
      </c>
      <c r="M1843" s="8" t="s">
        <v>740</v>
      </c>
      <c r="N1843" s="8">
        <v>1.2</v>
      </c>
      <c r="O1843" s="14">
        <f t="shared" si="1"/>
        <v>44228</v>
      </c>
      <c r="P1843" s="15">
        <f>IFERROR(VLOOKUP(K1843,Formula!$A$11:$B$20,2,FALSE),Formula!$C$26)</f>
        <v>0.95</v>
      </c>
      <c r="Q1843" s="15">
        <f>IF(AND(ISNUMBER(J1843),J1843&gt;0),1/J1843,IF(AND(ISNUMBER(I1843),I1843&gt;0),SQRT(MIN(I1843,Formula!$C$27))/Formula!$C$24,1/Formula!$C$25))</f>
        <v>0.4</v>
      </c>
      <c r="R1843" s="15">
        <f t="shared" si="2"/>
        <v>0.38</v>
      </c>
      <c r="S1843" s="15">
        <f>IF(H1843&lt;&gt;"",EXP(-Formula!$C$28*(EOMONTH(H1843,0)-H1843)),EXP(-Formula!$C$28*(EOMONTH(D1843,0)-D1843)))</f>
        <v>0.2865047969</v>
      </c>
      <c r="T1843" s="15">
        <f t="shared" si="3"/>
        <v>0.2773500981</v>
      </c>
      <c r="U1843" s="15">
        <f t="shared" si="4"/>
        <v>0.03019561074</v>
      </c>
      <c r="V1843" s="16">
        <f>IF(AND(L1843="Among all respondents",NOT(OR(K1843="Online poll in Telegram channel",K1843="Website online poll",K1843="CAWI (Computer Assisted Web Interviewing)"))),1/(1-MIN(MAX(Formula!$C$33+(YEAR(D1843)-Formula!$C$34)/(Formula!$C$35-Formula!$C$34)*(Formula!$C$32-Formula!$C$33),Formula!$C$33),Formula!$C$32)),1)</f>
        <v>1</v>
      </c>
      <c r="W1843" s="17">
        <f t="shared" si="5"/>
        <v>1.2</v>
      </c>
    </row>
    <row r="1844" ht="15.75" customHeight="1">
      <c r="A1844" s="8" t="s">
        <v>2711</v>
      </c>
      <c r="B1844" s="7" t="s">
        <v>2712</v>
      </c>
      <c r="C1844" s="13" t="s">
        <v>2713</v>
      </c>
      <c r="D1844" s="7" t="s">
        <v>231</v>
      </c>
      <c r="E1844" s="8" t="s">
        <v>27</v>
      </c>
      <c r="F1844" s="8" t="s">
        <v>318</v>
      </c>
      <c r="G1844" s="7" t="s">
        <v>224</v>
      </c>
      <c r="H1844" s="7" t="s">
        <v>2683</v>
      </c>
      <c r="I1844" s="8">
        <v>2012.0</v>
      </c>
      <c r="J1844" s="8">
        <v>2.2</v>
      </c>
      <c r="K1844" s="8" t="s">
        <v>321</v>
      </c>
      <c r="L1844" s="8" t="s">
        <v>322</v>
      </c>
      <c r="M1844" s="8" t="s">
        <v>323</v>
      </c>
      <c r="N1844" s="8">
        <v>22.2</v>
      </c>
      <c r="O1844" s="14">
        <f t="shared" si="1"/>
        <v>44228</v>
      </c>
      <c r="P1844" s="15">
        <f>IFERROR(VLOOKUP(K1844,Formula!$A$11:$B$20,2,FALSE),Formula!$C$26)</f>
        <v>0.9</v>
      </c>
      <c r="Q1844" s="15">
        <f>IF(AND(ISNUMBER(J1844),J1844&gt;0),1/J1844,IF(AND(ISNUMBER(I1844),I1844&gt;0),SQRT(MIN(I1844,Formula!$C$27))/Formula!$C$24,1/Formula!$C$25))</f>
        <v>0.4545454545</v>
      </c>
      <c r="R1844" s="15">
        <f t="shared" si="2"/>
        <v>0.4090909091</v>
      </c>
      <c r="S1844" s="15">
        <f>IF(H1844&lt;&gt;"",EXP(-Formula!$C$28*(EOMONTH(H1844,0)-H1844)),EXP(-Formula!$C$28*(EOMONTH(D1844,0)-D1844)))</f>
        <v>0.2865047969</v>
      </c>
      <c r="T1844" s="15">
        <f t="shared" si="3"/>
        <v>0.2182178902</v>
      </c>
      <c r="U1844" s="15">
        <f t="shared" si="4"/>
        <v>0.02557655686</v>
      </c>
      <c r="V1844" s="16">
        <f>IF(AND(L1844="Among all respondents",NOT(OR(K1844="Online poll in Telegram channel",K1844="Website online poll",K1844="CAWI (Computer Assisted Web Interviewing)"))),1/(1-MIN(MAX(Formula!$C$33+(YEAR(D1844)-Formula!$C$34)/(Formula!$C$35-Formula!$C$34)*(Formula!$C$32-Formula!$C$33),Formula!$C$33),Formula!$C$32)),1)</f>
        <v>1</v>
      </c>
      <c r="W1844" s="17">
        <f t="shared" si="5"/>
        <v>22.2</v>
      </c>
    </row>
    <row r="1845" ht="15.75" customHeight="1">
      <c r="A1845" s="8" t="s">
        <v>2714</v>
      </c>
      <c r="B1845" s="7" t="s">
        <v>2712</v>
      </c>
      <c r="C1845" s="13" t="s">
        <v>2713</v>
      </c>
      <c r="D1845" s="7" t="s">
        <v>231</v>
      </c>
      <c r="E1845" s="8" t="s">
        <v>27</v>
      </c>
      <c r="F1845" s="8" t="s">
        <v>318</v>
      </c>
      <c r="G1845" s="7" t="s">
        <v>224</v>
      </c>
      <c r="H1845" s="7" t="s">
        <v>2683</v>
      </c>
      <c r="I1845" s="8">
        <v>2012.0</v>
      </c>
      <c r="J1845" s="8">
        <v>2.2</v>
      </c>
      <c r="K1845" s="8" t="s">
        <v>321</v>
      </c>
      <c r="L1845" s="8" t="s">
        <v>322</v>
      </c>
      <c r="M1845" s="8" t="s">
        <v>365</v>
      </c>
      <c r="N1845" s="8">
        <v>16.3</v>
      </c>
      <c r="O1845" s="14">
        <f t="shared" si="1"/>
        <v>44228</v>
      </c>
      <c r="P1845" s="15">
        <f>IFERROR(VLOOKUP(K1845,Formula!$A$11:$B$20,2,FALSE),Formula!$C$26)</f>
        <v>0.9</v>
      </c>
      <c r="Q1845" s="15">
        <f>IF(AND(ISNUMBER(J1845),J1845&gt;0),1/J1845,IF(AND(ISNUMBER(I1845),I1845&gt;0),SQRT(MIN(I1845,Formula!$C$27))/Formula!$C$24,1/Formula!$C$25))</f>
        <v>0.4545454545</v>
      </c>
      <c r="R1845" s="15">
        <f t="shared" si="2"/>
        <v>0.4090909091</v>
      </c>
      <c r="S1845" s="15">
        <f>IF(H1845&lt;&gt;"",EXP(-Formula!$C$28*(EOMONTH(H1845,0)-H1845)),EXP(-Formula!$C$28*(EOMONTH(D1845,0)-D1845)))</f>
        <v>0.2865047969</v>
      </c>
      <c r="T1845" s="15">
        <f t="shared" si="3"/>
        <v>0.2182178902</v>
      </c>
      <c r="U1845" s="15">
        <f t="shared" si="4"/>
        <v>0.02557655686</v>
      </c>
      <c r="V1845" s="16">
        <f>IF(AND(L1845="Among all respondents",NOT(OR(K1845="Online poll in Telegram channel",K1845="Website online poll",K1845="CAWI (Computer Assisted Web Interviewing)"))),1/(1-MIN(MAX(Formula!$C$33+(YEAR(D1845)-Formula!$C$34)/(Formula!$C$35-Formula!$C$34)*(Formula!$C$32-Formula!$C$33),Formula!$C$33),Formula!$C$32)),1)</f>
        <v>1</v>
      </c>
      <c r="W1845" s="17">
        <f t="shared" si="5"/>
        <v>16.3</v>
      </c>
    </row>
    <row r="1846" ht="15.75" customHeight="1">
      <c r="A1846" s="8" t="s">
        <v>2715</v>
      </c>
      <c r="B1846" s="7" t="s">
        <v>2712</v>
      </c>
      <c r="C1846" s="13" t="s">
        <v>2713</v>
      </c>
      <c r="D1846" s="7" t="s">
        <v>231</v>
      </c>
      <c r="E1846" s="8" t="s">
        <v>27</v>
      </c>
      <c r="F1846" s="8" t="s">
        <v>318</v>
      </c>
      <c r="G1846" s="7" t="s">
        <v>224</v>
      </c>
      <c r="H1846" s="7" t="s">
        <v>2683</v>
      </c>
      <c r="I1846" s="8">
        <v>2012.0</v>
      </c>
      <c r="J1846" s="8">
        <v>2.2</v>
      </c>
      <c r="K1846" s="8" t="s">
        <v>321</v>
      </c>
      <c r="L1846" s="8" t="s">
        <v>322</v>
      </c>
      <c r="M1846" s="8" t="s">
        <v>329</v>
      </c>
      <c r="N1846" s="8">
        <v>15.5</v>
      </c>
      <c r="O1846" s="14">
        <f t="shared" si="1"/>
        <v>44228</v>
      </c>
      <c r="P1846" s="15">
        <f>IFERROR(VLOOKUP(K1846,Formula!$A$11:$B$20,2,FALSE),Formula!$C$26)</f>
        <v>0.9</v>
      </c>
      <c r="Q1846" s="15">
        <f>IF(AND(ISNUMBER(J1846),J1846&gt;0),1/J1846,IF(AND(ISNUMBER(I1846),I1846&gt;0),SQRT(MIN(I1846,Formula!$C$27))/Formula!$C$24,1/Formula!$C$25))</f>
        <v>0.4545454545</v>
      </c>
      <c r="R1846" s="15">
        <f t="shared" si="2"/>
        <v>0.4090909091</v>
      </c>
      <c r="S1846" s="15">
        <f>IF(H1846&lt;&gt;"",EXP(-Formula!$C$28*(EOMONTH(H1846,0)-H1846)),EXP(-Formula!$C$28*(EOMONTH(D1846,0)-D1846)))</f>
        <v>0.2865047969</v>
      </c>
      <c r="T1846" s="15">
        <f t="shared" si="3"/>
        <v>0.2182178902</v>
      </c>
      <c r="U1846" s="15">
        <f t="shared" si="4"/>
        <v>0.02557655686</v>
      </c>
      <c r="V1846" s="16">
        <f>IF(AND(L1846="Among all respondents",NOT(OR(K1846="Online poll in Telegram channel",K1846="Website online poll",K1846="CAWI (Computer Assisted Web Interviewing)"))),1/(1-MIN(MAX(Formula!$C$33+(YEAR(D1846)-Formula!$C$34)/(Formula!$C$35-Formula!$C$34)*(Formula!$C$32-Formula!$C$33),Formula!$C$33),Formula!$C$32)),1)</f>
        <v>1</v>
      </c>
      <c r="W1846" s="17">
        <f t="shared" si="5"/>
        <v>15.5</v>
      </c>
    </row>
    <row r="1847" ht="15.75" customHeight="1">
      <c r="A1847" s="8" t="s">
        <v>2716</v>
      </c>
      <c r="B1847" s="7" t="s">
        <v>2712</v>
      </c>
      <c r="C1847" s="13" t="s">
        <v>2713</v>
      </c>
      <c r="D1847" s="7" t="s">
        <v>231</v>
      </c>
      <c r="E1847" s="8" t="s">
        <v>27</v>
      </c>
      <c r="F1847" s="8" t="s">
        <v>318</v>
      </c>
      <c r="G1847" s="7" t="s">
        <v>224</v>
      </c>
      <c r="H1847" s="7" t="s">
        <v>2683</v>
      </c>
      <c r="I1847" s="8">
        <v>2012.0</v>
      </c>
      <c r="J1847" s="8">
        <v>2.2</v>
      </c>
      <c r="K1847" s="8" t="s">
        <v>321</v>
      </c>
      <c r="L1847" s="8" t="s">
        <v>322</v>
      </c>
      <c r="M1847" s="8" t="s">
        <v>337</v>
      </c>
      <c r="N1847" s="8">
        <v>13.3</v>
      </c>
      <c r="O1847" s="14">
        <f t="shared" si="1"/>
        <v>44228</v>
      </c>
      <c r="P1847" s="15">
        <f>IFERROR(VLOOKUP(K1847,Formula!$A$11:$B$20,2,FALSE),Formula!$C$26)</f>
        <v>0.9</v>
      </c>
      <c r="Q1847" s="15">
        <f>IF(AND(ISNUMBER(J1847),J1847&gt;0),1/J1847,IF(AND(ISNUMBER(I1847),I1847&gt;0),SQRT(MIN(I1847,Formula!$C$27))/Formula!$C$24,1/Formula!$C$25))</f>
        <v>0.4545454545</v>
      </c>
      <c r="R1847" s="15">
        <f t="shared" si="2"/>
        <v>0.4090909091</v>
      </c>
      <c r="S1847" s="15">
        <f>IF(H1847&lt;&gt;"",EXP(-Formula!$C$28*(EOMONTH(H1847,0)-H1847)),EXP(-Formula!$C$28*(EOMONTH(D1847,0)-D1847)))</f>
        <v>0.2865047969</v>
      </c>
      <c r="T1847" s="15">
        <f t="shared" si="3"/>
        <v>0.2182178902</v>
      </c>
      <c r="U1847" s="15">
        <f t="shared" si="4"/>
        <v>0.02557655686</v>
      </c>
      <c r="V1847" s="16">
        <f>IF(AND(L1847="Among all respondents",NOT(OR(K1847="Online poll in Telegram channel",K1847="Website online poll",K1847="CAWI (Computer Assisted Web Interviewing)"))),1/(1-MIN(MAX(Formula!$C$33+(YEAR(D1847)-Formula!$C$34)/(Formula!$C$35-Formula!$C$34)*(Formula!$C$32-Formula!$C$33),Formula!$C$33),Formula!$C$32)),1)</f>
        <v>1</v>
      </c>
      <c r="W1847" s="17">
        <f t="shared" si="5"/>
        <v>13.3</v>
      </c>
    </row>
    <row r="1848" ht="15.75" customHeight="1">
      <c r="A1848" s="8" t="s">
        <v>2717</v>
      </c>
      <c r="B1848" s="7" t="s">
        <v>2712</v>
      </c>
      <c r="C1848" s="13" t="s">
        <v>2713</v>
      </c>
      <c r="D1848" s="7" t="s">
        <v>231</v>
      </c>
      <c r="E1848" s="8" t="s">
        <v>27</v>
      </c>
      <c r="F1848" s="8" t="s">
        <v>318</v>
      </c>
      <c r="G1848" s="7" t="s">
        <v>224</v>
      </c>
      <c r="H1848" s="7" t="s">
        <v>2683</v>
      </c>
      <c r="I1848" s="8">
        <v>2012.0</v>
      </c>
      <c r="J1848" s="8">
        <v>2.2</v>
      </c>
      <c r="K1848" s="8" t="s">
        <v>321</v>
      </c>
      <c r="L1848" s="8" t="s">
        <v>322</v>
      </c>
      <c r="M1848" s="8" t="s">
        <v>828</v>
      </c>
      <c r="N1848" s="8">
        <v>7.3</v>
      </c>
      <c r="O1848" s="14">
        <f t="shared" si="1"/>
        <v>44228</v>
      </c>
      <c r="P1848" s="15">
        <f>IFERROR(VLOOKUP(K1848,Formula!$A$11:$B$20,2,FALSE),Formula!$C$26)</f>
        <v>0.9</v>
      </c>
      <c r="Q1848" s="15">
        <f>IF(AND(ISNUMBER(J1848),J1848&gt;0),1/J1848,IF(AND(ISNUMBER(I1848),I1848&gt;0),SQRT(MIN(I1848,Formula!$C$27))/Formula!$C$24,1/Formula!$C$25))</f>
        <v>0.4545454545</v>
      </c>
      <c r="R1848" s="15">
        <f t="shared" si="2"/>
        <v>0.4090909091</v>
      </c>
      <c r="S1848" s="15">
        <f>IF(H1848&lt;&gt;"",EXP(-Formula!$C$28*(EOMONTH(H1848,0)-H1848)),EXP(-Formula!$C$28*(EOMONTH(D1848,0)-D1848)))</f>
        <v>0.2865047969</v>
      </c>
      <c r="T1848" s="15">
        <f t="shared" si="3"/>
        <v>0.2182178902</v>
      </c>
      <c r="U1848" s="15">
        <f t="shared" si="4"/>
        <v>0.02557655686</v>
      </c>
      <c r="V1848" s="16">
        <f>IF(AND(L1848="Among all respondents",NOT(OR(K1848="Online poll in Telegram channel",K1848="Website online poll",K1848="CAWI (Computer Assisted Web Interviewing)"))),1/(1-MIN(MAX(Formula!$C$33+(YEAR(D1848)-Formula!$C$34)/(Formula!$C$35-Formula!$C$34)*(Formula!$C$32-Formula!$C$33),Formula!$C$33),Formula!$C$32)),1)</f>
        <v>1</v>
      </c>
      <c r="W1848" s="17">
        <f t="shared" si="5"/>
        <v>7.3</v>
      </c>
    </row>
    <row r="1849" ht="15.75" customHeight="1">
      <c r="A1849" s="8" t="s">
        <v>2718</v>
      </c>
      <c r="B1849" s="7" t="s">
        <v>2712</v>
      </c>
      <c r="C1849" s="13" t="s">
        <v>2713</v>
      </c>
      <c r="D1849" s="7" t="s">
        <v>231</v>
      </c>
      <c r="E1849" s="8" t="s">
        <v>27</v>
      </c>
      <c r="F1849" s="8" t="s">
        <v>318</v>
      </c>
      <c r="G1849" s="7" t="s">
        <v>224</v>
      </c>
      <c r="H1849" s="7" t="s">
        <v>2683</v>
      </c>
      <c r="I1849" s="8">
        <v>2012.0</v>
      </c>
      <c r="J1849" s="8">
        <v>2.2</v>
      </c>
      <c r="K1849" s="8" t="s">
        <v>321</v>
      </c>
      <c r="L1849" s="8" t="s">
        <v>322</v>
      </c>
      <c r="M1849" s="8" t="s">
        <v>386</v>
      </c>
      <c r="N1849" s="8">
        <v>5.3</v>
      </c>
      <c r="O1849" s="14">
        <f t="shared" si="1"/>
        <v>44228</v>
      </c>
      <c r="P1849" s="15">
        <f>IFERROR(VLOOKUP(K1849,Formula!$A$11:$B$20,2,FALSE),Formula!$C$26)</f>
        <v>0.9</v>
      </c>
      <c r="Q1849" s="15">
        <f>IF(AND(ISNUMBER(J1849),J1849&gt;0),1/J1849,IF(AND(ISNUMBER(I1849),I1849&gt;0),SQRT(MIN(I1849,Formula!$C$27))/Formula!$C$24,1/Formula!$C$25))</f>
        <v>0.4545454545</v>
      </c>
      <c r="R1849" s="15">
        <f t="shared" si="2"/>
        <v>0.4090909091</v>
      </c>
      <c r="S1849" s="15">
        <f>IF(H1849&lt;&gt;"",EXP(-Formula!$C$28*(EOMONTH(H1849,0)-H1849)),EXP(-Formula!$C$28*(EOMONTH(D1849,0)-D1849)))</f>
        <v>0.2865047969</v>
      </c>
      <c r="T1849" s="15">
        <f t="shared" si="3"/>
        <v>0.2182178902</v>
      </c>
      <c r="U1849" s="15">
        <f t="shared" si="4"/>
        <v>0.02557655686</v>
      </c>
      <c r="V1849" s="16">
        <f>IF(AND(L1849="Among all respondents",NOT(OR(K1849="Online poll in Telegram channel",K1849="Website online poll",K1849="CAWI (Computer Assisted Web Interviewing)"))),1/(1-MIN(MAX(Formula!$C$33+(YEAR(D1849)-Formula!$C$34)/(Formula!$C$35-Formula!$C$34)*(Formula!$C$32-Formula!$C$33),Formula!$C$33),Formula!$C$32)),1)</f>
        <v>1</v>
      </c>
      <c r="W1849" s="17">
        <f t="shared" si="5"/>
        <v>5.3</v>
      </c>
    </row>
    <row r="1850" ht="15.75" customHeight="1">
      <c r="A1850" s="8" t="s">
        <v>2719</v>
      </c>
      <c r="B1850" s="7" t="s">
        <v>2712</v>
      </c>
      <c r="C1850" s="13" t="s">
        <v>2713</v>
      </c>
      <c r="D1850" s="7" t="s">
        <v>231</v>
      </c>
      <c r="E1850" s="8" t="s">
        <v>27</v>
      </c>
      <c r="F1850" s="8" t="s">
        <v>318</v>
      </c>
      <c r="G1850" s="7" t="s">
        <v>224</v>
      </c>
      <c r="H1850" s="7" t="s">
        <v>2683</v>
      </c>
      <c r="I1850" s="8">
        <v>2012.0</v>
      </c>
      <c r="J1850" s="8">
        <v>2.2</v>
      </c>
      <c r="K1850" s="8" t="s">
        <v>321</v>
      </c>
      <c r="L1850" s="8" t="s">
        <v>322</v>
      </c>
      <c r="M1850" s="8" t="s">
        <v>388</v>
      </c>
      <c r="N1850" s="8">
        <v>4.8</v>
      </c>
      <c r="O1850" s="14">
        <f t="shared" si="1"/>
        <v>44228</v>
      </c>
      <c r="P1850" s="15">
        <f>IFERROR(VLOOKUP(K1850,Formula!$A$11:$B$20,2,FALSE),Formula!$C$26)</f>
        <v>0.9</v>
      </c>
      <c r="Q1850" s="15">
        <f>IF(AND(ISNUMBER(J1850),J1850&gt;0),1/J1850,IF(AND(ISNUMBER(I1850),I1850&gt;0),SQRT(MIN(I1850,Formula!$C$27))/Formula!$C$24,1/Formula!$C$25))</f>
        <v>0.4545454545</v>
      </c>
      <c r="R1850" s="15">
        <f t="shared" si="2"/>
        <v>0.4090909091</v>
      </c>
      <c r="S1850" s="15">
        <f>IF(H1850&lt;&gt;"",EXP(-Formula!$C$28*(EOMONTH(H1850,0)-H1850)),EXP(-Formula!$C$28*(EOMONTH(D1850,0)-D1850)))</f>
        <v>0.2865047969</v>
      </c>
      <c r="T1850" s="15">
        <f t="shared" si="3"/>
        <v>0.2182178902</v>
      </c>
      <c r="U1850" s="15">
        <f t="shared" si="4"/>
        <v>0.02557655686</v>
      </c>
      <c r="V1850" s="16">
        <f>IF(AND(L1850="Among all respondents",NOT(OR(K1850="Online poll in Telegram channel",K1850="Website online poll",K1850="CAWI (Computer Assisted Web Interviewing)"))),1/(1-MIN(MAX(Formula!$C$33+(YEAR(D1850)-Formula!$C$34)/(Formula!$C$35-Formula!$C$34)*(Formula!$C$32-Formula!$C$33),Formula!$C$33),Formula!$C$32)),1)</f>
        <v>1</v>
      </c>
      <c r="W1850" s="17">
        <f t="shared" si="5"/>
        <v>4.8</v>
      </c>
    </row>
    <row r="1851" ht="15.75" customHeight="1">
      <c r="A1851" s="8" t="s">
        <v>2720</v>
      </c>
      <c r="B1851" s="7" t="s">
        <v>2712</v>
      </c>
      <c r="C1851" s="13" t="s">
        <v>2713</v>
      </c>
      <c r="D1851" s="7" t="s">
        <v>231</v>
      </c>
      <c r="E1851" s="8" t="s">
        <v>27</v>
      </c>
      <c r="F1851" s="8" t="s">
        <v>318</v>
      </c>
      <c r="G1851" s="7" t="s">
        <v>224</v>
      </c>
      <c r="H1851" s="7" t="s">
        <v>2683</v>
      </c>
      <c r="I1851" s="8">
        <v>2012.0</v>
      </c>
      <c r="J1851" s="8">
        <v>2.2</v>
      </c>
      <c r="K1851" s="8" t="s">
        <v>321</v>
      </c>
      <c r="L1851" s="8" t="s">
        <v>322</v>
      </c>
      <c r="M1851" s="8" t="s">
        <v>1398</v>
      </c>
      <c r="N1851" s="8">
        <v>3.5</v>
      </c>
      <c r="O1851" s="14">
        <f t="shared" si="1"/>
        <v>44228</v>
      </c>
      <c r="P1851" s="15">
        <f>IFERROR(VLOOKUP(K1851,Formula!$A$11:$B$20,2,FALSE),Formula!$C$26)</f>
        <v>0.9</v>
      </c>
      <c r="Q1851" s="15">
        <f>IF(AND(ISNUMBER(J1851),J1851&gt;0),1/J1851,IF(AND(ISNUMBER(I1851),I1851&gt;0),SQRT(MIN(I1851,Formula!$C$27))/Formula!$C$24,1/Formula!$C$25))</f>
        <v>0.4545454545</v>
      </c>
      <c r="R1851" s="15">
        <f t="shared" si="2"/>
        <v>0.4090909091</v>
      </c>
      <c r="S1851" s="15">
        <f>IF(H1851&lt;&gt;"",EXP(-Formula!$C$28*(EOMONTH(H1851,0)-H1851)),EXP(-Formula!$C$28*(EOMONTH(D1851,0)-D1851)))</f>
        <v>0.2865047969</v>
      </c>
      <c r="T1851" s="15">
        <f t="shared" si="3"/>
        <v>0.2182178902</v>
      </c>
      <c r="U1851" s="15">
        <f t="shared" si="4"/>
        <v>0.02557655686</v>
      </c>
      <c r="V1851" s="16">
        <f>IF(AND(L1851="Among all respondents",NOT(OR(K1851="Online poll in Telegram channel",K1851="Website online poll",K1851="CAWI (Computer Assisted Web Interviewing)"))),1/(1-MIN(MAX(Formula!$C$33+(YEAR(D1851)-Formula!$C$34)/(Formula!$C$35-Formula!$C$34)*(Formula!$C$32-Formula!$C$33),Formula!$C$33),Formula!$C$32)),1)</f>
        <v>1</v>
      </c>
      <c r="W1851" s="17">
        <f t="shared" si="5"/>
        <v>3.5</v>
      </c>
    </row>
    <row r="1852" ht="15.75" customHeight="1">
      <c r="A1852" s="8" t="s">
        <v>2721</v>
      </c>
      <c r="B1852" s="7" t="s">
        <v>2712</v>
      </c>
      <c r="C1852" s="13" t="s">
        <v>2713</v>
      </c>
      <c r="D1852" s="7" t="s">
        <v>231</v>
      </c>
      <c r="E1852" s="8" t="s">
        <v>27</v>
      </c>
      <c r="F1852" s="8" t="s">
        <v>318</v>
      </c>
      <c r="G1852" s="7" t="s">
        <v>224</v>
      </c>
      <c r="H1852" s="7" t="s">
        <v>2683</v>
      </c>
      <c r="I1852" s="8">
        <v>2012.0</v>
      </c>
      <c r="J1852" s="8">
        <v>2.2</v>
      </c>
      <c r="K1852" s="8" t="s">
        <v>321</v>
      </c>
      <c r="L1852" s="8" t="s">
        <v>322</v>
      </c>
      <c r="M1852" s="8" t="s">
        <v>339</v>
      </c>
      <c r="N1852" s="8">
        <v>3.4</v>
      </c>
      <c r="O1852" s="14">
        <f t="shared" si="1"/>
        <v>44228</v>
      </c>
      <c r="P1852" s="15">
        <f>IFERROR(VLOOKUP(K1852,Formula!$A$11:$B$20,2,FALSE),Formula!$C$26)</f>
        <v>0.9</v>
      </c>
      <c r="Q1852" s="15">
        <f>IF(AND(ISNUMBER(J1852),J1852&gt;0),1/J1852,IF(AND(ISNUMBER(I1852),I1852&gt;0),SQRT(MIN(I1852,Formula!$C$27))/Formula!$C$24,1/Formula!$C$25))</f>
        <v>0.4545454545</v>
      </c>
      <c r="R1852" s="15">
        <f t="shared" si="2"/>
        <v>0.4090909091</v>
      </c>
      <c r="S1852" s="15">
        <f>IF(H1852&lt;&gt;"",EXP(-Formula!$C$28*(EOMONTH(H1852,0)-H1852)),EXP(-Formula!$C$28*(EOMONTH(D1852,0)-D1852)))</f>
        <v>0.2865047969</v>
      </c>
      <c r="T1852" s="15">
        <f t="shared" si="3"/>
        <v>0.2182178902</v>
      </c>
      <c r="U1852" s="15">
        <f t="shared" si="4"/>
        <v>0.02557655686</v>
      </c>
      <c r="V1852" s="16">
        <f>IF(AND(L1852="Among all respondents",NOT(OR(K1852="Online poll in Telegram channel",K1852="Website online poll",K1852="CAWI (Computer Assisted Web Interviewing)"))),1/(1-MIN(MAX(Formula!$C$33+(YEAR(D1852)-Formula!$C$34)/(Formula!$C$35-Formula!$C$34)*(Formula!$C$32-Formula!$C$33),Formula!$C$33),Formula!$C$32)),1)</f>
        <v>1</v>
      </c>
      <c r="W1852" s="17">
        <f t="shared" si="5"/>
        <v>3.4</v>
      </c>
    </row>
    <row r="1853" ht="15.75" customHeight="1">
      <c r="A1853" s="8" t="s">
        <v>2722</v>
      </c>
      <c r="B1853" s="7" t="s">
        <v>2712</v>
      </c>
      <c r="C1853" s="13" t="s">
        <v>2713</v>
      </c>
      <c r="D1853" s="7" t="s">
        <v>231</v>
      </c>
      <c r="E1853" s="8" t="s">
        <v>27</v>
      </c>
      <c r="F1853" s="8" t="s">
        <v>318</v>
      </c>
      <c r="G1853" s="7" t="s">
        <v>224</v>
      </c>
      <c r="H1853" s="7" t="s">
        <v>2683</v>
      </c>
      <c r="I1853" s="8">
        <v>2012.0</v>
      </c>
      <c r="J1853" s="8">
        <v>2.2</v>
      </c>
      <c r="K1853" s="8" t="s">
        <v>321</v>
      </c>
      <c r="L1853" s="8" t="s">
        <v>322</v>
      </c>
      <c r="M1853" s="8" t="s">
        <v>333</v>
      </c>
      <c r="N1853" s="8">
        <v>2.9</v>
      </c>
      <c r="O1853" s="14">
        <f t="shared" si="1"/>
        <v>44228</v>
      </c>
      <c r="P1853" s="15">
        <f>IFERROR(VLOOKUP(K1853,Formula!$A$11:$B$20,2,FALSE),Formula!$C$26)</f>
        <v>0.9</v>
      </c>
      <c r="Q1853" s="15">
        <f>IF(AND(ISNUMBER(J1853),J1853&gt;0),1/J1853,IF(AND(ISNUMBER(I1853),I1853&gt;0),SQRT(MIN(I1853,Formula!$C$27))/Formula!$C$24,1/Formula!$C$25))</f>
        <v>0.4545454545</v>
      </c>
      <c r="R1853" s="15">
        <f t="shared" si="2"/>
        <v>0.4090909091</v>
      </c>
      <c r="S1853" s="15">
        <f>IF(H1853&lt;&gt;"",EXP(-Formula!$C$28*(EOMONTH(H1853,0)-H1853)),EXP(-Formula!$C$28*(EOMONTH(D1853,0)-D1853)))</f>
        <v>0.2865047969</v>
      </c>
      <c r="T1853" s="15">
        <f t="shared" si="3"/>
        <v>0.2182178902</v>
      </c>
      <c r="U1853" s="15">
        <f t="shared" si="4"/>
        <v>0.02557655686</v>
      </c>
      <c r="V1853" s="16">
        <f>IF(AND(L1853="Among all respondents",NOT(OR(K1853="Online poll in Telegram channel",K1853="Website online poll",K1853="CAWI (Computer Assisted Web Interviewing)"))),1/(1-MIN(MAX(Formula!$C$33+(YEAR(D1853)-Formula!$C$34)/(Formula!$C$35-Formula!$C$34)*(Formula!$C$32-Formula!$C$33),Formula!$C$33),Formula!$C$32)),1)</f>
        <v>1</v>
      </c>
      <c r="W1853" s="17">
        <f t="shared" si="5"/>
        <v>2.9</v>
      </c>
    </row>
    <row r="1854" ht="15.75" customHeight="1">
      <c r="A1854" s="8" t="s">
        <v>2723</v>
      </c>
      <c r="B1854" s="7" t="s">
        <v>2724</v>
      </c>
      <c r="C1854" s="13" t="s">
        <v>2725</v>
      </c>
      <c r="D1854" s="7" t="s">
        <v>231</v>
      </c>
      <c r="E1854" s="8" t="s">
        <v>40</v>
      </c>
      <c r="F1854" s="8" t="s">
        <v>318</v>
      </c>
      <c r="G1854" s="7" t="s">
        <v>237</v>
      </c>
      <c r="H1854" s="7" t="s">
        <v>2683</v>
      </c>
      <c r="I1854" s="8">
        <v>2000.0</v>
      </c>
      <c r="J1854" s="8">
        <v>2.2</v>
      </c>
      <c r="K1854" s="8" t="s">
        <v>321</v>
      </c>
      <c r="L1854" s="8" t="s">
        <v>322</v>
      </c>
      <c r="M1854" s="8" t="s">
        <v>323</v>
      </c>
      <c r="N1854" s="8">
        <v>21.2</v>
      </c>
      <c r="O1854" s="14">
        <f t="shared" si="1"/>
        <v>44228</v>
      </c>
      <c r="P1854" s="15">
        <f>IFERROR(VLOOKUP(K1854,Formula!$A$11:$B$20,2,FALSE),Formula!$C$26)</f>
        <v>0.9</v>
      </c>
      <c r="Q1854" s="15">
        <f>IF(AND(ISNUMBER(J1854),J1854&gt;0),1/J1854,IF(AND(ISNUMBER(I1854),I1854&gt;0),SQRT(MIN(I1854,Formula!$C$27))/Formula!$C$24,1/Formula!$C$25))</f>
        <v>0.4545454545</v>
      </c>
      <c r="R1854" s="15">
        <f t="shared" si="2"/>
        <v>0.4090909091</v>
      </c>
      <c r="S1854" s="15">
        <f>IF(H1854&lt;&gt;"",EXP(-Formula!$C$28*(EOMONTH(H1854,0)-H1854)),EXP(-Formula!$C$28*(EOMONTH(D1854,0)-D1854)))</f>
        <v>0.2865047969</v>
      </c>
      <c r="T1854" s="15">
        <f t="shared" si="3"/>
        <v>0.2041241452</v>
      </c>
      <c r="U1854" s="15">
        <f t="shared" si="4"/>
        <v>0.02392467822</v>
      </c>
      <c r="V1854" s="16">
        <f>IF(AND(L1854="Among all respondents",NOT(OR(K1854="Online poll in Telegram channel",K1854="Website online poll",K1854="CAWI (Computer Assisted Web Interviewing)"))),1/(1-MIN(MAX(Formula!$C$33+(YEAR(D1854)-Formula!$C$34)/(Formula!$C$35-Formula!$C$34)*(Formula!$C$32-Formula!$C$33),Formula!$C$33),Formula!$C$32)),1)</f>
        <v>1</v>
      </c>
      <c r="W1854" s="17">
        <f t="shared" si="5"/>
        <v>21.2</v>
      </c>
    </row>
    <row r="1855" ht="15.75" customHeight="1">
      <c r="A1855" s="8" t="s">
        <v>2726</v>
      </c>
      <c r="B1855" s="7" t="s">
        <v>2724</v>
      </c>
      <c r="C1855" s="13" t="s">
        <v>2725</v>
      </c>
      <c r="D1855" s="7" t="s">
        <v>231</v>
      </c>
      <c r="E1855" s="8" t="s">
        <v>40</v>
      </c>
      <c r="F1855" s="8" t="s">
        <v>318</v>
      </c>
      <c r="G1855" s="7" t="s">
        <v>237</v>
      </c>
      <c r="H1855" s="7" t="s">
        <v>2683</v>
      </c>
      <c r="I1855" s="8">
        <v>2000.0</v>
      </c>
      <c r="J1855" s="8">
        <v>2.2</v>
      </c>
      <c r="K1855" s="8" t="s">
        <v>321</v>
      </c>
      <c r="L1855" s="8" t="s">
        <v>322</v>
      </c>
      <c r="M1855" s="8" t="s">
        <v>365</v>
      </c>
      <c r="N1855" s="8">
        <v>17.1</v>
      </c>
      <c r="O1855" s="14">
        <f t="shared" si="1"/>
        <v>44228</v>
      </c>
      <c r="P1855" s="15">
        <f>IFERROR(VLOOKUP(K1855,Formula!$A$11:$B$20,2,FALSE),Formula!$C$26)</f>
        <v>0.9</v>
      </c>
      <c r="Q1855" s="15">
        <f>IF(AND(ISNUMBER(J1855),J1855&gt;0),1/J1855,IF(AND(ISNUMBER(I1855),I1855&gt;0),SQRT(MIN(I1855,Formula!$C$27))/Formula!$C$24,1/Formula!$C$25))</f>
        <v>0.4545454545</v>
      </c>
      <c r="R1855" s="15">
        <f t="shared" si="2"/>
        <v>0.4090909091</v>
      </c>
      <c r="S1855" s="15">
        <f>IF(H1855&lt;&gt;"",EXP(-Formula!$C$28*(EOMONTH(H1855,0)-H1855)),EXP(-Formula!$C$28*(EOMONTH(D1855,0)-D1855)))</f>
        <v>0.2865047969</v>
      </c>
      <c r="T1855" s="15">
        <f t="shared" si="3"/>
        <v>0.2041241452</v>
      </c>
      <c r="U1855" s="15">
        <f t="shared" si="4"/>
        <v>0.02392467822</v>
      </c>
      <c r="V1855" s="16">
        <f>IF(AND(L1855="Among all respondents",NOT(OR(K1855="Online poll in Telegram channel",K1855="Website online poll",K1855="CAWI (Computer Assisted Web Interviewing)"))),1/(1-MIN(MAX(Formula!$C$33+(YEAR(D1855)-Formula!$C$34)/(Formula!$C$35-Formula!$C$34)*(Formula!$C$32-Formula!$C$33),Formula!$C$33),Formula!$C$32)),1)</f>
        <v>1</v>
      </c>
      <c r="W1855" s="17">
        <f t="shared" si="5"/>
        <v>17.1</v>
      </c>
    </row>
    <row r="1856" ht="15.75" customHeight="1">
      <c r="A1856" s="8" t="s">
        <v>2727</v>
      </c>
      <c r="B1856" s="7" t="s">
        <v>2724</v>
      </c>
      <c r="C1856" s="13" t="s">
        <v>2725</v>
      </c>
      <c r="D1856" s="7" t="s">
        <v>231</v>
      </c>
      <c r="E1856" s="8" t="s">
        <v>40</v>
      </c>
      <c r="F1856" s="8" t="s">
        <v>318</v>
      </c>
      <c r="G1856" s="7" t="s">
        <v>237</v>
      </c>
      <c r="H1856" s="7" t="s">
        <v>2683</v>
      </c>
      <c r="I1856" s="8">
        <v>2000.0</v>
      </c>
      <c r="J1856" s="8">
        <v>2.2</v>
      </c>
      <c r="K1856" s="8" t="s">
        <v>321</v>
      </c>
      <c r="L1856" s="8" t="s">
        <v>322</v>
      </c>
      <c r="M1856" s="8" t="s">
        <v>329</v>
      </c>
      <c r="N1856" s="8">
        <v>16.4</v>
      </c>
      <c r="O1856" s="14">
        <f t="shared" si="1"/>
        <v>44228</v>
      </c>
      <c r="P1856" s="15">
        <f>IFERROR(VLOOKUP(K1856,Formula!$A$11:$B$20,2,FALSE),Formula!$C$26)</f>
        <v>0.9</v>
      </c>
      <c r="Q1856" s="15">
        <f>IF(AND(ISNUMBER(J1856),J1856&gt;0),1/J1856,IF(AND(ISNUMBER(I1856),I1856&gt;0),SQRT(MIN(I1856,Formula!$C$27))/Formula!$C$24,1/Formula!$C$25))</f>
        <v>0.4545454545</v>
      </c>
      <c r="R1856" s="15">
        <f t="shared" si="2"/>
        <v>0.4090909091</v>
      </c>
      <c r="S1856" s="15">
        <f>IF(H1856&lt;&gt;"",EXP(-Formula!$C$28*(EOMONTH(H1856,0)-H1856)),EXP(-Formula!$C$28*(EOMONTH(D1856,0)-D1856)))</f>
        <v>0.2865047969</v>
      </c>
      <c r="T1856" s="15">
        <f t="shared" si="3"/>
        <v>0.2041241452</v>
      </c>
      <c r="U1856" s="15">
        <f t="shared" si="4"/>
        <v>0.02392467822</v>
      </c>
      <c r="V1856" s="16">
        <f>IF(AND(L1856="Among all respondents",NOT(OR(K1856="Online poll in Telegram channel",K1856="Website online poll",K1856="CAWI (Computer Assisted Web Interviewing)"))),1/(1-MIN(MAX(Formula!$C$33+(YEAR(D1856)-Formula!$C$34)/(Formula!$C$35-Formula!$C$34)*(Formula!$C$32-Formula!$C$33),Formula!$C$33),Formula!$C$32)),1)</f>
        <v>1</v>
      </c>
      <c r="W1856" s="17">
        <f t="shared" si="5"/>
        <v>16.4</v>
      </c>
    </row>
    <row r="1857" ht="15.75" customHeight="1">
      <c r="A1857" s="8" t="s">
        <v>2728</v>
      </c>
      <c r="B1857" s="7" t="s">
        <v>2724</v>
      </c>
      <c r="C1857" s="13" t="s">
        <v>2725</v>
      </c>
      <c r="D1857" s="7" t="s">
        <v>231</v>
      </c>
      <c r="E1857" s="8" t="s">
        <v>40</v>
      </c>
      <c r="F1857" s="8" t="s">
        <v>318</v>
      </c>
      <c r="G1857" s="7" t="s">
        <v>237</v>
      </c>
      <c r="H1857" s="7" t="s">
        <v>2683</v>
      </c>
      <c r="I1857" s="8">
        <v>2000.0</v>
      </c>
      <c r="J1857" s="8">
        <v>2.2</v>
      </c>
      <c r="K1857" s="8" t="s">
        <v>321</v>
      </c>
      <c r="L1857" s="8" t="s">
        <v>322</v>
      </c>
      <c r="M1857" s="8" t="s">
        <v>337</v>
      </c>
      <c r="N1857" s="8">
        <v>12.3</v>
      </c>
      <c r="O1857" s="14">
        <f t="shared" si="1"/>
        <v>44228</v>
      </c>
      <c r="P1857" s="15">
        <f>IFERROR(VLOOKUP(K1857,Formula!$A$11:$B$20,2,FALSE),Formula!$C$26)</f>
        <v>0.9</v>
      </c>
      <c r="Q1857" s="15">
        <f>IF(AND(ISNUMBER(J1857),J1857&gt;0),1/J1857,IF(AND(ISNUMBER(I1857),I1857&gt;0),SQRT(MIN(I1857,Formula!$C$27))/Formula!$C$24,1/Formula!$C$25))</f>
        <v>0.4545454545</v>
      </c>
      <c r="R1857" s="15">
        <f t="shared" si="2"/>
        <v>0.4090909091</v>
      </c>
      <c r="S1857" s="15">
        <f>IF(H1857&lt;&gt;"",EXP(-Formula!$C$28*(EOMONTH(H1857,0)-H1857)),EXP(-Formula!$C$28*(EOMONTH(D1857,0)-D1857)))</f>
        <v>0.2865047969</v>
      </c>
      <c r="T1857" s="15">
        <f t="shared" si="3"/>
        <v>0.2041241452</v>
      </c>
      <c r="U1857" s="15">
        <f t="shared" si="4"/>
        <v>0.02392467822</v>
      </c>
      <c r="V1857" s="16">
        <f>IF(AND(L1857="Among all respondents",NOT(OR(K1857="Online poll in Telegram channel",K1857="Website online poll",K1857="CAWI (Computer Assisted Web Interviewing)"))),1/(1-MIN(MAX(Formula!$C$33+(YEAR(D1857)-Formula!$C$34)/(Formula!$C$35-Formula!$C$34)*(Formula!$C$32-Formula!$C$33),Formula!$C$33),Formula!$C$32)),1)</f>
        <v>1</v>
      </c>
      <c r="W1857" s="17">
        <f t="shared" si="5"/>
        <v>12.3</v>
      </c>
    </row>
    <row r="1858" ht="15.75" customHeight="1">
      <c r="A1858" s="8" t="s">
        <v>2729</v>
      </c>
      <c r="B1858" s="7" t="s">
        <v>2724</v>
      </c>
      <c r="C1858" s="13" t="s">
        <v>2725</v>
      </c>
      <c r="D1858" s="7" t="s">
        <v>231</v>
      </c>
      <c r="E1858" s="8" t="s">
        <v>40</v>
      </c>
      <c r="F1858" s="8" t="s">
        <v>318</v>
      </c>
      <c r="G1858" s="7" t="s">
        <v>237</v>
      </c>
      <c r="H1858" s="7" t="s">
        <v>2683</v>
      </c>
      <c r="I1858" s="8">
        <v>2000.0</v>
      </c>
      <c r="J1858" s="8">
        <v>2.2</v>
      </c>
      <c r="K1858" s="8" t="s">
        <v>321</v>
      </c>
      <c r="L1858" s="8" t="s">
        <v>322</v>
      </c>
      <c r="M1858" s="8" t="s">
        <v>828</v>
      </c>
      <c r="N1858" s="8">
        <v>7.5</v>
      </c>
      <c r="O1858" s="14">
        <f t="shared" si="1"/>
        <v>44228</v>
      </c>
      <c r="P1858" s="15">
        <f>IFERROR(VLOOKUP(K1858,Formula!$A$11:$B$20,2,FALSE),Formula!$C$26)</f>
        <v>0.9</v>
      </c>
      <c r="Q1858" s="15">
        <f>IF(AND(ISNUMBER(J1858),J1858&gt;0),1/J1858,IF(AND(ISNUMBER(I1858),I1858&gt;0),SQRT(MIN(I1858,Formula!$C$27))/Formula!$C$24,1/Formula!$C$25))</f>
        <v>0.4545454545</v>
      </c>
      <c r="R1858" s="15">
        <f t="shared" si="2"/>
        <v>0.4090909091</v>
      </c>
      <c r="S1858" s="15">
        <f>IF(H1858&lt;&gt;"",EXP(-Formula!$C$28*(EOMONTH(H1858,0)-H1858)),EXP(-Formula!$C$28*(EOMONTH(D1858,0)-D1858)))</f>
        <v>0.2865047969</v>
      </c>
      <c r="T1858" s="15">
        <f t="shared" si="3"/>
        <v>0.2041241452</v>
      </c>
      <c r="U1858" s="15">
        <f t="shared" si="4"/>
        <v>0.02392467822</v>
      </c>
      <c r="V1858" s="16">
        <f>IF(AND(L1858="Among all respondents",NOT(OR(K1858="Online poll in Telegram channel",K1858="Website online poll",K1858="CAWI (Computer Assisted Web Interviewing)"))),1/(1-MIN(MAX(Formula!$C$33+(YEAR(D1858)-Formula!$C$34)/(Formula!$C$35-Formula!$C$34)*(Formula!$C$32-Formula!$C$33),Formula!$C$33),Formula!$C$32)),1)</f>
        <v>1</v>
      </c>
      <c r="W1858" s="17">
        <f t="shared" si="5"/>
        <v>7.5</v>
      </c>
    </row>
    <row r="1859" ht="15.75" customHeight="1">
      <c r="A1859" s="8" t="s">
        <v>2730</v>
      </c>
      <c r="B1859" s="7" t="s">
        <v>2724</v>
      </c>
      <c r="C1859" s="13" t="s">
        <v>2725</v>
      </c>
      <c r="D1859" s="7" t="s">
        <v>231</v>
      </c>
      <c r="E1859" s="8" t="s">
        <v>40</v>
      </c>
      <c r="F1859" s="8" t="s">
        <v>318</v>
      </c>
      <c r="G1859" s="7" t="s">
        <v>237</v>
      </c>
      <c r="H1859" s="7" t="s">
        <v>2683</v>
      </c>
      <c r="I1859" s="8">
        <v>2000.0</v>
      </c>
      <c r="J1859" s="8">
        <v>2.2</v>
      </c>
      <c r="K1859" s="8" t="s">
        <v>321</v>
      </c>
      <c r="L1859" s="8" t="s">
        <v>322</v>
      </c>
      <c r="M1859" s="8" t="s">
        <v>386</v>
      </c>
      <c r="N1859" s="8">
        <v>4.3</v>
      </c>
      <c r="O1859" s="14">
        <f t="shared" si="1"/>
        <v>44228</v>
      </c>
      <c r="P1859" s="15">
        <f>IFERROR(VLOOKUP(K1859,Formula!$A$11:$B$20,2,FALSE),Formula!$C$26)</f>
        <v>0.9</v>
      </c>
      <c r="Q1859" s="15">
        <f>IF(AND(ISNUMBER(J1859),J1859&gt;0),1/J1859,IF(AND(ISNUMBER(I1859),I1859&gt;0),SQRT(MIN(I1859,Formula!$C$27))/Formula!$C$24,1/Formula!$C$25))</f>
        <v>0.4545454545</v>
      </c>
      <c r="R1859" s="15">
        <f t="shared" si="2"/>
        <v>0.4090909091</v>
      </c>
      <c r="S1859" s="15">
        <f>IF(H1859&lt;&gt;"",EXP(-Formula!$C$28*(EOMONTH(H1859,0)-H1859)),EXP(-Formula!$C$28*(EOMONTH(D1859,0)-D1859)))</f>
        <v>0.2865047969</v>
      </c>
      <c r="T1859" s="15">
        <f t="shared" si="3"/>
        <v>0.2041241452</v>
      </c>
      <c r="U1859" s="15">
        <f t="shared" si="4"/>
        <v>0.02392467822</v>
      </c>
      <c r="V1859" s="16">
        <f>IF(AND(L1859="Among all respondents",NOT(OR(K1859="Online poll in Telegram channel",K1859="Website online poll",K1859="CAWI (Computer Assisted Web Interviewing)"))),1/(1-MIN(MAX(Formula!$C$33+(YEAR(D1859)-Formula!$C$34)/(Formula!$C$35-Formula!$C$34)*(Formula!$C$32-Formula!$C$33),Formula!$C$33),Formula!$C$32)),1)</f>
        <v>1</v>
      </c>
      <c r="W1859" s="17">
        <f t="shared" si="5"/>
        <v>4.3</v>
      </c>
    </row>
    <row r="1860" ht="15.75" customHeight="1">
      <c r="A1860" s="8" t="s">
        <v>2731</v>
      </c>
      <c r="B1860" s="7" t="s">
        <v>2724</v>
      </c>
      <c r="C1860" s="13" t="s">
        <v>2725</v>
      </c>
      <c r="D1860" s="7" t="s">
        <v>231</v>
      </c>
      <c r="E1860" s="8" t="s">
        <v>40</v>
      </c>
      <c r="F1860" s="8" t="s">
        <v>318</v>
      </c>
      <c r="G1860" s="7" t="s">
        <v>237</v>
      </c>
      <c r="H1860" s="7" t="s">
        <v>2683</v>
      </c>
      <c r="I1860" s="8">
        <v>2000.0</v>
      </c>
      <c r="J1860" s="8">
        <v>2.2</v>
      </c>
      <c r="K1860" s="8" t="s">
        <v>321</v>
      </c>
      <c r="L1860" s="8" t="s">
        <v>322</v>
      </c>
      <c r="M1860" s="8" t="s">
        <v>388</v>
      </c>
      <c r="N1860" s="8">
        <v>4.0</v>
      </c>
      <c r="O1860" s="14">
        <f t="shared" si="1"/>
        <v>44228</v>
      </c>
      <c r="P1860" s="15">
        <f>IFERROR(VLOOKUP(K1860,Formula!$A$11:$B$20,2,FALSE),Formula!$C$26)</f>
        <v>0.9</v>
      </c>
      <c r="Q1860" s="15">
        <f>IF(AND(ISNUMBER(J1860),J1860&gt;0),1/J1860,IF(AND(ISNUMBER(I1860),I1860&gt;0),SQRT(MIN(I1860,Formula!$C$27))/Formula!$C$24,1/Formula!$C$25))</f>
        <v>0.4545454545</v>
      </c>
      <c r="R1860" s="15">
        <f t="shared" si="2"/>
        <v>0.4090909091</v>
      </c>
      <c r="S1860" s="15">
        <f>IF(H1860&lt;&gt;"",EXP(-Formula!$C$28*(EOMONTH(H1860,0)-H1860)),EXP(-Formula!$C$28*(EOMONTH(D1860,0)-D1860)))</f>
        <v>0.2865047969</v>
      </c>
      <c r="T1860" s="15">
        <f t="shared" si="3"/>
        <v>0.2041241452</v>
      </c>
      <c r="U1860" s="15">
        <f t="shared" si="4"/>
        <v>0.02392467822</v>
      </c>
      <c r="V1860" s="16">
        <f>IF(AND(L1860="Among all respondents",NOT(OR(K1860="Online poll in Telegram channel",K1860="Website online poll",K1860="CAWI (Computer Assisted Web Interviewing)"))),1/(1-MIN(MAX(Formula!$C$33+(YEAR(D1860)-Formula!$C$34)/(Formula!$C$35-Formula!$C$34)*(Formula!$C$32-Formula!$C$33),Formula!$C$33),Formula!$C$32)),1)</f>
        <v>1</v>
      </c>
      <c r="W1860" s="17">
        <f t="shared" si="5"/>
        <v>4</v>
      </c>
    </row>
    <row r="1861" ht="15.75" customHeight="1">
      <c r="A1861" s="8" t="s">
        <v>2732</v>
      </c>
      <c r="B1861" s="7" t="s">
        <v>2724</v>
      </c>
      <c r="C1861" s="13" t="s">
        <v>2725</v>
      </c>
      <c r="D1861" s="7" t="s">
        <v>231</v>
      </c>
      <c r="E1861" s="8" t="s">
        <v>40</v>
      </c>
      <c r="F1861" s="8" t="s">
        <v>318</v>
      </c>
      <c r="G1861" s="7" t="s">
        <v>237</v>
      </c>
      <c r="H1861" s="7" t="s">
        <v>2683</v>
      </c>
      <c r="I1861" s="8">
        <v>2000.0</v>
      </c>
      <c r="J1861" s="8">
        <v>2.2</v>
      </c>
      <c r="K1861" s="8" t="s">
        <v>321</v>
      </c>
      <c r="L1861" s="8" t="s">
        <v>322</v>
      </c>
      <c r="M1861" s="8" t="s">
        <v>333</v>
      </c>
      <c r="N1861" s="8">
        <v>3.2</v>
      </c>
      <c r="O1861" s="14">
        <f t="shared" si="1"/>
        <v>44228</v>
      </c>
      <c r="P1861" s="15">
        <f>IFERROR(VLOOKUP(K1861,Formula!$A$11:$B$20,2,FALSE),Formula!$C$26)</f>
        <v>0.9</v>
      </c>
      <c r="Q1861" s="15">
        <f>IF(AND(ISNUMBER(J1861),J1861&gt;0),1/J1861,IF(AND(ISNUMBER(I1861),I1861&gt;0),SQRT(MIN(I1861,Formula!$C$27))/Formula!$C$24,1/Formula!$C$25))</f>
        <v>0.4545454545</v>
      </c>
      <c r="R1861" s="15">
        <f t="shared" si="2"/>
        <v>0.4090909091</v>
      </c>
      <c r="S1861" s="15">
        <f>IF(H1861&lt;&gt;"",EXP(-Formula!$C$28*(EOMONTH(H1861,0)-H1861)),EXP(-Formula!$C$28*(EOMONTH(D1861,0)-D1861)))</f>
        <v>0.2865047969</v>
      </c>
      <c r="T1861" s="15">
        <f t="shared" si="3"/>
        <v>0.2041241452</v>
      </c>
      <c r="U1861" s="15">
        <f t="shared" si="4"/>
        <v>0.02392467822</v>
      </c>
      <c r="V1861" s="16">
        <f>IF(AND(L1861="Among all respondents",NOT(OR(K1861="Online poll in Telegram channel",K1861="Website online poll",K1861="CAWI (Computer Assisted Web Interviewing)"))),1/(1-MIN(MAX(Formula!$C$33+(YEAR(D1861)-Formula!$C$34)/(Formula!$C$35-Formula!$C$34)*(Formula!$C$32-Formula!$C$33),Formula!$C$33),Formula!$C$32)),1)</f>
        <v>1</v>
      </c>
      <c r="W1861" s="17">
        <f t="shared" si="5"/>
        <v>3.2</v>
      </c>
    </row>
    <row r="1862" ht="15.75" customHeight="1">
      <c r="A1862" s="8" t="s">
        <v>2733</v>
      </c>
      <c r="B1862" s="7" t="s">
        <v>2724</v>
      </c>
      <c r="C1862" s="13" t="s">
        <v>2725</v>
      </c>
      <c r="D1862" s="7" t="s">
        <v>231</v>
      </c>
      <c r="E1862" s="8" t="s">
        <v>40</v>
      </c>
      <c r="F1862" s="8" t="s">
        <v>318</v>
      </c>
      <c r="G1862" s="7" t="s">
        <v>237</v>
      </c>
      <c r="H1862" s="7" t="s">
        <v>2683</v>
      </c>
      <c r="I1862" s="8">
        <v>2000.0</v>
      </c>
      <c r="J1862" s="8">
        <v>2.2</v>
      </c>
      <c r="K1862" s="8" t="s">
        <v>321</v>
      </c>
      <c r="L1862" s="8" t="s">
        <v>322</v>
      </c>
      <c r="M1862" s="8" t="s">
        <v>339</v>
      </c>
      <c r="N1862" s="8">
        <v>3.1</v>
      </c>
      <c r="O1862" s="14">
        <f t="shared" si="1"/>
        <v>44228</v>
      </c>
      <c r="P1862" s="15">
        <f>IFERROR(VLOOKUP(K1862,Formula!$A$11:$B$20,2,FALSE),Formula!$C$26)</f>
        <v>0.9</v>
      </c>
      <c r="Q1862" s="15">
        <f>IF(AND(ISNUMBER(J1862),J1862&gt;0),1/J1862,IF(AND(ISNUMBER(I1862),I1862&gt;0),SQRT(MIN(I1862,Formula!$C$27))/Formula!$C$24,1/Formula!$C$25))</f>
        <v>0.4545454545</v>
      </c>
      <c r="R1862" s="15">
        <f t="shared" si="2"/>
        <v>0.4090909091</v>
      </c>
      <c r="S1862" s="15">
        <f>IF(H1862&lt;&gt;"",EXP(-Formula!$C$28*(EOMONTH(H1862,0)-H1862)),EXP(-Formula!$C$28*(EOMONTH(D1862,0)-D1862)))</f>
        <v>0.2865047969</v>
      </c>
      <c r="T1862" s="15">
        <f t="shared" si="3"/>
        <v>0.2041241452</v>
      </c>
      <c r="U1862" s="15">
        <f t="shared" si="4"/>
        <v>0.02392467822</v>
      </c>
      <c r="V1862" s="16">
        <f>IF(AND(L1862="Among all respondents",NOT(OR(K1862="Online poll in Telegram channel",K1862="Website online poll",K1862="CAWI (Computer Assisted Web Interviewing)"))),1/(1-MIN(MAX(Formula!$C$33+(YEAR(D1862)-Formula!$C$34)/(Formula!$C$35-Formula!$C$34)*(Formula!$C$32-Formula!$C$33),Formula!$C$33),Formula!$C$32)),1)</f>
        <v>1</v>
      </c>
      <c r="W1862" s="17">
        <f t="shared" si="5"/>
        <v>3.1</v>
      </c>
    </row>
    <row r="1863" ht="15.75" customHeight="1">
      <c r="A1863" s="8" t="s">
        <v>2734</v>
      </c>
      <c r="B1863" s="7" t="s">
        <v>2724</v>
      </c>
      <c r="C1863" s="13" t="s">
        <v>2725</v>
      </c>
      <c r="D1863" s="7" t="s">
        <v>231</v>
      </c>
      <c r="E1863" s="8" t="s">
        <v>40</v>
      </c>
      <c r="F1863" s="8" t="s">
        <v>318</v>
      </c>
      <c r="G1863" s="7" t="s">
        <v>237</v>
      </c>
      <c r="H1863" s="7" t="s">
        <v>2683</v>
      </c>
      <c r="I1863" s="8">
        <v>2000.0</v>
      </c>
      <c r="J1863" s="8">
        <v>2.2</v>
      </c>
      <c r="K1863" s="8" t="s">
        <v>321</v>
      </c>
      <c r="L1863" s="8" t="s">
        <v>322</v>
      </c>
      <c r="M1863" s="8" t="s">
        <v>740</v>
      </c>
      <c r="N1863" s="8">
        <v>2.1</v>
      </c>
      <c r="O1863" s="14">
        <f t="shared" si="1"/>
        <v>44228</v>
      </c>
      <c r="P1863" s="15">
        <f>IFERROR(VLOOKUP(K1863,Formula!$A$11:$B$20,2,FALSE),Formula!$C$26)</f>
        <v>0.9</v>
      </c>
      <c r="Q1863" s="15">
        <f>IF(AND(ISNUMBER(J1863),J1863&gt;0),1/J1863,IF(AND(ISNUMBER(I1863),I1863&gt;0),SQRT(MIN(I1863,Formula!$C$27))/Formula!$C$24,1/Formula!$C$25))</f>
        <v>0.4545454545</v>
      </c>
      <c r="R1863" s="15">
        <f t="shared" si="2"/>
        <v>0.4090909091</v>
      </c>
      <c r="S1863" s="15">
        <f>IF(H1863&lt;&gt;"",EXP(-Formula!$C$28*(EOMONTH(H1863,0)-H1863)),EXP(-Formula!$C$28*(EOMONTH(D1863,0)-D1863)))</f>
        <v>0.2865047969</v>
      </c>
      <c r="T1863" s="15">
        <f t="shared" si="3"/>
        <v>0.2041241452</v>
      </c>
      <c r="U1863" s="15">
        <f t="shared" si="4"/>
        <v>0.02392467822</v>
      </c>
      <c r="V1863" s="16">
        <f>IF(AND(L1863="Among all respondents",NOT(OR(K1863="Online poll in Telegram channel",K1863="Website online poll",K1863="CAWI (Computer Assisted Web Interviewing)"))),1/(1-MIN(MAX(Formula!$C$33+(YEAR(D1863)-Formula!$C$34)/(Formula!$C$35-Formula!$C$34)*(Formula!$C$32-Formula!$C$33),Formula!$C$33),Formula!$C$32)),1)</f>
        <v>1</v>
      </c>
      <c r="W1863" s="17">
        <f t="shared" si="5"/>
        <v>2.1</v>
      </c>
    </row>
    <row r="1864" ht="15.75" customHeight="1">
      <c r="A1864" s="8" t="s">
        <v>2735</v>
      </c>
      <c r="B1864" s="7" t="s">
        <v>2724</v>
      </c>
      <c r="C1864" s="13" t="s">
        <v>2725</v>
      </c>
      <c r="D1864" s="7" t="s">
        <v>231</v>
      </c>
      <c r="E1864" s="8" t="s">
        <v>40</v>
      </c>
      <c r="F1864" s="8" t="s">
        <v>318</v>
      </c>
      <c r="G1864" s="7" t="s">
        <v>237</v>
      </c>
      <c r="H1864" s="7" t="s">
        <v>2683</v>
      </c>
      <c r="I1864" s="8">
        <v>2000.0</v>
      </c>
      <c r="J1864" s="8">
        <v>2.2</v>
      </c>
      <c r="K1864" s="8" t="s">
        <v>321</v>
      </c>
      <c r="L1864" s="8" t="s">
        <v>322</v>
      </c>
      <c r="M1864" s="8" t="s">
        <v>343</v>
      </c>
      <c r="N1864" s="8">
        <v>1.1</v>
      </c>
      <c r="O1864" s="14">
        <f t="shared" si="1"/>
        <v>44228</v>
      </c>
      <c r="P1864" s="15">
        <f>IFERROR(VLOOKUP(K1864,Formula!$A$11:$B$20,2,FALSE),Formula!$C$26)</f>
        <v>0.9</v>
      </c>
      <c r="Q1864" s="15">
        <f>IF(AND(ISNUMBER(J1864),J1864&gt;0),1/J1864,IF(AND(ISNUMBER(I1864),I1864&gt;0),SQRT(MIN(I1864,Formula!$C$27))/Formula!$C$24,1/Formula!$C$25))</f>
        <v>0.4545454545</v>
      </c>
      <c r="R1864" s="15">
        <f t="shared" si="2"/>
        <v>0.4090909091</v>
      </c>
      <c r="S1864" s="15">
        <f>IF(H1864&lt;&gt;"",EXP(-Formula!$C$28*(EOMONTH(H1864,0)-H1864)),EXP(-Formula!$C$28*(EOMONTH(D1864,0)-D1864)))</f>
        <v>0.2865047969</v>
      </c>
      <c r="T1864" s="15">
        <f t="shared" si="3"/>
        <v>0.2041241452</v>
      </c>
      <c r="U1864" s="15">
        <f t="shared" si="4"/>
        <v>0.02392467822</v>
      </c>
      <c r="V1864" s="16">
        <f>IF(AND(L1864="Among all respondents",NOT(OR(K1864="Online poll in Telegram channel",K1864="Website online poll",K1864="CAWI (Computer Assisted Web Interviewing)"))),1/(1-MIN(MAX(Formula!$C$33+(YEAR(D1864)-Formula!$C$34)/(Formula!$C$35-Formula!$C$34)*(Formula!$C$32-Formula!$C$33),Formula!$C$33),Formula!$C$32)),1)</f>
        <v>1</v>
      </c>
      <c r="W1864" s="17">
        <f t="shared" si="5"/>
        <v>1.1</v>
      </c>
    </row>
    <row r="1865" ht="15.75" customHeight="1">
      <c r="A1865" s="8" t="s">
        <v>2736</v>
      </c>
      <c r="B1865" s="7" t="s">
        <v>2737</v>
      </c>
      <c r="C1865" s="13" t="s">
        <v>2738</v>
      </c>
      <c r="D1865" s="7" t="s">
        <v>237</v>
      </c>
      <c r="E1865" s="8" t="s">
        <v>72</v>
      </c>
      <c r="F1865" s="8" t="s">
        <v>318</v>
      </c>
      <c r="G1865" s="7" t="s">
        <v>2637</v>
      </c>
      <c r="H1865" s="7" t="s">
        <v>224</v>
      </c>
      <c r="I1865" s="8">
        <v>1205.0</v>
      </c>
      <c r="J1865" s="8">
        <v>2.9</v>
      </c>
      <c r="K1865" s="8" t="s">
        <v>583</v>
      </c>
      <c r="L1865" s="8" t="s">
        <v>322</v>
      </c>
      <c r="M1865" s="8" t="s">
        <v>323</v>
      </c>
      <c r="N1865" s="8">
        <v>22.1</v>
      </c>
      <c r="O1865" s="14">
        <f t="shared" si="1"/>
        <v>44228</v>
      </c>
      <c r="P1865" s="15">
        <f>IFERROR(VLOOKUP(K1865,Formula!$A$11:$B$20,2,FALSE),Formula!$C$26)</f>
        <v>0.95</v>
      </c>
      <c r="Q1865" s="15">
        <f>IF(AND(ISNUMBER(J1865),J1865&gt;0),1/J1865,IF(AND(ISNUMBER(I1865),I1865&gt;0),SQRT(MIN(I1865,Formula!$C$27))/Formula!$C$24,1/Formula!$C$25))</f>
        <v>0.3448275862</v>
      </c>
      <c r="R1865" s="15">
        <f t="shared" si="2"/>
        <v>0.3275862069</v>
      </c>
      <c r="S1865" s="15">
        <f>IF(H1865&lt;&gt;"",EXP(-Formula!$C$28*(EOMONTH(H1865,0)-H1865)),EXP(-Formula!$C$28*(EOMONTH(D1865,0)-D1865)))</f>
        <v>0.2592402606</v>
      </c>
      <c r="T1865" s="15">
        <f t="shared" si="3"/>
        <v>0.1601281538</v>
      </c>
      <c r="U1865" s="15">
        <f t="shared" si="4"/>
        <v>0.01359864866</v>
      </c>
      <c r="V1865" s="16">
        <f>IF(AND(L1865="Among all respondents",NOT(OR(K1865="Online poll in Telegram channel",K1865="Website online poll",K1865="CAWI (Computer Assisted Web Interviewing)"))),1/(1-MIN(MAX(Formula!$C$33+(YEAR(D1865)-Formula!$C$34)/(Formula!$C$35-Formula!$C$34)*(Formula!$C$32-Formula!$C$33),Formula!$C$33),Formula!$C$32)),1)</f>
        <v>1</v>
      </c>
      <c r="W1865" s="17">
        <f t="shared" si="5"/>
        <v>22.1</v>
      </c>
    </row>
    <row r="1866" ht="15.75" customHeight="1">
      <c r="A1866" s="8" t="s">
        <v>2739</v>
      </c>
      <c r="B1866" s="7" t="s">
        <v>2737</v>
      </c>
      <c r="C1866" s="13" t="s">
        <v>2738</v>
      </c>
      <c r="D1866" s="7" t="s">
        <v>237</v>
      </c>
      <c r="E1866" s="8" t="s">
        <v>72</v>
      </c>
      <c r="F1866" s="8" t="s">
        <v>318</v>
      </c>
      <c r="G1866" s="7" t="s">
        <v>2637</v>
      </c>
      <c r="H1866" s="7" t="s">
        <v>224</v>
      </c>
      <c r="I1866" s="8">
        <v>1205.0</v>
      </c>
      <c r="J1866" s="8">
        <v>2.9</v>
      </c>
      <c r="K1866" s="8" t="s">
        <v>583</v>
      </c>
      <c r="L1866" s="8" t="s">
        <v>322</v>
      </c>
      <c r="M1866" s="8" t="s">
        <v>365</v>
      </c>
      <c r="N1866" s="8">
        <v>17.5</v>
      </c>
      <c r="O1866" s="14">
        <f t="shared" si="1"/>
        <v>44228</v>
      </c>
      <c r="P1866" s="15">
        <f>IFERROR(VLOOKUP(K1866,Formula!$A$11:$B$20,2,FALSE),Formula!$C$26)</f>
        <v>0.95</v>
      </c>
      <c r="Q1866" s="15">
        <f>IF(AND(ISNUMBER(J1866),J1866&gt;0),1/J1866,IF(AND(ISNUMBER(I1866),I1866&gt;0),SQRT(MIN(I1866,Formula!$C$27))/Formula!$C$24,1/Formula!$C$25))</f>
        <v>0.3448275862</v>
      </c>
      <c r="R1866" s="15">
        <f t="shared" si="2"/>
        <v>0.3275862069</v>
      </c>
      <c r="S1866" s="15">
        <f>IF(H1866&lt;&gt;"",EXP(-Formula!$C$28*(EOMONTH(H1866,0)-H1866)),EXP(-Formula!$C$28*(EOMONTH(D1866,0)-D1866)))</f>
        <v>0.2592402606</v>
      </c>
      <c r="T1866" s="15">
        <f t="shared" si="3"/>
        <v>0.1601281538</v>
      </c>
      <c r="U1866" s="15">
        <f t="shared" si="4"/>
        <v>0.01359864866</v>
      </c>
      <c r="V1866" s="16">
        <f>IF(AND(L1866="Among all respondents",NOT(OR(K1866="Online poll in Telegram channel",K1866="Website online poll",K1866="CAWI (Computer Assisted Web Interviewing)"))),1/(1-MIN(MAX(Formula!$C$33+(YEAR(D1866)-Formula!$C$34)/(Formula!$C$35-Formula!$C$34)*(Formula!$C$32-Formula!$C$33),Formula!$C$33),Formula!$C$32)),1)</f>
        <v>1</v>
      </c>
      <c r="W1866" s="17">
        <f t="shared" si="5"/>
        <v>17.5</v>
      </c>
    </row>
    <row r="1867" ht="15.75" customHeight="1">
      <c r="A1867" s="8" t="s">
        <v>2740</v>
      </c>
      <c r="B1867" s="7" t="s">
        <v>2737</v>
      </c>
      <c r="C1867" s="13" t="s">
        <v>2738</v>
      </c>
      <c r="D1867" s="7" t="s">
        <v>237</v>
      </c>
      <c r="E1867" s="8" t="s">
        <v>72</v>
      </c>
      <c r="F1867" s="8" t="s">
        <v>318</v>
      </c>
      <c r="G1867" s="7" t="s">
        <v>2637</v>
      </c>
      <c r="H1867" s="7" t="s">
        <v>224</v>
      </c>
      <c r="I1867" s="8">
        <v>1205.0</v>
      </c>
      <c r="J1867" s="8">
        <v>2.9</v>
      </c>
      <c r="K1867" s="8" t="s">
        <v>583</v>
      </c>
      <c r="L1867" s="8" t="s">
        <v>322</v>
      </c>
      <c r="M1867" s="8" t="s">
        <v>329</v>
      </c>
      <c r="N1867" s="8">
        <v>13.1</v>
      </c>
      <c r="O1867" s="14">
        <f t="shared" si="1"/>
        <v>44228</v>
      </c>
      <c r="P1867" s="15">
        <f>IFERROR(VLOOKUP(K1867,Formula!$A$11:$B$20,2,FALSE),Formula!$C$26)</f>
        <v>0.95</v>
      </c>
      <c r="Q1867" s="15">
        <f>IF(AND(ISNUMBER(J1867),J1867&gt;0),1/J1867,IF(AND(ISNUMBER(I1867),I1867&gt;0),SQRT(MIN(I1867,Formula!$C$27))/Formula!$C$24,1/Formula!$C$25))</f>
        <v>0.3448275862</v>
      </c>
      <c r="R1867" s="15">
        <f t="shared" si="2"/>
        <v>0.3275862069</v>
      </c>
      <c r="S1867" s="15">
        <f>IF(H1867&lt;&gt;"",EXP(-Formula!$C$28*(EOMONTH(H1867,0)-H1867)),EXP(-Formula!$C$28*(EOMONTH(D1867,0)-D1867)))</f>
        <v>0.2592402606</v>
      </c>
      <c r="T1867" s="15">
        <f t="shared" si="3"/>
        <v>0.1601281538</v>
      </c>
      <c r="U1867" s="15">
        <f t="shared" si="4"/>
        <v>0.01359864866</v>
      </c>
      <c r="V1867" s="16">
        <f>IF(AND(L1867="Among all respondents",NOT(OR(K1867="Online poll in Telegram channel",K1867="Website online poll",K1867="CAWI (Computer Assisted Web Interviewing)"))),1/(1-MIN(MAX(Formula!$C$33+(YEAR(D1867)-Formula!$C$34)/(Formula!$C$35-Formula!$C$34)*(Formula!$C$32-Formula!$C$33),Formula!$C$33),Formula!$C$32)),1)</f>
        <v>1</v>
      </c>
      <c r="W1867" s="17">
        <f t="shared" si="5"/>
        <v>13.1</v>
      </c>
    </row>
    <row r="1868" ht="15.75" customHeight="1">
      <c r="A1868" s="8" t="s">
        <v>2741</v>
      </c>
      <c r="B1868" s="7" t="s">
        <v>2737</v>
      </c>
      <c r="C1868" s="13" t="s">
        <v>2738</v>
      </c>
      <c r="D1868" s="7" t="s">
        <v>237</v>
      </c>
      <c r="E1868" s="8" t="s">
        <v>72</v>
      </c>
      <c r="F1868" s="8" t="s">
        <v>318</v>
      </c>
      <c r="G1868" s="7" t="s">
        <v>2637</v>
      </c>
      <c r="H1868" s="7" t="s">
        <v>224</v>
      </c>
      <c r="I1868" s="8">
        <v>1205.0</v>
      </c>
      <c r="J1868" s="8">
        <v>2.9</v>
      </c>
      <c r="K1868" s="8" t="s">
        <v>583</v>
      </c>
      <c r="L1868" s="8" t="s">
        <v>322</v>
      </c>
      <c r="M1868" s="8" t="s">
        <v>337</v>
      </c>
      <c r="N1868" s="8">
        <v>10.6</v>
      </c>
      <c r="O1868" s="14">
        <f t="shared" si="1"/>
        <v>44228</v>
      </c>
      <c r="P1868" s="15">
        <f>IFERROR(VLOOKUP(K1868,Formula!$A$11:$B$20,2,FALSE),Formula!$C$26)</f>
        <v>0.95</v>
      </c>
      <c r="Q1868" s="15">
        <f>IF(AND(ISNUMBER(J1868),J1868&gt;0),1/J1868,IF(AND(ISNUMBER(I1868),I1868&gt;0),SQRT(MIN(I1868,Formula!$C$27))/Formula!$C$24,1/Formula!$C$25))</f>
        <v>0.3448275862</v>
      </c>
      <c r="R1868" s="15">
        <f t="shared" si="2"/>
        <v>0.3275862069</v>
      </c>
      <c r="S1868" s="15">
        <f>IF(H1868&lt;&gt;"",EXP(-Formula!$C$28*(EOMONTH(H1868,0)-H1868)),EXP(-Formula!$C$28*(EOMONTH(D1868,0)-D1868)))</f>
        <v>0.2592402606</v>
      </c>
      <c r="T1868" s="15">
        <f t="shared" si="3"/>
        <v>0.1601281538</v>
      </c>
      <c r="U1868" s="15">
        <f t="shared" si="4"/>
        <v>0.01359864866</v>
      </c>
      <c r="V1868" s="16">
        <f>IF(AND(L1868="Among all respondents",NOT(OR(K1868="Online poll in Telegram channel",K1868="Website online poll",K1868="CAWI (Computer Assisted Web Interviewing)"))),1/(1-MIN(MAX(Formula!$C$33+(YEAR(D1868)-Formula!$C$34)/(Formula!$C$35-Formula!$C$34)*(Formula!$C$32-Formula!$C$33),Formula!$C$33),Formula!$C$32)),1)</f>
        <v>1</v>
      </c>
      <c r="W1868" s="17">
        <f t="shared" si="5"/>
        <v>10.6</v>
      </c>
    </row>
    <row r="1869" ht="15.75" customHeight="1">
      <c r="A1869" s="8" t="s">
        <v>2742</v>
      </c>
      <c r="B1869" s="7" t="s">
        <v>2737</v>
      </c>
      <c r="C1869" s="13" t="s">
        <v>2738</v>
      </c>
      <c r="D1869" s="7" t="s">
        <v>237</v>
      </c>
      <c r="E1869" s="8" t="s">
        <v>72</v>
      </c>
      <c r="F1869" s="8" t="s">
        <v>318</v>
      </c>
      <c r="G1869" s="7" t="s">
        <v>2637</v>
      </c>
      <c r="H1869" s="7" t="s">
        <v>224</v>
      </c>
      <c r="I1869" s="8">
        <v>1205.0</v>
      </c>
      <c r="J1869" s="8">
        <v>2.9</v>
      </c>
      <c r="K1869" s="8" t="s">
        <v>583</v>
      </c>
      <c r="L1869" s="8" t="s">
        <v>322</v>
      </c>
      <c r="M1869" s="8" t="s">
        <v>828</v>
      </c>
      <c r="N1869" s="8">
        <v>8.8</v>
      </c>
      <c r="O1869" s="14">
        <f t="shared" si="1"/>
        <v>44228</v>
      </c>
      <c r="P1869" s="15">
        <f>IFERROR(VLOOKUP(K1869,Formula!$A$11:$B$20,2,FALSE),Formula!$C$26)</f>
        <v>0.95</v>
      </c>
      <c r="Q1869" s="15">
        <f>IF(AND(ISNUMBER(J1869),J1869&gt;0),1/J1869,IF(AND(ISNUMBER(I1869),I1869&gt;0),SQRT(MIN(I1869,Formula!$C$27))/Formula!$C$24,1/Formula!$C$25))</f>
        <v>0.3448275862</v>
      </c>
      <c r="R1869" s="15">
        <f t="shared" si="2"/>
        <v>0.3275862069</v>
      </c>
      <c r="S1869" s="15">
        <f>IF(H1869&lt;&gt;"",EXP(-Formula!$C$28*(EOMONTH(H1869,0)-H1869)),EXP(-Formula!$C$28*(EOMONTH(D1869,0)-D1869)))</f>
        <v>0.2592402606</v>
      </c>
      <c r="T1869" s="15">
        <f t="shared" si="3"/>
        <v>0.1601281538</v>
      </c>
      <c r="U1869" s="15">
        <f t="shared" si="4"/>
        <v>0.01359864866</v>
      </c>
      <c r="V1869" s="16">
        <f>IF(AND(L1869="Among all respondents",NOT(OR(K1869="Online poll in Telegram channel",K1869="Website online poll",K1869="CAWI (Computer Assisted Web Interviewing)"))),1/(1-MIN(MAX(Formula!$C$33+(YEAR(D1869)-Formula!$C$34)/(Formula!$C$35-Formula!$C$34)*(Formula!$C$32-Formula!$C$33),Formula!$C$33),Formula!$C$32)),1)</f>
        <v>1</v>
      </c>
      <c r="W1869" s="17">
        <f t="shared" si="5"/>
        <v>8.8</v>
      </c>
    </row>
    <row r="1870" ht="15.75" customHeight="1">
      <c r="A1870" s="8" t="s">
        <v>2743</v>
      </c>
      <c r="B1870" s="7" t="s">
        <v>2737</v>
      </c>
      <c r="C1870" s="13" t="s">
        <v>2738</v>
      </c>
      <c r="D1870" s="7" t="s">
        <v>237</v>
      </c>
      <c r="E1870" s="8" t="s">
        <v>72</v>
      </c>
      <c r="F1870" s="8" t="s">
        <v>318</v>
      </c>
      <c r="G1870" s="7" t="s">
        <v>2637</v>
      </c>
      <c r="H1870" s="7" t="s">
        <v>224</v>
      </c>
      <c r="I1870" s="8">
        <v>1205.0</v>
      </c>
      <c r="J1870" s="8">
        <v>2.9</v>
      </c>
      <c r="K1870" s="8" t="s">
        <v>583</v>
      </c>
      <c r="L1870" s="8" t="s">
        <v>322</v>
      </c>
      <c r="M1870" s="8" t="s">
        <v>386</v>
      </c>
      <c r="N1870" s="8">
        <v>5.6</v>
      </c>
      <c r="O1870" s="14">
        <f t="shared" si="1"/>
        <v>44228</v>
      </c>
      <c r="P1870" s="15">
        <f>IFERROR(VLOOKUP(K1870,Formula!$A$11:$B$20,2,FALSE),Formula!$C$26)</f>
        <v>0.95</v>
      </c>
      <c r="Q1870" s="15">
        <f>IF(AND(ISNUMBER(J1870),J1870&gt;0),1/J1870,IF(AND(ISNUMBER(I1870),I1870&gt;0),SQRT(MIN(I1870,Formula!$C$27))/Formula!$C$24,1/Formula!$C$25))</f>
        <v>0.3448275862</v>
      </c>
      <c r="R1870" s="15">
        <f t="shared" si="2"/>
        <v>0.3275862069</v>
      </c>
      <c r="S1870" s="15">
        <f>IF(H1870&lt;&gt;"",EXP(-Formula!$C$28*(EOMONTH(H1870,0)-H1870)),EXP(-Formula!$C$28*(EOMONTH(D1870,0)-D1870)))</f>
        <v>0.2592402606</v>
      </c>
      <c r="T1870" s="15">
        <f t="shared" si="3"/>
        <v>0.1601281538</v>
      </c>
      <c r="U1870" s="15">
        <f t="shared" si="4"/>
        <v>0.01359864866</v>
      </c>
      <c r="V1870" s="16">
        <f>IF(AND(L1870="Among all respondents",NOT(OR(K1870="Online poll in Telegram channel",K1870="Website online poll",K1870="CAWI (Computer Assisted Web Interviewing)"))),1/(1-MIN(MAX(Formula!$C$33+(YEAR(D1870)-Formula!$C$34)/(Formula!$C$35-Formula!$C$34)*(Formula!$C$32-Formula!$C$33),Formula!$C$33),Formula!$C$32)),1)</f>
        <v>1</v>
      </c>
      <c r="W1870" s="17">
        <f t="shared" si="5"/>
        <v>5.6</v>
      </c>
    </row>
    <row r="1871" ht="15.75" customHeight="1">
      <c r="A1871" s="8" t="s">
        <v>2744</v>
      </c>
      <c r="B1871" s="7" t="s">
        <v>2737</v>
      </c>
      <c r="C1871" s="13" t="s">
        <v>2738</v>
      </c>
      <c r="D1871" s="7" t="s">
        <v>237</v>
      </c>
      <c r="E1871" s="8" t="s">
        <v>72</v>
      </c>
      <c r="F1871" s="8" t="s">
        <v>318</v>
      </c>
      <c r="G1871" s="7" t="s">
        <v>2637</v>
      </c>
      <c r="H1871" s="7" t="s">
        <v>224</v>
      </c>
      <c r="I1871" s="8">
        <v>1205.0</v>
      </c>
      <c r="J1871" s="8">
        <v>2.9</v>
      </c>
      <c r="K1871" s="8" t="s">
        <v>583</v>
      </c>
      <c r="L1871" s="8" t="s">
        <v>322</v>
      </c>
      <c r="M1871" s="8" t="s">
        <v>339</v>
      </c>
      <c r="N1871" s="8">
        <v>4.8</v>
      </c>
      <c r="O1871" s="14">
        <f t="shared" si="1"/>
        <v>44228</v>
      </c>
      <c r="P1871" s="15">
        <f>IFERROR(VLOOKUP(K1871,Formula!$A$11:$B$20,2,FALSE),Formula!$C$26)</f>
        <v>0.95</v>
      </c>
      <c r="Q1871" s="15">
        <f>IF(AND(ISNUMBER(J1871),J1871&gt;0),1/J1871,IF(AND(ISNUMBER(I1871),I1871&gt;0),SQRT(MIN(I1871,Formula!$C$27))/Formula!$C$24,1/Formula!$C$25))</f>
        <v>0.3448275862</v>
      </c>
      <c r="R1871" s="15">
        <f t="shared" si="2"/>
        <v>0.3275862069</v>
      </c>
      <c r="S1871" s="15">
        <f>IF(H1871&lt;&gt;"",EXP(-Formula!$C$28*(EOMONTH(H1871,0)-H1871)),EXP(-Formula!$C$28*(EOMONTH(D1871,0)-D1871)))</f>
        <v>0.2592402606</v>
      </c>
      <c r="T1871" s="15">
        <f t="shared" si="3"/>
        <v>0.1601281538</v>
      </c>
      <c r="U1871" s="15">
        <f t="shared" si="4"/>
        <v>0.01359864866</v>
      </c>
      <c r="V1871" s="16">
        <f>IF(AND(L1871="Among all respondents",NOT(OR(K1871="Online poll in Telegram channel",K1871="Website online poll",K1871="CAWI (Computer Assisted Web Interviewing)"))),1/(1-MIN(MAX(Formula!$C$33+(YEAR(D1871)-Formula!$C$34)/(Formula!$C$35-Formula!$C$34)*(Formula!$C$32-Formula!$C$33),Formula!$C$33),Formula!$C$32)),1)</f>
        <v>1</v>
      </c>
      <c r="W1871" s="17">
        <f t="shared" si="5"/>
        <v>4.8</v>
      </c>
    </row>
    <row r="1872" ht="15.75" customHeight="1">
      <c r="A1872" s="8" t="s">
        <v>2745</v>
      </c>
      <c r="B1872" s="7" t="s">
        <v>2737</v>
      </c>
      <c r="C1872" s="13" t="s">
        <v>2738</v>
      </c>
      <c r="D1872" s="7" t="s">
        <v>237</v>
      </c>
      <c r="E1872" s="8" t="s">
        <v>72</v>
      </c>
      <c r="F1872" s="8" t="s">
        <v>318</v>
      </c>
      <c r="G1872" s="7" t="s">
        <v>2637</v>
      </c>
      <c r="H1872" s="7" t="s">
        <v>224</v>
      </c>
      <c r="I1872" s="8">
        <v>1205.0</v>
      </c>
      <c r="J1872" s="8">
        <v>2.9</v>
      </c>
      <c r="K1872" s="8" t="s">
        <v>583</v>
      </c>
      <c r="L1872" s="8" t="s">
        <v>322</v>
      </c>
      <c r="M1872" s="8" t="s">
        <v>388</v>
      </c>
      <c r="N1872" s="8">
        <v>4.7</v>
      </c>
      <c r="O1872" s="14">
        <f t="shared" si="1"/>
        <v>44228</v>
      </c>
      <c r="P1872" s="15">
        <f>IFERROR(VLOOKUP(K1872,Formula!$A$11:$B$20,2,FALSE),Formula!$C$26)</f>
        <v>0.95</v>
      </c>
      <c r="Q1872" s="15">
        <f>IF(AND(ISNUMBER(J1872),J1872&gt;0),1/J1872,IF(AND(ISNUMBER(I1872),I1872&gt;0),SQRT(MIN(I1872,Formula!$C$27))/Formula!$C$24,1/Formula!$C$25))</f>
        <v>0.3448275862</v>
      </c>
      <c r="R1872" s="15">
        <f t="shared" si="2"/>
        <v>0.3275862069</v>
      </c>
      <c r="S1872" s="15">
        <f>IF(H1872&lt;&gt;"",EXP(-Formula!$C$28*(EOMONTH(H1872,0)-H1872)),EXP(-Formula!$C$28*(EOMONTH(D1872,0)-D1872)))</f>
        <v>0.2592402606</v>
      </c>
      <c r="T1872" s="15">
        <f t="shared" si="3"/>
        <v>0.1601281538</v>
      </c>
      <c r="U1872" s="15">
        <f t="shared" si="4"/>
        <v>0.01359864866</v>
      </c>
      <c r="V1872" s="16">
        <f>IF(AND(L1872="Among all respondents",NOT(OR(K1872="Online poll in Telegram channel",K1872="Website online poll",K1872="CAWI (Computer Assisted Web Interviewing)"))),1/(1-MIN(MAX(Formula!$C$33+(YEAR(D1872)-Formula!$C$34)/(Formula!$C$35-Formula!$C$34)*(Formula!$C$32-Formula!$C$33),Formula!$C$33),Formula!$C$32)),1)</f>
        <v>1</v>
      </c>
      <c r="W1872" s="17">
        <f t="shared" si="5"/>
        <v>4.7</v>
      </c>
    </row>
    <row r="1873" ht="15.75" customHeight="1">
      <c r="A1873" s="8" t="s">
        <v>2746</v>
      </c>
      <c r="B1873" s="7" t="s">
        <v>2737</v>
      </c>
      <c r="C1873" s="13" t="s">
        <v>2738</v>
      </c>
      <c r="D1873" s="7" t="s">
        <v>237</v>
      </c>
      <c r="E1873" s="8" t="s">
        <v>72</v>
      </c>
      <c r="F1873" s="8" t="s">
        <v>318</v>
      </c>
      <c r="G1873" s="7" t="s">
        <v>2637</v>
      </c>
      <c r="H1873" s="7" t="s">
        <v>224</v>
      </c>
      <c r="I1873" s="8">
        <v>1205.0</v>
      </c>
      <c r="J1873" s="8">
        <v>2.9</v>
      </c>
      <c r="K1873" s="8" t="s">
        <v>583</v>
      </c>
      <c r="L1873" s="8" t="s">
        <v>322</v>
      </c>
      <c r="M1873" s="8" t="s">
        <v>740</v>
      </c>
      <c r="N1873" s="8">
        <v>2.9</v>
      </c>
      <c r="O1873" s="14">
        <f t="shared" si="1"/>
        <v>44228</v>
      </c>
      <c r="P1873" s="15">
        <f>IFERROR(VLOOKUP(K1873,Formula!$A$11:$B$20,2,FALSE),Formula!$C$26)</f>
        <v>0.95</v>
      </c>
      <c r="Q1873" s="15">
        <f>IF(AND(ISNUMBER(J1873),J1873&gt;0),1/J1873,IF(AND(ISNUMBER(I1873),I1873&gt;0),SQRT(MIN(I1873,Formula!$C$27))/Formula!$C$24,1/Formula!$C$25))</f>
        <v>0.3448275862</v>
      </c>
      <c r="R1873" s="15">
        <f t="shared" si="2"/>
        <v>0.3275862069</v>
      </c>
      <c r="S1873" s="15">
        <f>IF(H1873&lt;&gt;"",EXP(-Formula!$C$28*(EOMONTH(H1873,0)-H1873)),EXP(-Formula!$C$28*(EOMONTH(D1873,0)-D1873)))</f>
        <v>0.2592402606</v>
      </c>
      <c r="T1873" s="15">
        <f t="shared" si="3"/>
        <v>0.1601281538</v>
      </c>
      <c r="U1873" s="15">
        <f t="shared" si="4"/>
        <v>0.01359864866</v>
      </c>
      <c r="V1873" s="16">
        <f>IF(AND(L1873="Among all respondents",NOT(OR(K1873="Online poll in Telegram channel",K1873="Website online poll",K1873="CAWI (Computer Assisted Web Interviewing)"))),1/(1-MIN(MAX(Formula!$C$33+(YEAR(D1873)-Formula!$C$34)/(Formula!$C$35-Formula!$C$34)*(Formula!$C$32-Formula!$C$33),Formula!$C$33),Formula!$C$32)),1)</f>
        <v>1</v>
      </c>
      <c r="W1873" s="17">
        <f t="shared" si="5"/>
        <v>2.9</v>
      </c>
    </row>
    <row r="1874" ht="15.75" customHeight="1">
      <c r="A1874" s="8" t="s">
        <v>2747</v>
      </c>
      <c r="B1874" s="7" t="s">
        <v>2737</v>
      </c>
      <c r="C1874" s="13" t="s">
        <v>2738</v>
      </c>
      <c r="D1874" s="7" t="s">
        <v>237</v>
      </c>
      <c r="E1874" s="8" t="s">
        <v>72</v>
      </c>
      <c r="F1874" s="8" t="s">
        <v>318</v>
      </c>
      <c r="G1874" s="7" t="s">
        <v>2637</v>
      </c>
      <c r="H1874" s="7" t="s">
        <v>224</v>
      </c>
      <c r="I1874" s="8">
        <v>1205.0</v>
      </c>
      <c r="J1874" s="8">
        <v>2.9</v>
      </c>
      <c r="K1874" s="8" t="s">
        <v>583</v>
      </c>
      <c r="L1874" s="8" t="s">
        <v>322</v>
      </c>
      <c r="M1874" s="8" t="s">
        <v>345</v>
      </c>
      <c r="N1874" s="8">
        <v>1.8</v>
      </c>
      <c r="O1874" s="14">
        <f t="shared" si="1"/>
        <v>44228</v>
      </c>
      <c r="P1874" s="15">
        <f>IFERROR(VLOOKUP(K1874,Formula!$A$11:$B$20,2,FALSE),Formula!$C$26)</f>
        <v>0.95</v>
      </c>
      <c r="Q1874" s="15">
        <f>IF(AND(ISNUMBER(J1874),J1874&gt;0),1/J1874,IF(AND(ISNUMBER(I1874),I1874&gt;0),SQRT(MIN(I1874,Formula!$C$27))/Formula!$C$24,1/Formula!$C$25))</f>
        <v>0.3448275862</v>
      </c>
      <c r="R1874" s="15">
        <f t="shared" si="2"/>
        <v>0.3275862069</v>
      </c>
      <c r="S1874" s="15">
        <f>IF(H1874&lt;&gt;"",EXP(-Formula!$C$28*(EOMONTH(H1874,0)-H1874)),EXP(-Formula!$C$28*(EOMONTH(D1874,0)-D1874)))</f>
        <v>0.2592402606</v>
      </c>
      <c r="T1874" s="15">
        <f t="shared" si="3"/>
        <v>0.1601281538</v>
      </c>
      <c r="U1874" s="15">
        <f t="shared" si="4"/>
        <v>0.01359864866</v>
      </c>
      <c r="V1874" s="16">
        <f>IF(AND(L1874="Among all respondents",NOT(OR(K1874="Online poll in Telegram channel",K1874="Website online poll",K1874="CAWI (Computer Assisted Web Interviewing)"))),1/(1-MIN(MAX(Formula!$C$33+(YEAR(D1874)-Formula!$C$34)/(Formula!$C$35-Formula!$C$34)*(Formula!$C$32-Formula!$C$33),Formula!$C$33),Formula!$C$32)),1)</f>
        <v>1</v>
      </c>
      <c r="W1874" s="17">
        <f t="shared" si="5"/>
        <v>1.8</v>
      </c>
    </row>
    <row r="1875" ht="15.75" customHeight="1">
      <c r="A1875" s="8" t="s">
        <v>2748</v>
      </c>
      <c r="B1875" s="7" t="s">
        <v>2737</v>
      </c>
      <c r="C1875" s="13" t="s">
        <v>2738</v>
      </c>
      <c r="D1875" s="7" t="s">
        <v>237</v>
      </c>
      <c r="E1875" s="8" t="s">
        <v>72</v>
      </c>
      <c r="F1875" s="8" t="s">
        <v>318</v>
      </c>
      <c r="G1875" s="7" t="s">
        <v>2637</v>
      </c>
      <c r="H1875" s="7" t="s">
        <v>224</v>
      </c>
      <c r="I1875" s="8">
        <v>1205.0</v>
      </c>
      <c r="J1875" s="8">
        <v>2.9</v>
      </c>
      <c r="K1875" s="8" t="s">
        <v>583</v>
      </c>
      <c r="L1875" s="8" t="s">
        <v>322</v>
      </c>
      <c r="M1875" s="8" t="s">
        <v>343</v>
      </c>
      <c r="N1875" s="8">
        <v>1.8</v>
      </c>
      <c r="O1875" s="14">
        <f t="shared" si="1"/>
        <v>44228</v>
      </c>
      <c r="P1875" s="15">
        <f>IFERROR(VLOOKUP(K1875,Formula!$A$11:$B$20,2,FALSE),Formula!$C$26)</f>
        <v>0.95</v>
      </c>
      <c r="Q1875" s="15">
        <f>IF(AND(ISNUMBER(J1875),J1875&gt;0),1/J1875,IF(AND(ISNUMBER(I1875),I1875&gt;0),SQRT(MIN(I1875,Formula!$C$27))/Formula!$C$24,1/Formula!$C$25))</f>
        <v>0.3448275862</v>
      </c>
      <c r="R1875" s="15">
        <f t="shared" si="2"/>
        <v>0.3275862069</v>
      </c>
      <c r="S1875" s="15">
        <f>IF(H1875&lt;&gt;"",EXP(-Formula!$C$28*(EOMONTH(H1875,0)-H1875)),EXP(-Formula!$C$28*(EOMONTH(D1875,0)-D1875)))</f>
        <v>0.2592402606</v>
      </c>
      <c r="T1875" s="15">
        <f t="shared" si="3"/>
        <v>0.1601281538</v>
      </c>
      <c r="U1875" s="15">
        <f t="shared" si="4"/>
        <v>0.01359864866</v>
      </c>
      <c r="V1875" s="16">
        <f>IF(AND(L1875="Among all respondents",NOT(OR(K1875="Online poll in Telegram channel",K1875="Website online poll",K1875="CAWI (Computer Assisted Web Interviewing)"))),1/(1-MIN(MAX(Formula!$C$33+(YEAR(D1875)-Formula!$C$34)/(Formula!$C$35-Formula!$C$34)*(Formula!$C$32-Formula!$C$33),Formula!$C$33),Formula!$C$32)),1)</f>
        <v>1</v>
      </c>
      <c r="W1875" s="17">
        <f t="shared" si="5"/>
        <v>1.8</v>
      </c>
    </row>
    <row r="1876" ht="15.75" customHeight="1">
      <c r="A1876" s="8" t="s">
        <v>2749</v>
      </c>
      <c r="B1876" s="7" t="s">
        <v>2737</v>
      </c>
      <c r="C1876" s="13" t="s">
        <v>2738</v>
      </c>
      <c r="D1876" s="7" t="s">
        <v>237</v>
      </c>
      <c r="E1876" s="8" t="s">
        <v>72</v>
      </c>
      <c r="F1876" s="8" t="s">
        <v>318</v>
      </c>
      <c r="G1876" s="7" t="s">
        <v>2637</v>
      </c>
      <c r="H1876" s="7" t="s">
        <v>224</v>
      </c>
      <c r="I1876" s="8">
        <v>1205.0</v>
      </c>
      <c r="J1876" s="8">
        <v>2.9</v>
      </c>
      <c r="K1876" s="8" t="s">
        <v>583</v>
      </c>
      <c r="L1876" s="8" t="s">
        <v>322</v>
      </c>
      <c r="M1876" s="8" t="s">
        <v>1663</v>
      </c>
      <c r="N1876" s="8">
        <v>1.2</v>
      </c>
      <c r="O1876" s="14">
        <f t="shared" si="1"/>
        <v>44228</v>
      </c>
      <c r="P1876" s="15">
        <f>IFERROR(VLOOKUP(K1876,Formula!$A$11:$B$20,2,FALSE),Formula!$C$26)</f>
        <v>0.95</v>
      </c>
      <c r="Q1876" s="15">
        <f>IF(AND(ISNUMBER(J1876),J1876&gt;0),1/J1876,IF(AND(ISNUMBER(I1876),I1876&gt;0),SQRT(MIN(I1876,Formula!$C$27))/Formula!$C$24,1/Formula!$C$25))</f>
        <v>0.3448275862</v>
      </c>
      <c r="R1876" s="15">
        <f t="shared" si="2"/>
        <v>0.3275862069</v>
      </c>
      <c r="S1876" s="15">
        <f>IF(H1876&lt;&gt;"",EXP(-Formula!$C$28*(EOMONTH(H1876,0)-H1876)),EXP(-Formula!$C$28*(EOMONTH(D1876,0)-D1876)))</f>
        <v>0.2592402606</v>
      </c>
      <c r="T1876" s="15">
        <f t="shared" si="3"/>
        <v>0.1601281538</v>
      </c>
      <c r="U1876" s="15">
        <f t="shared" si="4"/>
        <v>0.01359864866</v>
      </c>
      <c r="V1876" s="16">
        <f>IF(AND(L1876="Among all respondents",NOT(OR(K1876="Online poll in Telegram channel",K1876="Website online poll",K1876="CAWI (Computer Assisted Web Interviewing)"))),1/(1-MIN(MAX(Formula!$C$33+(YEAR(D1876)-Formula!$C$34)/(Formula!$C$35-Formula!$C$34)*(Formula!$C$32-Formula!$C$33),Formula!$C$33),Formula!$C$32)),1)</f>
        <v>1</v>
      </c>
      <c r="W1876" s="17">
        <f t="shared" si="5"/>
        <v>1.2</v>
      </c>
    </row>
    <row r="1877" ht="15.75" customHeight="1">
      <c r="A1877" s="8" t="s">
        <v>2750</v>
      </c>
      <c r="B1877" s="7" t="s">
        <v>2737</v>
      </c>
      <c r="C1877" s="13" t="s">
        <v>2738</v>
      </c>
      <c r="D1877" s="7" t="s">
        <v>237</v>
      </c>
      <c r="E1877" s="8" t="s">
        <v>72</v>
      </c>
      <c r="F1877" s="8" t="s">
        <v>318</v>
      </c>
      <c r="G1877" s="7" t="s">
        <v>2637</v>
      </c>
      <c r="H1877" s="7" t="s">
        <v>224</v>
      </c>
      <c r="I1877" s="8">
        <v>1205.0</v>
      </c>
      <c r="J1877" s="8">
        <v>2.9</v>
      </c>
      <c r="K1877" s="8" t="s">
        <v>583</v>
      </c>
      <c r="L1877" s="8" t="s">
        <v>322</v>
      </c>
      <c r="M1877" s="8" t="s">
        <v>335</v>
      </c>
      <c r="N1877" s="8">
        <v>0.4</v>
      </c>
      <c r="O1877" s="14">
        <f t="shared" si="1"/>
        <v>44228</v>
      </c>
      <c r="P1877" s="15">
        <f>IFERROR(VLOOKUP(K1877,Formula!$A$11:$B$20,2,FALSE),Formula!$C$26)</f>
        <v>0.95</v>
      </c>
      <c r="Q1877" s="15">
        <f>IF(AND(ISNUMBER(J1877),J1877&gt;0),1/J1877,IF(AND(ISNUMBER(I1877),I1877&gt;0),SQRT(MIN(I1877,Formula!$C$27))/Formula!$C$24,1/Formula!$C$25))</f>
        <v>0.3448275862</v>
      </c>
      <c r="R1877" s="15">
        <f t="shared" si="2"/>
        <v>0.3275862069</v>
      </c>
      <c r="S1877" s="15">
        <f>IF(H1877&lt;&gt;"",EXP(-Formula!$C$28*(EOMONTH(H1877,0)-H1877)),EXP(-Formula!$C$28*(EOMONTH(D1877,0)-D1877)))</f>
        <v>0.2592402606</v>
      </c>
      <c r="T1877" s="15">
        <f t="shared" si="3"/>
        <v>0.1601281538</v>
      </c>
      <c r="U1877" s="15">
        <f t="shared" si="4"/>
        <v>0.01359864866</v>
      </c>
      <c r="V1877" s="16">
        <f>IF(AND(L1877="Among all respondents",NOT(OR(K1877="Online poll in Telegram channel",K1877="Website online poll",K1877="CAWI (Computer Assisted Web Interviewing)"))),1/(1-MIN(MAX(Formula!$C$33+(YEAR(D1877)-Formula!$C$34)/(Formula!$C$35-Formula!$C$34)*(Formula!$C$32-Formula!$C$33),Formula!$C$33),Formula!$C$32)),1)</f>
        <v>1</v>
      </c>
      <c r="W1877" s="17">
        <f t="shared" si="5"/>
        <v>0.4</v>
      </c>
    </row>
    <row r="1878" ht="15.75" customHeight="1">
      <c r="A1878" s="8" t="s">
        <v>2736</v>
      </c>
      <c r="B1878" s="7" t="s">
        <v>2737</v>
      </c>
      <c r="C1878" s="13" t="s">
        <v>2738</v>
      </c>
      <c r="D1878" s="7" t="s">
        <v>237</v>
      </c>
      <c r="E1878" s="8" t="s">
        <v>72</v>
      </c>
      <c r="F1878" s="8" t="s">
        <v>318</v>
      </c>
      <c r="G1878" s="7" t="s">
        <v>2637</v>
      </c>
      <c r="H1878" s="7" t="s">
        <v>224</v>
      </c>
      <c r="I1878" s="8">
        <v>1205.0</v>
      </c>
      <c r="J1878" s="8">
        <v>2.9</v>
      </c>
      <c r="K1878" s="8" t="s">
        <v>583</v>
      </c>
      <c r="L1878" s="8" t="s">
        <v>322</v>
      </c>
      <c r="M1878" s="8" t="s">
        <v>323</v>
      </c>
      <c r="N1878" s="8">
        <v>22.1</v>
      </c>
      <c r="O1878" s="14">
        <f t="shared" si="1"/>
        <v>44228</v>
      </c>
      <c r="P1878" s="15">
        <f>IFERROR(VLOOKUP(K1878,Formula!$A$11:$B$20,2,FALSE),Formula!$C$26)</f>
        <v>0.95</v>
      </c>
      <c r="Q1878" s="15">
        <f>IF(AND(ISNUMBER(J1878),J1878&gt;0),1/J1878,IF(AND(ISNUMBER(I1878),I1878&gt;0),SQRT(MIN(I1878,Formula!$C$27))/Formula!$C$24,1/Formula!$C$25))</f>
        <v>0.3448275862</v>
      </c>
      <c r="R1878" s="15">
        <f t="shared" si="2"/>
        <v>0.3275862069</v>
      </c>
      <c r="S1878" s="15">
        <f>IF(H1878&lt;&gt;"",EXP(-Formula!$C$28*(EOMONTH(H1878,0)-H1878)),EXP(-Formula!$C$28*(EOMONTH(D1878,0)-D1878)))</f>
        <v>0.2592402606</v>
      </c>
      <c r="T1878" s="15">
        <f t="shared" si="3"/>
        <v>0.1601281538</v>
      </c>
      <c r="U1878" s="15">
        <f t="shared" si="4"/>
        <v>0.01359864866</v>
      </c>
      <c r="V1878" s="16">
        <f>IF(AND(L1878="Among all respondents",NOT(OR(K1878="Online poll in Telegram channel",K1878="Website online poll",K1878="CAWI (Computer Assisted Web Interviewing)"))),1/(1-MIN(MAX(Formula!$C$33+(YEAR(D1878)-Formula!$C$34)/(Formula!$C$35-Formula!$C$34)*(Formula!$C$32-Formula!$C$33),Formula!$C$33),Formula!$C$32)),1)</f>
        <v>1</v>
      </c>
      <c r="W1878" s="17">
        <f t="shared" si="5"/>
        <v>22.1</v>
      </c>
    </row>
    <row r="1879" ht="15.75" customHeight="1">
      <c r="A1879" s="8" t="s">
        <v>2740</v>
      </c>
      <c r="B1879" s="7" t="s">
        <v>2737</v>
      </c>
      <c r="C1879" s="13" t="s">
        <v>2738</v>
      </c>
      <c r="D1879" s="7" t="s">
        <v>237</v>
      </c>
      <c r="E1879" s="8" t="s">
        <v>72</v>
      </c>
      <c r="F1879" s="8" t="s">
        <v>318</v>
      </c>
      <c r="G1879" s="7" t="s">
        <v>2637</v>
      </c>
      <c r="H1879" s="7" t="s">
        <v>224</v>
      </c>
      <c r="I1879" s="8">
        <v>1205.0</v>
      </c>
      <c r="J1879" s="8">
        <v>2.9</v>
      </c>
      <c r="K1879" s="8" t="s">
        <v>583</v>
      </c>
      <c r="L1879" s="8" t="s">
        <v>322</v>
      </c>
      <c r="M1879" s="8" t="s">
        <v>329</v>
      </c>
      <c r="N1879" s="8">
        <v>13.7</v>
      </c>
      <c r="O1879" s="14">
        <f t="shared" si="1"/>
        <v>44228</v>
      </c>
      <c r="P1879" s="15">
        <f>IFERROR(VLOOKUP(K1879,Formula!$A$11:$B$20,2,FALSE),Formula!$C$26)</f>
        <v>0.95</v>
      </c>
      <c r="Q1879" s="15">
        <f>IF(AND(ISNUMBER(J1879),J1879&gt;0),1/J1879,IF(AND(ISNUMBER(I1879),I1879&gt;0),SQRT(MIN(I1879,Formula!$C$27))/Formula!$C$24,1/Formula!$C$25))</f>
        <v>0.3448275862</v>
      </c>
      <c r="R1879" s="15">
        <f t="shared" si="2"/>
        <v>0.3275862069</v>
      </c>
      <c r="S1879" s="15">
        <f>IF(H1879&lt;&gt;"",EXP(-Formula!$C$28*(EOMONTH(H1879,0)-H1879)),EXP(-Formula!$C$28*(EOMONTH(D1879,0)-D1879)))</f>
        <v>0.2592402606</v>
      </c>
      <c r="T1879" s="15">
        <f t="shared" si="3"/>
        <v>0.1601281538</v>
      </c>
      <c r="U1879" s="15">
        <f t="shared" si="4"/>
        <v>0.01359864866</v>
      </c>
      <c r="V1879" s="16">
        <f>IF(AND(L1879="Among all respondents",NOT(OR(K1879="Online poll in Telegram channel",K1879="Website online poll",K1879="CAWI (Computer Assisted Web Interviewing)"))),1/(1-MIN(MAX(Formula!$C$33+(YEAR(D1879)-Formula!$C$34)/(Formula!$C$35-Formula!$C$34)*(Formula!$C$32-Formula!$C$33),Formula!$C$33),Formula!$C$32)),1)</f>
        <v>1</v>
      </c>
      <c r="W1879" s="17">
        <f t="shared" si="5"/>
        <v>13.7</v>
      </c>
    </row>
    <row r="1880" ht="15.75" customHeight="1">
      <c r="A1880" s="8" t="s">
        <v>2739</v>
      </c>
      <c r="B1880" s="7" t="s">
        <v>2737</v>
      </c>
      <c r="C1880" s="13" t="s">
        <v>2738</v>
      </c>
      <c r="D1880" s="7" t="s">
        <v>237</v>
      </c>
      <c r="E1880" s="8" t="s">
        <v>72</v>
      </c>
      <c r="F1880" s="8" t="s">
        <v>318</v>
      </c>
      <c r="G1880" s="7" t="s">
        <v>2637</v>
      </c>
      <c r="H1880" s="7" t="s">
        <v>224</v>
      </c>
      <c r="I1880" s="8">
        <v>1205.0</v>
      </c>
      <c r="J1880" s="8">
        <v>2.9</v>
      </c>
      <c r="K1880" s="8" t="s">
        <v>583</v>
      </c>
      <c r="L1880" s="8" t="s">
        <v>322</v>
      </c>
      <c r="M1880" s="8" t="s">
        <v>365</v>
      </c>
      <c r="N1880" s="8">
        <v>13.5</v>
      </c>
      <c r="O1880" s="14">
        <f t="shared" si="1"/>
        <v>44228</v>
      </c>
      <c r="P1880" s="15">
        <f>IFERROR(VLOOKUP(K1880,Formula!$A$11:$B$20,2,FALSE),Formula!$C$26)</f>
        <v>0.95</v>
      </c>
      <c r="Q1880" s="15">
        <f>IF(AND(ISNUMBER(J1880),J1880&gt;0),1/J1880,IF(AND(ISNUMBER(I1880),I1880&gt;0),SQRT(MIN(I1880,Formula!$C$27))/Formula!$C$24,1/Formula!$C$25))</f>
        <v>0.3448275862</v>
      </c>
      <c r="R1880" s="15">
        <f t="shared" si="2"/>
        <v>0.3275862069</v>
      </c>
      <c r="S1880" s="15">
        <f>IF(H1880&lt;&gt;"",EXP(-Formula!$C$28*(EOMONTH(H1880,0)-H1880)),EXP(-Formula!$C$28*(EOMONTH(D1880,0)-D1880)))</f>
        <v>0.2592402606</v>
      </c>
      <c r="T1880" s="15">
        <f t="shared" si="3"/>
        <v>0.1601281538</v>
      </c>
      <c r="U1880" s="15">
        <f t="shared" si="4"/>
        <v>0.01359864866</v>
      </c>
      <c r="V1880" s="16">
        <f>IF(AND(L1880="Among all respondents",NOT(OR(K1880="Online poll in Telegram channel",K1880="Website online poll",K1880="CAWI (Computer Assisted Web Interviewing)"))),1/(1-MIN(MAX(Formula!$C$33+(YEAR(D1880)-Formula!$C$34)/(Formula!$C$35-Formula!$C$34)*(Formula!$C$32-Formula!$C$33),Formula!$C$33),Formula!$C$32)),1)</f>
        <v>1</v>
      </c>
      <c r="W1880" s="17">
        <f t="shared" si="5"/>
        <v>13.5</v>
      </c>
    </row>
    <row r="1881" ht="15.75" customHeight="1">
      <c r="A1881" s="8" t="s">
        <v>2741</v>
      </c>
      <c r="B1881" s="7" t="s">
        <v>2737</v>
      </c>
      <c r="C1881" s="13" t="s">
        <v>2738</v>
      </c>
      <c r="D1881" s="7" t="s">
        <v>237</v>
      </c>
      <c r="E1881" s="8" t="s">
        <v>72</v>
      </c>
      <c r="F1881" s="8" t="s">
        <v>318</v>
      </c>
      <c r="G1881" s="7" t="s">
        <v>2637</v>
      </c>
      <c r="H1881" s="7" t="s">
        <v>224</v>
      </c>
      <c r="I1881" s="8">
        <v>1205.0</v>
      </c>
      <c r="J1881" s="8">
        <v>2.9</v>
      </c>
      <c r="K1881" s="8" t="s">
        <v>583</v>
      </c>
      <c r="L1881" s="8" t="s">
        <v>322</v>
      </c>
      <c r="M1881" s="8" t="s">
        <v>337</v>
      </c>
      <c r="N1881" s="8">
        <v>11.2</v>
      </c>
      <c r="O1881" s="14">
        <f t="shared" si="1"/>
        <v>44228</v>
      </c>
      <c r="P1881" s="15">
        <f>IFERROR(VLOOKUP(K1881,Formula!$A$11:$B$20,2,FALSE),Formula!$C$26)</f>
        <v>0.95</v>
      </c>
      <c r="Q1881" s="15">
        <f>IF(AND(ISNUMBER(J1881),J1881&gt;0),1/J1881,IF(AND(ISNUMBER(I1881),I1881&gt;0),SQRT(MIN(I1881,Formula!$C$27))/Formula!$C$24,1/Formula!$C$25))</f>
        <v>0.3448275862</v>
      </c>
      <c r="R1881" s="15">
        <f t="shared" si="2"/>
        <v>0.3275862069</v>
      </c>
      <c r="S1881" s="15">
        <f>IF(H1881&lt;&gt;"",EXP(-Formula!$C$28*(EOMONTH(H1881,0)-H1881)),EXP(-Formula!$C$28*(EOMONTH(D1881,0)-D1881)))</f>
        <v>0.2592402606</v>
      </c>
      <c r="T1881" s="15">
        <f t="shared" si="3"/>
        <v>0.1601281538</v>
      </c>
      <c r="U1881" s="15">
        <f t="shared" si="4"/>
        <v>0.01359864866</v>
      </c>
      <c r="V1881" s="16">
        <f>IF(AND(L1881="Among all respondents",NOT(OR(K1881="Online poll in Telegram channel",K1881="Website online poll",K1881="CAWI (Computer Assisted Web Interviewing)"))),1/(1-MIN(MAX(Formula!$C$33+(YEAR(D1881)-Formula!$C$34)/(Formula!$C$35-Formula!$C$34)*(Formula!$C$32-Formula!$C$33),Formula!$C$33),Formula!$C$32)),1)</f>
        <v>1</v>
      </c>
      <c r="W1881" s="17">
        <f t="shared" si="5"/>
        <v>11.2</v>
      </c>
    </row>
    <row r="1882" ht="15.75" customHeight="1">
      <c r="A1882" s="8" t="s">
        <v>2751</v>
      </c>
      <c r="B1882" s="7" t="s">
        <v>2737</v>
      </c>
      <c r="C1882" s="13" t="s">
        <v>2738</v>
      </c>
      <c r="D1882" s="7" t="s">
        <v>237</v>
      </c>
      <c r="E1882" s="8" t="s">
        <v>72</v>
      </c>
      <c r="F1882" s="8" t="s">
        <v>318</v>
      </c>
      <c r="G1882" s="7" t="s">
        <v>2637</v>
      </c>
      <c r="H1882" s="7" t="s">
        <v>224</v>
      </c>
      <c r="I1882" s="8">
        <v>1205.0</v>
      </c>
      <c r="J1882" s="8">
        <v>2.9</v>
      </c>
      <c r="K1882" s="8" t="s">
        <v>583</v>
      </c>
      <c r="L1882" s="8" t="s">
        <v>322</v>
      </c>
      <c r="M1882" s="8" t="s">
        <v>1334</v>
      </c>
      <c r="N1882" s="8">
        <v>7.9</v>
      </c>
      <c r="O1882" s="14">
        <f t="shared" si="1"/>
        <v>44228</v>
      </c>
      <c r="P1882" s="15">
        <f>IFERROR(VLOOKUP(K1882,Formula!$A$11:$B$20,2,FALSE),Formula!$C$26)</f>
        <v>0.95</v>
      </c>
      <c r="Q1882" s="15">
        <f>IF(AND(ISNUMBER(J1882),J1882&gt;0),1/J1882,IF(AND(ISNUMBER(I1882),I1882&gt;0),SQRT(MIN(I1882,Formula!$C$27))/Formula!$C$24,1/Formula!$C$25))</f>
        <v>0.3448275862</v>
      </c>
      <c r="R1882" s="15">
        <f t="shared" si="2"/>
        <v>0.3275862069</v>
      </c>
      <c r="S1882" s="15">
        <f>IF(H1882&lt;&gt;"",EXP(-Formula!$C$28*(EOMONTH(H1882,0)-H1882)),EXP(-Formula!$C$28*(EOMONTH(D1882,0)-D1882)))</f>
        <v>0.2592402606</v>
      </c>
      <c r="T1882" s="15">
        <f t="shared" si="3"/>
        <v>0.1601281538</v>
      </c>
      <c r="U1882" s="15">
        <f t="shared" si="4"/>
        <v>0.01359864866</v>
      </c>
      <c r="V1882" s="16">
        <f>IF(AND(L1882="Among all respondents",NOT(OR(K1882="Online poll in Telegram channel",K1882="Website online poll",K1882="CAWI (Computer Assisted Web Interviewing)"))),1/(1-MIN(MAX(Formula!$C$33+(YEAR(D1882)-Formula!$C$34)/(Formula!$C$35-Formula!$C$34)*(Formula!$C$32-Formula!$C$33),Formula!$C$33),Formula!$C$32)),1)</f>
        <v>1</v>
      </c>
      <c r="W1882" s="17">
        <f t="shared" si="5"/>
        <v>7.9</v>
      </c>
    </row>
    <row r="1883" ht="15.75" customHeight="1">
      <c r="A1883" s="8" t="s">
        <v>2743</v>
      </c>
      <c r="B1883" s="7" t="s">
        <v>2737</v>
      </c>
      <c r="C1883" s="13" t="s">
        <v>2738</v>
      </c>
      <c r="D1883" s="7" t="s">
        <v>237</v>
      </c>
      <c r="E1883" s="8" t="s">
        <v>72</v>
      </c>
      <c r="F1883" s="8" t="s">
        <v>318</v>
      </c>
      <c r="G1883" s="7" t="s">
        <v>2637</v>
      </c>
      <c r="H1883" s="7" t="s">
        <v>224</v>
      </c>
      <c r="I1883" s="8">
        <v>1205.0</v>
      </c>
      <c r="J1883" s="8">
        <v>2.9</v>
      </c>
      <c r="K1883" s="8" t="s">
        <v>583</v>
      </c>
      <c r="L1883" s="8" t="s">
        <v>322</v>
      </c>
      <c r="M1883" s="8" t="s">
        <v>386</v>
      </c>
      <c r="N1883" s="8">
        <v>5.5</v>
      </c>
      <c r="O1883" s="14">
        <f t="shared" si="1"/>
        <v>44228</v>
      </c>
      <c r="P1883" s="15">
        <f>IFERROR(VLOOKUP(K1883,Formula!$A$11:$B$20,2,FALSE),Formula!$C$26)</f>
        <v>0.95</v>
      </c>
      <c r="Q1883" s="15">
        <f>IF(AND(ISNUMBER(J1883),J1883&gt;0),1/J1883,IF(AND(ISNUMBER(I1883),I1883&gt;0),SQRT(MIN(I1883,Formula!$C$27))/Formula!$C$24,1/Formula!$C$25))</f>
        <v>0.3448275862</v>
      </c>
      <c r="R1883" s="15">
        <f t="shared" si="2"/>
        <v>0.3275862069</v>
      </c>
      <c r="S1883" s="15">
        <f>IF(H1883&lt;&gt;"",EXP(-Formula!$C$28*(EOMONTH(H1883,0)-H1883)),EXP(-Formula!$C$28*(EOMONTH(D1883,0)-D1883)))</f>
        <v>0.2592402606</v>
      </c>
      <c r="T1883" s="15">
        <f t="shared" si="3"/>
        <v>0.1601281538</v>
      </c>
      <c r="U1883" s="15">
        <f t="shared" si="4"/>
        <v>0.01359864866</v>
      </c>
      <c r="V1883" s="16">
        <f>IF(AND(L1883="Among all respondents",NOT(OR(K1883="Online poll in Telegram channel",K1883="Website online poll",K1883="CAWI (Computer Assisted Web Interviewing)"))),1/(1-MIN(MAX(Formula!$C$33+(YEAR(D1883)-Formula!$C$34)/(Formula!$C$35-Formula!$C$34)*(Formula!$C$32-Formula!$C$33),Formula!$C$33),Formula!$C$32)),1)</f>
        <v>1</v>
      </c>
      <c r="W1883" s="17">
        <f t="shared" si="5"/>
        <v>5.5</v>
      </c>
    </row>
    <row r="1884" ht="15.75" customHeight="1">
      <c r="A1884" s="8" t="s">
        <v>2745</v>
      </c>
      <c r="B1884" s="7" t="s">
        <v>2737</v>
      </c>
      <c r="C1884" s="13" t="s">
        <v>2738</v>
      </c>
      <c r="D1884" s="7" t="s">
        <v>237</v>
      </c>
      <c r="E1884" s="8" t="s">
        <v>72</v>
      </c>
      <c r="F1884" s="8" t="s">
        <v>318</v>
      </c>
      <c r="G1884" s="7" t="s">
        <v>2637</v>
      </c>
      <c r="H1884" s="7" t="s">
        <v>224</v>
      </c>
      <c r="I1884" s="8">
        <v>1205.0</v>
      </c>
      <c r="J1884" s="8">
        <v>2.9</v>
      </c>
      <c r="K1884" s="8" t="s">
        <v>583</v>
      </c>
      <c r="L1884" s="8" t="s">
        <v>322</v>
      </c>
      <c r="M1884" s="8" t="s">
        <v>388</v>
      </c>
      <c r="N1884" s="8">
        <v>4.8</v>
      </c>
      <c r="O1884" s="14">
        <f t="shared" si="1"/>
        <v>44228</v>
      </c>
      <c r="P1884" s="15">
        <f>IFERROR(VLOOKUP(K1884,Formula!$A$11:$B$20,2,FALSE),Formula!$C$26)</f>
        <v>0.95</v>
      </c>
      <c r="Q1884" s="15">
        <f>IF(AND(ISNUMBER(J1884),J1884&gt;0),1/J1884,IF(AND(ISNUMBER(I1884),I1884&gt;0),SQRT(MIN(I1884,Formula!$C$27))/Formula!$C$24,1/Formula!$C$25))</f>
        <v>0.3448275862</v>
      </c>
      <c r="R1884" s="15">
        <f t="shared" si="2"/>
        <v>0.3275862069</v>
      </c>
      <c r="S1884" s="15">
        <f>IF(H1884&lt;&gt;"",EXP(-Formula!$C$28*(EOMONTH(H1884,0)-H1884)),EXP(-Formula!$C$28*(EOMONTH(D1884,0)-D1884)))</f>
        <v>0.2592402606</v>
      </c>
      <c r="T1884" s="15">
        <f t="shared" si="3"/>
        <v>0.1601281538</v>
      </c>
      <c r="U1884" s="15">
        <f t="shared" si="4"/>
        <v>0.01359864866</v>
      </c>
      <c r="V1884" s="16">
        <f>IF(AND(L1884="Among all respondents",NOT(OR(K1884="Online poll in Telegram channel",K1884="Website online poll",K1884="CAWI (Computer Assisted Web Interviewing)"))),1/(1-MIN(MAX(Formula!$C$33+(YEAR(D1884)-Formula!$C$34)/(Formula!$C$35-Formula!$C$34)*(Formula!$C$32-Formula!$C$33),Formula!$C$33),Formula!$C$32)),1)</f>
        <v>1</v>
      </c>
      <c r="W1884" s="17">
        <f t="shared" si="5"/>
        <v>4.8</v>
      </c>
    </row>
    <row r="1885" ht="15.75" customHeight="1">
      <c r="A1885" s="8" t="s">
        <v>2744</v>
      </c>
      <c r="B1885" s="7" t="s">
        <v>2737</v>
      </c>
      <c r="C1885" s="13" t="s">
        <v>2738</v>
      </c>
      <c r="D1885" s="7" t="s">
        <v>237</v>
      </c>
      <c r="E1885" s="8" t="s">
        <v>72</v>
      </c>
      <c r="F1885" s="8" t="s">
        <v>318</v>
      </c>
      <c r="G1885" s="7" t="s">
        <v>2637</v>
      </c>
      <c r="H1885" s="7" t="s">
        <v>224</v>
      </c>
      <c r="I1885" s="8">
        <v>1205.0</v>
      </c>
      <c r="J1885" s="8">
        <v>2.9</v>
      </c>
      <c r="K1885" s="8" t="s">
        <v>583</v>
      </c>
      <c r="L1885" s="8" t="s">
        <v>322</v>
      </c>
      <c r="M1885" s="8" t="s">
        <v>339</v>
      </c>
      <c r="N1885" s="8">
        <v>4.5</v>
      </c>
      <c r="O1885" s="14">
        <f t="shared" si="1"/>
        <v>44228</v>
      </c>
      <c r="P1885" s="15">
        <f>IFERROR(VLOOKUP(K1885,Formula!$A$11:$B$20,2,FALSE),Formula!$C$26)</f>
        <v>0.95</v>
      </c>
      <c r="Q1885" s="15">
        <f>IF(AND(ISNUMBER(J1885),J1885&gt;0),1/J1885,IF(AND(ISNUMBER(I1885),I1885&gt;0),SQRT(MIN(I1885,Formula!$C$27))/Formula!$C$24,1/Formula!$C$25))</f>
        <v>0.3448275862</v>
      </c>
      <c r="R1885" s="15">
        <f t="shared" si="2"/>
        <v>0.3275862069</v>
      </c>
      <c r="S1885" s="15">
        <f>IF(H1885&lt;&gt;"",EXP(-Formula!$C$28*(EOMONTH(H1885,0)-H1885)),EXP(-Formula!$C$28*(EOMONTH(D1885,0)-D1885)))</f>
        <v>0.2592402606</v>
      </c>
      <c r="T1885" s="15">
        <f t="shared" si="3"/>
        <v>0.1601281538</v>
      </c>
      <c r="U1885" s="15">
        <f t="shared" si="4"/>
        <v>0.01359864866</v>
      </c>
      <c r="V1885" s="16">
        <f>IF(AND(L1885="Among all respondents",NOT(OR(K1885="Online poll in Telegram channel",K1885="Website online poll",K1885="CAWI (Computer Assisted Web Interviewing)"))),1/(1-MIN(MAX(Formula!$C$33+(YEAR(D1885)-Formula!$C$34)/(Formula!$C$35-Formula!$C$34)*(Formula!$C$32-Formula!$C$33),Formula!$C$33),Formula!$C$32)),1)</f>
        <v>1</v>
      </c>
      <c r="W1885" s="17">
        <f t="shared" si="5"/>
        <v>4.5</v>
      </c>
    </row>
    <row r="1886" ht="15.75" customHeight="1">
      <c r="A1886" s="8" t="s">
        <v>2752</v>
      </c>
      <c r="B1886" s="7" t="s">
        <v>2737</v>
      </c>
      <c r="C1886" s="13" t="s">
        <v>2738</v>
      </c>
      <c r="D1886" s="7" t="s">
        <v>237</v>
      </c>
      <c r="E1886" s="8" t="s">
        <v>72</v>
      </c>
      <c r="F1886" s="8" t="s">
        <v>318</v>
      </c>
      <c r="G1886" s="7" t="s">
        <v>2637</v>
      </c>
      <c r="H1886" s="7" t="s">
        <v>224</v>
      </c>
      <c r="I1886" s="8">
        <v>1205.0</v>
      </c>
      <c r="J1886" s="8">
        <v>2.9</v>
      </c>
      <c r="K1886" s="8" t="s">
        <v>583</v>
      </c>
      <c r="L1886" s="8" t="s">
        <v>322</v>
      </c>
      <c r="M1886" s="8" t="s">
        <v>333</v>
      </c>
      <c r="N1886" s="8">
        <v>4.0</v>
      </c>
      <c r="O1886" s="14">
        <f t="shared" si="1"/>
        <v>44228</v>
      </c>
      <c r="P1886" s="15">
        <f>IFERROR(VLOOKUP(K1886,Formula!$A$11:$B$20,2,FALSE),Formula!$C$26)</f>
        <v>0.95</v>
      </c>
      <c r="Q1886" s="15">
        <f>IF(AND(ISNUMBER(J1886),J1886&gt;0),1/J1886,IF(AND(ISNUMBER(I1886),I1886&gt;0),SQRT(MIN(I1886,Formula!$C$27))/Formula!$C$24,1/Formula!$C$25))</f>
        <v>0.3448275862</v>
      </c>
      <c r="R1886" s="15">
        <f t="shared" si="2"/>
        <v>0.3275862069</v>
      </c>
      <c r="S1886" s="15">
        <f>IF(H1886&lt;&gt;"",EXP(-Formula!$C$28*(EOMONTH(H1886,0)-H1886)),EXP(-Formula!$C$28*(EOMONTH(D1886,0)-D1886)))</f>
        <v>0.2592402606</v>
      </c>
      <c r="T1886" s="15">
        <f t="shared" si="3"/>
        <v>0.1601281538</v>
      </c>
      <c r="U1886" s="15">
        <f t="shared" si="4"/>
        <v>0.01359864866</v>
      </c>
      <c r="V1886" s="16">
        <f>IF(AND(L1886="Among all respondents",NOT(OR(K1886="Online poll in Telegram channel",K1886="Website online poll",K1886="CAWI (Computer Assisted Web Interviewing)"))),1/(1-MIN(MAX(Formula!$C$33+(YEAR(D1886)-Formula!$C$34)/(Formula!$C$35-Formula!$C$34)*(Formula!$C$32-Formula!$C$33),Formula!$C$33),Formula!$C$32)),1)</f>
        <v>1</v>
      </c>
      <c r="W1886" s="17">
        <f t="shared" si="5"/>
        <v>4</v>
      </c>
    </row>
    <row r="1887" ht="15.75" customHeight="1">
      <c r="A1887" s="8" t="s">
        <v>2746</v>
      </c>
      <c r="B1887" s="7" t="s">
        <v>2737</v>
      </c>
      <c r="C1887" s="13" t="s">
        <v>2738</v>
      </c>
      <c r="D1887" s="7" t="s">
        <v>237</v>
      </c>
      <c r="E1887" s="8" t="s">
        <v>72</v>
      </c>
      <c r="F1887" s="8" t="s">
        <v>318</v>
      </c>
      <c r="G1887" s="7" t="s">
        <v>2637</v>
      </c>
      <c r="H1887" s="7" t="s">
        <v>224</v>
      </c>
      <c r="I1887" s="8">
        <v>1205.0</v>
      </c>
      <c r="J1887" s="8">
        <v>2.9</v>
      </c>
      <c r="K1887" s="8" t="s">
        <v>583</v>
      </c>
      <c r="L1887" s="8" t="s">
        <v>322</v>
      </c>
      <c r="M1887" s="8" t="s">
        <v>740</v>
      </c>
      <c r="N1887" s="8">
        <v>2.6</v>
      </c>
      <c r="O1887" s="14">
        <f t="shared" si="1"/>
        <v>44228</v>
      </c>
      <c r="P1887" s="15">
        <f>IFERROR(VLOOKUP(K1887,Formula!$A$11:$B$20,2,FALSE),Formula!$C$26)</f>
        <v>0.95</v>
      </c>
      <c r="Q1887" s="15">
        <f>IF(AND(ISNUMBER(J1887),J1887&gt;0),1/J1887,IF(AND(ISNUMBER(I1887),I1887&gt;0),SQRT(MIN(I1887,Formula!$C$27))/Formula!$C$24,1/Formula!$C$25))</f>
        <v>0.3448275862</v>
      </c>
      <c r="R1887" s="15">
        <f t="shared" si="2"/>
        <v>0.3275862069</v>
      </c>
      <c r="S1887" s="15">
        <f>IF(H1887&lt;&gt;"",EXP(-Formula!$C$28*(EOMONTH(H1887,0)-H1887)),EXP(-Formula!$C$28*(EOMONTH(D1887,0)-D1887)))</f>
        <v>0.2592402606</v>
      </c>
      <c r="T1887" s="15">
        <f t="shared" si="3"/>
        <v>0.1601281538</v>
      </c>
      <c r="U1887" s="15">
        <f t="shared" si="4"/>
        <v>0.01359864866</v>
      </c>
      <c r="V1887" s="16">
        <f>IF(AND(L1887="Among all respondents",NOT(OR(K1887="Online poll in Telegram channel",K1887="Website online poll",K1887="CAWI (Computer Assisted Web Interviewing)"))),1/(1-MIN(MAX(Formula!$C$33+(YEAR(D1887)-Formula!$C$34)/(Formula!$C$35-Formula!$C$34)*(Formula!$C$32-Formula!$C$33),Formula!$C$33),Formula!$C$32)),1)</f>
        <v>1</v>
      </c>
      <c r="W1887" s="17">
        <f t="shared" si="5"/>
        <v>2.6</v>
      </c>
    </row>
    <row r="1888" ht="15.75" customHeight="1">
      <c r="A1888" s="8" t="s">
        <v>2747</v>
      </c>
      <c r="B1888" s="7" t="s">
        <v>2737</v>
      </c>
      <c r="C1888" s="13" t="s">
        <v>2738</v>
      </c>
      <c r="D1888" s="7" t="s">
        <v>237</v>
      </c>
      <c r="E1888" s="8" t="s">
        <v>72</v>
      </c>
      <c r="F1888" s="8" t="s">
        <v>318</v>
      </c>
      <c r="G1888" s="7" t="s">
        <v>2637</v>
      </c>
      <c r="H1888" s="7" t="s">
        <v>224</v>
      </c>
      <c r="I1888" s="8">
        <v>1205.0</v>
      </c>
      <c r="J1888" s="8">
        <v>2.9</v>
      </c>
      <c r="K1888" s="8" t="s">
        <v>583</v>
      </c>
      <c r="L1888" s="8" t="s">
        <v>322</v>
      </c>
      <c r="M1888" s="8" t="s">
        <v>345</v>
      </c>
      <c r="N1888" s="8">
        <v>1.5</v>
      </c>
      <c r="O1888" s="14">
        <f t="shared" si="1"/>
        <v>44228</v>
      </c>
      <c r="P1888" s="15">
        <f>IFERROR(VLOOKUP(K1888,Formula!$A$11:$B$20,2,FALSE),Formula!$C$26)</f>
        <v>0.95</v>
      </c>
      <c r="Q1888" s="15">
        <f>IF(AND(ISNUMBER(J1888),J1888&gt;0),1/J1888,IF(AND(ISNUMBER(I1888),I1888&gt;0),SQRT(MIN(I1888,Formula!$C$27))/Formula!$C$24,1/Formula!$C$25))</f>
        <v>0.3448275862</v>
      </c>
      <c r="R1888" s="15">
        <f t="shared" si="2"/>
        <v>0.3275862069</v>
      </c>
      <c r="S1888" s="15">
        <f>IF(H1888&lt;&gt;"",EXP(-Formula!$C$28*(EOMONTH(H1888,0)-H1888)),EXP(-Formula!$C$28*(EOMONTH(D1888,0)-D1888)))</f>
        <v>0.2592402606</v>
      </c>
      <c r="T1888" s="15">
        <f t="shared" si="3"/>
        <v>0.1601281538</v>
      </c>
      <c r="U1888" s="15">
        <f t="shared" si="4"/>
        <v>0.01359864866</v>
      </c>
      <c r="V1888" s="16">
        <f>IF(AND(L1888="Among all respondents",NOT(OR(K1888="Online poll in Telegram channel",K1888="Website online poll",K1888="CAWI (Computer Assisted Web Interviewing)"))),1/(1-MIN(MAX(Formula!$C$33+(YEAR(D1888)-Formula!$C$34)/(Formula!$C$35-Formula!$C$34)*(Formula!$C$32-Formula!$C$33),Formula!$C$33),Formula!$C$32)),1)</f>
        <v>1</v>
      </c>
      <c r="W1888" s="17">
        <f t="shared" si="5"/>
        <v>1.5</v>
      </c>
    </row>
    <row r="1889" ht="15.75" customHeight="1">
      <c r="A1889" s="8" t="s">
        <v>2748</v>
      </c>
      <c r="B1889" s="7" t="s">
        <v>2737</v>
      </c>
      <c r="C1889" s="13" t="s">
        <v>2738</v>
      </c>
      <c r="D1889" s="7" t="s">
        <v>237</v>
      </c>
      <c r="E1889" s="8" t="s">
        <v>72</v>
      </c>
      <c r="F1889" s="8" t="s">
        <v>318</v>
      </c>
      <c r="G1889" s="7" t="s">
        <v>2637</v>
      </c>
      <c r="H1889" s="7" t="s">
        <v>224</v>
      </c>
      <c r="I1889" s="8">
        <v>1205.0</v>
      </c>
      <c r="J1889" s="8">
        <v>2.9</v>
      </c>
      <c r="K1889" s="8" t="s">
        <v>583</v>
      </c>
      <c r="L1889" s="8" t="s">
        <v>322</v>
      </c>
      <c r="M1889" s="8" t="s">
        <v>343</v>
      </c>
      <c r="N1889" s="8">
        <v>1.5</v>
      </c>
      <c r="O1889" s="14">
        <f t="shared" si="1"/>
        <v>44228</v>
      </c>
      <c r="P1889" s="15">
        <f>IFERROR(VLOOKUP(K1889,Formula!$A$11:$B$20,2,FALSE),Formula!$C$26)</f>
        <v>0.95</v>
      </c>
      <c r="Q1889" s="15">
        <f>IF(AND(ISNUMBER(J1889),J1889&gt;0),1/J1889,IF(AND(ISNUMBER(I1889),I1889&gt;0),SQRT(MIN(I1889,Formula!$C$27))/Formula!$C$24,1/Formula!$C$25))</f>
        <v>0.3448275862</v>
      </c>
      <c r="R1889" s="15">
        <f t="shared" si="2"/>
        <v>0.3275862069</v>
      </c>
      <c r="S1889" s="15">
        <f>IF(H1889&lt;&gt;"",EXP(-Formula!$C$28*(EOMONTH(H1889,0)-H1889)),EXP(-Formula!$C$28*(EOMONTH(D1889,0)-D1889)))</f>
        <v>0.2592402606</v>
      </c>
      <c r="T1889" s="15">
        <f t="shared" si="3"/>
        <v>0.1601281538</v>
      </c>
      <c r="U1889" s="15">
        <f t="shared" si="4"/>
        <v>0.01359864866</v>
      </c>
      <c r="V1889" s="16">
        <f>IF(AND(L1889="Among all respondents",NOT(OR(K1889="Online poll in Telegram channel",K1889="Website online poll",K1889="CAWI (Computer Assisted Web Interviewing)"))),1/(1-MIN(MAX(Formula!$C$33+(YEAR(D1889)-Formula!$C$34)/(Formula!$C$35-Formula!$C$34)*(Formula!$C$32-Formula!$C$33),Formula!$C$33),Formula!$C$32)),1)</f>
        <v>1</v>
      </c>
      <c r="W1889" s="17">
        <f t="shared" si="5"/>
        <v>1.5</v>
      </c>
    </row>
    <row r="1890" ht="15.75" customHeight="1">
      <c r="A1890" s="8" t="s">
        <v>2749</v>
      </c>
      <c r="B1890" s="7" t="s">
        <v>2737</v>
      </c>
      <c r="C1890" s="13" t="s">
        <v>2738</v>
      </c>
      <c r="D1890" s="7" t="s">
        <v>237</v>
      </c>
      <c r="E1890" s="8" t="s">
        <v>72</v>
      </c>
      <c r="F1890" s="8" t="s">
        <v>318</v>
      </c>
      <c r="G1890" s="7" t="s">
        <v>2637</v>
      </c>
      <c r="H1890" s="7" t="s">
        <v>224</v>
      </c>
      <c r="I1890" s="8">
        <v>1205.0</v>
      </c>
      <c r="J1890" s="8">
        <v>2.9</v>
      </c>
      <c r="K1890" s="8" t="s">
        <v>583</v>
      </c>
      <c r="L1890" s="8" t="s">
        <v>322</v>
      </c>
      <c r="M1890" s="8" t="s">
        <v>1663</v>
      </c>
      <c r="N1890" s="8">
        <v>1.2</v>
      </c>
      <c r="O1890" s="14">
        <f t="shared" si="1"/>
        <v>44228</v>
      </c>
      <c r="P1890" s="15">
        <f>IFERROR(VLOOKUP(K1890,Formula!$A$11:$B$20,2,FALSE),Formula!$C$26)</f>
        <v>0.95</v>
      </c>
      <c r="Q1890" s="15">
        <f>IF(AND(ISNUMBER(J1890),J1890&gt;0),1/J1890,IF(AND(ISNUMBER(I1890),I1890&gt;0),SQRT(MIN(I1890,Formula!$C$27))/Formula!$C$24,1/Formula!$C$25))</f>
        <v>0.3448275862</v>
      </c>
      <c r="R1890" s="15">
        <f t="shared" si="2"/>
        <v>0.3275862069</v>
      </c>
      <c r="S1890" s="15">
        <f>IF(H1890&lt;&gt;"",EXP(-Formula!$C$28*(EOMONTH(H1890,0)-H1890)),EXP(-Formula!$C$28*(EOMONTH(D1890,0)-D1890)))</f>
        <v>0.2592402606</v>
      </c>
      <c r="T1890" s="15">
        <f t="shared" si="3"/>
        <v>0.1601281538</v>
      </c>
      <c r="U1890" s="15">
        <f t="shared" si="4"/>
        <v>0.01359864866</v>
      </c>
      <c r="V1890" s="16">
        <f>IF(AND(L1890="Among all respondents",NOT(OR(K1890="Online poll in Telegram channel",K1890="Website online poll",K1890="CAWI (Computer Assisted Web Interviewing)"))),1/(1-MIN(MAX(Formula!$C$33+(YEAR(D1890)-Formula!$C$34)/(Formula!$C$35-Formula!$C$34)*(Formula!$C$32-Formula!$C$33),Formula!$C$33),Formula!$C$32)),1)</f>
        <v>1</v>
      </c>
      <c r="W1890" s="17">
        <f t="shared" si="5"/>
        <v>1.2</v>
      </c>
    </row>
    <row r="1891" ht="15.75" customHeight="1">
      <c r="A1891" s="8" t="s">
        <v>2750</v>
      </c>
      <c r="B1891" s="7" t="s">
        <v>2737</v>
      </c>
      <c r="C1891" s="13" t="s">
        <v>2738</v>
      </c>
      <c r="D1891" s="7" t="s">
        <v>237</v>
      </c>
      <c r="E1891" s="8" t="s">
        <v>72</v>
      </c>
      <c r="F1891" s="8" t="s">
        <v>318</v>
      </c>
      <c r="G1891" s="7" t="s">
        <v>2637</v>
      </c>
      <c r="H1891" s="7" t="s">
        <v>224</v>
      </c>
      <c r="I1891" s="8">
        <v>1205.0</v>
      </c>
      <c r="J1891" s="8">
        <v>2.9</v>
      </c>
      <c r="K1891" s="8" t="s">
        <v>583</v>
      </c>
      <c r="L1891" s="8" t="s">
        <v>322</v>
      </c>
      <c r="M1891" s="8" t="s">
        <v>335</v>
      </c>
      <c r="N1891" s="8">
        <v>0.4</v>
      </c>
      <c r="O1891" s="14">
        <f t="shared" si="1"/>
        <v>44228</v>
      </c>
      <c r="P1891" s="15">
        <f>IFERROR(VLOOKUP(K1891,Formula!$A$11:$B$20,2,FALSE),Formula!$C$26)</f>
        <v>0.95</v>
      </c>
      <c r="Q1891" s="15">
        <f>IF(AND(ISNUMBER(J1891),J1891&gt;0),1/J1891,IF(AND(ISNUMBER(I1891),I1891&gt;0),SQRT(MIN(I1891,Formula!$C$27))/Formula!$C$24,1/Formula!$C$25))</f>
        <v>0.3448275862</v>
      </c>
      <c r="R1891" s="15">
        <f t="shared" si="2"/>
        <v>0.3275862069</v>
      </c>
      <c r="S1891" s="15">
        <f>IF(H1891&lt;&gt;"",EXP(-Formula!$C$28*(EOMONTH(H1891,0)-H1891)),EXP(-Formula!$C$28*(EOMONTH(D1891,0)-D1891)))</f>
        <v>0.2592402606</v>
      </c>
      <c r="T1891" s="15">
        <f t="shared" si="3"/>
        <v>0.1601281538</v>
      </c>
      <c r="U1891" s="15">
        <f t="shared" si="4"/>
        <v>0.01359864866</v>
      </c>
      <c r="V1891" s="16">
        <f>IF(AND(L1891="Among all respondents",NOT(OR(K1891="Online poll in Telegram channel",K1891="Website online poll",K1891="CAWI (Computer Assisted Web Interviewing)"))),1/(1-MIN(MAX(Formula!$C$33+(YEAR(D1891)-Formula!$C$34)/(Formula!$C$35-Formula!$C$34)*(Formula!$C$32-Formula!$C$33),Formula!$C$33),Formula!$C$32)),1)</f>
        <v>1</v>
      </c>
      <c r="W1891" s="17">
        <f t="shared" si="5"/>
        <v>0.4</v>
      </c>
    </row>
    <row r="1892" ht="15.75" customHeight="1">
      <c r="A1892" s="8" t="s">
        <v>2753</v>
      </c>
      <c r="B1892" s="7" t="s">
        <v>2754</v>
      </c>
      <c r="C1892" s="13" t="s">
        <v>2755</v>
      </c>
      <c r="D1892" s="7" t="s">
        <v>224</v>
      </c>
      <c r="E1892" s="8" t="s">
        <v>155</v>
      </c>
      <c r="F1892" s="8" t="s">
        <v>318</v>
      </c>
      <c r="G1892" s="7" t="s">
        <v>2756</v>
      </c>
      <c r="H1892" s="7" t="s">
        <v>2757</v>
      </c>
      <c r="I1892" s="8">
        <v>3014.0</v>
      </c>
      <c r="J1892" s="8">
        <v>1.9</v>
      </c>
      <c r="K1892" s="8" t="s">
        <v>583</v>
      </c>
      <c r="L1892" s="8" t="s">
        <v>322</v>
      </c>
      <c r="M1892" s="8" t="s">
        <v>323</v>
      </c>
      <c r="N1892" s="8">
        <v>24.8</v>
      </c>
      <c r="O1892" s="14">
        <f t="shared" si="1"/>
        <v>44228</v>
      </c>
      <c r="P1892" s="15">
        <f>IFERROR(VLOOKUP(K1892,Formula!$A$11:$B$20,2,FALSE),Formula!$C$26)</f>
        <v>0.95</v>
      </c>
      <c r="Q1892" s="15">
        <f>IF(AND(ISNUMBER(J1892),J1892&gt;0),1/J1892,IF(AND(ISNUMBER(I1892),I1892&gt;0),SQRT(MIN(I1892,Formula!$C$27))/Formula!$C$24,1/Formula!$C$25))</f>
        <v>0.5263157895</v>
      </c>
      <c r="R1892" s="15">
        <f t="shared" si="2"/>
        <v>0.5</v>
      </c>
      <c r="S1892" s="15">
        <f>IF(H1892&lt;&gt;"",EXP(-Formula!$C$28*(EOMONTH(H1892,0)-H1892)),EXP(-Formula!$C$28*(EOMONTH(D1892,0)-D1892)))</f>
        <v>0.7408182207</v>
      </c>
      <c r="T1892" s="15">
        <f t="shared" si="3"/>
        <v>0.2041241452</v>
      </c>
      <c r="U1892" s="15">
        <f t="shared" si="4"/>
        <v>0.07560944303</v>
      </c>
      <c r="V1892" s="16">
        <f>IF(AND(L1892="Among all respondents",NOT(OR(K1892="Online poll in Telegram channel",K1892="Website online poll",K1892="CAWI (Computer Assisted Web Interviewing)"))),1/(1-MIN(MAX(Formula!$C$33+(YEAR(D1892)-Formula!$C$34)/(Formula!$C$35-Formula!$C$34)*(Formula!$C$32-Formula!$C$33),Formula!$C$33),Formula!$C$32)),1)</f>
        <v>1</v>
      </c>
      <c r="W1892" s="17">
        <f t="shared" si="5"/>
        <v>24.8</v>
      </c>
    </row>
    <row r="1893" ht="15.75" customHeight="1">
      <c r="A1893" s="8" t="s">
        <v>2758</v>
      </c>
      <c r="B1893" s="7" t="s">
        <v>2754</v>
      </c>
      <c r="C1893" s="13" t="s">
        <v>2755</v>
      </c>
      <c r="D1893" s="7" t="s">
        <v>224</v>
      </c>
      <c r="E1893" s="8" t="s">
        <v>155</v>
      </c>
      <c r="F1893" s="8" t="s">
        <v>318</v>
      </c>
      <c r="G1893" s="7" t="s">
        <v>2756</v>
      </c>
      <c r="H1893" s="7" t="s">
        <v>2757</v>
      </c>
      <c r="I1893" s="8">
        <v>3014.0</v>
      </c>
      <c r="J1893" s="8">
        <v>1.9</v>
      </c>
      <c r="K1893" s="8" t="s">
        <v>583</v>
      </c>
      <c r="L1893" s="8" t="s">
        <v>322</v>
      </c>
      <c r="M1893" s="8" t="s">
        <v>365</v>
      </c>
      <c r="N1893" s="8">
        <v>18.4</v>
      </c>
      <c r="O1893" s="14">
        <f t="shared" si="1"/>
        <v>44228</v>
      </c>
      <c r="P1893" s="15">
        <f>IFERROR(VLOOKUP(K1893,Formula!$A$11:$B$20,2,FALSE),Formula!$C$26)</f>
        <v>0.95</v>
      </c>
      <c r="Q1893" s="15">
        <f>IF(AND(ISNUMBER(J1893),J1893&gt;0),1/J1893,IF(AND(ISNUMBER(I1893),I1893&gt;0),SQRT(MIN(I1893,Formula!$C$27))/Formula!$C$24,1/Formula!$C$25))</f>
        <v>0.5263157895</v>
      </c>
      <c r="R1893" s="15">
        <f t="shared" si="2"/>
        <v>0.5</v>
      </c>
      <c r="S1893" s="15">
        <f>IF(H1893&lt;&gt;"",EXP(-Formula!$C$28*(EOMONTH(H1893,0)-H1893)),EXP(-Formula!$C$28*(EOMONTH(D1893,0)-D1893)))</f>
        <v>0.7408182207</v>
      </c>
      <c r="T1893" s="15">
        <f t="shared" si="3"/>
        <v>0.2041241452</v>
      </c>
      <c r="U1893" s="15">
        <f t="shared" si="4"/>
        <v>0.07560944303</v>
      </c>
      <c r="V1893" s="16">
        <f>IF(AND(L1893="Among all respondents",NOT(OR(K1893="Online poll in Telegram channel",K1893="Website online poll",K1893="CAWI (Computer Assisted Web Interviewing)"))),1/(1-MIN(MAX(Formula!$C$33+(YEAR(D1893)-Formula!$C$34)/(Formula!$C$35-Formula!$C$34)*(Formula!$C$32-Formula!$C$33),Formula!$C$33),Formula!$C$32)),1)</f>
        <v>1</v>
      </c>
      <c r="W1893" s="17">
        <f t="shared" si="5"/>
        <v>18.4</v>
      </c>
    </row>
    <row r="1894" ht="15.75" customHeight="1">
      <c r="A1894" s="8" t="s">
        <v>2759</v>
      </c>
      <c r="B1894" s="7" t="s">
        <v>2754</v>
      </c>
      <c r="C1894" s="13" t="s">
        <v>2755</v>
      </c>
      <c r="D1894" s="7" t="s">
        <v>224</v>
      </c>
      <c r="E1894" s="8" t="s">
        <v>155</v>
      </c>
      <c r="F1894" s="8" t="s">
        <v>318</v>
      </c>
      <c r="G1894" s="7" t="s">
        <v>2756</v>
      </c>
      <c r="H1894" s="7" t="s">
        <v>2757</v>
      </c>
      <c r="I1894" s="8">
        <v>3014.0</v>
      </c>
      <c r="J1894" s="8">
        <v>1.9</v>
      </c>
      <c r="K1894" s="8" t="s">
        <v>583</v>
      </c>
      <c r="L1894" s="8" t="s">
        <v>322</v>
      </c>
      <c r="M1894" s="8" t="s">
        <v>329</v>
      </c>
      <c r="N1894" s="8">
        <v>15.6</v>
      </c>
      <c r="O1894" s="14">
        <f t="shared" si="1"/>
        <v>44228</v>
      </c>
      <c r="P1894" s="15">
        <f>IFERROR(VLOOKUP(K1894,Formula!$A$11:$B$20,2,FALSE),Formula!$C$26)</f>
        <v>0.95</v>
      </c>
      <c r="Q1894" s="15">
        <f>IF(AND(ISNUMBER(J1894),J1894&gt;0),1/J1894,IF(AND(ISNUMBER(I1894),I1894&gt;0),SQRT(MIN(I1894,Formula!$C$27))/Formula!$C$24,1/Formula!$C$25))</f>
        <v>0.5263157895</v>
      </c>
      <c r="R1894" s="15">
        <f t="shared" si="2"/>
        <v>0.5</v>
      </c>
      <c r="S1894" s="15">
        <f>IF(H1894&lt;&gt;"",EXP(-Formula!$C$28*(EOMONTH(H1894,0)-H1894)),EXP(-Formula!$C$28*(EOMONTH(D1894,0)-D1894)))</f>
        <v>0.7408182207</v>
      </c>
      <c r="T1894" s="15">
        <f t="shared" si="3"/>
        <v>0.2041241452</v>
      </c>
      <c r="U1894" s="15">
        <f t="shared" si="4"/>
        <v>0.07560944303</v>
      </c>
      <c r="V1894" s="16">
        <f>IF(AND(L1894="Among all respondents",NOT(OR(K1894="Online poll in Telegram channel",K1894="Website online poll",K1894="CAWI (Computer Assisted Web Interviewing)"))),1/(1-MIN(MAX(Formula!$C$33+(YEAR(D1894)-Formula!$C$34)/(Formula!$C$35-Formula!$C$34)*(Formula!$C$32-Formula!$C$33),Formula!$C$33),Formula!$C$32)),1)</f>
        <v>1</v>
      </c>
      <c r="W1894" s="17">
        <f t="shared" si="5"/>
        <v>15.6</v>
      </c>
    </row>
    <row r="1895" ht="15.75" customHeight="1">
      <c r="A1895" s="8" t="s">
        <v>2760</v>
      </c>
      <c r="B1895" s="7" t="s">
        <v>2754</v>
      </c>
      <c r="C1895" s="13" t="s">
        <v>2755</v>
      </c>
      <c r="D1895" s="7" t="s">
        <v>224</v>
      </c>
      <c r="E1895" s="8" t="s">
        <v>155</v>
      </c>
      <c r="F1895" s="8" t="s">
        <v>318</v>
      </c>
      <c r="G1895" s="7" t="s">
        <v>2756</v>
      </c>
      <c r="H1895" s="7" t="s">
        <v>2757</v>
      </c>
      <c r="I1895" s="8">
        <v>3014.0</v>
      </c>
      <c r="J1895" s="8">
        <v>1.9</v>
      </c>
      <c r="K1895" s="8" t="s">
        <v>583</v>
      </c>
      <c r="L1895" s="8" t="s">
        <v>322</v>
      </c>
      <c r="M1895" s="8" t="s">
        <v>337</v>
      </c>
      <c r="N1895" s="8">
        <v>11.1</v>
      </c>
      <c r="O1895" s="14">
        <f t="shared" si="1"/>
        <v>44228</v>
      </c>
      <c r="P1895" s="15">
        <f>IFERROR(VLOOKUP(K1895,Formula!$A$11:$B$20,2,FALSE),Formula!$C$26)</f>
        <v>0.95</v>
      </c>
      <c r="Q1895" s="15">
        <f>IF(AND(ISNUMBER(J1895),J1895&gt;0),1/J1895,IF(AND(ISNUMBER(I1895),I1895&gt;0),SQRT(MIN(I1895,Formula!$C$27))/Formula!$C$24,1/Formula!$C$25))</f>
        <v>0.5263157895</v>
      </c>
      <c r="R1895" s="15">
        <f t="shared" si="2"/>
        <v>0.5</v>
      </c>
      <c r="S1895" s="15">
        <f>IF(H1895&lt;&gt;"",EXP(-Formula!$C$28*(EOMONTH(H1895,0)-H1895)),EXP(-Formula!$C$28*(EOMONTH(D1895,0)-D1895)))</f>
        <v>0.7408182207</v>
      </c>
      <c r="T1895" s="15">
        <f t="shared" si="3"/>
        <v>0.2041241452</v>
      </c>
      <c r="U1895" s="15">
        <f t="shared" si="4"/>
        <v>0.07560944303</v>
      </c>
      <c r="V1895" s="16">
        <f>IF(AND(L1895="Among all respondents",NOT(OR(K1895="Online poll in Telegram channel",K1895="Website online poll",K1895="CAWI (Computer Assisted Web Interviewing)"))),1/(1-MIN(MAX(Formula!$C$33+(YEAR(D1895)-Formula!$C$34)/(Formula!$C$35-Formula!$C$34)*(Formula!$C$32-Formula!$C$33),Formula!$C$33),Formula!$C$32)),1)</f>
        <v>1</v>
      </c>
      <c r="W1895" s="17">
        <f t="shared" si="5"/>
        <v>11.1</v>
      </c>
    </row>
    <row r="1896" ht="15.75" customHeight="1">
      <c r="A1896" s="8" t="s">
        <v>2761</v>
      </c>
      <c r="B1896" s="7" t="s">
        <v>2754</v>
      </c>
      <c r="C1896" s="13" t="s">
        <v>2755</v>
      </c>
      <c r="D1896" s="7" t="s">
        <v>224</v>
      </c>
      <c r="E1896" s="8" t="s">
        <v>155</v>
      </c>
      <c r="F1896" s="8" t="s">
        <v>318</v>
      </c>
      <c r="G1896" s="7" t="s">
        <v>2756</v>
      </c>
      <c r="H1896" s="7" t="s">
        <v>2757</v>
      </c>
      <c r="I1896" s="8">
        <v>3014.0</v>
      </c>
      <c r="J1896" s="8">
        <v>1.9</v>
      </c>
      <c r="K1896" s="8" t="s">
        <v>583</v>
      </c>
      <c r="L1896" s="8" t="s">
        <v>322</v>
      </c>
      <c r="M1896" s="8" t="s">
        <v>828</v>
      </c>
      <c r="N1896" s="8">
        <v>6.2</v>
      </c>
      <c r="O1896" s="14">
        <f t="shared" si="1"/>
        <v>44228</v>
      </c>
      <c r="P1896" s="15">
        <f>IFERROR(VLOOKUP(K1896,Formula!$A$11:$B$20,2,FALSE),Formula!$C$26)</f>
        <v>0.95</v>
      </c>
      <c r="Q1896" s="15">
        <f>IF(AND(ISNUMBER(J1896),J1896&gt;0),1/J1896,IF(AND(ISNUMBER(I1896),I1896&gt;0),SQRT(MIN(I1896,Formula!$C$27))/Formula!$C$24,1/Formula!$C$25))</f>
        <v>0.5263157895</v>
      </c>
      <c r="R1896" s="15">
        <f t="shared" si="2"/>
        <v>0.5</v>
      </c>
      <c r="S1896" s="15">
        <f>IF(H1896&lt;&gt;"",EXP(-Formula!$C$28*(EOMONTH(H1896,0)-H1896)),EXP(-Formula!$C$28*(EOMONTH(D1896,0)-D1896)))</f>
        <v>0.7408182207</v>
      </c>
      <c r="T1896" s="15">
        <f t="shared" si="3"/>
        <v>0.2041241452</v>
      </c>
      <c r="U1896" s="15">
        <f t="shared" si="4"/>
        <v>0.07560944303</v>
      </c>
      <c r="V1896" s="16">
        <f>IF(AND(L1896="Among all respondents",NOT(OR(K1896="Online poll in Telegram channel",K1896="Website online poll",K1896="CAWI (Computer Assisted Web Interviewing)"))),1/(1-MIN(MAX(Formula!$C$33+(YEAR(D1896)-Formula!$C$34)/(Formula!$C$35-Formula!$C$34)*(Formula!$C$32-Formula!$C$33),Formula!$C$33),Formula!$C$32)),1)</f>
        <v>1</v>
      </c>
      <c r="W1896" s="17">
        <f t="shared" si="5"/>
        <v>6.2</v>
      </c>
    </row>
    <row r="1897" ht="15.75" customHeight="1">
      <c r="A1897" s="8" t="s">
        <v>2762</v>
      </c>
      <c r="B1897" s="7" t="s">
        <v>2754</v>
      </c>
      <c r="C1897" s="13" t="s">
        <v>2755</v>
      </c>
      <c r="D1897" s="7" t="s">
        <v>224</v>
      </c>
      <c r="E1897" s="8" t="s">
        <v>155</v>
      </c>
      <c r="F1897" s="8" t="s">
        <v>318</v>
      </c>
      <c r="G1897" s="7" t="s">
        <v>2756</v>
      </c>
      <c r="H1897" s="7" t="s">
        <v>2757</v>
      </c>
      <c r="I1897" s="8">
        <v>3014.0</v>
      </c>
      <c r="J1897" s="8">
        <v>1.9</v>
      </c>
      <c r="K1897" s="8" t="s">
        <v>583</v>
      </c>
      <c r="L1897" s="8" t="s">
        <v>322</v>
      </c>
      <c r="M1897" s="8" t="s">
        <v>388</v>
      </c>
      <c r="N1897" s="8">
        <v>3.9</v>
      </c>
      <c r="O1897" s="14">
        <f t="shared" si="1"/>
        <v>44228</v>
      </c>
      <c r="P1897" s="15">
        <f>IFERROR(VLOOKUP(K1897,Formula!$A$11:$B$20,2,FALSE),Formula!$C$26)</f>
        <v>0.95</v>
      </c>
      <c r="Q1897" s="15">
        <f>IF(AND(ISNUMBER(J1897),J1897&gt;0),1/J1897,IF(AND(ISNUMBER(I1897),I1897&gt;0),SQRT(MIN(I1897,Formula!$C$27))/Formula!$C$24,1/Formula!$C$25))</f>
        <v>0.5263157895</v>
      </c>
      <c r="R1897" s="15">
        <f t="shared" si="2"/>
        <v>0.5</v>
      </c>
      <c r="S1897" s="15">
        <f>IF(H1897&lt;&gt;"",EXP(-Formula!$C$28*(EOMONTH(H1897,0)-H1897)),EXP(-Formula!$C$28*(EOMONTH(D1897,0)-D1897)))</f>
        <v>0.7408182207</v>
      </c>
      <c r="T1897" s="15">
        <f t="shared" si="3"/>
        <v>0.2041241452</v>
      </c>
      <c r="U1897" s="15">
        <f t="shared" si="4"/>
        <v>0.07560944303</v>
      </c>
      <c r="V1897" s="16">
        <f>IF(AND(L1897="Among all respondents",NOT(OR(K1897="Online poll in Telegram channel",K1897="Website online poll",K1897="CAWI (Computer Assisted Web Interviewing)"))),1/(1-MIN(MAX(Formula!$C$33+(YEAR(D1897)-Formula!$C$34)/(Formula!$C$35-Formula!$C$34)*(Formula!$C$32-Formula!$C$33),Formula!$C$33),Formula!$C$32)),1)</f>
        <v>1</v>
      </c>
      <c r="W1897" s="17">
        <f t="shared" si="5"/>
        <v>3.9</v>
      </c>
    </row>
    <row r="1898" ht="15.75" customHeight="1">
      <c r="A1898" s="8" t="s">
        <v>2763</v>
      </c>
      <c r="B1898" s="7" t="s">
        <v>2754</v>
      </c>
      <c r="C1898" s="13" t="s">
        <v>2755</v>
      </c>
      <c r="D1898" s="7" t="s">
        <v>224</v>
      </c>
      <c r="E1898" s="8" t="s">
        <v>155</v>
      </c>
      <c r="F1898" s="8" t="s">
        <v>318</v>
      </c>
      <c r="G1898" s="7" t="s">
        <v>2756</v>
      </c>
      <c r="H1898" s="7" t="s">
        <v>2757</v>
      </c>
      <c r="I1898" s="8">
        <v>3014.0</v>
      </c>
      <c r="J1898" s="8">
        <v>1.9</v>
      </c>
      <c r="K1898" s="8" t="s">
        <v>583</v>
      </c>
      <c r="L1898" s="8" t="s">
        <v>322</v>
      </c>
      <c r="M1898" s="8" t="s">
        <v>386</v>
      </c>
      <c r="N1898" s="8">
        <v>3.4</v>
      </c>
      <c r="O1898" s="14">
        <f t="shared" si="1"/>
        <v>44228</v>
      </c>
      <c r="P1898" s="15">
        <f>IFERROR(VLOOKUP(K1898,Formula!$A$11:$B$20,2,FALSE),Formula!$C$26)</f>
        <v>0.95</v>
      </c>
      <c r="Q1898" s="15">
        <f>IF(AND(ISNUMBER(J1898),J1898&gt;0),1/J1898,IF(AND(ISNUMBER(I1898),I1898&gt;0),SQRT(MIN(I1898,Formula!$C$27))/Formula!$C$24,1/Formula!$C$25))</f>
        <v>0.5263157895</v>
      </c>
      <c r="R1898" s="15">
        <f t="shared" si="2"/>
        <v>0.5</v>
      </c>
      <c r="S1898" s="15">
        <f>IF(H1898&lt;&gt;"",EXP(-Formula!$C$28*(EOMONTH(H1898,0)-H1898)),EXP(-Formula!$C$28*(EOMONTH(D1898,0)-D1898)))</f>
        <v>0.7408182207</v>
      </c>
      <c r="T1898" s="15">
        <f t="shared" si="3"/>
        <v>0.2041241452</v>
      </c>
      <c r="U1898" s="15">
        <f t="shared" si="4"/>
        <v>0.07560944303</v>
      </c>
      <c r="V1898" s="16">
        <f>IF(AND(L1898="Among all respondents",NOT(OR(K1898="Online poll in Telegram channel",K1898="Website online poll",K1898="CAWI (Computer Assisted Web Interviewing)"))),1/(1-MIN(MAX(Formula!$C$33+(YEAR(D1898)-Formula!$C$34)/(Formula!$C$35-Formula!$C$34)*(Formula!$C$32-Formula!$C$33),Formula!$C$33),Formula!$C$32)),1)</f>
        <v>1</v>
      </c>
      <c r="W1898" s="17">
        <f t="shared" si="5"/>
        <v>3.4</v>
      </c>
    </row>
    <row r="1899" ht="15.75" customHeight="1">
      <c r="A1899" s="8" t="s">
        <v>2764</v>
      </c>
      <c r="B1899" s="7" t="s">
        <v>2754</v>
      </c>
      <c r="C1899" s="13" t="s">
        <v>2755</v>
      </c>
      <c r="D1899" s="7" t="s">
        <v>224</v>
      </c>
      <c r="E1899" s="8" t="s">
        <v>155</v>
      </c>
      <c r="F1899" s="8" t="s">
        <v>318</v>
      </c>
      <c r="G1899" s="7" t="s">
        <v>2756</v>
      </c>
      <c r="H1899" s="7" t="s">
        <v>2757</v>
      </c>
      <c r="I1899" s="8">
        <v>3014.0</v>
      </c>
      <c r="J1899" s="8">
        <v>1.9</v>
      </c>
      <c r="K1899" s="8" t="s">
        <v>583</v>
      </c>
      <c r="L1899" s="8" t="s">
        <v>322</v>
      </c>
      <c r="M1899" s="8" t="s">
        <v>838</v>
      </c>
      <c r="N1899" s="8">
        <v>3.2</v>
      </c>
      <c r="O1899" s="14">
        <f t="shared" si="1"/>
        <v>44228</v>
      </c>
      <c r="P1899" s="15">
        <f>IFERROR(VLOOKUP(K1899,Formula!$A$11:$B$20,2,FALSE),Formula!$C$26)</f>
        <v>0.95</v>
      </c>
      <c r="Q1899" s="15">
        <f>IF(AND(ISNUMBER(J1899),J1899&gt;0),1/J1899,IF(AND(ISNUMBER(I1899),I1899&gt;0),SQRT(MIN(I1899,Formula!$C$27))/Formula!$C$24,1/Formula!$C$25))</f>
        <v>0.5263157895</v>
      </c>
      <c r="R1899" s="15">
        <f t="shared" si="2"/>
        <v>0.5</v>
      </c>
      <c r="S1899" s="15">
        <f>IF(H1899&lt;&gt;"",EXP(-Formula!$C$28*(EOMONTH(H1899,0)-H1899)),EXP(-Formula!$C$28*(EOMONTH(D1899,0)-D1899)))</f>
        <v>0.7408182207</v>
      </c>
      <c r="T1899" s="15">
        <f t="shared" si="3"/>
        <v>0.2041241452</v>
      </c>
      <c r="U1899" s="15">
        <f t="shared" si="4"/>
        <v>0.07560944303</v>
      </c>
      <c r="V1899" s="16">
        <f>IF(AND(L1899="Among all respondents",NOT(OR(K1899="Online poll in Telegram channel",K1899="Website online poll",K1899="CAWI (Computer Assisted Web Interviewing)"))),1/(1-MIN(MAX(Formula!$C$33+(YEAR(D1899)-Formula!$C$34)/(Formula!$C$35-Formula!$C$34)*(Formula!$C$32-Formula!$C$33),Formula!$C$33),Formula!$C$32)),1)</f>
        <v>1</v>
      </c>
      <c r="W1899" s="17">
        <f t="shared" si="5"/>
        <v>3.2</v>
      </c>
    </row>
    <row r="1900" ht="15.75" customHeight="1">
      <c r="A1900" s="8" t="s">
        <v>2765</v>
      </c>
      <c r="B1900" s="7" t="s">
        <v>2754</v>
      </c>
      <c r="C1900" s="13" t="s">
        <v>2755</v>
      </c>
      <c r="D1900" s="7" t="s">
        <v>224</v>
      </c>
      <c r="E1900" s="8" t="s">
        <v>155</v>
      </c>
      <c r="F1900" s="8" t="s">
        <v>318</v>
      </c>
      <c r="G1900" s="7" t="s">
        <v>2756</v>
      </c>
      <c r="H1900" s="7" t="s">
        <v>2757</v>
      </c>
      <c r="I1900" s="8">
        <v>3014.0</v>
      </c>
      <c r="J1900" s="8">
        <v>1.9</v>
      </c>
      <c r="K1900" s="8" t="s">
        <v>583</v>
      </c>
      <c r="L1900" s="8" t="s">
        <v>322</v>
      </c>
      <c r="M1900" s="8" t="s">
        <v>740</v>
      </c>
      <c r="N1900" s="8">
        <v>2.2</v>
      </c>
      <c r="O1900" s="14">
        <f t="shared" si="1"/>
        <v>44228</v>
      </c>
      <c r="P1900" s="15">
        <f>IFERROR(VLOOKUP(K1900,Formula!$A$11:$B$20,2,FALSE),Formula!$C$26)</f>
        <v>0.95</v>
      </c>
      <c r="Q1900" s="15">
        <f>IF(AND(ISNUMBER(J1900),J1900&gt;0),1/J1900,IF(AND(ISNUMBER(I1900),I1900&gt;0),SQRT(MIN(I1900,Formula!$C$27))/Formula!$C$24,1/Formula!$C$25))</f>
        <v>0.5263157895</v>
      </c>
      <c r="R1900" s="15">
        <f t="shared" si="2"/>
        <v>0.5</v>
      </c>
      <c r="S1900" s="15">
        <f>IF(H1900&lt;&gt;"",EXP(-Formula!$C$28*(EOMONTH(H1900,0)-H1900)),EXP(-Formula!$C$28*(EOMONTH(D1900,0)-D1900)))</f>
        <v>0.7408182207</v>
      </c>
      <c r="T1900" s="15">
        <f t="shared" si="3"/>
        <v>0.2041241452</v>
      </c>
      <c r="U1900" s="15">
        <f t="shared" si="4"/>
        <v>0.07560944303</v>
      </c>
      <c r="V1900" s="16">
        <f>IF(AND(L1900="Among all respondents",NOT(OR(K1900="Online poll in Telegram channel",K1900="Website online poll",K1900="CAWI (Computer Assisted Web Interviewing)"))),1/(1-MIN(MAX(Formula!$C$33+(YEAR(D1900)-Formula!$C$34)/(Formula!$C$35-Formula!$C$34)*(Formula!$C$32-Formula!$C$33),Formula!$C$33),Formula!$C$32)),1)</f>
        <v>1</v>
      </c>
      <c r="W1900" s="17">
        <f t="shared" si="5"/>
        <v>2.2</v>
      </c>
    </row>
    <row r="1901" ht="15.75" customHeight="1">
      <c r="A1901" s="8" t="s">
        <v>2766</v>
      </c>
      <c r="B1901" s="7" t="s">
        <v>2754</v>
      </c>
      <c r="C1901" s="13" t="s">
        <v>2755</v>
      </c>
      <c r="D1901" s="7" t="s">
        <v>224</v>
      </c>
      <c r="E1901" s="8" t="s">
        <v>155</v>
      </c>
      <c r="F1901" s="8" t="s">
        <v>318</v>
      </c>
      <c r="G1901" s="7" t="s">
        <v>2756</v>
      </c>
      <c r="H1901" s="7" t="s">
        <v>2757</v>
      </c>
      <c r="I1901" s="8">
        <v>3014.0</v>
      </c>
      <c r="J1901" s="8">
        <v>1.9</v>
      </c>
      <c r="K1901" s="8" t="s">
        <v>583</v>
      </c>
      <c r="L1901" s="8" t="s">
        <v>322</v>
      </c>
      <c r="M1901" s="8" t="s">
        <v>343</v>
      </c>
      <c r="N1901" s="8">
        <v>1.9</v>
      </c>
      <c r="O1901" s="14">
        <f t="shared" si="1"/>
        <v>44228</v>
      </c>
      <c r="P1901" s="15">
        <f>IFERROR(VLOOKUP(K1901,Formula!$A$11:$B$20,2,FALSE),Formula!$C$26)</f>
        <v>0.95</v>
      </c>
      <c r="Q1901" s="15">
        <f>IF(AND(ISNUMBER(J1901),J1901&gt;0),1/J1901,IF(AND(ISNUMBER(I1901),I1901&gt;0),SQRT(MIN(I1901,Formula!$C$27))/Formula!$C$24,1/Formula!$C$25))</f>
        <v>0.5263157895</v>
      </c>
      <c r="R1901" s="15">
        <f t="shared" si="2"/>
        <v>0.5</v>
      </c>
      <c r="S1901" s="15">
        <f>IF(H1901&lt;&gt;"",EXP(-Formula!$C$28*(EOMONTH(H1901,0)-H1901)),EXP(-Formula!$C$28*(EOMONTH(D1901,0)-D1901)))</f>
        <v>0.7408182207</v>
      </c>
      <c r="T1901" s="15">
        <f t="shared" si="3"/>
        <v>0.2041241452</v>
      </c>
      <c r="U1901" s="15">
        <f t="shared" si="4"/>
        <v>0.07560944303</v>
      </c>
      <c r="V1901" s="16">
        <f>IF(AND(L1901="Among all respondents",NOT(OR(K1901="Online poll in Telegram channel",K1901="Website online poll",K1901="CAWI (Computer Assisted Web Interviewing)"))),1/(1-MIN(MAX(Formula!$C$33+(YEAR(D1901)-Formula!$C$34)/(Formula!$C$35-Formula!$C$34)*(Formula!$C$32-Formula!$C$33),Formula!$C$33),Formula!$C$32)),1)</f>
        <v>1</v>
      </c>
      <c r="W1901" s="17">
        <f t="shared" si="5"/>
        <v>1.9</v>
      </c>
    </row>
    <row r="1902" ht="15.75" customHeight="1">
      <c r="A1902" s="8" t="s">
        <v>2767</v>
      </c>
      <c r="B1902" s="7" t="s">
        <v>2754</v>
      </c>
      <c r="C1902" s="13" t="s">
        <v>2755</v>
      </c>
      <c r="D1902" s="7" t="s">
        <v>224</v>
      </c>
      <c r="E1902" s="8" t="s">
        <v>155</v>
      </c>
      <c r="F1902" s="8" t="s">
        <v>318</v>
      </c>
      <c r="G1902" s="7" t="s">
        <v>2756</v>
      </c>
      <c r="H1902" s="7" t="s">
        <v>2757</v>
      </c>
      <c r="I1902" s="8">
        <v>3014.0</v>
      </c>
      <c r="J1902" s="8">
        <v>1.9</v>
      </c>
      <c r="K1902" s="8" t="s">
        <v>583</v>
      </c>
      <c r="L1902" s="8" t="s">
        <v>322</v>
      </c>
      <c r="M1902" s="8" t="s">
        <v>335</v>
      </c>
      <c r="N1902" s="8">
        <v>1.0</v>
      </c>
      <c r="O1902" s="14">
        <f t="shared" si="1"/>
        <v>44228</v>
      </c>
      <c r="P1902" s="15">
        <f>IFERROR(VLOOKUP(K1902,Formula!$A$11:$B$20,2,FALSE),Formula!$C$26)</f>
        <v>0.95</v>
      </c>
      <c r="Q1902" s="15">
        <f>IF(AND(ISNUMBER(J1902),J1902&gt;0),1/J1902,IF(AND(ISNUMBER(I1902),I1902&gt;0),SQRT(MIN(I1902,Formula!$C$27))/Formula!$C$24,1/Formula!$C$25))</f>
        <v>0.5263157895</v>
      </c>
      <c r="R1902" s="15">
        <f t="shared" si="2"/>
        <v>0.5</v>
      </c>
      <c r="S1902" s="15">
        <f>IF(H1902&lt;&gt;"",EXP(-Formula!$C$28*(EOMONTH(H1902,0)-H1902)),EXP(-Formula!$C$28*(EOMONTH(D1902,0)-D1902)))</f>
        <v>0.7408182207</v>
      </c>
      <c r="T1902" s="15">
        <f t="shared" si="3"/>
        <v>0.2041241452</v>
      </c>
      <c r="U1902" s="15">
        <f t="shared" si="4"/>
        <v>0.07560944303</v>
      </c>
      <c r="V1902" s="16">
        <f>IF(AND(L1902="Among all respondents",NOT(OR(K1902="Online poll in Telegram channel",K1902="Website online poll",K1902="CAWI (Computer Assisted Web Interviewing)"))),1/(1-MIN(MAX(Formula!$C$33+(YEAR(D1902)-Formula!$C$34)/(Formula!$C$35-Formula!$C$34)*(Formula!$C$32-Formula!$C$33),Formula!$C$33),Formula!$C$32)),1)</f>
        <v>1</v>
      </c>
      <c r="W1902" s="17">
        <f t="shared" si="5"/>
        <v>1</v>
      </c>
    </row>
    <row r="1903" ht="15.75" customHeight="1">
      <c r="A1903" s="8" t="s">
        <v>2768</v>
      </c>
      <c r="B1903" s="7" t="s">
        <v>2754</v>
      </c>
      <c r="C1903" s="13" t="s">
        <v>2755</v>
      </c>
      <c r="D1903" s="7" t="s">
        <v>224</v>
      </c>
      <c r="E1903" s="8" t="s">
        <v>155</v>
      </c>
      <c r="F1903" s="8" t="s">
        <v>318</v>
      </c>
      <c r="G1903" s="7" t="s">
        <v>2756</v>
      </c>
      <c r="H1903" s="7" t="s">
        <v>2757</v>
      </c>
      <c r="I1903" s="8">
        <v>3014.0</v>
      </c>
      <c r="J1903" s="8">
        <v>1.9</v>
      </c>
      <c r="K1903" s="8" t="s">
        <v>583</v>
      </c>
      <c r="L1903" s="8" t="s">
        <v>322</v>
      </c>
      <c r="M1903" s="8" t="s">
        <v>743</v>
      </c>
      <c r="N1903" s="8">
        <v>0.8</v>
      </c>
      <c r="O1903" s="14">
        <f t="shared" si="1"/>
        <v>44228</v>
      </c>
      <c r="P1903" s="15">
        <f>IFERROR(VLOOKUP(K1903,Formula!$A$11:$B$20,2,FALSE),Formula!$C$26)</f>
        <v>0.95</v>
      </c>
      <c r="Q1903" s="15">
        <f>IF(AND(ISNUMBER(J1903),J1903&gt;0),1/J1903,IF(AND(ISNUMBER(I1903),I1903&gt;0),SQRT(MIN(I1903,Formula!$C$27))/Formula!$C$24,1/Formula!$C$25))</f>
        <v>0.5263157895</v>
      </c>
      <c r="R1903" s="15">
        <f t="shared" si="2"/>
        <v>0.5</v>
      </c>
      <c r="S1903" s="15">
        <f>IF(H1903&lt;&gt;"",EXP(-Formula!$C$28*(EOMONTH(H1903,0)-H1903)),EXP(-Formula!$C$28*(EOMONTH(D1903,0)-D1903)))</f>
        <v>0.7408182207</v>
      </c>
      <c r="T1903" s="15">
        <f t="shared" si="3"/>
        <v>0.2041241452</v>
      </c>
      <c r="U1903" s="15">
        <f t="shared" si="4"/>
        <v>0.07560944303</v>
      </c>
      <c r="V1903" s="16">
        <f>IF(AND(L1903="Among all respondents",NOT(OR(K1903="Online poll in Telegram channel",K1903="Website online poll",K1903="CAWI (Computer Assisted Web Interviewing)"))),1/(1-MIN(MAX(Formula!$C$33+(YEAR(D1903)-Formula!$C$34)/(Formula!$C$35-Formula!$C$34)*(Formula!$C$32-Formula!$C$33),Formula!$C$33),Formula!$C$32)),1)</f>
        <v>1</v>
      </c>
      <c r="W1903" s="17">
        <f t="shared" si="5"/>
        <v>0.8</v>
      </c>
    </row>
    <row r="1904" ht="15.75" customHeight="1">
      <c r="A1904" s="8" t="s">
        <v>2753</v>
      </c>
      <c r="B1904" s="7" t="s">
        <v>2754</v>
      </c>
      <c r="C1904" s="13" t="s">
        <v>2755</v>
      </c>
      <c r="D1904" s="7" t="s">
        <v>224</v>
      </c>
      <c r="E1904" s="8" t="s">
        <v>155</v>
      </c>
      <c r="F1904" s="8" t="s">
        <v>318</v>
      </c>
      <c r="G1904" s="7" t="s">
        <v>2756</v>
      </c>
      <c r="H1904" s="7" t="s">
        <v>2757</v>
      </c>
      <c r="I1904" s="8">
        <v>3014.0</v>
      </c>
      <c r="J1904" s="8">
        <v>1.9</v>
      </c>
      <c r="K1904" s="8" t="s">
        <v>583</v>
      </c>
      <c r="L1904" s="8" t="s">
        <v>322</v>
      </c>
      <c r="M1904" s="8" t="s">
        <v>323</v>
      </c>
      <c r="N1904" s="8">
        <v>25.6</v>
      </c>
      <c r="O1904" s="14">
        <f t="shared" si="1"/>
        <v>44228</v>
      </c>
      <c r="P1904" s="15">
        <f>IFERROR(VLOOKUP(K1904,Formula!$A$11:$B$20,2,FALSE),Formula!$C$26)</f>
        <v>0.95</v>
      </c>
      <c r="Q1904" s="15">
        <f>IF(AND(ISNUMBER(J1904),J1904&gt;0),1/J1904,IF(AND(ISNUMBER(I1904),I1904&gt;0),SQRT(MIN(I1904,Formula!$C$27))/Formula!$C$24,1/Formula!$C$25))</f>
        <v>0.5263157895</v>
      </c>
      <c r="R1904" s="15">
        <f t="shared" si="2"/>
        <v>0.5</v>
      </c>
      <c r="S1904" s="15">
        <f>IF(H1904&lt;&gt;"",EXP(-Formula!$C$28*(EOMONTH(H1904,0)-H1904)),EXP(-Formula!$C$28*(EOMONTH(D1904,0)-D1904)))</f>
        <v>0.7408182207</v>
      </c>
      <c r="T1904" s="15">
        <f t="shared" si="3"/>
        <v>0.2041241452</v>
      </c>
      <c r="U1904" s="15">
        <f t="shared" si="4"/>
        <v>0.07560944303</v>
      </c>
      <c r="V1904" s="16">
        <f>IF(AND(L1904="Among all respondents",NOT(OR(K1904="Online poll in Telegram channel",K1904="Website online poll",K1904="CAWI (Computer Assisted Web Interviewing)"))),1/(1-MIN(MAX(Formula!$C$33+(YEAR(D1904)-Formula!$C$34)/(Formula!$C$35-Formula!$C$34)*(Formula!$C$32-Formula!$C$33),Formula!$C$33),Formula!$C$32)),1)</f>
        <v>1</v>
      </c>
      <c r="W1904" s="17">
        <f t="shared" si="5"/>
        <v>25.6</v>
      </c>
    </row>
    <row r="1905" ht="15.75" customHeight="1">
      <c r="A1905" s="8" t="s">
        <v>2769</v>
      </c>
      <c r="B1905" s="7" t="s">
        <v>2754</v>
      </c>
      <c r="C1905" s="13" t="s">
        <v>2755</v>
      </c>
      <c r="D1905" s="7" t="s">
        <v>224</v>
      </c>
      <c r="E1905" s="8" t="s">
        <v>155</v>
      </c>
      <c r="F1905" s="8" t="s">
        <v>318</v>
      </c>
      <c r="G1905" s="7" t="s">
        <v>2756</v>
      </c>
      <c r="H1905" s="7" t="s">
        <v>2757</v>
      </c>
      <c r="I1905" s="8">
        <v>3014.0</v>
      </c>
      <c r="J1905" s="8">
        <v>1.9</v>
      </c>
      <c r="K1905" s="8" t="s">
        <v>583</v>
      </c>
      <c r="L1905" s="8" t="s">
        <v>322</v>
      </c>
      <c r="M1905" s="8" t="s">
        <v>1334</v>
      </c>
      <c r="N1905" s="8">
        <v>15.5</v>
      </c>
      <c r="O1905" s="14">
        <f t="shared" si="1"/>
        <v>44228</v>
      </c>
      <c r="P1905" s="15">
        <f>IFERROR(VLOOKUP(K1905,Formula!$A$11:$B$20,2,FALSE),Formula!$C$26)</f>
        <v>0.95</v>
      </c>
      <c r="Q1905" s="15">
        <f>IF(AND(ISNUMBER(J1905),J1905&gt;0),1/J1905,IF(AND(ISNUMBER(I1905),I1905&gt;0),SQRT(MIN(I1905,Formula!$C$27))/Formula!$C$24,1/Formula!$C$25))</f>
        <v>0.5263157895</v>
      </c>
      <c r="R1905" s="15">
        <f t="shared" si="2"/>
        <v>0.5</v>
      </c>
      <c r="S1905" s="15">
        <f>IF(H1905&lt;&gt;"",EXP(-Formula!$C$28*(EOMONTH(H1905,0)-H1905)),EXP(-Formula!$C$28*(EOMONTH(D1905,0)-D1905)))</f>
        <v>0.7408182207</v>
      </c>
      <c r="T1905" s="15">
        <f t="shared" si="3"/>
        <v>0.2041241452</v>
      </c>
      <c r="U1905" s="15">
        <f t="shared" si="4"/>
        <v>0.07560944303</v>
      </c>
      <c r="V1905" s="16">
        <f>IF(AND(L1905="Among all respondents",NOT(OR(K1905="Online poll in Telegram channel",K1905="Website online poll",K1905="CAWI (Computer Assisted Web Interviewing)"))),1/(1-MIN(MAX(Formula!$C$33+(YEAR(D1905)-Formula!$C$34)/(Formula!$C$35-Formula!$C$34)*(Formula!$C$32-Formula!$C$33),Formula!$C$33),Formula!$C$32)),1)</f>
        <v>1</v>
      </c>
      <c r="W1905" s="17">
        <f t="shared" si="5"/>
        <v>15.5</v>
      </c>
    </row>
    <row r="1906" ht="15.75" customHeight="1">
      <c r="A1906" s="8" t="s">
        <v>2759</v>
      </c>
      <c r="B1906" s="7" t="s">
        <v>2754</v>
      </c>
      <c r="C1906" s="13" t="s">
        <v>2755</v>
      </c>
      <c r="D1906" s="7" t="s">
        <v>224</v>
      </c>
      <c r="E1906" s="8" t="s">
        <v>155</v>
      </c>
      <c r="F1906" s="8" t="s">
        <v>318</v>
      </c>
      <c r="G1906" s="7" t="s">
        <v>2756</v>
      </c>
      <c r="H1906" s="7" t="s">
        <v>2757</v>
      </c>
      <c r="I1906" s="8">
        <v>3014.0</v>
      </c>
      <c r="J1906" s="8">
        <v>1.9</v>
      </c>
      <c r="K1906" s="8" t="s">
        <v>583</v>
      </c>
      <c r="L1906" s="8" t="s">
        <v>322</v>
      </c>
      <c r="M1906" s="8" t="s">
        <v>329</v>
      </c>
      <c r="N1906" s="8">
        <v>15.2</v>
      </c>
      <c r="O1906" s="14">
        <f t="shared" si="1"/>
        <v>44228</v>
      </c>
      <c r="P1906" s="15">
        <f>IFERROR(VLOOKUP(K1906,Formula!$A$11:$B$20,2,FALSE),Formula!$C$26)</f>
        <v>0.95</v>
      </c>
      <c r="Q1906" s="15">
        <f>IF(AND(ISNUMBER(J1906),J1906&gt;0),1/J1906,IF(AND(ISNUMBER(I1906),I1906&gt;0),SQRT(MIN(I1906,Formula!$C$27))/Formula!$C$24,1/Formula!$C$25))</f>
        <v>0.5263157895</v>
      </c>
      <c r="R1906" s="15">
        <f t="shared" si="2"/>
        <v>0.5</v>
      </c>
      <c r="S1906" s="15">
        <f>IF(H1906&lt;&gt;"",EXP(-Formula!$C$28*(EOMONTH(H1906,0)-H1906)),EXP(-Formula!$C$28*(EOMONTH(D1906,0)-D1906)))</f>
        <v>0.7408182207</v>
      </c>
      <c r="T1906" s="15">
        <f t="shared" si="3"/>
        <v>0.2041241452</v>
      </c>
      <c r="U1906" s="15">
        <f t="shared" si="4"/>
        <v>0.07560944303</v>
      </c>
      <c r="V1906" s="16">
        <f>IF(AND(L1906="Among all respondents",NOT(OR(K1906="Online poll in Telegram channel",K1906="Website online poll",K1906="CAWI (Computer Assisted Web Interviewing)"))),1/(1-MIN(MAX(Formula!$C$33+(YEAR(D1906)-Formula!$C$34)/(Formula!$C$35-Formula!$C$34)*(Formula!$C$32-Formula!$C$33),Formula!$C$33),Formula!$C$32)),1)</f>
        <v>1</v>
      </c>
      <c r="W1906" s="17">
        <f t="shared" si="5"/>
        <v>15.2</v>
      </c>
    </row>
    <row r="1907" ht="15.75" customHeight="1">
      <c r="A1907" s="8" t="s">
        <v>2760</v>
      </c>
      <c r="B1907" s="7" t="s">
        <v>2754</v>
      </c>
      <c r="C1907" s="13" t="s">
        <v>2755</v>
      </c>
      <c r="D1907" s="7" t="s">
        <v>224</v>
      </c>
      <c r="E1907" s="8" t="s">
        <v>155</v>
      </c>
      <c r="F1907" s="8" t="s">
        <v>318</v>
      </c>
      <c r="G1907" s="7" t="s">
        <v>2756</v>
      </c>
      <c r="H1907" s="7" t="s">
        <v>2757</v>
      </c>
      <c r="I1907" s="8">
        <v>3014.0</v>
      </c>
      <c r="J1907" s="8">
        <v>1.9</v>
      </c>
      <c r="K1907" s="8" t="s">
        <v>583</v>
      </c>
      <c r="L1907" s="8" t="s">
        <v>322</v>
      </c>
      <c r="M1907" s="8" t="s">
        <v>337</v>
      </c>
      <c r="N1907" s="8">
        <v>11.5</v>
      </c>
      <c r="O1907" s="14">
        <f t="shared" si="1"/>
        <v>44228</v>
      </c>
      <c r="P1907" s="15">
        <f>IFERROR(VLOOKUP(K1907,Formula!$A$11:$B$20,2,FALSE),Formula!$C$26)</f>
        <v>0.95</v>
      </c>
      <c r="Q1907" s="15">
        <f>IF(AND(ISNUMBER(J1907),J1907&gt;0),1/J1907,IF(AND(ISNUMBER(I1907),I1907&gt;0),SQRT(MIN(I1907,Formula!$C$27))/Formula!$C$24,1/Formula!$C$25))</f>
        <v>0.5263157895</v>
      </c>
      <c r="R1907" s="15">
        <f t="shared" si="2"/>
        <v>0.5</v>
      </c>
      <c r="S1907" s="15">
        <f>IF(H1907&lt;&gt;"",EXP(-Formula!$C$28*(EOMONTH(H1907,0)-H1907)),EXP(-Formula!$C$28*(EOMONTH(D1907,0)-D1907)))</f>
        <v>0.7408182207</v>
      </c>
      <c r="T1907" s="15">
        <f t="shared" si="3"/>
        <v>0.2041241452</v>
      </c>
      <c r="U1907" s="15">
        <f t="shared" si="4"/>
        <v>0.07560944303</v>
      </c>
      <c r="V1907" s="16">
        <f>IF(AND(L1907="Among all respondents",NOT(OR(K1907="Online poll in Telegram channel",K1907="Website online poll",K1907="CAWI (Computer Assisted Web Interviewing)"))),1/(1-MIN(MAX(Formula!$C$33+(YEAR(D1907)-Formula!$C$34)/(Formula!$C$35-Formula!$C$34)*(Formula!$C$32-Formula!$C$33),Formula!$C$33),Formula!$C$32)),1)</f>
        <v>1</v>
      </c>
      <c r="W1907" s="17">
        <f t="shared" si="5"/>
        <v>11.5</v>
      </c>
    </row>
    <row r="1908" ht="15.75" customHeight="1">
      <c r="A1908" s="8" t="s">
        <v>2761</v>
      </c>
      <c r="B1908" s="7" t="s">
        <v>2754</v>
      </c>
      <c r="C1908" s="13" t="s">
        <v>2755</v>
      </c>
      <c r="D1908" s="7" t="s">
        <v>224</v>
      </c>
      <c r="E1908" s="8" t="s">
        <v>155</v>
      </c>
      <c r="F1908" s="8" t="s">
        <v>318</v>
      </c>
      <c r="G1908" s="7" t="s">
        <v>2756</v>
      </c>
      <c r="H1908" s="7" t="s">
        <v>2757</v>
      </c>
      <c r="I1908" s="8">
        <v>3014.0</v>
      </c>
      <c r="J1908" s="8">
        <v>1.9</v>
      </c>
      <c r="K1908" s="8" t="s">
        <v>583</v>
      </c>
      <c r="L1908" s="8" t="s">
        <v>322</v>
      </c>
      <c r="M1908" s="8" t="s">
        <v>828</v>
      </c>
      <c r="N1908" s="8">
        <v>6.4</v>
      </c>
      <c r="O1908" s="14">
        <f t="shared" si="1"/>
        <v>44228</v>
      </c>
      <c r="P1908" s="15">
        <f>IFERROR(VLOOKUP(K1908,Formula!$A$11:$B$20,2,FALSE),Formula!$C$26)</f>
        <v>0.95</v>
      </c>
      <c r="Q1908" s="15">
        <f>IF(AND(ISNUMBER(J1908),J1908&gt;0),1/J1908,IF(AND(ISNUMBER(I1908),I1908&gt;0),SQRT(MIN(I1908,Formula!$C$27))/Formula!$C$24,1/Formula!$C$25))</f>
        <v>0.5263157895</v>
      </c>
      <c r="R1908" s="15">
        <f t="shared" si="2"/>
        <v>0.5</v>
      </c>
      <c r="S1908" s="15">
        <f>IF(H1908&lt;&gt;"",EXP(-Formula!$C$28*(EOMONTH(H1908,0)-H1908)),EXP(-Formula!$C$28*(EOMONTH(D1908,0)-D1908)))</f>
        <v>0.7408182207</v>
      </c>
      <c r="T1908" s="15">
        <f t="shared" si="3"/>
        <v>0.2041241452</v>
      </c>
      <c r="U1908" s="15">
        <f t="shared" si="4"/>
        <v>0.07560944303</v>
      </c>
      <c r="V1908" s="16">
        <f>IF(AND(L1908="Among all respondents",NOT(OR(K1908="Online poll in Telegram channel",K1908="Website online poll",K1908="CAWI (Computer Assisted Web Interviewing)"))),1/(1-MIN(MAX(Formula!$C$33+(YEAR(D1908)-Formula!$C$34)/(Formula!$C$35-Formula!$C$34)*(Formula!$C$32-Formula!$C$33),Formula!$C$33),Formula!$C$32)),1)</f>
        <v>1</v>
      </c>
      <c r="W1908" s="17">
        <f t="shared" si="5"/>
        <v>6.4</v>
      </c>
    </row>
    <row r="1909" ht="15.75" customHeight="1">
      <c r="A1909" s="8" t="s">
        <v>2763</v>
      </c>
      <c r="B1909" s="7" t="s">
        <v>2754</v>
      </c>
      <c r="C1909" s="13" t="s">
        <v>2755</v>
      </c>
      <c r="D1909" s="7" t="s">
        <v>224</v>
      </c>
      <c r="E1909" s="8" t="s">
        <v>155</v>
      </c>
      <c r="F1909" s="8" t="s">
        <v>318</v>
      </c>
      <c r="G1909" s="7" t="s">
        <v>2756</v>
      </c>
      <c r="H1909" s="7" t="s">
        <v>2757</v>
      </c>
      <c r="I1909" s="8">
        <v>3014.0</v>
      </c>
      <c r="J1909" s="8">
        <v>1.9</v>
      </c>
      <c r="K1909" s="8" t="s">
        <v>583</v>
      </c>
      <c r="L1909" s="8" t="s">
        <v>322</v>
      </c>
      <c r="M1909" s="8" t="s">
        <v>386</v>
      </c>
      <c r="N1909" s="8">
        <v>3.6</v>
      </c>
      <c r="O1909" s="14">
        <f t="shared" si="1"/>
        <v>44228</v>
      </c>
      <c r="P1909" s="15">
        <f>IFERROR(VLOOKUP(K1909,Formula!$A$11:$B$20,2,FALSE),Formula!$C$26)</f>
        <v>0.95</v>
      </c>
      <c r="Q1909" s="15">
        <f>IF(AND(ISNUMBER(J1909),J1909&gt;0),1/J1909,IF(AND(ISNUMBER(I1909),I1909&gt;0),SQRT(MIN(I1909,Formula!$C$27))/Formula!$C$24,1/Formula!$C$25))</f>
        <v>0.5263157895</v>
      </c>
      <c r="R1909" s="15">
        <f t="shared" si="2"/>
        <v>0.5</v>
      </c>
      <c r="S1909" s="15">
        <f>IF(H1909&lt;&gt;"",EXP(-Formula!$C$28*(EOMONTH(H1909,0)-H1909)),EXP(-Formula!$C$28*(EOMONTH(D1909,0)-D1909)))</f>
        <v>0.7408182207</v>
      </c>
      <c r="T1909" s="15">
        <f t="shared" si="3"/>
        <v>0.2041241452</v>
      </c>
      <c r="U1909" s="15">
        <f t="shared" si="4"/>
        <v>0.07560944303</v>
      </c>
      <c r="V1909" s="16">
        <f>IF(AND(L1909="Among all respondents",NOT(OR(K1909="Online poll in Telegram channel",K1909="Website online poll",K1909="CAWI (Computer Assisted Web Interviewing)"))),1/(1-MIN(MAX(Formula!$C$33+(YEAR(D1909)-Formula!$C$34)/(Formula!$C$35-Formula!$C$34)*(Formula!$C$32-Formula!$C$33),Formula!$C$33),Formula!$C$32)),1)</f>
        <v>1</v>
      </c>
      <c r="W1909" s="17">
        <f t="shared" si="5"/>
        <v>3.6</v>
      </c>
    </row>
    <row r="1910" ht="15.75" customHeight="1">
      <c r="A1910" s="8" t="s">
        <v>2762</v>
      </c>
      <c r="B1910" s="7" t="s">
        <v>2754</v>
      </c>
      <c r="C1910" s="13" t="s">
        <v>2755</v>
      </c>
      <c r="D1910" s="7" t="s">
        <v>224</v>
      </c>
      <c r="E1910" s="8" t="s">
        <v>155</v>
      </c>
      <c r="F1910" s="8" t="s">
        <v>318</v>
      </c>
      <c r="G1910" s="7" t="s">
        <v>2756</v>
      </c>
      <c r="H1910" s="7" t="s">
        <v>2757</v>
      </c>
      <c r="I1910" s="8">
        <v>3014.0</v>
      </c>
      <c r="J1910" s="8">
        <v>1.9</v>
      </c>
      <c r="K1910" s="8" t="s">
        <v>583</v>
      </c>
      <c r="L1910" s="8" t="s">
        <v>322</v>
      </c>
      <c r="M1910" s="8" t="s">
        <v>388</v>
      </c>
      <c r="N1910" s="8">
        <v>3.6</v>
      </c>
      <c r="O1910" s="14">
        <f t="shared" si="1"/>
        <v>44228</v>
      </c>
      <c r="P1910" s="15">
        <f>IFERROR(VLOOKUP(K1910,Formula!$A$11:$B$20,2,FALSE),Formula!$C$26)</f>
        <v>0.95</v>
      </c>
      <c r="Q1910" s="15">
        <f>IF(AND(ISNUMBER(J1910),J1910&gt;0),1/J1910,IF(AND(ISNUMBER(I1910),I1910&gt;0),SQRT(MIN(I1910,Formula!$C$27))/Formula!$C$24,1/Formula!$C$25))</f>
        <v>0.5263157895</v>
      </c>
      <c r="R1910" s="15">
        <f t="shared" si="2"/>
        <v>0.5</v>
      </c>
      <c r="S1910" s="15">
        <f>IF(H1910&lt;&gt;"",EXP(-Formula!$C$28*(EOMONTH(H1910,0)-H1910)),EXP(-Formula!$C$28*(EOMONTH(D1910,0)-D1910)))</f>
        <v>0.7408182207</v>
      </c>
      <c r="T1910" s="15">
        <f t="shared" si="3"/>
        <v>0.2041241452</v>
      </c>
      <c r="U1910" s="15">
        <f t="shared" si="4"/>
        <v>0.07560944303</v>
      </c>
      <c r="V1910" s="16">
        <f>IF(AND(L1910="Among all respondents",NOT(OR(K1910="Online poll in Telegram channel",K1910="Website online poll",K1910="CAWI (Computer Assisted Web Interviewing)"))),1/(1-MIN(MAX(Formula!$C$33+(YEAR(D1910)-Formula!$C$34)/(Formula!$C$35-Formula!$C$34)*(Formula!$C$32-Formula!$C$33),Formula!$C$33),Formula!$C$32)),1)</f>
        <v>1</v>
      </c>
      <c r="W1910" s="17">
        <f t="shared" si="5"/>
        <v>3.6</v>
      </c>
    </row>
    <row r="1911" ht="15.75" customHeight="1">
      <c r="A1911" s="8" t="s">
        <v>2764</v>
      </c>
      <c r="B1911" s="7" t="s">
        <v>2754</v>
      </c>
      <c r="C1911" s="13" t="s">
        <v>2755</v>
      </c>
      <c r="D1911" s="7" t="s">
        <v>224</v>
      </c>
      <c r="E1911" s="8" t="s">
        <v>155</v>
      </c>
      <c r="F1911" s="8" t="s">
        <v>318</v>
      </c>
      <c r="G1911" s="7" t="s">
        <v>2756</v>
      </c>
      <c r="H1911" s="7" t="s">
        <v>2757</v>
      </c>
      <c r="I1911" s="8">
        <v>3014.0</v>
      </c>
      <c r="J1911" s="8">
        <v>1.9</v>
      </c>
      <c r="K1911" s="8" t="s">
        <v>583</v>
      </c>
      <c r="L1911" s="8" t="s">
        <v>322</v>
      </c>
      <c r="M1911" s="8" t="s">
        <v>838</v>
      </c>
      <c r="N1911" s="8">
        <v>3.3</v>
      </c>
      <c r="O1911" s="14">
        <f t="shared" si="1"/>
        <v>44228</v>
      </c>
      <c r="P1911" s="15">
        <f>IFERROR(VLOOKUP(K1911,Formula!$A$11:$B$20,2,FALSE),Formula!$C$26)</f>
        <v>0.95</v>
      </c>
      <c r="Q1911" s="15">
        <f>IF(AND(ISNUMBER(J1911),J1911&gt;0),1/J1911,IF(AND(ISNUMBER(I1911),I1911&gt;0),SQRT(MIN(I1911,Formula!$C$27))/Formula!$C$24,1/Formula!$C$25))</f>
        <v>0.5263157895</v>
      </c>
      <c r="R1911" s="15">
        <f t="shared" si="2"/>
        <v>0.5</v>
      </c>
      <c r="S1911" s="15">
        <f>IF(H1911&lt;&gt;"",EXP(-Formula!$C$28*(EOMONTH(H1911,0)-H1911)),EXP(-Formula!$C$28*(EOMONTH(D1911,0)-D1911)))</f>
        <v>0.7408182207</v>
      </c>
      <c r="T1911" s="15">
        <f t="shared" si="3"/>
        <v>0.2041241452</v>
      </c>
      <c r="U1911" s="15">
        <f t="shared" si="4"/>
        <v>0.07560944303</v>
      </c>
      <c r="V1911" s="16">
        <f>IF(AND(L1911="Among all respondents",NOT(OR(K1911="Online poll in Telegram channel",K1911="Website online poll",K1911="CAWI (Computer Assisted Web Interviewing)"))),1/(1-MIN(MAX(Formula!$C$33+(YEAR(D1911)-Formula!$C$34)/(Formula!$C$35-Formula!$C$34)*(Formula!$C$32-Formula!$C$33),Formula!$C$33),Formula!$C$32)),1)</f>
        <v>1</v>
      </c>
      <c r="W1911" s="17">
        <f t="shared" si="5"/>
        <v>3.3</v>
      </c>
    </row>
    <row r="1912" ht="15.75" customHeight="1">
      <c r="A1912" s="8" t="s">
        <v>2765</v>
      </c>
      <c r="B1912" s="7" t="s">
        <v>2754</v>
      </c>
      <c r="C1912" s="13" t="s">
        <v>2755</v>
      </c>
      <c r="D1912" s="7" t="s">
        <v>224</v>
      </c>
      <c r="E1912" s="8" t="s">
        <v>155</v>
      </c>
      <c r="F1912" s="8" t="s">
        <v>318</v>
      </c>
      <c r="G1912" s="7" t="s">
        <v>2756</v>
      </c>
      <c r="H1912" s="7" t="s">
        <v>2757</v>
      </c>
      <c r="I1912" s="8">
        <v>3014.0</v>
      </c>
      <c r="J1912" s="8">
        <v>1.9</v>
      </c>
      <c r="K1912" s="8" t="s">
        <v>583</v>
      </c>
      <c r="L1912" s="8" t="s">
        <v>322</v>
      </c>
      <c r="M1912" s="8" t="s">
        <v>740</v>
      </c>
      <c r="N1912" s="8">
        <v>2.2</v>
      </c>
      <c r="O1912" s="14">
        <f t="shared" si="1"/>
        <v>44228</v>
      </c>
      <c r="P1912" s="15">
        <f>IFERROR(VLOOKUP(K1912,Formula!$A$11:$B$20,2,FALSE),Formula!$C$26)</f>
        <v>0.95</v>
      </c>
      <c r="Q1912" s="15">
        <f>IF(AND(ISNUMBER(J1912),J1912&gt;0),1/J1912,IF(AND(ISNUMBER(I1912),I1912&gt;0),SQRT(MIN(I1912,Formula!$C$27))/Formula!$C$24,1/Formula!$C$25))</f>
        <v>0.5263157895</v>
      </c>
      <c r="R1912" s="15">
        <f t="shared" si="2"/>
        <v>0.5</v>
      </c>
      <c r="S1912" s="15">
        <f>IF(H1912&lt;&gt;"",EXP(-Formula!$C$28*(EOMONTH(H1912,0)-H1912)),EXP(-Formula!$C$28*(EOMONTH(D1912,0)-D1912)))</f>
        <v>0.7408182207</v>
      </c>
      <c r="T1912" s="15">
        <f t="shared" si="3"/>
        <v>0.2041241452</v>
      </c>
      <c r="U1912" s="15">
        <f t="shared" si="4"/>
        <v>0.07560944303</v>
      </c>
      <c r="V1912" s="16">
        <f>IF(AND(L1912="Among all respondents",NOT(OR(K1912="Online poll in Telegram channel",K1912="Website online poll",K1912="CAWI (Computer Assisted Web Interviewing)"))),1/(1-MIN(MAX(Formula!$C$33+(YEAR(D1912)-Formula!$C$34)/(Formula!$C$35-Formula!$C$34)*(Formula!$C$32-Formula!$C$33),Formula!$C$33),Formula!$C$32)),1)</f>
        <v>1</v>
      </c>
      <c r="W1912" s="17">
        <f t="shared" si="5"/>
        <v>2.2</v>
      </c>
    </row>
    <row r="1913" ht="15.75" customHeight="1">
      <c r="A1913" s="8" t="s">
        <v>2766</v>
      </c>
      <c r="B1913" s="7" t="s">
        <v>2754</v>
      </c>
      <c r="C1913" s="13" t="s">
        <v>2755</v>
      </c>
      <c r="D1913" s="7" t="s">
        <v>224</v>
      </c>
      <c r="E1913" s="8" t="s">
        <v>155</v>
      </c>
      <c r="F1913" s="8" t="s">
        <v>318</v>
      </c>
      <c r="G1913" s="7" t="s">
        <v>2756</v>
      </c>
      <c r="H1913" s="7" t="s">
        <v>2757</v>
      </c>
      <c r="I1913" s="8">
        <v>3014.0</v>
      </c>
      <c r="J1913" s="8">
        <v>1.9</v>
      </c>
      <c r="K1913" s="8" t="s">
        <v>583</v>
      </c>
      <c r="L1913" s="8" t="s">
        <v>322</v>
      </c>
      <c r="M1913" s="8" t="s">
        <v>343</v>
      </c>
      <c r="N1913" s="8">
        <v>2.0</v>
      </c>
      <c r="O1913" s="14">
        <f t="shared" si="1"/>
        <v>44228</v>
      </c>
      <c r="P1913" s="15">
        <f>IFERROR(VLOOKUP(K1913,Formula!$A$11:$B$20,2,FALSE),Formula!$C$26)</f>
        <v>0.95</v>
      </c>
      <c r="Q1913" s="15">
        <f>IF(AND(ISNUMBER(J1913),J1913&gt;0),1/J1913,IF(AND(ISNUMBER(I1913),I1913&gt;0),SQRT(MIN(I1913,Formula!$C$27))/Formula!$C$24,1/Formula!$C$25))</f>
        <v>0.5263157895</v>
      </c>
      <c r="R1913" s="15">
        <f t="shared" si="2"/>
        <v>0.5</v>
      </c>
      <c r="S1913" s="15">
        <f>IF(H1913&lt;&gt;"",EXP(-Formula!$C$28*(EOMONTH(H1913,0)-H1913)),EXP(-Formula!$C$28*(EOMONTH(D1913,0)-D1913)))</f>
        <v>0.7408182207</v>
      </c>
      <c r="T1913" s="15">
        <f t="shared" si="3"/>
        <v>0.2041241452</v>
      </c>
      <c r="U1913" s="15">
        <f t="shared" si="4"/>
        <v>0.07560944303</v>
      </c>
      <c r="V1913" s="16">
        <f>IF(AND(L1913="Among all respondents",NOT(OR(K1913="Online poll in Telegram channel",K1913="Website online poll",K1913="CAWI (Computer Assisted Web Interviewing)"))),1/(1-MIN(MAX(Formula!$C$33+(YEAR(D1913)-Formula!$C$34)/(Formula!$C$35-Formula!$C$34)*(Formula!$C$32-Formula!$C$33),Formula!$C$33),Formula!$C$32)),1)</f>
        <v>1</v>
      </c>
      <c r="W1913" s="17">
        <f t="shared" si="5"/>
        <v>2</v>
      </c>
    </row>
    <row r="1914" ht="15.75" customHeight="1">
      <c r="A1914" s="8" t="s">
        <v>2767</v>
      </c>
      <c r="B1914" s="7" t="s">
        <v>2754</v>
      </c>
      <c r="C1914" s="13" t="s">
        <v>2755</v>
      </c>
      <c r="D1914" s="7" t="s">
        <v>224</v>
      </c>
      <c r="E1914" s="8" t="s">
        <v>155</v>
      </c>
      <c r="F1914" s="8" t="s">
        <v>318</v>
      </c>
      <c r="G1914" s="7" t="s">
        <v>2756</v>
      </c>
      <c r="H1914" s="7" t="s">
        <v>2757</v>
      </c>
      <c r="I1914" s="8">
        <v>3014.0</v>
      </c>
      <c r="J1914" s="8">
        <v>1.9</v>
      </c>
      <c r="K1914" s="8" t="s">
        <v>583</v>
      </c>
      <c r="L1914" s="8" t="s">
        <v>322</v>
      </c>
      <c r="M1914" s="8" t="s">
        <v>335</v>
      </c>
      <c r="N1914" s="8">
        <v>1.1</v>
      </c>
      <c r="O1914" s="14">
        <f t="shared" si="1"/>
        <v>44228</v>
      </c>
      <c r="P1914" s="15">
        <f>IFERROR(VLOOKUP(K1914,Formula!$A$11:$B$20,2,FALSE),Formula!$C$26)</f>
        <v>0.95</v>
      </c>
      <c r="Q1914" s="15">
        <f>IF(AND(ISNUMBER(J1914),J1914&gt;0),1/J1914,IF(AND(ISNUMBER(I1914),I1914&gt;0),SQRT(MIN(I1914,Formula!$C$27))/Formula!$C$24,1/Formula!$C$25))</f>
        <v>0.5263157895</v>
      </c>
      <c r="R1914" s="15">
        <f t="shared" si="2"/>
        <v>0.5</v>
      </c>
      <c r="S1914" s="15">
        <f>IF(H1914&lt;&gt;"",EXP(-Formula!$C$28*(EOMONTH(H1914,0)-H1914)),EXP(-Formula!$C$28*(EOMONTH(D1914,0)-D1914)))</f>
        <v>0.7408182207</v>
      </c>
      <c r="T1914" s="15">
        <f t="shared" si="3"/>
        <v>0.2041241452</v>
      </c>
      <c r="U1914" s="15">
        <f t="shared" si="4"/>
        <v>0.07560944303</v>
      </c>
      <c r="V1914" s="16">
        <f>IF(AND(L1914="Among all respondents",NOT(OR(K1914="Online poll in Telegram channel",K1914="Website online poll",K1914="CAWI (Computer Assisted Web Interviewing)"))),1/(1-MIN(MAX(Formula!$C$33+(YEAR(D1914)-Formula!$C$34)/(Formula!$C$35-Formula!$C$34)*(Formula!$C$32-Formula!$C$33),Formula!$C$33),Formula!$C$32)),1)</f>
        <v>1</v>
      </c>
      <c r="W1914" s="17">
        <f t="shared" si="5"/>
        <v>1.1</v>
      </c>
    </row>
    <row r="1915" ht="15.75" customHeight="1">
      <c r="A1915" s="8" t="s">
        <v>2768</v>
      </c>
      <c r="B1915" s="7" t="s">
        <v>2754</v>
      </c>
      <c r="C1915" s="13" t="s">
        <v>2755</v>
      </c>
      <c r="D1915" s="7" t="s">
        <v>224</v>
      </c>
      <c r="E1915" s="8" t="s">
        <v>155</v>
      </c>
      <c r="F1915" s="8" t="s">
        <v>318</v>
      </c>
      <c r="G1915" s="7" t="s">
        <v>2756</v>
      </c>
      <c r="H1915" s="7" t="s">
        <v>2757</v>
      </c>
      <c r="I1915" s="8">
        <v>3014.0</v>
      </c>
      <c r="J1915" s="8">
        <v>1.9</v>
      </c>
      <c r="K1915" s="8" t="s">
        <v>583</v>
      </c>
      <c r="L1915" s="8" t="s">
        <v>322</v>
      </c>
      <c r="M1915" s="8" t="s">
        <v>743</v>
      </c>
      <c r="N1915" s="8">
        <v>0.9</v>
      </c>
      <c r="O1915" s="14">
        <f t="shared" si="1"/>
        <v>44228</v>
      </c>
      <c r="P1915" s="15">
        <f>IFERROR(VLOOKUP(K1915,Formula!$A$11:$B$20,2,FALSE),Formula!$C$26)</f>
        <v>0.95</v>
      </c>
      <c r="Q1915" s="15">
        <f>IF(AND(ISNUMBER(J1915),J1915&gt;0),1/J1915,IF(AND(ISNUMBER(I1915),I1915&gt;0),SQRT(MIN(I1915,Formula!$C$27))/Formula!$C$24,1/Formula!$C$25))</f>
        <v>0.5263157895</v>
      </c>
      <c r="R1915" s="15">
        <f t="shared" si="2"/>
        <v>0.5</v>
      </c>
      <c r="S1915" s="15">
        <f>IF(H1915&lt;&gt;"",EXP(-Formula!$C$28*(EOMONTH(H1915,0)-H1915)),EXP(-Formula!$C$28*(EOMONTH(D1915,0)-D1915)))</f>
        <v>0.7408182207</v>
      </c>
      <c r="T1915" s="15">
        <f t="shared" si="3"/>
        <v>0.2041241452</v>
      </c>
      <c r="U1915" s="15">
        <f t="shared" si="4"/>
        <v>0.07560944303</v>
      </c>
      <c r="V1915" s="16">
        <f>IF(AND(L1915="Among all respondents",NOT(OR(K1915="Online poll in Telegram channel",K1915="Website online poll",K1915="CAWI (Computer Assisted Web Interviewing)"))),1/(1-MIN(MAX(Formula!$C$33+(YEAR(D1915)-Formula!$C$34)/(Formula!$C$35-Formula!$C$34)*(Formula!$C$32-Formula!$C$33),Formula!$C$33),Formula!$C$32)),1)</f>
        <v>1</v>
      </c>
      <c r="W1915" s="17">
        <f t="shared" si="5"/>
        <v>0.9</v>
      </c>
    </row>
    <row r="1916" ht="15.75" customHeight="1">
      <c r="A1916" s="8" t="s">
        <v>2770</v>
      </c>
      <c r="B1916" s="7" t="s">
        <v>2771</v>
      </c>
      <c r="C1916" s="13" t="s">
        <v>2772</v>
      </c>
      <c r="D1916" s="7" t="s">
        <v>238</v>
      </c>
      <c r="E1916" s="8" t="s">
        <v>72</v>
      </c>
      <c r="F1916" s="8" t="s">
        <v>318</v>
      </c>
      <c r="G1916" s="7" t="s">
        <v>2773</v>
      </c>
      <c r="H1916" s="7" t="s">
        <v>2773</v>
      </c>
      <c r="I1916" s="8">
        <v>1005.0</v>
      </c>
      <c r="J1916" s="8">
        <v>3.1</v>
      </c>
      <c r="K1916" s="8" t="s">
        <v>321</v>
      </c>
      <c r="L1916" s="8" t="s">
        <v>322</v>
      </c>
      <c r="M1916" s="8" t="s">
        <v>323</v>
      </c>
      <c r="N1916" s="8">
        <v>19.8</v>
      </c>
      <c r="O1916" s="14">
        <f t="shared" si="1"/>
        <v>44197</v>
      </c>
      <c r="P1916" s="15">
        <f>IFERROR(VLOOKUP(K1916,Formula!$A$11:$B$20,2,FALSE),Formula!$C$26)</f>
        <v>0.9</v>
      </c>
      <c r="Q1916" s="15">
        <f>IF(AND(ISNUMBER(J1916),J1916&gt;0),1/J1916,IF(AND(ISNUMBER(I1916),I1916&gt;0),SQRT(MIN(I1916,Formula!$C$27))/Formula!$C$24,1/Formula!$C$25))</f>
        <v>0.3225806452</v>
      </c>
      <c r="R1916" s="15">
        <f t="shared" si="2"/>
        <v>0.2903225806</v>
      </c>
      <c r="S1916" s="15">
        <f>IF(H1916&lt;&gt;"",EXP(-Formula!$C$28*(EOMONTH(H1916,0)-H1916)),EXP(-Formula!$C$28*(EOMONTH(D1916,0)-D1916)))</f>
        <v>0.6376281516</v>
      </c>
      <c r="T1916" s="15">
        <f t="shared" si="3"/>
        <v>0.2672612419</v>
      </c>
      <c r="U1916" s="15">
        <f t="shared" si="4"/>
        <v>0.04947482662</v>
      </c>
      <c r="V1916" s="16">
        <f>IF(AND(L1916="Among all respondents",NOT(OR(K1916="Online poll in Telegram channel",K1916="Website online poll",K1916="CAWI (Computer Assisted Web Interviewing)"))),1/(1-MIN(MAX(Formula!$C$33+(YEAR(D1916)-Formula!$C$34)/(Formula!$C$35-Formula!$C$34)*(Formula!$C$32-Formula!$C$33),Formula!$C$33),Formula!$C$32)),1)</f>
        <v>1</v>
      </c>
      <c r="W1916" s="17">
        <f t="shared" si="5"/>
        <v>19.8</v>
      </c>
    </row>
    <row r="1917" ht="15.75" customHeight="1">
      <c r="A1917" s="8" t="s">
        <v>2774</v>
      </c>
      <c r="B1917" s="7" t="s">
        <v>2771</v>
      </c>
      <c r="C1917" s="13" t="s">
        <v>2772</v>
      </c>
      <c r="D1917" s="7" t="s">
        <v>238</v>
      </c>
      <c r="E1917" s="8" t="s">
        <v>72</v>
      </c>
      <c r="F1917" s="8" t="s">
        <v>318</v>
      </c>
      <c r="G1917" s="7" t="s">
        <v>2773</v>
      </c>
      <c r="H1917" s="7" t="s">
        <v>2773</v>
      </c>
      <c r="I1917" s="8">
        <v>1005.0</v>
      </c>
      <c r="J1917" s="8">
        <v>3.1</v>
      </c>
      <c r="K1917" s="8" t="s">
        <v>321</v>
      </c>
      <c r="L1917" s="8" t="s">
        <v>322</v>
      </c>
      <c r="M1917" s="8" t="s">
        <v>329</v>
      </c>
      <c r="N1917" s="8">
        <v>15.7</v>
      </c>
      <c r="O1917" s="14">
        <f t="shared" si="1"/>
        <v>44197</v>
      </c>
      <c r="P1917" s="15">
        <f>IFERROR(VLOOKUP(K1917,Formula!$A$11:$B$20,2,FALSE),Formula!$C$26)</f>
        <v>0.9</v>
      </c>
      <c r="Q1917" s="15">
        <f>IF(AND(ISNUMBER(J1917),J1917&gt;0),1/J1917,IF(AND(ISNUMBER(I1917),I1917&gt;0),SQRT(MIN(I1917,Formula!$C$27))/Formula!$C$24,1/Formula!$C$25))</f>
        <v>0.3225806452</v>
      </c>
      <c r="R1917" s="15">
        <f t="shared" si="2"/>
        <v>0.2903225806</v>
      </c>
      <c r="S1917" s="15">
        <f>IF(H1917&lt;&gt;"",EXP(-Formula!$C$28*(EOMONTH(H1917,0)-H1917)),EXP(-Formula!$C$28*(EOMONTH(D1917,0)-D1917)))</f>
        <v>0.6376281516</v>
      </c>
      <c r="T1917" s="15">
        <f t="shared" si="3"/>
        <v>0.2672612419</v>
      </c>
      <c r="U1917" s="15">
        <f t="shared" si="4"/>
        <v>0.04947482662</v>
      </c>
      <c r="V1917" s="16">
        <f>IF(AND(L1917="Among all respondents",NOT(OR(K1917="Online poll in Telegram channel",K1917="Website online poll",K1917="CAWI (Computer Assisted Web Interviewing)"))),1/(1-MIN(MAX(Formula!$C$33+(YEAR(D1917)-Formula!$C$34)/(Formula!$C$35-Formula!$C$34)*(Formula!$C$32-Formula!$C$33),Formula!$C$33),Formula!$C$32)),1)</f>
        <v>1</v>
      </c>
      <c r="W1917" s="17">
        <f t="shared" si="5"/>
        <v>15.7</v>
      </c>
    </row>
    <row r="1918" ht="15.75" customHeight="1">
      <c r="A1918" s="8" t="s">
        <v>2775</v>
      </c>
      <c r="B1918" s="7" t="s">
        <v>2771</v>
      </c>
      <c r="C1918" s="13" t="s">
        <v>2772</v>
      </c>
      <c r="D1918" s="7" t="s">
        <v>238</v>
      </c>
      <c r="E1918" s="8" t="s">
        <v>72</v>
      </c>
      <c r="F1918" s="8" t="s">
        <v>318</v>
      </c>
      <c r="G1918" s="7" t="s">
        <v>2773</v>
      </c>
      <c r="H1918" s="7" t="s">
        <v>2773</v>
      </c>
      <c r="I1918" s="8">
        <v>1005.0</v>
      </c>
      <c r="J1918" s="8">
        <v>3.1</v>
      </c>
      <c r="K1918" s="8" t="s">
        <v>321</v>
      </c>
      <c r="L1918" s="8" t="s">
        <v>322</v>
      </c>
      <c r="M1918" s="8" t="s">
        <v>337</v>
      </c>
      <c r="N1918" s="8">
        <v>11.8</v>
      </c>
      <c r="O1918" s="14">
        <f t="shared" si="1"/>
        <v>44197</v>
      </c>
      <c r="P1918" s="15">
        <f>IFERROR(VLOOKUP(K1918,Formula!$A$11:$B$20,2,FALSE),Formula!$C$26)</f>
        <v>0.9</v>
      </c>
      <c r="Q1918" s="15">
        <f>IF(AND(ISNUMBER(J1918),J1918&gt;0),1/J1918,IF(AND(ISNUMBER(I1918),I1918&gt;0),SQRT(MIN(I1918,Formula!$C$27))/Formula!$C$24,1/Formula!$C$25))</f>
        <v>0.3225806452</v>
      </c>
      <c r="R1918" s="15">
        <f t="shared" si="2"/>
        <v>0.2903225806</v>
      </c>
      <c r="S1918" s="15">
        <f>IF(H1918&lt;&gt;"",EXP(-Formula!$C$28*(EOMONTH(H1918,0)-H1918)),EXP(-Formula!$C$28*(EOMONTH(D1918,0)-D1918)))</f>
        <v>0.6376281516</v>
      </c>
      <c r="T1918" s="15">
        <f t="shared" si="3"/>
        <v>0.2672612419</v>
      </c>
      <c r="U1918" s="15">
        <f t="shared" si="4"/>
        <v>0.04947482662</v>
      </c>
      <c r="V1918" s="16">
        <f>IF(AND(L1918="Among all respondents",NOT(OR(K1918="Online poll in Telegram channel",K1918="Website online poll",K1918="CAWI (Computer Assisted Web Interviewing)"))),1/(1-MIN(MAX(Formula!$C$33+(YEAR(D1918)-Formula!$C$34)/(Formula!$C$35-Formula!$C$34)*(Formula!$C$32-Formula!$C$33),Formula!$C$33),Formula!$C$32)),1)</f>
        <v>1</v>
      </c>
      <c r="W1918" s="17">
        <f t="shared" si="5"/>
        <v>11.8</v>
      </c>
    </row>
    <row r="1919" ht="15.75" customHeight="1">
      <c r="A1919" s="8" t="s">
        <v>2776</v>
      </c>
      <c r="B1919" s="7" t="s">
        <v>2771</v>
      </c>
      <c r="C1919" s="13" t="s">
        <v>2772</v>
      </c>
      <c r="D1919" s="7" t="s">
        <v>238</v>
      </c>
      <c r="E1919" s="8" t="s">
        <v>72</v>
      </c>
      <c r="F1919" s="8" t="s">
        <v>318</v>
      </c>
      <c r="G1919" s="7" t="s">
        <v>2773</v>
      </c>
      <c r="H1919" s="7" t="s">
        <v>2773</v>
      </c>
      <c r="I1919" s="8">
        <v>1005.0</v>
      </c>
      <c r="J1919" s="8">
        <v>3.1</v>
      </c>
      <c r="K1919" s="8" t="s">
        <v>321</v>
      </c>
      <c r="L1919" s="8" t="s">
        <v>322</v>
      </c>
      <c r="M1919" s="8" t="s">
        <v>365</v>
      </c>
      <c r="N1919" s="8">
        <v>11.0</v>
      </c>
      <c r="O1919" s="14">
        <f t="shared" si="1"/>
        <v>44197</v>
      </c>
      <c r="P1919" s="15">
        <f>IFERROR(VLOOKUP(K1919,Formula!$A$11:$B$20,2,FALSE),Formula!$C$26)</f>
        <v>0.9</v>
      </c>
      <c r="Q1919" s="15">
        <f>IF(AND(ISNUMBER(J1919),J1919&gt;0),1/J1919,IF(AND(ISNUMBER(I1919),I1919&gt;0),SQRT(MIN(I1919,Formula!$C$27))/Formula!$C$24,1/Formula!$C$25))</f>
        <v>0.3225806452</v>
      </c>
      <c r="R1919" s="15">
        <f t="shared" si="2"/>
        <v>0.2903225806</v>
      </c>
      <c r="S1919" s="15">
        <f>IF(H1919&lt;&gt;"",EXP(-Formula!$C$28*(EOMONTH(H1919,0)-H1919)),EXP(-Formula!$C$28*(EOMONTH(D1919,0)-D1919)))</f>
        <v>0.6376281516</v>
      </c>
      <c r="T1919" s="15">
        <f t="shared" si="3"/>
        <v>0.2672612419</v>
      </c>
      <c r="U1919" s="15">
        <f t="shared" si="4"/>
        <v>0.04947482662</v>
      </c>
      <c r="V1919" s="16">
        <f>IF(AND(L1919="Among all respondents",NOT(OR(K1919="Online poll in Telegram channel",K1919="Website online poll",K1919="CAWI (Computer Assisted Web Interviewing)"))),1/(1-MIN(MAX(Formula!$C$33+(YEAR(D1919)-Formula!$C$34)/(Formula!$C$35-Formula!$C$34)*(Formula!$C$32-Formula!$C$33),Formula!$C$33),Formula!$C$32)),1)</f>
        <v>1</v>
      </c>
      <c r="W1919" s="17">
        <f t="shared" si="5"/>
        <v>11</v>
      </c>
    </row>
    <row r="1920" ht="15.75" customHeight="1">
      <c r="A1920" s="8" t="s">
        <v>2777</v>
      </c>
      <c r="B1920" s="7" t="s">
        <v>2771</v>
      </c>
      <c r="C1920" s="13" t="s">
        <v>2772</v>
      </c>
      <c r="D1920" s="7" t="s">
        <v>238</v>
      </c>
      <c r="E1920" s="8" t="s">
        <v>72</v>
      </c>
      <c r="F1920" s="8" t="s">
        <v>318</v>
      </c>
      <c r="G1920" s="7" t="s">
        <v>2773</v>
      </c>
      <c r="H1920" s="7" t="s">
        <v>2773</v>
      </c>
      <c r="I1920" s="8">
        <v>1005.0</v>
      </c>
      <c r="J1920" s="8">
        <v>3.1</v>
      </c>
      <c r="K1920" s="8" t="s">
        <v>321</v>
      </c>
      <c r="L1920" s="8" t="s">
        <v>322</v>
      </c>
      <c r="M1920" s="8" t="s">
        <v>828</v>
      </c>
      <c r="N1920" s="8">
        <v>8.9</v>
      </c>
      <c r="O1920" s="14">
        <f t="shared" si="1"/>
        <v>44197</v>
      </c>
      <c r="P1920" s="15">
        <f>IFERROR(VLOOKUP(K1920,Formula!$A$11:$B$20,2,FALSE),Formula!$C$26)</f>
        <v>0.9</v>
      </c>
      <c r="Q1920" s="15">
        <f>IF(AND(ISNUMBER(J1920),J1920&gt;0),1/J1920,IF(AND(ISNUMBER(I1920),I1920&gt;0),SQRT(MIN(I1920,Formula!$C$27))/Formula!$C$24,1/Formula!$C$25))</f>
        <v>0.3225806452</v>
      </c>
      <c r="R1920" s="15">
        <f t="shared" si="2"/>
        <v>0.2903225806</v>
      </c>
      <c r="S1920" s="15">
        <f>IF(H1920&lt;&gt;"",EXP(-Formula!$C$28*(EOMONTH(H1920,0)-H1920)),EXP(-Formula!$C$28*(EOMONTH(D1920,0)-D1920)))</f>
        <v>0.6376281516</v>
      </c>
      <c r="T1920" s="15">
        <f t="shared" si="3"/>
        <v>0.2672612419</v>
      </c>
      <c r="U1920" s="15">
        <f t="shared" si="4"/>
        <v>0.04947482662</v>
      </c>
      <c r="V1920" s="16">
        <f>IF(AND(L1920="Among all respondents",NOT(OR(K1920="Online poll in Telegram channel",K1920="Website online poll",K1920="CAWI (Computer Assisted Web Interviewing)"))),1/(1-MIN(MAX(Formula!$C$33+(YEAR(D1920)-Formula!$C$34)/(Formula!$C$35-Formula!$C$34)*(Formula!$C$32-Formula!$C$33),Formula!$C$33),Formula!$C$32)),1)</f>
        <v>1</v>
      </c>
      <c r="W1920" s="17">
        <f t="shared" si="5"/>
        <v>8.9</v>
      </c>
    </row>
    <row r="1921" ht="15.75" customHeight="1">
      <c r="A1921" s="8" t="s">
        <v>2778</v>
      </c>
      <c r="B1921" s="7" t="s">
        <v>2771</v>
      </c>
      <c r="C1921" s="13" t="s">
        <v>2772</v>
      </c>
      <c r="D1921" s="7" t="s">
        <v>238</v>
      </c>
      <c r="E1921" s="8" t="s">
        <v>72</v>
      </c>
      <c r="F1921" s="8" t="s">
        <v>318</v>
      </c>
      <c r="G1921" s="7" t="s">
        <v>2773</v>
      </c>
      <c r="H1921" s="7" t="s">
        <v>2773</v>
      </c>
      <c r="I1921" s="8">
        <v>1005.0</v>
      </c>
      <c r="J1921" s="8">
        <v>3.1</v>
      </c>
      <c r="K1921" s="8" t="s">
        <v>321</v>
      </c>
      <c r="L1921" s="8" t="s">
        <v>322</v>
      </c>
      <c r="M1921" s="8" t="s">
        <v>1334</v>
      </c>
      <c r="N1921" s="8">
        <v>7.5</v>
      </c>
      <c r="O1921" s="14">
        <f t="shared" si="1"/>
        <v>44197</v>
      </c>
      <c r="P1921" s="15">
        <f>IFERROR(VLOOKUP(K1921,Formula!$A$11:$B$20,2,FALSE),Formula!$C$26)</f>
        <v>0.9</v>
      </c>
      <c r="Q1921" s="15">
        <f>IF(AND(ISNUMBER(J1921),J1921&gt;0),1/J1921,IF(AND(ISNUMBER(I1921),I1921&gt;0),SQRT(MIN(I1921,Formula!$C$27))/Formula!$C$24,1/Formula!$C$25))</f>
        <v>0.3225806452</v>
      </c>
      <c r="R1921" s="15">
        <f t="shared" si="2"/>
        <v>0.2903225806</v>
      </c>
      <c r="S1921" s="15">
        <f>IF(H1921&lt;&gt;"",EXP(-Formula!$C$28*(EOMONTH(H1921,0)-H1921)),EXP(-Formula!$C$28*(EOMONTH(D1921,0)-D1921)))</f>
        <v>0.6376281516</v>
      </c>
      <c r="T1921" s="15">
        <f t="shared" si="3"/>
        <v>0.2672612419</v>
      </c>
      <c r="U1921" s="15">
        <f t="shared" si="4"/>
        <v>0.04947482662</v>
      </c>
      <c r="V1921" s="16">
        <f>IF(AND(L1921="Among all respondents",NOT(OR(K1921="Online poll in Telegram channel",K1921="Website online poll",K1921="CAWI (Computer Assisted Web Interviewing)"))),1/(1-MIN(MAX(Formula!$C$33+(YEAR(D1921)-Formula!$C$34)/(Formula!$C$35-Formula!$C$34)*(Formula!$C$32-Formula!$C$33),Formula!$C$33),Formula!$C$32)),1)</f>
        <v>1</v>
      </c>
      <c r="W1921" s="17">
        <f t="shared" si="5"/>
        <v>7.5</v>
      </c>
    </row>
    <row r="1922" ht="15.75" customHeight="1">
      <c r="A1922" s="8" t="s">
        <v>2779</v>
      </c>
      <c r="B1922" s="7" t="s">
        <v>2771</v>
      </c>
      <c r="C1922" s="13" t="s">
        <v>2772</v>
      </c>
      <c r="D1922" s="7" t="s">
        <v>238</v>
      </c>
      <c r="E1922" s="8" t="s">
        <v>72</v>
      </c>
      <c r="F1922" s="8" t="s">
        <v>318</v>
      </c>
      <c r="G1922" s="7" t="s">
        <v>2773</v>
      </c>
      <c r="H1922" s="7" t="s">
        <v>2773</v>
      </c>
      <c r="I1922" s="8">
        <v>1005.0</v>
      </c>
      <c r="J1922" s="8">
        <v>3.1</v>
      </c>
      <c r="K1922" s="8" t="s">
        <v>321</v>
      </c>
      <c r="L1922" s="8" t="s">
        <v>322</v>
      </c>
      <c r="M1922" s="8" t="s">
        <v>386</v>
      </c>
      <c r="N1922" s="8">
        <v>5.8</v>
      </c>
      <c r="O1922" s="14">
        <f t="shared" si="1"/>
        <v>44197</v>
      </c>
      <c r="P1922" s="15">
        <f>IFERROR(VLOOKUP(K1922,Formula!$A$11:$B$20,2,FALSE),Formula!$C$26)</f>
        <v>0.9</v>
      </c>
      <c r="Q1922" s="15">
        <f>IF(AND(ISNUMBER(J1922),J1922&gt;0),1/J1922,IF(AND(ISNUMBER(I1922),I1922&gt;0),SQRT(MIN(I1922,Formula!$C$27))/Formula!$C$24,1/Formula!$C$25))</f>
        <v>0.3225806452</v>
      </c>
      <c r="R1922" s="15">
        <f t="shared" si="2"/>
        <v>0.2903225806</v>
      </c>
      <c r="S1922" s="15">
        <f>IF(H1922&lt;&gt;"",EXP(-Formula!$C$28*(EOMONTH(H1922,0)-H1922)),EXP(-Formula!$C$28*(EOMONTH(D1922,0)-D1922)))</f>
        <v>0.6376281516</v>
      </c>
      <c r="T1922" s="15">
        <f t="shared" si="3"/>
        <v>0.2672612419</v>
      </c>
      <c r="U1922" s="15">
        <f t="shared" si="4"/>
        <v>0.04947482662</v>
      </c>
      <c r="V1922" s="16">
        <f>IF(AND(L1922="Among all respondents",NOT(OR(K1922="Online poll in Telegram channel",K1922="Website online poll",K1922="CAWI (Computer Assisted Web Interviewing)"))),1/(1-MIN(MAX(Formula!$C$33+(YEAR(D1922)-Formula!$C$34)/(Formula!$C$35-Formula!$C$34)*(Formula!$C$32-Formula!$C$33),Formula!$C$33),Formula!$C$32)),1)</f>
        <v>1</v>
      </c>
      <c r="W1922" s="17">
        <f t="shared" si="5"/>
        <v>5.8</v>
      </c>
    </row>
    <row r="1923" ht="15.75" customHeight="1">
      <c r="A1923" s="8" t="s">
        <v>2780</v>
      </c>
      <c r="B1923" s="7" t="s">
        <v>2771</v>
      </c>
      <c r="C1923" s="13" t="s">
        <v>2772</v>
      </c>
      <c r="D1923" s="7" t="s">
        <v>238</v>
      </c>
      <c r="E1923" s="8" t="s">
        <v>72</v>
      </c>
      <c r="F1923" s="8" t="s">
        <v>318</v>
      </c>
      <c r="G1923" s="7" t="s">
        <v>2773</v>
      </c>
      <c r="H1923" s="7" t="s">
        <v>2773</v>
      </c>
      <c r="I1923" s="8">
        <v>1005.0</v>
      </c>
      <c r="J1923" s="8">
        <v>3.1</v>
      </c>
      <c r="K1923" s="8" t="s">
        <v>321</v>
      </c>
      <c r="L1923" s="8" t="s">
        <v>322</v>
      </c>
      <c r="M1923" s="8" t="s">
        <v>1539</v>
      </c>
      <c r="N1923" s="8">
        <v>4.2</v>
      </c>
      <c r="O1923" s="14">
        <f t="shared" si="1"/>
        <v>44197</v>
      </c>
      <c r="P1923" s="15">
        <f>IFERROR(VLOOKUP(K1923,Formula!$A$11:$B$20,2,FALSE),Formula!$C$26)</f>
        <v>0.9</v>
      </c>
      <c r="Q1923" s="15">
        <f>IF(AND(ISNUMBER(J1923),J1923&gt;0),1/J1923,IF(AND(ISNUMBER(I1923),I1923&gt;0),SQRT(MIN(I1923,Formula!$C$27))/Formula!$C$24,1/Formula!$C$25))</f>
        <v>0.3225806452</v>
      </c>
      <c r="R1923" s="15">
        <f t="shared" si="2"/>
        <v>0.2903225806</v>
      </c>
      <c r="S1923" s="15">
        <f>IF(H1923&lt;&gt;"",EXP(-Formula!$C$28*(EOMONTH(H1923,0)-H1923)),EXP(-Formula!$C$28*(EOMONTH(D1923,0)-D1923)))</f>
        <v>0.6376281516</v>
      </c>
      <c r="T1923" s="15">
        <f t="shared" si="3"/>
        <v>0.2672612419</v>
      </c>
      <c r="U1923" s="15">
        <f t="shared" si="4"/>
        <v>0.04947482662</v>
      </c>
      <c r="V1923" s="16">
        <f>IF(AND(L1923="Among all respondents",NOT(OR(K1923="Online poll in Telegram channel",K1923="Website online poll",K1923="CAWI (Computer Assisted Web Interviewing)"))),1/(1-MIN(MAX(Formula!$C$33+(YEAR(D1923)-Formula!$C$34)/(Formula!$C$35-Formula!$C$34)*(Formula!$C$32-Formula!$C$33),Formula!$C$33),Formula!$C$32)),1)</f>
        <v>1</v>
      </c>
      <c r="W1923" s="17">
        <f t="shared" si="5"/>
        <v>4.2</v>
      </c>
    </row>
    <row r="1924" ht="15.75" customHeight="1">
      <c r="A1924" s="8" t="s">
        <v>2781</v>
      </c>
      <c r="B1924" s="7" t="s">
        <v>2771</v>
      </c>
      <c r="C1924" s="13" t="s">
        <v>2772</v>
      </c>
      <c r="D1924" s="7" t="s">
        <v>238</v>
      </c>
      <c r="E1924" s="8" t="s">
        <v>72</v>
      </c>
      <c r="F1924" s="8" t="s">
        <v>318</v>
      </c>
      <c r="G1924" s="7" t="s">
        <v>2773</v>
      </c>
      <c r="H1924" s="7" t="s">
        <v>2773</v>
      </c>
      <c r="I1924" s="8">
        <v>1005.0</v>
      </c>
      <c r="J1924" s="8">
        <v>3.1</v>
      </c>
      <c r="K1924" s="8" t="s">
        <v>321</v>
      </c>
      <c r="L1924" s="8" t="s">
        <v>322</v>
      </c>
      <c r="M1924" s="8" t="s">
        <v>743</v>
      </c>
      <c r="N1924" s="8">
        <v>3.4</v>
      </c>
      <c r="O1924" s="14">
        <f t="shared" si="1"/>
        <v>44197</v>
      </c>
      <c r="P1924" s="15">
        <f>IFERROR(VLOOKUP(K1924,Formula!$A$11:$B$20,2,FALSE),Formula!$C$26)</f>
        <v>0.9</v>
      </c>
      <c r="Q1924" s="15">
        <f>IF(AND(ISNUMBER(J1924),J1924&gt;0),1/J1924,IF(AND(ISNUMBER(I1924),I1924&gt;0),SQRT(MIN(I1924,Formula!$C$27))/Formula!$C$24,1/Formula!$C$25))</f>
        <v>0.3225806452</v>
      </c>
      <c r="R1924" s="15">
        <f t="shared" si="2"/>
        <v>0.2903225806</v>
      </c>
      <c r="S1924" s="15">
        <f>IF(H1924&lt;&gt;"",EXP(-Formula!$C$28*(EOMONTH(H1924,0)-H1924)),EXP(-Formula!$C$28*(EOMONTH(D1924,0)-D1924)))</f>
        <v>0.6376281516</v>
      </c>
      <c r="T1924" s="15">
        <f t="shared" si="3"/>
        <v>0.2672612419</v>
      </c>
      <c r="U1924" s="15">
        <f t="shared" si="4"/>
        <v>0.04947482662</v>
      </c>
      <c r="V1924" s="16">
        <f>IF(AND(L1924="Among all respondents",NOT(OR(K1924="Online poll in Telegram channel",K1924="Website online poll",K1924="CAWI (Computer Assisted Web Interviewing)"))),1/(1-MIN(MAX(Formula!$C$33+(YEAR(D1924)-Formula!$C$34)/(Formula!$C$35-Formula!$C$34)*(Formula!$C$32-Formula!$C$33),Formula!$C$33),Formula!$C$32)),1)</f>
        <v>1</v>
      </c>
      <c r="W1924" s="17">
        <f t="shared" si="5"/>
        <v>3.4</v>
      </c>
    </row>
    <row r="1925" ht="15.75" customHeight="1">
      <c r="A1925" s="8" t="s">
        <v>2782</v>
      </c>
      <c r="B1925" s="7" t="s">
        <v>2771</v>
      </c>
      <c r="C1925" s="13" t="s">
        <v>2772</v>
      </c>
      <c r="D1925" s="7" t="s">
        <v>238</v>
      </c>
      <c r="E1925" s="8" t="s">
        <v>72</v>
      </c>
      <c r="F1925" s="8" t="s">
        <v>318</v>
      </c>
      <c r="G1925" s="7" t="s">
        <v>2773</v>
      </c>
      <c r="H1925" s="7" t="s">
        <v>2773</v>
      </c>
      <c r="I1925" s="8">
        <v>1005.0</v>
      </c>
      <c r="J1925" s="8">
        <v>3.1</v>
      </c>
      <c r="K1925" s="8" t="s">
        <v>321</v>
      </c>
      <c r="L1925" s="8" t="s">
        <v>322</v>
      </c>
      <c r="M1925" s="8" t="s">
        <v>339</v>
      </c>
      <c r="N1925" s="8">
        <v>2.5</v>
      </c>
      <c r="O1925" s="14">
        <f t="shared" si="1"/>
        <v>44197</v>
      </c>
      <c r="P1925" s="15">
        <f>IFERROR(VLOOKUP(K1925,Formula!$A$11:$B$20,2,FALSE),Formula!$C$26)</f>
        <v>0.9</v>
      </c>
      <c r="Q1925" s="15">
        <f>IF(AND(ISNUMBER(J1925),J1925&gt;0),1/J1925,IF(AND(ISNUMBER(I1925),I1925&gt;0),SQRT(MIN(I1925,Formula!$C$27))/Formula!$C$24,1/Formula!$C$25))</f>
        <v>0.3225806452</v>
      </c>
      <c r="R1925" s="15">
        <f t="shared" si="2"/>
        <v>0.2903225806</v>
      </c>
      <c r="S1925" s="15">
        <f>IF(H1925&lt;&gt;"",EXP(-Formula!$C$28*(EOMONTH(H1925,0)-H1925)),EXP(-Formula!$C$28*(EOMONTH(D1925,0)-D1925)))</f>
        <v>0.6376281516</v>
      </c>
      <c r="T1925" s="15">
        <f t="shared" si="3"/>
        <v>0.2672612419</v>
      </c>
      <c r="U1925" s="15">
        <f t="shared" si="4"/>
        <v>0.04947482662</v>
      </c>
      <c r="V1925" s="16">
        <f>IF(AND(L1925="Among all respondents",NOT(OR(K1925="Online poll in Telegram channel",K1925="Website online poll",K1925="CAWI (Computer Assisted Web Interviewing)"))),1/(1-MIN(MAX(Formula!$C$33+(YEAR(D1925)-Formula!$C$34)/(Formula!$C$35-Formula!$C$34)*(Formula!$C$32-Formula!$C$33),Formula!$C$33),Formula!$C$32)),1)</f>
        <v>1</v>
      </c>
      <c r="W1925" s="17">
        <f t="shared" si="5"/>
        <v>2.5</v>
      </c>
    </row>
    <row r="1926" ht="15.75" customHeight="1">
      <c r="A1926" s="8" t="s">
        <v>2783</v>
      </c>
      <c r="B1926" s="7" t="s">
        <v>2771</v>
      </c>
      <c r="C1926" s="13" t="s">
        <v>2772</v>
      </c>
      <c r="D1926" s="7" t="s">
        <v>238</v>
      </c>
      <c r="E1926" s="8" t="s">
        <v>72</v>
      </c>
      <c r="F1926" s="8" t="s">
        <v>318</v>
      </c>
      <c r="G1926" s="7" t="s">
        <v>2773</v>
      </c>
      <c r="H1926" s="7" t="s">
        <v>2773</v>
      </c>
      <c r="I1926" s="8">
        <v>1005.0</v>
      </c>
      <c r="J1926" s="8">
        <v>3.1</v>
      </c>
      <c r="K1926" s="8" t="s">
        <v>321</v>
      </c>
      <c r="L1926" s="8" t="s">
        <v>322</v>
      </c>
      <c r="M1926" s="8" t="s">
        <v>740</v>
      </c>
      <c r="N1926" s="8">
        <v>2.1</v>
      </c>
      <c r="O1926" s="14">
        <f t="shared" si="1"/>
        <v>44197</v>
      </c>
      <c r="P1926" s="15">
        <f>IFERROR(VLOOKUP(K1926,Formula!$A$11:$B$20,2,FALSE),Formula!$C$26)</f>
        <v>0.9</v>
      </c>
      <c r="Q1926" s="15">
        <f>IF(AND(ISNUMBER(J1926),J1926&gt;0),1/J1926,IF(AND(ISNUMBER(I1926),I1926&gt;0),SQRT(MIN(I1926,Formula!$C$27))/Formula!$C$24,1/Formula!$C$25))</f>
        <v>0.3225806452</v>
      </c>
      <c r="R1926" s="15">
        <f t="shared" si="2"/>
        <v>0.2903225806</v>
      </c>
      <c r="S1926" s="15">
        <f>IF(H1926&lt;&gt;"",EXP(-Formula!$C$28*(EOMONTH(H1926,0)-H1926)),EXP(-Formula!$C$28*(EOMONTH(D1926,0)-D1926)))</f>
        <v>0.6376281516</v>
      </c>
      <c r="T1926" s="15">
        <f t="shared" si="3"/>
        <v>0.2672612419</v>
      </c>
      <c r="U1926" s="15">
        <f t="shared" si="4"/>
        <v>0.04947482662</v>
      </c>
      <c r="V1926" s="16">
        <f>IF(AND(L1926="Among all respondents",NOT(OR(K1926="Online poll in Telegram channel",K1926="Website online poll",K1926="CAWI (Computer Assisted Web Interviewing)"))),1/(1-MIN(MAX(Formula!$C$33+(YEAR(D1926)-Formula!$C$34)/(Formula!$C$35-Formula!$C$34)*(Formula!$C$32-Formula!$C$33),Formula!$C$33),Formula!$C$32)),1)</f>
        <v>1</v>
      </c>
      <c r="W1926" s="17">
        <f t="shared" si="5"/>
        <v>2.1</v>
      </c>
    </row>
    <row r="1927" ht="15.75" customHeight="1">
      <c r="A1927" s="8" t="s">
        <v>2784</v>
      </c>
      <c r="B1927" s="7" t="s">
        <v>2771</v>
      </c>
      <c r="C1927" s="13" t="s">
        <v>2772</v>
      </c>
      <c r="D1927" s="7" t="s">
        <v>238</v>
      </c>
      <c r="E1927" s="8" t="s">
        <v>72</v>
      </c>
      <c r="F1927" s="8" t="s">
        <v>318</v>
      </c>
      <c r="G1927" s="7" t="s">
        <v>2773</v>
      </c>
      <c r="H1927" s="7" t="s">
        <v>2773</v>
      </c>
      <c r="I1927" s="8">
        <v>1005.0</v>
      </c>
      <c r="J1927" s="8">
        <v>3.1</v>
      </c>
      <c r="K1927" s="8" t="s">
        <v>321</v>
      </c>
      <c r="L1927" s="8" t="s">
        <v>322</v>
      </c>
      <c r="M1927" s="8" t="s">
        <v>343</v>
      </c>
      <c r="N1927" s="8">
        <v>0.9</v>
      </c>
      <c r="O1927" s="14">
        <f t="shared" si="1"/>
        <v>44197</v>
      </c>
      <c r="P1927" s="15">
        <f>IFERROR(VLOOKUP(K1927,Formula!$A$11:$B$20,2,FALSE),Formula!$C$26)</f>
        <v>0.9</v>
      </c>
      <c r="Q1927" s="15">
        <f>IF(AND(ISNUMBER(J1927),J1927&gt;0),1/J1927,IF(AND(ISNUMBER(I1927),I1927&gt;0),SQRT(MIN(I1927,Formula!$C$27))/Formula!$C$24,1/Formula!$C$25))</f>
        <v>0.3225806452</v>
      </c>
      <c r="R1927" s="15">
        <f t="shared" si="2"/>
        <v>0.2903225806</v>
      </c>
      <c r="S1927" s="15">
        <f>IF(H1927&lt;&gt;"",EXP(-Formula!$C$28*(EOMONTH(H1927,0)-H1927)),EXP(-Formula!$C$28*(EOMONTH(D1927,0)-D1927)))</f>
        <v>0.6376281516</v>
      </c>
      <c r="T1927" s="15">
        <f t="shared" si="3"/>
        <v>0.2672612419</v>
      </c>
      <c r="U1927" s="15">
        <f t="shared" si="4"/>
        <v>0.04947482662</v>
      </c>
      <c r="V1927" s="16">
        <f>IF(AND(L1927="Among all respondents",NOT(OR(K1927="Online poll in Telegram channel",K1927="Website online poll",K1927="CAWI (Computer Assisted Web Interviewing)"))),1/(1-MIN(MAX(Formula!$C$33+(YEAR(D1927)-Formula!$C$34)/(Formula!$C$35-Formula!$C$34)*(Formula!$C$32-Formula!$C$33),Formula!$C$33),Formula!$C$32)),1)</f>
        <v>1</v>
      </c>
      <c r="W1927" s="17">
        <f t="shared" si="5"/>
        <v>0.9</v>
      </c>
    </row>
    <row r="1928" ht="15.75" customHeight="1">
      <c r="A1928" s="8" t="s">
        <v>2785</v>
      </c>
      <c r="B1928" s="7" t="s">
        <v>2771</v>
      </c>
      <c r="C1928" s="13" t="s">
        <v>2772</v>
      </c>
      <c r="D1928" s="7" t="s">
        <v>238</v>
      </c>
      <c r="E1928" s="8" t="s">
        <v>72</v>
      </c>
      <c r="F1928" s="8" t="s">
        <v>318</v>
      </c>
      <c r="G1928" s="7" t="s">
        <v>2773</v>
      </c>
      <c r="H1928" s="7" t="s">
        <v>2773</v>
      </c>
      <c r="I1928" s="8">
        <v>1005.0</v>
      </c>
      <c r="J1928" s="8">
        <v>3.1</v>
      </c>
      <c r="K1928" s="8" t="s">
        <v>321</v>
      </c>
      <c r="L1928" s="8" t="s">
        <v>322</v>
      </c>
      <c r="M1928" s="8" t="s">
        <v>345</v>
      </c>
      <c r="N1928" s="8">
        <v>0.9</v>
      </c>
      <c r="O1928" s="14">
        <f t="shared" si="1"/>
        <v>44197</v>
      </c>
      <c r="P1928" s="15">
        <f>IFERROR(VLOOKUP(K1928,Formula!$A$11:$B$20,2,FALSE),Formula!$C$26)</f>
        <v>0.9</v>
      </c>
      <c r="Q1928" s="15">
        <f>IF(AND(ISNUMBER(J1928),J1928&gt;0),1/J1928,IF(AND(ISNUMBER(I1928),I1928&gt;0),SQRT(MIN(I1928,Formula!$C$27))/Formula!$C$24,1/Formula!$C$25))</f>
        <v>0.3225806452</v>
      </c>
      <c r="R1928" s="15">
        <f t="shared" si="2"/>
        <v>0.2903225806</v>
      </c>
      <c r="S1928" s="15">
        <f>IF(H1928&lt;&gt;"",EXP(-Formula!$C$28*(EOMONTH(H1928,0)-H1928)),EXP(-Formula!$C$28*(EOMONTH(D1928,0)-D1928)))</f>
        <v>0.6376281516</v>
      </c>
      <c r="T1928" s="15">
        <f t="shared" si="3"/>
        <v>0.2672612419</v>
      </c>
      <c r="U1928" s="15">
        <f t="shared" si="4"/>
        <v>0.04947482662</v>
      </c>
      <c r="V1928" s="16">
        <f>IF(AND(L1928="Among all respondents",NOT(OR(K1928="Online poll in Telegram channel",K1928="Website online poll",K1928="CAWI (Computer Assisted Web Interviewing)"))),1/(1-MIN(MAX(Formula!$C$33+(YEAR(D1928)-Formula!$C$34)/(Formula!$C$35-Formula!$C$34)*(Formula!$C$32-Formula!$C$33),Formula!$C$33),Formula!$C$32)),1)</f>
        <v>1</v>
      </c>
      <c r="W1928" s="17">
        <f t="shared" si="5"/>
        <v>0.9</v>
      </c>
    </row>
    <row r="1929" ht="15.75" customHeight="1">
      <c r="A1929" s="8" t="s">
        <v>2786</v>
      </c>
      <c r="B1929" s="7" t="s">
        <v>2771</v>
      </c>
      <c r="C1929" s="13" t="s">
        <v>2772</v>
      </c>
      <c r="D1929" s="7" t="s">
        <v>238</v>
      </c>
      <c r="E1929" s="8" t="s">
        <v>72</v>
      </c>
      <c r="F1929" s="8" t="s">
        <v>318</v>
      </c>
      <c r="G1929" s="7" t="s">
        <v>2773</v>
      </c>
      <c r="H1929" s="7" t="s">
        <v>2773</v>
      </c>
      <c r="I1929" s="8">
        <v>1005.0</v>
      </c>
      <c r="J1929" s="8">
        <v>3.1</v>
      </c>
      <c r="K1929" s="8" t="s">
        <v>321</v>
      </c>
      <c r="L1929" s="8" t="s">
        <v>322</v>
      </c>
      <c r="M1929" s="8" t="s">
        <v>1171</v>
      </c>
      <c r="N1929" s="8">
        <v>0.3</v>
      </c>
      <c r="O1929" s="14">
        <f t="shared" si="1"/>
        <v>44197</v>
      </c>
      <c r="P1929" s="15">
        <f>IFERROR(VLOOKUP(K1929,Formula!$A$11:$B$20,2,FALSE),Formula!$C$26)</f>
        <v>0.9</v>
      </c>
      <c r="Q1929" s="15">
        <f>IF(AND(ISNUMBER(J1929),J1929&gt;0),1/J1929,IF(AND(ISNUMBER(I1929),I1929&gt;0),SQRT(MIN(I1929,Formula!$C$27))/Formula!$C$24,1/Formula!$C$25))</f>
        <v>0.3225806452</v>
      </c>
      <c r="R1929" s="15">
        <f t="shared" si="2"/>
        <v>0.2903225806</v>
      </c>
      <c r="S1929" s="15">
        <f>IF(H1929&lt;&gt;"",EXP(-Formula!$C$28*(EOMONTH(H1929,0)-H1929)),EXP(-Formula!$C$28*(EOMONTH(D1929,0)-D1929)))</f>
        <v>0.6376281516</v>
      </c>
      <c r="T1929" s="15">
        <f t="shared" si="3"/>
        <v>0.2672612419</v>
      </c>
      <c r="U1929" s="15">
        <f t="shared" si="4"/>
        <v>0.04947482662</v>
      </c>
      <c r="V1929" s="16">
        <f>IF(AND(L1929="Among all respondents",NOT(OR(K1929="Online poll in Telegram channel",K1929="Website online poll",K1929="CAWI (Computer Assisted Web Interviewing)"))),1/(1-MIN(MAX(Formula!$C$33+(YEAR(D1929)-Formula!$C$34)/(Formula!$C$35-Formula!$C$34)*(Formula!$C$32-Formula!$C$33),Formula!$C$33),Formula!$C$32)),1)</f>
        <v>1</v>
      </c>
      <c r="W1929" s="17">
        <f t="shared" si="5"/>
        <v>0.3</v>
      </c>
    </row>
    <row r="1930" ht="15.75" customHeight="1">
      <c r="A1930" s="8" t="s">
        <v>2787</v>
      </c>
      <c r="B1930" s="7" t="s">
        <v>2788</v>
      </c>
      <c r="C1930" s="13" t="s">
        <v>2789</v>
      </c>
      <c r="D1930" s="7" t="s">
        <v>239</v>
      </c>
      <c r="E1930" s="8" t="s">
        <v>240</v>
      </c>
      <c r="F1930" s="8" t="s">
        <v>318</v>
      </c>
      <c r="G1930" s="7" t="s">
        <v>241</v>
      </c>
      <c r="H1930" s="7" t="s">
        <v>239</v>
      </c>
      <c r="I1930" s="8">
        <v>39000.0</v>
      </c>
      <c r="K1930" s="8" t="s">
        <v>877</v>
      </c>
      <c r="L1930" s="8" t="s">
        <v>322</v>
      </c>
      <c r="M1930" s="8" t="s">
        <v>323</v>
      </c>
      <c r="N1930" s="8">
        <v>47.0</v>
      </c>
      <c r="O1930" s="14">
        <f t="shared" si="1"/>
        <v>44197</v>
      </c>
      <c r="P1930" s="15">
        <f>IFERROR(VLOOKUP(K1930,Formula!$A$11:$B$20,2,FALSE),Formula!$C$26)</f>
        <v>0.2</v>
      </c>
      <c r="Q1930" s="15">
        <f>IF(AND(ISNUMBER(J1930),J1930&gt;0),1/J1930,IF(AND(ISNUMBER(I1930),I1930&gt;0),SQRT(MIN(I1930,Formula!$C$27))/Formula!$C$24,1/Formula!$C$25))</f>
        <v>0.7215375318</v>
      </c>
      <c r="R1930" s="15">
        <f t="shared" si="2"/>
        <v>0.1443075064</v>
      </c>
      <c r="S1930" s="15">
        <f>IF(H1930&lt;&gt;"",EXP(-Formula!$C$28*(EOMONTH(H1930,0)-H1930)),EXP(-Formula!$C$28*(EOMONTH(D1930,0)-D1930)))</f>
        <v>0.3867410235</v>
      </c>
      <c r="T1930" s="15">
        <f t="shared" si="3"/>
        <v>0.316227766</v>
      </c>
      <c r="U1930" s="15">
        <f t="shared" si="4"/>
        <v>0.01764855547</v>
      </c>
      <c r="V1930" s="16">
        <f>IF(AND(L1930="Among all respondents",NOT(OR(K1930="Online poll in Telegram channel",K1930="Website online poll",K1930="CAWI (Computer Assisted Web Interviewing)"))),1/(1-MIN(MAX(Formula!$C$33+(YEAR(D1930)-Formula!$C$34)/(Formula!$C$35-Formula!$C$34)*(Formula!$C$32-Formula!$C$33),Formula!$C$33),Formula!$C$32)),1)</f>
        <v>1</v>
      </c>
      <c r="W1930" s="17">
        <f t="shared" si="5"/>
        <v>47</v>
      </c>
    </row>
    <row r="1931" ht="15.75" customHeight="1">
      <c r="A1931" s="8" t="s">
        <v>2790</v>
      </c>
      <c r="B1931" s="7" t="s">
        <v>2788</v>
      </c>
      <c r="C1931" s="13" t="s">
        <v>2789</v>
      </c>
      <c r="D1931" s="7" t="s">
        <v>239</v>
      </c>
      <c r="E1931" s="8" t="s">
        <v>240</v>
      </c>
      <c r="F1931" s="8" t="s">
        <v>318</v>
      </c>
      <c r="G1931" s="7" t="s">
        <v>241</v>
      </c>
      <c r="H1931" s="7" t="s">
        <v>239</v>
      </c>
      <c r="I1931" s="8">
        <v>39000.0</v>
      </c>
      <c r="K1931" s="8" t="s">
        <v>877</v>
      </c>
      <c r="L1931" s="8" t="s">
        <v>322</v>
      </c>
      <c r="M1931" s="8" t="s">
        <v>329</v>
      </c>
      <c r="N1931" s="8">
        <v>15.0</v>
      </c>
      <c r="O1931" s="14">
        <f t="shared" si="1"/>
        <v>44197</v>
      </c>
      <c r="P1931" s="15">
        <f>IFERROR(VLOOKUP(K1931,Formula!$A$11:$B$20,2,FALSE),Formula!$C$26)</f>
        <v>0.2</v>
      </c>
      <c r="Q1931" s="15">
        <f>IF(AND(ISNUMBER(J1931),J1931&gt;0),1/J1931,IF(AND(ISNUMBER(I1931),I1931&gt;0),SQRT(MIN(I1931,Formula!$C$27))/Formula!$C$24,1/Formula!$C$25))</f>
        <v>0.7215375318</v>
      </c>
      <c r="R1931" s="15">
        <f t="shared" si="2"/>
        <v>0.1443075064</v>
      </c>
      <c r="S1931" s="15">
        <f>IF(H1931&lt;&gt;"",EXP(-Formula!$C$28*(EOMONTH(H1931,0)-H1931)),EXP(-Formula!$C$28*(EOMONTH(D1931,0)-D1931)))</f>
        <v>0.3867410235</v>
      </c>
      <c r="T1931" s="15">
        <f t="shared" si="3"/>
        <v>0.316227766</v>
      </c>
      <c r="U1931" s="15">
        <f t="shared" si="4"/>
        <v>0.01764855547</v>
      </c>
      <c r="V1931" s="16">
        <f>IF(AND(L1931="Among all respondents",NOT(OR(K1931="Online poll in Telegram channel",K1931="Website online poll",K1931="CAWI (Computer Assisted Web Interviewing)"))),1/(1-MIN(MAX(Formula!$C$33+(YEAR(D1931)-Formula!$C$34)/(Formula!$C$35-Formula!$C$34)*(Formula!$C$32-Formula!$C$33),Formula!$C$33),Formula!$C$32)),1)</f>
        <v>1</v>
      </c>
      <c r="W1931" s="17">
        <f t="shared" si="5"/>
        <v>15</v>
      </c>
    </row>
    <row r="1932" ht="15.75" customHeight="1">
      <c r="A1932" s="8" t="s">
        <v>2791</v>
      </c>
      <c r="B1932" s="7" t="s">
        <v>2788</v>
      </c>
      <c r="C1932" s="13" t="s">
        <v>2789</v>
      </c>
      <c r="D1932" s="7" t="s">
        <v>239</v>
      </c>
      <c r="E1932" s="8" t="s">
        <v>240</v>
      </c>
      <c r="F1932" s="8" t="s">
        <v>318</v>
      </c>
      <c r="G1932" s="7" t="s">
        <v>241</v>
      </c>
      <c r="H1932" s="7" t="s">
        <v>239</v>
      </c>
      <c r="I1932" s="8">
        <v>39000.0</v>
      </c>
      <c r="K1932" s="8" t="s">
        <v>877</v>
      </c>
      <c r="L1932" s="8" t="s">
        <v>322</v>
      </c>
      <c r="M1932" s="8" t="s">
        <v>365</v>
      </c>
      <c r="N1932" s="8">
        <v>10.0</v>
      </c>
      <c r="O1932" s="14">
        <f t="shared" si="1"/>
        <v>44197</v>
      </c>
      <c r="P1932" s="15">
        <f>IFERROR(VLOOKUP(K1932,Formula!$A$11:$B$20,2,FALSE),Formula!$C$26)</f>
        <v>0.2</v>
      </c>
      <c r="Q1932" s="15">
        <f>IF(AND(ISNUMBER(J1932),J1932&gt;0),1/J1932,IF(AND(ISNUMBER(I1932),I1932&gt;0),SQRT(MIN(I1932,Formula!$C$27))/Formula!$C$24,1/Formula!$C$25))</f>
        <v>0.7215375318</v>
      </c>
      <c r="R1932" s="15">
        <f t="shared" si="2"/>
        <v>0.1443075064</v>
      </c>
      <c r="S1932" s="15">
        <f>IF(H1932&lt;&gt;"",EXP(-Formula!$C$28*(EOMONTH(H1932,0)-H1932)),EXP(-Formula!$C$28*(EOMONTH(D1932,0)-D1932)))</f>
        <v>0.3867410235</v>
      </c>
      <c r="T1932" s="15">
        <f t="shared" si="3"/>
        <v>0.316227766</v>
      </c>
      <c r="U1932" s="15">
        <f t="shared" si="4"/>
        <v>0.01764855547</v>
      </c>
      <c r="V1932" s="16">
        <f>IF(AND(L1932="Among all respondents",NOT(OR(K1932="Online poll in Telegram channel",K1932="Website online poll",K1932="CAWI (Computer Assisted Web Interviewing)"))),1/(1-MIN(MAX(Formula!$C$33+(YEAR(D1932)-Formula!$C$34)/(Formula!$C$35-Formula!$C$34)*(Formula!$C$32-Formula!$C$33),Formula!$C$33),Formula!$C$32)),1)</f>
        <v>1</v>
      </c>
      <c r="W1932" s="17">
        <f t="shared" si="5"/>
        <v>10</v>
      </c>
    </row>
    <row r="1933" ht="15.75" customHeight="1">
      <c r="A1933" s="8" t="s">
        <v>2792</v>
      </c>
      <c r="B1933" s="7" t="s">
        <v>2788</v>
      </c>
      <c r="C1933" s="13" t="s">
        <v>2789</v>
      </c>
      <c r="D1933" s="7" t="s">
        <v>239</v>
      </c>
      <c r="E1933" s="8" t="s">
        <v>240</v>
      </c>
      <c r="F1933" s="8" t="s">
        <v>318</v>
      </c>
      <c r="G1933" s="7" t="s">
        <v>241</v>
      </c>
      <c r="H1933" s="7" t="s">
        <v>239</v>
      </c>
      <c r="I1933" s="8">
        <v>39000.0</v>
      </c>
      <c r="K1933" s="8" t="s">
        <v>877</v>
      </c>
      <c r="L1933" s="8" t="s">
        <v>322</v>
      </c>
      <c r="M1933" s="8" t="s">
        <v>1539</v>
      </c>
      <c r="N1933" s="8">
        <v>8.0</v>
      </c>
      <c r="O1933" s="14">
        <f t="shared" si="1"/>
        <v>44197</v>
      </c>
      <c r="P1933" s="15">
        <f>IFERROR(VLOOKUP(K1933,Formula!$A$11:$B$20,2,FALSE),Formula!$C$26)</f>
        <v>0.2</v>
      </c>
      <c r="Q1933" s="15">
        <f>IF(AND(ISNUMBER(J1933),J1933&gt;0),1/J1933,IF(AND(ISNUMBER(I1933),I1933&gt;0),SQRT(MIN(I1933,Formula!$C$27))/Formula!$C$24,1/Formula!$C$25))</f>
        <v>0.7215375318</v>
      </c>
      <c r="R1933" s="15">
        <f t="shared" si="2"/>
        <v>0.1443075064</v>
      </c>
      <c r="S1933" s="15">
        <f>IF(H1933&lt;&gt;"",EXP(-Formula!$C$28*(EOMONTH(H1933,0)-H1933)),EXP(-Formula!$C$28*(EOMONTH(D1933,0)-D1933)))</f>
        <v>0.3867410235</v>
      </c>
      <c r="T1933" s="15">
        <f t="shared" si="3"/>
        <v>0.316227766</v>
      </c>
      <c r="U1933" s="15">
        <f t="shared" si="4"/>
        <v>0.01764855547</v>
      </c>
      <c r="V1933" s="16">
        <f>IF(AND(L1933="Among all respondents",NOT(OR(K1933="Online poll in Telegram channel",K1933="Website online poll",K1933="CAWI (Computer Assisted Web Interviewing)"))),1/(1-MIN(MAX(Formula!$C$33+(YEAR(D1933)-Formula!$C$34)/(Formula!$C$35-Formula!$C$34)*(Formula!$C$32-Formula!$C$33),Formula!$C$33),Formula!$C$32)),1)</f>
        <v>1</v>
      </c>
      <c r="W1933" s="17">
        <f t="shared" si="5"/>
        <v>8</v>
      </c>
    </row>
    <row r="1934" ht="15.75" customHeight="1">
      <c r="A1934" s="8" t="s">
        <v>2793</v>
      </c>
      <c r="B1934" s="7" t="s">
        <v>2788</v>
      </c>
      <c r="C1934" s="13" t="s">
        <v>2789</v>
      </c>
      <c r="D1934" s="7" t="s">
        <v>239</v>
      </c>
      <c r="E1934" s="8" t="s">
        <v>240</v>
      </c>
      <c r="F1934" s="8" t="s">
        <v>318</v>
      </c>
      <c r="G1934" s="7" t="s">
        <v>241</v>
      </c>
      <c r="H1934" s="7" t="s">
        <v>239</v>
      </c>
      <c r="I1934" s="8">
        <v>39000.0</v>
      </c>
      <c r="K1934" s="8" t="s">
        <v>877</v>
      </c>
      <c r="L1934" s="8" t="s">
        <v>322</v>
      </c>
      <c r="M1934" s="8" t="s">
        <v>337</v>
      </c>
      <c r="N1934" s="8">
        <v>4.0</v>
      </c>
      <c r="O1934" s="14">
        <f t="shared" si="1"/>
        <v>44197</v>
      </c>
      <c r="P1934" s="15">
        <f>IFERROR(VLOOKUP(K1934,Formula!$A$11:$B$20,2,FALSE),Formula!$C$26)</f>
        <v>0.2</v>
      </c>
      <c r="Q1934" s="15">
        <f>IF(AND(ISNUMBER(J1934),J1934&gt;0),1/J1934,IF(AND(ISNUMBER(I1934),I1934&gt;0),SQRT(MIN(I1934,Formula!$C$27))/Formula!$C$24,1/Formula!$C$25))</f>
        <v>0.7215375318</v>
      </c>
      <c r="R1934" s="15">
        <f t="shared" si="2"/>
        <v>0.1443075064</v>
      </c>
      <c r="S1934" s="15">
        <f>IF(H1934&lt;&gt;"",EXP(-Formula!$C$28*(EOMONTH(H1934,0)-H1934)),EXP(-Formula!$C$28*(EOMONTH(D1934,0)-D1934)))</f>
        <v>0.3867410235</v>
      </c>
      <c r="T1934" s="15">
        <f t="shared" si="3"/>
        <v>0.316227766</v>
      </c>
      <c r="U1934" s="15">
        <f t="shared" si="4"/>
        <v>0.01764855547</v>
      </c>
      <c r="V1934" s="16">
        <f>IF(AND(L1934="Among all respondents",NOT(OR(K1934="Online poll in Telegram channel",K1934="Website online poll",K1934="CAWI (Computer Assisted Web Interviewing)"))),1/(1-MIN(MAX(Formula!$C$33+(YEAR(D1934)-Formula!$C$34)/(Formula!$C$35-Formula!$C$34)*(Formula!$C$32-Formula!$C$33),Formula!$C$33),Formula!$C$32)),1)</f>
        <v>1</v>
      </c>
      <c r="W1934" s="17">
        <f t="shared" si="5"/>
        <v>4</v>
      </c>
    </row>
    <row r="1935" ht="15.75" customHeight="1">
      <c r="A1935" s="8" t="s">
        <v>2794</v>
      </c>
      <c r="B1935" s="7" t="s">
        <v>2788</v>
      </c>
      <c r="C1935" s="13" t="s">
        <v>2789</v>
      </c>
      <c r="D1935" s="7" t="s">
        <v>239</v>
      </c>
      <c r="E1935" s="8" t="s">
        <v>240</v>
      </c>
      <c r="F1935" s="8" t="s">
        <v>318</v>
      </c>
      <c r="G1935" s="7" t="s">
        <v>241</v>
      </c>
      <c r="H1935" s="7" t="s">
        <v>239</v>
      </c>
      <c r="I1935" s="8">
        <v>39000.0</v>
      </c>
      <c r="K1935" s="8" t="s">
        <v>877</v>
      </c>
      <c r="L1935" s="8" t="s">
        <v>322</v>
      </c>
      <c r="M1935" s="8" t="s">
        <v>828</v>
      </c>
      <c r="N1935" s="8">
        <v>4.0</v>
      </c>
      <c r="O1935" s="14">
        <f t="shared" si="1"/>
        <v>44197</v>
      </c>
      <c r="P1935" s="15">
        <f>IFERROR(VLOOKUP(K1935,Formula!$A$11:$B$20,2,FALSE),Formula!$C$26)</f>
        <v>0.2</v>
      </c>
      <c r="Q1935" s="15">
        <f>IF(AND(ISNUMBER(J1935),J1935&gt;0),1/J1935,IF(AND(ISNUMBER(I1935),I1935&gt;0),SQRT(MIN(I1935,Formula!$C$27))/Formula!$C$24,1/Formula!$C$25))</f>
        <v>0.7215375318</v>
      </c>
      <c r="R1935" s="15">
        <f t="shared" si="2"/>
        <v>0.1443075064</v>
      </c>
      <c r="S1935" s="15">
        <f>IF(H1935&lt;&gt;"",EXP(-Formula!$C$28*(EOMONTH(H1935,0)-H1935)),EXP(-Formula!$C$28*(EOMONTH(D1935,0)-D1935)))</f>
        <v>0.3867410235</v>
      </c>
      <c r="T1935" s="15">
        <f t="shared" si="3"/>
        <v>0.316227766</v>
      </c>
      <c r="U1935" s="15">
        <f t="shared" si="4"/>
        <v>0.01764855547</v>
      </c>
      <c r="V1935" s="16">
        <f>IF(AND(L1935="Among all respondents",NOT(OR(K1935="Online poll in Telegram channel",K1935="Website online poll",K1935="CAWI (Computer Assisted Web Interviewing)"))),1/(1-MIN(MAX(Formula!$C$33+(YEAR(D1935)-Formula!$C$34)/(Formula!$C$35-Formula!$C$34)*(Formula!$C$32-Formula!$C$33),Formula!$C$33),Formula!$C$32)),1)</f>
        <v>1</v>
      </c>
      <c r="W1935" s="17">
        <f t="shared" si="5"/>
        <v>4</v>
      </c>
    </row>
    <row r="1936" ht="15.75" customHeight="1">
      <c r="A1936" s="8" t="s">
        <v>2795</v>
      </c>
      <c r="B1936" s="7" t="s">
        <v>2788</v>
      </c>
      <c r="C1936" s="13" t="s">
        <v>2789</v>
      </c>
      <c r="D1936" s="7" t="s">
        <v>239</v>
      </c>
      <c r="E1936" s="8" t="s">
        <v>240</v>
      </c>
      <c r="F1936" s="8" t="s">
        <v>318</v>
      </c>
      <c r="G1936" s="7" t="s">
        <v>241</v>
      </c>
      <c r="H1936" s="7" t="s">
        <v>239</v>
      </c>
      <c r="I1936" s="8">
        <v>39000.0</v>
      </c>
      <c r="K1936" s="8" t="s">
        <v>877</v>
      </c>
      <c r="L1936" s="8" t="s">
        <v>322</v>
      </c>
      <c r="M1936" s="8" t="s">
        <v>339</v>
      </c>
      <c r="N1936" s="8">
        <v>4.0</v>
      </c>
      <c r="O1936" s="14">
        <f t="shared" si="1"/>
        <v>44197</v>
      </c>
      <c r="P1936" s="15">
        <f>IFERROR(VLOOKUP(K1936,Formula!$A$11:$B$20,2,FALSE),Formula!$C$26)</f>
        <v>0.2</v>
      </c>
      <c r="Q1936" s="15">
        <f>IF(AND(ISNUMBER(J1936),J1936&gt;0),1/J1936,IF(AND(ISNUMBER(I1936),I1936&gt;0),SQRT(MIN(I1936,Formula!$C$27))/Formula!$C$24,1/Formula!$C$25))</f>
        <v>0.7215375318</v>
      </c>
      <c r="R1936" s="15">
        <f t="shared" si="2"/>
        <v>0.1443075064</v>
      </c>
      <c r="S1936" s="15">
        <f>IF(H1936&lt;&gt;"",EXP(-Formula!$C$28*(EOMONTH(H1936,0)-H1936)),EXP(-Formula!$C$28*(EOMONTH(D1936,0)-D1936)))</f>
        <v>0.3867410235</v>
      </c>
      <c r="T1936" s="15">
        <f t="shared" si="3"/>
        <v>0.316227766</v>
      </c>
      <c r="U1936" s="15">
        <f t="shared" si="4"/>
        <v>0.01764855547</v>
      </c>
      <c r="V1936" s="16">
        <f>IF(AND(L1936="Among all respondents",NOT(OR(K1936="Online poll in Telegram channel",K1936="Website online poll",K1936="CAWI (Computer Assisted Web Interviewing)"))),1/(1-MIN(MAX(Formula!$C$33+(YEAR(D1936)-Formula!$C$34)/(Formula!$C$35-Formula!$C$34)*(Formula!$C$32-Formula!$C$33),Formula!$C$33),Formula!$C$32)),1)</f>
        <v>1</v>
      </c>
      <c r="W1936" s="17">
        <f t="shared" si="5"/>
        <v>4</v>
      </c>
    </row>
    <row r="1937" ht="15.75" customHeight="1">
      <c r="A1937" s="8" t="s">
        <v>2796</v>
      </c>
      <c r="B1937" s="7" t="s">
        <v>2788</v>
      </c>
      <c r="C1937" s="13" t="s">
        <v>2789</v>
      </c>
      <c r="D1937" s="7" t="s">
        <v>239</v>
      </c>
      <c r="E1937" s="8" t="s">
        <v>240</v>
      </c>
      <c r="F1937" s="8" t="s">
        <v>318</v>
      </c>
      <c r="G1937" s="7" t="s">
        <v>241</v>
      </c>
      <c r="H1937" s="7" t="s">
        <v>239</v>
      </c>
      <c r="I1937" s="8">
        <v>39000.0</v>
      </c>
      <c r="K1937" s="8" t="s">
        <v>877</v>
      </c>
      <c r="L1937" s="8" t="s">
        <v>322</v>
      </c>
      <c r="M1937" s="8" t="s">
        <v>386</v>
      </c>
      <c r="N1937" s="8">
        <v>3.0</v>
      </c>
      <c r="O1937" s="14">
        <f t="shared" si="1"/>
        <v>44197</v>
      </c>
      <c r="P1937" s="15">
        <f>IFERROR(VLOOKUP(K1937,Formula!$A$11:$B$20,2,FALSE),Formula!$C$26)</f>
        <v>0.2</v>
      </c>
      <c r="Q1937" s="15">
        <f>IF(AND(ISNUMBER(J1937),J1937&gt;0),1/J1937,IF(AND(ISNUMBER(I1937),I1937&gt;0),SQRT(MIN(I1937,Formula!$C$27))/Formula!$C$24,1/Formula!$C$25))</f>
        <v>0.7215375318</v>
      </c>
      <c r="R1937" s="15">
        <f t="shared" si="2"/>
        <v>0.1443075064</v>
      </c>
      <c r="S1937" s="15">
        <f>IF(H1937&lt;&gt;"",EXP(-Formula!$C$28*(EOMONTH(H1937,0)-H1937)),EXP(-Formula!$C$28*(EOMONTH(D1937,0)-D1937)))</f>
        <v>0.3867410235</v>
      </c>
      <c r="T1937" s="15">
        <f t="shared" si="3"/>
        <v>0.316227766</v>
      </c>
      <c r="U1937" s="15">
        <f t="shared" si="4"/>
        <v>0.01764855547</v>
      </c>
      <c r="V1937" s="16">
        <f>IF(AND(L1937="Among all respondents",NOT(OR(K1937="Online poll in Telegram channel",K1937="Website online poll",K1937="CAWI (Computer Assisted Web Interviewing)"))),1/(1-MIN(MAX(Formula!$C$33+(YEAR(D1937)-Formula!$C$34)/(Formula!$C$35-Formula!$C$34)*(Formula!$C$32-Formula!$C$33),Formula!$C$33),Formula!$C$32)),1)</f>
        <v>1</v>
      </c>
      <c r="W1937" s="17">
        <f t="shared" si="5"/>
        <v>3</v>
      </c>
    </row>
    <row r="1938" ht="15.75" customHeight="1">
      <c r="A1938" s="8" t="s">
        <v>2797</v>
      </c>
      <c r="B1938" s="7" t="s">
        <v>2788</v>
      </c>
      <c r="C1938" s="13" t="s">
        <v>2789</v>
      </c>
      <c r="D1938" s="7" t="s">
        <v>239</v>
      </c>
      <c r="E1938" s="8" t="s">
        <v>240</v>
      </c>
      <c r="F1938" s="8" t="s">
        <v>318</v>
      </c>
      <c r="G1938" s="7" t="s">
        <v>241</v>
      </c>
      <c r="H1938" s="7" t="s">
        <v>239</v>
      </c>
      <c r="I1938" s="8">
        <v>39000.0</v>
      </c>
      <c r="K1938" s="8" t="s">
        <v>877</v>
      </c>
      <c r="L1938" s="8" t="s">
        <v>322</v>
      </c>
      <c r="M1938" s="8" t="s">
        <v>343</v>
      </c>
      <c r="N1938" s="8">
        <v>3.0</v>
      </c>
      <c r="O1938" s="14">
        <f t="shared" si="1"/>
        <v>44197</v>
      </c>
      <c r="P1938" s="15">
        <f>IFERROR(VLOOKUP(K1938,Formula!$A$11:$B$20,2,FALSE),Formula!$C$26)</f>
        <v>0.2</v>
      </c>
      <c r="Q1938" s="15">
        <f>IF(AND(ISNUMBER(J1938),J1938&gt;0),1/J1938,IF(AND(ISNUMBER(I1938),I1938&gt;0),SQRT(MIN(I1938,Formula!$C$27))/Formula!$C$24,1/Formula!$C$25))</f>
        <v>0.7215375318</v>
      </c>
      <c r="R1938" s="15">
        <f t="shared" si="2"/>
        <v>0.1443075064</v>
      </c>
      <c r="S1938" s="15">
        <f>IF(H1938&lt;&gt;"",EXP(-Formula!$C$28*(EOMONTH(H1938,0)-H1938)),EXP(-Formula!$C$28*(EOMONTH(D1938,0)-D1938)))</f>
        <v>0.3867410235</v>
      </c>
      <c r="T1938" s="15">
        <f t="shared" si="3"/>
        <v>0.316227766</v>
      </c>
      <c r="U1938" s="15">
        <f t="shared" si="4"/>
        <v>0.01764855547</v>
      </c>
      <c r="V1938" s="16">
        <f>IF(AND(L1938="Among all respondents",NOT(OR(K1938="Online poll in Telegram channel",K1938="Website online poll",K1938="CAWI (Computer Assisted Web Interviewing)"))),1/(1-MIN(MAX(Formula!$C$33+(YEAR(D1938)-Formula!$C$34)/(Formula!$C$35-Formula!$C$34)*(Formula!$C$32-Formula!$C$33),Formula!$C$33),Formula!$C$32)),1)</f>
        <v>1</v>
      </c>
      <c r="W1938" s="17">
        <f t="shared" si="5"/>
        <v>3</v>
      </c>
    </row>
    <row r="1939" ht="15.75" customHeight="1">
      <c r="A1939" s="8" t="s">
        <v>2798</v>
      </c>
      <c r="B1939" s="7" t="s">
        <v>2788</v>
      </c>
      <c r="C1939" s="13" t="s">
        <v>2789</v>
      </c>
      <c r="D1939" s="7" t="s">
        <v>239</v>
      </c>
      <c r="E1939" s="8" t="s">
        <v>240</v>
      </c>
      <c r="F1939" s="8" t="s">
        <v>318</v>
      </c>
      <c r="G1939" s="7" t="s">
        <v>241</v>
      </c>
      <c r="H1939" s="7" t="s">
        <v>239</v>
      </c>
      <c r="I1939" s="8">
        <v>39000.0</v>
      </c>
      <c r="K1939" s="8" t="s">
        <v>877</v>
      </c>
      <c r="L1939" s="8" t="s">
        <v>322</v>
      </c>
      <c r="M1939" s="8" t="s">
        <v>388</v>
      </c>
      <c r="N1939" s="8">
        <v>2.0</v>
      </c>
      <c r="O1939" s="14">
        <f t="shared" si="1"/>
        <v>44197</v>
      </c>
      <c r="P1939" s="15">
        <f>IFERROR(VLOOKUP(K1939,Formula!$A$11:$B$20,2,FALSE),Formula!$C$26)</f>
        <v>0.2</v>
      </c>
      <c r="Q1939" s="15">
        <f>IF(AND(ISNUMBER(J1939),J1939&gt;0),1/J1939,IF(AND(ISNUMBER(I1939),I1939&gt;0),SQRT(MIN(I1939,Formula!$C$27))/Formula!$C$24,1/Formula!$C$25))</f>
        <v>0.7215375318</v>
      </c>
      <c r="R1939" s="15">
        <f t="shared" si="2"/>
        <v>0.1443075064</v>
      </c>
      <c r="S1939" s="15">
        <f>IF(H1939&lt;&gt;"",EXP(-Formula!$C$28*(EOMONTH(H1939,0)-H1939)),EXP(-Formula!$C$28*(EOMONTH(D1939,0)-D1939)))</f>
        <v>0.3867410235</v>
      </c>
      <c r="T1939" s="15">
        <f t="shared" si="3"/>
        <v>0.316227766</v>
      </c>
      <c r="U1939" s="15">
        <f t="shared" si="4"/>
        <v>0.01764855547</v>
      </c>
      <c r="V1939" s="16">
        <f>IF(AND(L1939="Among all respondents",NOT(OR(K1939="Online poll in Telegram channel",K1939="Website online poll",K1939="CAWI (Computer Assisted Web Interviewing)"))),1/(1-MIN(MAX(Formula!$C$33+(YEAR(D1939)-Formula!$C$34)/(Formula!$C$35-Formula!$C$34)*(Formula!$C$32-Formula!$C$33),Formula!$C$33),Formula!$C$32)),1)</f>
        <v>1</v>
      </c>
      <c r="W1939" s="17">
        <f t="shared" si="5"/>
        <v>2</v>
      </c>
    </row>
    <row r="1940" ht="15.75" customHeight="1">
      <c r="A1940" s="8" t="s">
        <v>2799</v>
      </c>
      <c r="B1940" s="7" t="s">
        <v>2800</v>
      </c>
      <c r="C1940" s="13" t="s">
        <v>2801</v>
      </c>
      <c r="D1940" s="7" t="s">
        <v>241</v>
      </c>
      <c r="E1940" s="8" t="s">
        <v>40</v>
      </c>
      <c r="F1940" s="8" t="s">
        <v>318</v>
      </c>
      <c r="G1940" s="7" t="s">
        <v>2802</v>
      </c>
      <c r="H1940" s="7" t="s">
        <v>2803</v>
      </c>
      <c r="I1940" s="8">
        <v>2500.0</v>
      </c>
      <c r="J1940" s="8">
        <v>2.0</v>
      </c>
      <c r="K1940" s="8" t="s">
        <v>321</v>
      </c>
      <c r="L1940" s="8" t="s">
        <v>322</v>
      </c>
      <c r="M1940" s="8" t="s">
        <v>323</v>
      </c>
      <c r="N1940" s="8">
        <v>26.2</v>
      </c>
      <c r="O1940" s="14">
        <f t="shared" si="1"/>
        <v>44197</v>
      </c>
      <c r="P1940" s="15">
        <f>IFERROR(VLOOKUP(K1940,Formula!$A$11:$B$20,2,FALSE),Formula!$C$26)</f>
        <v>0.9</v>
      </c>
      <c r="Q1940" s="15">
        <f>IF(AND(ISNUMBER(J1940),J1940&gt;0),1/J1940,IF(AND(ISNUMBER(I1940),I1940&gt;0),SQRT(MIN(I1940,Formula!$C$27))/Formula!$C$24,1/Formula!$C$25))</f>
        <v>0.5</v>
      </c>
      <c r="R1940" s="15">
        <f t="shared" si="2"/>
        <v>0.45</v>
      </c>
      <c r="S1940" s="15">
        <f>IF(H1940&lt;&gt;"",EXP(-Formula!$C$28*(EOMONTH(H1940,0)-H1940)),EXP(-Formula!$C$28*(EOMONTH(D1940,0)-D1940)))</f>
        <v>0.2592402606</v>
      </c>
      <c r="T1940" s="15">
        <f t="shared" si="3"/>
        <v>0.316227766</v>
      </c>
      <c r="U1940" s="15">
        <f t="shared" si="4"/>
        <v>0.03689053582</v>
      </c>
      <c r="V1940" s="16">
        <f>IF(AND(L1940="Among all respondents",NOT(OR(K1940="Online poll in Telegram channel",K1940="Website online poll",K1940="CAWI (Computer Assisted Web Interviewing)"))),1/(1-MIN(MAX(Formula!$C$33+(YEAR(D1940)-Formula!$C$34)/(Formula!$C$35-Formula!$C$34)*(Formula!$C$32-Formula!$C$33),Formula!$C$33),Formula!$C$32)),1)</f>
        <v>1</v>
      </c>
      <c r="W1940" s="17">
        <f t="shared" si="5"/>
        <v>26.2</v>
      </c>
    </row>
    <row r="1941" ht="15.75" customHeight="1">
      <c r="A1941" s="8" t="s">
        <v>2804</v>
      </c>
      <c r="B1941" s="7" t="s">
        <v>2800</v>
      </c>
      <c r="C1941" s="13" t="s">
        <v>2801</v>
      </c>
      <c r="D1941" s="7" t="s">
        <v>241</v>
      </c>
      <c r="E1941" s="8" t="s">
        <v>40</v>
      </c>
      <c r="F1941" s="8" t="s">
        <v>318</v>
      </c>
      <c r="G1941" s="7" t="s">
        <v>2802</v>
      </c>
      <c r="H1941" s="7" t="s">
        <v>2803</v>
      </c>
      <c r="I1941" s="8">
        <v>2500.0</v>
      </c>
      <c r="J1941" s="8">
        <v>2.0</v>
      </c>
      <c r="K1941" s="8" t="s">
        <v>321</v>
      </c>
      <c r="L1941" s="8" t="s">
        <v>322</v>
      </c>
      <c r="M1941" s="8" t="s">
        <v>365</v>
      </c>
      <c r="N1941" s="8">
        <v>16.6</v>
      </c>
      <c r="O1941" s="14">
        <f t="shared" si="1"/>
        <v>44197</v>
      </c>
      <c r="P1941" s="15">
        <f>IFERROR(VLOOKUP(K1941,Formula!$A$11:$B$20,2,FALSE),Formula!$C$26)</f>
        <v>0.9</v>
      </c>
      <c r="Q1941" s="15">
        <f>IF(AND(ISNUMBER(J1941),J1941&gt;0),1/J1941,IF(AND(ISNUMBER(I1941),I1941&gt;0),SQRT(MIN(I1941,Formula!$C$27))/Formula!$C$24,1/Formula!$C$25))</f>
        <v>0.5</v>
      </c>
      <c r="R1941" s="15">
        <f t="shared" si="2"/>
        <v>0.45</v>
      </c>
      <c r="S1941" s="15">
        <f>IF(H1941&lt;&gt;"",EXP(-Formula!$C$28*(EOMONTH(H1941,0)-H1941)),EXP(-Formula!$C$28*(EOMONTH(D1941,0)-D1941)))</f>
        <v>0.2592402606</v>
      </c>
      <c r="T1941" s="15">
        <f t="shared" si="3"/>
        <v>0.316227766</v>
      </c>
      <c r="U1941" s="15">
        <f t="shared" si="4"/>
        <v>0.03689053582</v>
      </c>
      <c r="V1941" s="16">
        <f>IF(AND(L1941="Among all respondents",NOT(OR(K1941="Online poll in Telegram channel",K1941="Website online poll",K1941="CAWI (Computer Assisted Web Interviewing)"))),1/(1-MIN(MAX(Formula!$C$33+(YEAR(D1941)-Formula!$C$34)/(Formula!$C$35-Formula!$C$34)*(Formula!$C$32-Formula!$C$33),Formula!$C$33),Formula!$C$32)),1)</f>
        <v>1</v>
      </c>
      <c r="W1941" s="17">
        <f t="shared" si="5"/>
        <v>16.6</v>
      </c>
    </row>
    <row r="1942" ht="15.75" customHeight="1">
      <c r="A1942" s="8" t="s">
        <v>2805</v>
      </c>
      <c r="B1942" s="7" t="s">
        <v>2800</v>
      </c>
      <c r="C1942" s="13" t="s">
        <v>2801</v>
      </c>
      <c r="D1942" s="7" t="s">
        <v>241</v>
      </c>
      <c r="E1942" s="8" t="s">
        <v>40</v>
      </c>
      <c r="F1942" s="8" t="s">
        <v>318</v>
      </c>
      <c r="G1942" s="7" t="s">
        <v>2802</v>
      </c>
      <c r="H1942" s="7" t="s">
        <v>2803</v>
      </c>
      <c r="I1942" s="8">
        <v>2500.0</v>
      </c>
      <c r="J1942" s="8">
        <v>2.0</v>
      </c>
      <c r="K1942" s="8" t="s">
        <v>321</v>
      </c>
      <c r="L1942" s="8" t="s">
        <v>322</v>
      </c>
      <c r="M1942" s="8" t="s">
        <v>329</v>
      </c>
      <c r="N1942" s="8">
        <v>13.3</v>
      </c>
      <c r="O1942" s="14">
        <f t="shared" si="1"/>
        <v>44197</v>
      </c>
      <c r="P1942" s="15">
        <f>IFERROR(VLOOKUP(K1942,Formula!$A$11:$B$20,2,FALSE),Formula!$C$26)</f>
        <v>0.9</v>
      </c>
      <c r="Q1942" s="15">
        <f>IF(AND(ISNUMBER(J1942),J1942&gt;0),1/J1942,IF(AND(ISNUMBER(I1942),I1942&gt;0),SQRT(MIN(I1942,Formula!$C$27))/Formula!$C$24,1/Formula!$C$25))</f>
        <v>0.5</v>
      </c>
      <c r="R1942" s="15">
        <f t="shared" si="2"/>
        <v>0.45</v>
      </c>
      <c r="S1942" s="15">
        <f>IF(H1942&lt;&gt;"",EXP(-Formula!$C$28*(EOMONTH(H1942,0)-H1942)),EXP(-Formula!$C$28*(EOMONTH(D1942,0)-D1942)))</f>
        <v>0.2592402606</v>
      </c>
      <c r="T1942" s="15">
        <f t="shared" si="3"/>
        <v>0.316227766</v>
      </c>
      <c r="U1942" s="15">
        <f t="shared" si="4"/>
        <v>0.03689053582</v>
      </c>
      <c r="V1942" s="16">
        <f>IF(AND(L1942="Among all respondents",NOT(OR(K1942="Online poll in Telegram channel",K1942="Website online poll",K1942="CAWI (Computer Assisted Web Interviewing)"))),1/(1-MIN(MAX(Formula!$C$33+(YEAR(D1942)-Formula!$C$34)/(Formula!$C$35-Formula!$C$34)*(Formula!$C$32-Formula!$C$33),Formula!$C$33),Formula!$C$32)),1)</f>
        <v>1</v>
      </c>
      <c r="W1942" s="17">
        <f t="shared" si="5"/>
        <v>13.3</v>
      </c>
    </row>
    <row r="1943" ht="15.75" customHeight="1">
      <c r="A1943" s="8" t="s">
        <v>2806</v>
      </c>
      <c r="B1943" s="7" t="s">
        <v>2800</v>
      </c>
      <c r="C1943" s="13" t="s">
        <v>2801</v>
      </c>
      <c r="D1943" s="7" t="s">
        <v>241</v>
      </c>
      <c r="E1943" s="8" t="s">
        <v>40</v>
      </c>
      <c r="F1943" s="8" t="s">
        <v>318</v>
      </c>
      <c r="G1943" s="7" t="s">
        <v>2802</v>
      </c>
      <c r="H1943" s="7" t="s">
        <v>2803</v>
      </c>
      <c r="I1943" s="8">
        <v>2500.0</v>
      </c>
      <c r="J1943" s="8">
        <v>2.0</v>
      </c>
      <c r="K1943" s="8" t="s">
        <v>321</v>
      </c>
      <c r="L1943" s="8" t="s">
        <v>322</v>
      </c>
      <c r="M1943" s="8" t="s">
        <v>337</v>
      </c>
      <c r="N1943" s="8">
        <v>10.5</v>
      </c>
      <c r="O1943" s="14">
        <f t="shared" si="1"/>
        <v>44197</v>
      </c>
      <c r="P1943" s="15">
        <f>IFERROR(VLOOKUP(K1943,Formula!$A$11:$B$20,2,FALSE),Formula!$C$26)</f>
        <v>0.9</v>
      </c>
      <c r="Q1943" s="15">
        <f>IF(AND(ISNUMBER(J1943),J1943&gt;0),1/J1943,IF(AND(ISNUMBER(I1943),I1943&gt;0),SQRT(MIN(I1943,Formula!$C$27))/Formula!$C$24,1/Formula!$C$25))</f>
        <v>0.5</v>
      </c>
      <c r="R1943" s="15">
        <f t="shared" si="2"/>
        <v>0.45</v>
      </c>
      <c r="S1943" s="15">
        <f>IF(H1943&lt;&gt;"",EXP(-Formula!$C$28*(EOMONTH(H1943,0)-H1943)),EXP(-Formula!$C$28*(EOMONTH(D1943,0)-D1943)))</f>
        <v>0.2592402606</v>
      </c>
      <c r="T1943" s="15">
        <f t="shared" si="3"/>
        <v>0.316227766</v>
      </c>
      <c r="U1943" s="15">
        <f t="shared" si="4"/>
        <v>0.03689053582</v>
      </c>
      <c r="V1943" s="16">
        <f>IF(AND(L1943="Among all respondents",NOT(OR(K1943="Online poll in Telegram channel",K1943="Website online poll",K1943="CAWI (Computer Assisted Web Interviewing)"))),1/(1-MIN(MAX(Formula!$C$33+(YEAR(D1943)-Formula!$C$34)/(Formula!$C$35-Formula!$C$34)*(Formula!$C$32-Formula!$C$33),Formula!$C$33),Formula!$C$32)),1)</f>
        <v>1</v>
      </c>
      <c r="W1943" s="17">
        <f t="shared" si="5"/>
        <v>10.5</v>
      </c>
    </row>
    <row r="1944" ht="15.75" customHeight="1">
      <c r="A1944" s="8" t="s">
        <v>2807</v>
      </c>
      <c r="B1944" s="7" t="s">
        <v>2800</v>
      </c>
      <c r="C1944" s="13" t="s">
        <v>2801</v>
      </c>
      <c r="D1944" s="7" t="s">
        <v>241</v>
      </c>
      <c r="E1944" s="8" t="s">
        <v>40</v>
      </c>
      <c r="F1944" s="8" t="s">
        <v>318</v>
      </c>
      <c r="G1944" s="7" t="s">
        <v>2802</v>
      </c>
      <c r="H1944" s="7" t="s">
        <v>2803</v>
      </c>
      <c r="I1944" s="8">
        <v>2500.0</v>
      </c>
      <c r="J1944" s="8">
        <v>2.0</v>
      </c>
      <c r="K1944" s="8" t="s">
        <v>321</v>
      </c>
      <c r="L1944" s="8" t="s">
        <v>322</v>
      </c>
      <c r="M1944" s="8" t="s">
        <v>828</v>
      </c>
      <c r="N1944" s="8">
        <v>6.4</v>
      </c>
      <c r="O1944" s="14">
        <f t="shared" si="1"/>
        <v>44197</v>
      </c>
      <c r="P1944" s="15">
        <f>IFERROR(VLOOKUP(K1944,Formula!$A$11:$B$20,2,FALSE),Formula!$C$26)</f>
        <v>0.9</v>
      </c>
      <c r="Q1944" s="15">
        <f>IF(AND(ISNUMBER(J1944),J1944&gt;0),1/J1944,IF(AND(ISNUMBER(I1944),I1944&gt;0),SQRT(MIN(I1944,Formula!$C$27))/Formula!$C$24,1/Formula!$C$25))</f>
        <v>0.5</v>
      </c>
      <c r="R1944" s="15">
        <f t="shared" si="2"/>
        <v>0.45</v>
      </c>
      <c r="S1944" s="15">
        <f>IF(H1944&lt;&gt;"",EXP(-Formula!$C$28*(EOMONTH(H1944,0)-H1944)),EXP(-Formula!$C$28*(EOMONTH(D1944,0)-D1944)))</f>
        <v>0.2592402606</v>
      </c>
      <c r="T1944" s="15">
        <f t="shared" si="3"/>
        <v>0.316227766</v>
      </c>
      <c r="U1944" s="15">
        <f t="shared" si="4"/>
        <v>0.03689053582</v>
      </c>
      <c r="V1944" s="16">
        <f>IF(AND(L1944="Among all respondents",NOT(OR(K1944="Online poll in Telegram channel",K1944="Website online poll",K1944="CAWI (Computer Assisted Web Interviewing)"))),1/(1-MIN(MAX(Formula!$C$33+(YEAR(D1944)-Formula!$C$34)/(Formula!$C$35-Formula!$C$34)*(Formula!$C$32-Formula!$C$33),Formula!$C$33),Formula!$C$32)),1)</f>
        <v>1</v>
      </c>
      <c r="W1944" s="17">
        <f t="shared" si="5"/>
        <v>6.4</v>
      </c>
    </row>
    <row r="1945" ht="15.75" customHeight="1">
      <c r="A1945" s="8" t="s">
        <v>2808</v>
      </c>
      <c r="B1945" s="7" t="s">
        <v>2800</v>
      </c>
      <c r="C1945" s="13" t="s">
        <v>2801</v>
      </c>
      <c r="D1945" s="7" t="s">
        <v>241</v>
      </c>
      <c r="E1945" s="8" t="s">
        <v>40</v>
      </c>
      <c r="F1945" s="8" t="s">
        <v>318</v>
      </c>
      <c r="G1945" s="7" t="s">
        <v>2802</v>
      </c>
      <c r="H1945" s="7" t="s">
        <v>2803</v>
      </c>
      <c r="I1945" s="8">
        <v>2500.0</v>
      </c>
      <c r="J1945" s="8">
        <v>2.0</v>
      </c>
      <c r="K1945" s="8" t="s">
        <v>321</v>
      </c>
      <c r="L1945" s="8" t="s">
        <v>322</v>
      </c>
      <c r="M1945" s="8" t="s">
        <v>386</v>
      </c>
      <c r="N1945" s="8">
        <v>6.1</v>
      </c>
      <c r="O1945" s="14">
        <f t="shared" si="1"/>
        <v>44197</v>
      </c>
      <c r="P1945" s="15">
        <f>IFERROR(VLOOKUP(K1945,Formula!$A$11:$B$20,2,FALSE),Formula!$C$26)</f>
        <v>0.9</v>
      </c>
      <c r="Q1945" s="15">
        <f>IF(AND(ISNUMBER(J1945),J1945&gt;0),1/J1945,IF(AND(ISNUMBER(I1945),I1945&gt;0),SQRT(MIN(I1945,Formula!$C$27))/Formula!$C$24,1/Formula!$C$25))</f>
        <v>0.5</v>
      </c>
      <c r="R1945" s="15">
        <f t="shared" si="2"/>
        <v>0.45</v>
      </c>
      <c r="S1945" s="15">
        <f>IF(H1945&lt;&gt;"",EXP(-Formula!$C$28*(EOMONTH(H1945,0)-H1945)),EXP(-Formula!$C$28*(EOMONTH(D1945,0)-D1945)))</f>
        <v>0.2592402606</v>
      </c>
      <c r="T1945" s="15">
        <f t="shared" si="3"/>
        <v>0.316227766</v>
      </c>
      <c r="U1945" s="15">
        <f t="shared" si="4"/>
        <v>0.03689053582</v>
      </c>
      <c r="V1945" s="16">
        <f>IF(AND(L1945="Among all respondents",NOT(OR(K1945="Online poll in Telegram channel",K1945="Website online poll",K1945="CAWI (Computer Assisted Web Interviewing)"))),1/(1-MIN(MAX(Formula!$C$33+(YEAR(D1945)-Formula!$C$34)/(Formula!$C$35-Formula!$C$34)*(Formula!$C$32-Formula!$C$33),Formula!$C$33),Formula!$C$32)),1)</f>
        <v>1</v>
      </c>
      <c r="W1945" s="17">
        <f t="shared" si="5"/>
        <v>6.1</v>
      </c>
    </row>
    <row r="1946" ht="15.75" customHeight="1">
      <c r="A1946" s="8" t="s">
        <v>2809</v>
      </c>
      <c r="B1946" s="7" t="s">
        <v>2800</v>
      </c>
      <c r="C1946" s="13" t="s">
        <v>2801</v>
      </c>
      <c r="D1946" s="7" t="s">
        <v>241</v>
      </c>
      <c r="E1946" s="8" t="s">
        <v>40</v>
      </c>
      <c r="F1946" s="8" t="s">
        <v>318</v>
      </c>
      <c r="G1946" s="7" t="s">
        <v>2802</v>
      </c>
      <c r="H1946" s="7" t="s">
        <v>2803</v>
      </c>
      <c r="I1946" s="8">
        <v>2500.0</v>
      </c>
      <c r="J1946" s="8">
        <v>2.0</v>
      </c>
      <c r="K1946" s="8" t="s">
        <v>321</v>
      </c>
      <c r="L1946" s="8" t="s">
        <v>322</v>
      </c>
      <c r="M1946" s="8" t="s">
        <v>388</v>
      </c>
      <c r="N1946" s="8">
        <v>4.7</v>
      </c>
      <c r="O1946" s="14">
        <f t="shared" si="1"/>
        <v>44197</v>
      </c>
      <c r="P1946" s="15">
        <f>IFERROR(VLOOKUP(K1946,Formula!$A$11:$B$20,2,FALSE),Formula!$C$26)</f>
        <v>0.9</v>
      </c>
      <c r="Q1946" s="15">
        <f>IF(AND(ISNUMBER(J1946),J1946&gt;0),1/J1946,IF(AND(ISNUMBER(I1946),I1946&gt;0),SQRT(MIN(I1946,Formula!$C$27))/Formula!$C$24,1/Formula!$C$25))</f>
        <v>0.5</v>
      </c>
      <c r="R1946" s="15">
        <f t="shared" si="2"/>
        <v>0.45</v>
      </c>
      <c r="S1946" s="15">
        <f>IF(H1946&lt;&gt;"",EXP(-Formula!$C$28*(EOMONTH(H1946,0)-H1946)),EXP(-Formula!$C$28*(EOMONTH(D1946,0)-D1946)))</f>
        <v>0.2592402606</v>
      </c>
      <c r="T1946" s="15">
        <f t="shared" si="3"/>
        <v>0.316227766</v>
      </c>
      <c r="U1946" s="15">
        <f t="shared" si="4"/>
        <v>0.03689053582</v>
      </c>
      <c r="V1946" s="16">
        <f>IF(AND(L1946="Among all respondents",NOT(OR(K1946="Online poll in Telegram channel",K1946="Website online poll",K1946="CAWI (Computer Assisted Web Interviewing)"))),1/(1-MIN(MAX(Formula!$C$33+(YEAR(D1946)-Formula!$C$34)/(Formula!$C$35-Formula!$C$34)*(Formula!$C$32-Formula!$C$33),Formula!$C$33),Formula!$C$32)),1)</f>
        <v>1</v>
      </c>
      <c r="W1946" s="17">
        <f t="shared" si="5"/>
        <v>4.7</v>
      </c>
    </row>
    <row r="1947" ht="15.75" customHeight="1">
      <c r="A1947" s="8" t="s">
        <v>2810</v>
      </c>
      <c r="B1947" s="7" t="s">
        <v>2800</v>
      </c>
      <c r="C1947" s="13" t="s">
        <v>2801</v>
      </c>
      <c r="D1947" s="7" t="s">
        <v>241</v>
      </c>
      <c r="E1947" s="8" t="s">
        <v>40</v>
      </c>
      <c r="F1947" s="8" t="s">
        <v>318</v>
      </c>
      <c r="G1947" s="7" t="s">
        <v>2802</v>
      </c>
      <c r="H1947" s="7" t="s">
        <v>2803</v>
      </c>
      <c r="I1947" s="8">
        <v>2500.0</v>
      </c>
      <c r="J1947" s="8">
        <v>2.0</v>
      </c>
      <c r="K1947" s="8" t="s">
        <v>321</v>
      </c>
      <c r="L1947" s="8" t="s">
        <v>322</v>
      </c>
      <c r="M1947" s="8" t="s">
        <v>339</v>
      </c>
      <c r="N1947" s="8">
        <v>4.1</v>
      </c>
      <c r="O1947" s="14">
        <f t="shared" si="1"/>
        <v>44197</v>
      </c>
      <c r="P1947" s="15">
        <f>IFERROR(VLOOKUP(K1947,Formula!$A$11:$B$20,2,FALSE),Formula!$C$26)</f>
        <v>0.9</v>
      </c>
      <c r="Q1947" s="15">
        <f>IF(AND(ISNUMBER(J1947),J1947&gt;0),1/J1947,IF(AND(ISNUMBER(I1947),I1947&gt;0),SQRT(MIN(I1947,Formula!$C$27))/Formula!$C$24,1/Formula!$C$25))</f>
        <v>0.5</v>
      </c>
      <c r="R1947" s="15">
        <f t="shared" si="2"/>
        <v>0.45</v>
      </c>
      <c r="S1947" s="15">
        <f>IF(H1947&lt;&gt;"",EXP(-Formula!$C$28*(EOMONTH(H1947,0)-H1947)),EXP(-Formula!$C$28*(EOMONTH(D1947,0)-D1947)))</f>
        <v>0.2592402606</v>
      </c>
      <c r="T1947" s="15">
        <f t="shared" si="3"/>
        <v>0.316227766</v>
      </c>
      <c r="U1947" s="15">
        <f t="shared" si="4"/>
        <v>0.03689053582</v>
      </c>
      <c r="V1947" s="16">
        <f>IF(AND(L1947="Among all respondents",NOT(OR(K1947="Online poll in Telegram channel",K1947="Website online poll",K1947="CAWI (Computer Assisted Web Interviewing)"))),1/(1-MIN(MAX(Formula!$C$33+(YEAR(D1947)-Formula!$C$34)/(Formula!$C$35-Formula!$C$34)*(Formula!$C$32-Formula!$C$33),Formula!$C$33),Formula!$C$32)),1)</f>
        <v>1</v>
      </c>
      <c r="W1947" s="17">
        <f t="shared" si="5"/>
        <v>4.1</v>
      </c>
    </row>
    <row r="1948" ht="15.75" customHeight="1">
      <c r="A1948" s="8" t="s">
        <v>2811</v>
      </c>
      <c r="B1948" s="7" t="s">
        <v>2800</v>
      </c>
      <c r="C1948" s="13" t="s">
        <v>2801</v>
      </c>
      <c r="D1948" s="7" t="s">
        <v>241</v>
      </c>
      <c r="E1948" s="8" t="s">
        <v>40</v>
      </c>
      <c r="F1948" s="8" t="s">
        <v>318</v>
      </c>
      <c r="G1948" s="7" t="s">
        <v>2802</v>
      </c>
      <c r="H1948" s="7" t="s">
        <v>2803</v>
      </c>
      <c r="I1948" s="8">
        <v>2500.0</v>
      </c>
      <c r="J1948" s="8">
        <v>2.0</v>
      </c>
      <c r="K1948" s="8" t="s">
        <v>321</v>
      </c>
      <c r="L1948" s="8" t="s">
        <v>322</v>
      </c>
      <c r="M1948" s="8" t="s">
        <v>740</v>
      </c>
      <c r="N1948" s="8">
        <v>2.8</v>
      </c>
      <c r="O1948" s="14">
        <f t="shared" si="1"/>
        <v>44197</v>
      </c>
      <c r="P1948" s="15">
        <f>IFERROR(VLOOKUP(K1948,Formula!$A$11:$B$20,2,FALSE),Formula!$C$26)</f>
        <v>0.9</v>
      </c>
      <c r="Q1948" s="15">
        <f>IF(AND(ISNUMBER(J1948),J1948&gt;0),1/J1948,IF(AND(ISNUMBER(I1948),I1948&gt;0),SQRT(MIN(I1948,Formula!$C$27))/Formula!$C$24,1/Formula!$C$25))</f>
        <v>0.5</v>
      </c>
      <c r="R1948" s="15">
        <f t="shared" si="2"/>
        <v>0.45</v>
      </c>
      <c r="S1948" s="15">
        <f>IF(H1948&lt;&gt;"",EXP(-Formula!$C$28*(EOMONTH(H1948,0)-H1948)),EXP(-Formula!$C$28*(EOMONTH(D1948,0)-D1948)))</f>
        <v>0.2592402606</v>
      </c>
      <c r="T1948" s="15">
        <f t="shared" si="3"/>
        <v>0.316227766</v>
      </c>
      <c r="U1948" s="15">
        <f t="shared" si="4"/>
        <v>0.03689053582</v>
      </c>
      <c r="V1948" s="16">
        <f>IF(AND(L1948="Among all respondents",NOT(OR(K1948="Online poll in Telegram channel",K1948="Website online poll",K1948="CAWI (Computer Assisted Web Interviewing)"))),1/(1-MIN(MAX(Formula!$C$33+(YEAR(D1948)-Formula!$C$34)/(Formula!$C$35-Formula!$C$34)*(Formula!$C$32-Formula!$C$33),Formula!$C$33),Formula!$C$32)),1)</f>
        <v>1</v>
      </c>
      <c r="W1948" s="17">
        <f t="shared" si="5"/>
        <v>2.8</v>
      </c>
    </row>
    <row r="1949" ht="15.75" customHeight="1">
      <c r="A1949" s="8" t="s">
        <v>2812</v>
      </c>
      <c r="B1949" s="7" t="s">
        <v>2800</v>
      </c>
      <c r="C1949" s="13" t="s">
        <v>2801</v>
      </c>
      <c r="D1949" s="7" t="s">
        <v>241</v>
      </c>
      <c r="E1949" s="8" t="s">
        <v>40</v>
      </c>
      <c r="F1949" s="8" t="s">
        <v>318</v>
      </c>
      <c r="G1949" s="7" t="s">
        <v>2802</v>
      </c>
      <c r="H1949" s="7" t="s">
        <v>2803</v>
      </c>
      <c r="I1949" s="8">
        <v>2500.0</v>
      </c>
      <c r="J1949" s="8">
        <v>2.0</v>
      </c>
      <c r="K1949" s="8" t="s">
        <v>321</v>
      </c>
      <c r="L1949" s="8" t="s">
        <v>322</v>
      </c>
      <c r="M1949" s="8" t="s">
        <v>343</v>
      </c>
      <c r="N1949" s="8">
        <v>2.3</v>
      </c>
      <c r="O1949" s="14">
        <f t="shared" si="1"/>
        <v>44197</v>
      </c>
      <c r="P1949" s="15">
        <f>IFERROR(VLOOKUP(K1949,Formula!$A$11:$B$20,2,FALSE),Formula!$C$26)</f>
        <v>0.9</v>
      </c>
      <c r="Q1949" s="15">
        <f>IF(AND(ISNUMBER(J1949),J1949&gt;0),1/J1949,IF(AND(ISNUMBER(I1949),I1949&gt;0),SQRT(MIN(I1949,Formula!$C$27))/Formula!$C$24,1/Formula!$C$25))</f>
        <v>0.5</v>
      </c>
      <c r="R1949" s="15">
        <f t="shared" si="2"/>
        <v>0.45</v>
      </c>
      <c r="S1949" s="15">
        <f>IF(H1949&lt;&gt;"",EXP(-Formula!$C$28*(EOMONTH(H1949,0)-H1949)),EXP(-Formula!$C$28*(EOMONTH(D1949,0)-D1949)))</f>
        <v>0.2592402606</v>
      </c>
      <c r="T1949" s="15">
        <f t="shared" si="3"/>
        <v>0.316227766</v>
      </c>
      <c r="U1949" s="15">
        <f t="shared" si="4"/>
        <v>0.03689053582</v>
      </c>
      <c r="V1949" s="16">
        <f>IF(AND(L1949="Among all respondents",NOT(OR(K1949="Online poll in Telegram channel",K1949="Website online poll",K1949="CAWI (Computer Assisted Web Interviewing)"))),1/(1-MIN(MAX(Formula!$C$33+(YEAR(D1949)-Formula!$C$34)/(Formula!$C$35-Formula!$C$34)*(Formula!$C$32-Formula!$C$33),Formula!$C$33),Formula!$C$32)),1)</f>
        <v>1</v>
      </c>
      <c r="W1949" s="17">
        <f t="shared" si="5"/>
        <v>2.3</v>
      </c>
    </row>
    <row r="1950" ht="15.75" customHeight="1">
      <c r="A1950" s="8" t="s">
        <v>2813</v>
      </c>
      <c r="B1950" s="7" t="s">
        <v>2814</v>
      </c>
      <c r="C1950" s="13" t="s">
        <v>2815</v>
      </c>
      <c r="D1950" s="7" t="s">
        <v>242</v>
      </c>
      <c r="E1950" s="8" t="s">
        <v>72</v>
      </c>
      <c r="F1950" s="8" t="s">
        <v>318</v>
      </c>
      <c r="G1950" s="7" t="s">
        <v>2816</v>
      </c>
      <c r="H1950" s="7" t="s">
        <v>245</v>
      </c>
      <c r="I1950" s="8">
        <v>1200.0</v>
      </c>
      <c r="J1950" s="8">
        <v>2.9</v>
      </c>
      <c r="K1950" s="8" t="s">
        <v>583</v>
      </c>
      <c r="L1950" s="8" t="s">
        <v>322</v>
      </c>
      <c r="M1950" s="8" t="s">
        <v>323</v>
      </c>
      <c r="N1950" s="8">
        <v>27.7</v>
      </c>
      <c r="O1950" s="14">
        <f t="shared" si="1"/>
        <v>44166</v>
      </c>
      <c r="P1950" s="15">
        <f>IFERROR(VLOOKUP(K1950,Formula!$A$11:$B$20,2,FALSE),Formula!$C$26)</f>
        <v>0.95</v>
      </c>
      <c r="Q1950" s="15">
        <f>IF(AND(ISNUMBER(J1950),J1950&gt;0),1/J1950,IF(AND(ISNUMBER(I1950),I1950&gt;0),SQRT(MIN(I1950,Formula!$C$27))/Formula!$C$24,1/Formula!$C$25))</f>
        <v>0.3448275862</v>
      </c>
      <c r="R1950" s="15">
        <f t="shared" si="2"/>
        <v>0.3275862069</v>
      </c>
      <c r="S1950" s="15">
        <f>IF(H1950&lt;&gt;"",EXP(-Formula!$C$28*(EOMONTH(H1950,0)-H1950)),EXP(-Formula!$C$28*(EOMONTH(D1950,0)-D1950)))</f>
        <v>0.670320046</v>
      </c>
      <c r="T1950" s="15">
        <f t="shared" si="3"/>
        <v>0.1924500897</v>
      </c>
      <c r="U1950" s="15">
        <f t="shared" si="4"/>
        <v>0.04225965357</v>
      </c>
      <c r="V1950" s="16">
        <f>IF(AND(L1950="Among all respondents",NOT(OR(K1950="Online poll in Telegram channel",K1950="Website online poll",K1950="CAWI (Computer Assisted Web Interviewing)"))),1/(1-MIN(MAX(Formula!$C$33+(YEAR(D1950)-Formula!$C$34)/(Formula!$C$35-Formula!$C$34)*(Formula!$C$32-Formula!$C$33),Formula!$C$33),Formula!$C$32)),1)</f>
        <v>1</v>
      </c>
      <c r="W1950" s="17">
        <f t="shared" si="5"/>
        <v>27.7</v>
      </c>
    </row>
    <row r="1951" ht="15.75" customHeight="1">
      <c r="A1951" s="8" t="s">
        <v>2817</v>
      </c>
      <c r="B1951" s="7" t="s">
        <v>2814</v>
      </c>
      <c r="C1951" s="13" t="s">
        <v>2815</v>
      </c>
      <c r="D1951" s="7" t="s">
        <v>242</v>
      </c>
      <c r="E1951" s="8" t="s">
        <v>72</v>
      </c>
      <c r="F1951" s="8" t="s">
        <v>318</v>
      </c>
      <c r="G1951" s="7" t="s">
        <v>2816</v>
      </c>
      <c r="H1951" s="7" t="s">
        <v>245</v>
      </c>
      <c r="I1951" s="8">
        <v>1200.0</v>
      </c>
      <c r="J1951" s="8">
        <v>2.9</v>
      </c>
      <c r="K1951" s="8" t="s">
        <v>583</v>
      </c>
      <c r="L1951" s="8" t="s">
        <v>322</v>
      </c>
      <c r="M1951" s="8" t="s">
        <v>365</v>
      </c>
      <c r="N1951" s="8">
        <v>20.8</v>
      </c>
      <c r="O1951" s="14">
        <f t="shared" si="1"/>
        <v>44166</v>
      </c>
      <c r="P1951" s="15">
        <f>IFERROR(VLOOKUP(K1951,Formula!$A$11:$B$20,2,FALSE),Formula!$C$26)</f>
        <v>0.95</v>
      </c>
      <c r="Q1951" s="15">
        <f>IF(AND(ISNUMBER(J1951),J1951&gt;0),1/J1951,IF(AND(ISNUMBER(I1951),I1951&gt;0),SQRT(MIN(I1951,Formula!$C$27))/Formula!$C$24,1/Formula!$C$25))</f>
        <v>0.3448275862</v>
      </c>
      <c r="R1951" s="15">
        <f t="shared" si="2"/>
        <v>0.3275862069</v>
      </c>
      <c r="S1951" s="15">
        <f>IF(H1951&lt;&gt;"",EXP(-Formula!$C$28*(EOMONTH(H1951,0)-H1951)),EXP(-Formula!$C$28*(EOMONTH(D1951,0)-D1951)))</f>
        <v>0.670320046</v>
      </c>
      <c r="T1951" s="15">
        <f t="shared" si="3"/>
        <v>0.1924500897</v>
      </c>
      <c r="U1951" s="15">
        <f t="shared" si="4"/>
        <v>0.04225965357</v>
      </c>
      <c r="V1951" s="16">
        <f>IF(AND(L1951="Among all respondents",NOT(OR(K1951="Online poll in Telegram channel",K1951="Website online poll",K1951="CAWI (Computer Assisted Web Interviewing)"))),1/(1-MIN(MAX(Formula!$C$33+(YEAR(D1951)-Formula!$C$34)/(Formula!$C$35-Formula!$C$34)*(Formula!$C$32-Formula!$C$33),Formula!$C$33),Formula!$C$32)),1)</f>
        <v>1</v>
      </c>
      <c r="W1951" s="17">
        <f t="shared" si="5"/>
        <v>20.8</v>
      </c>
    </row>
    <row r="1952" ht="15.75" customHeight="1">
      <c r="A1952" s="8" t="s">
        <v>2818</v>
      </c>
      <c r="B1952" s="7" t="s">
        <v>2814</v>
      </c>
      <c r="C1952" s="13" t="s">
        <v>2815</v>
      </c>
      <c r="D1952" s="7" t="s">
        <v>242</v>
      </c>
      <c r="E1952" s="8" t="s">
        <v>72</v>
      </c>
      <c r="F1952" s="8" t="s">
        <v>318</v>
      </c>
      <c r="G1952" s="7" t="s">
        <v>2816</v>
      </c>
      <c r="H1952" s="7" t="s">
        <v>245</v>
      </c>
      <c r="I1952" s="8">
        <v>1200.0</v>
      </c>
      <c r="J1952" s="8">
        <v>2.9</v>
      </c>
      <c r="K1952" s="8" t="s">
        <v>583</v>
      </c>
      <c r="L1952" s="8" t="s">
        <v>322</v>
      </c>
      <c r="M1952" s="8" t="s">
        <v>329</v>
      </c>
      <c r="N1952" s="8">
        <v>14.2</v>
      </c>
      <c r="O1952" s="14">
        <f t="shared" si="1"/>
        <v>44166</v>
      </c>
      <c r="P1952" s="15">
        <f>IFERROR(VLOOKUP(K1952,Formula!$A$11:$B$20,2,FALSE),Formula!$C$26)</f>
        <v>0.95</v>
      </c>
      <c r="Q1952" s="15">
        <f>IF(AND(ISNUMBER(J1952),J1952&gt;0),1/J1952,IF(AND(ISNUMBER(I1952),I1952&gt;0),SQRT(MIN(I1952,Formula!$C$27))/Formula!$C$24,1/Formula!$C$25))</f>
        <v>0.3448275862</v>
      </c>
      <c r="R1952" s="15">
        <f t="shared" si="2"/>
        <v>0.3275862069</v>
      </c>
      <c r="S1952" s="15">
        <f>IF(H1952&lt;&gt;"",EXP(-Formula!$C$28*(EOMONTH(H1952,0)-H1952)),EXP(-Formula!$C$28*(EOMONTH(D1952,0)-D1952)))</f>
        <v>0.670320046</v>
      </c>
      <c r="T1952" s="15">
        <f t="shared" si="3"/>
        <v>0.1924500897</v>
      </c>
      <c r="U1952" s="15">
        <f t="shared" si="4"/>
        <v>0.04225965357</v>
      </c>
      <c r="V1952" s="16">
        <f>IF(AND(L1952="Among all respondents",NOT(OR(K1952="Online poll in Telegram channel",K1952="Website online poll",K1952="CAWI (Computer Assisted Web Interviewing)"))),1/(1-MIN(MAX(Formula!$C$33+(YEAR(D1952)-Formula!$C$34)/(Formula!$C$35-Formula!$C$34)*(Formula!$C$32-Formula!$C$33),Formula!$C$33),Formula!$C$32)),1)</f>
        <v>1</v>
      </c>
      <c r="W1952" s="17">
        <f t="shared" si="5"/>
        <v>14.2</v>
      </c>
    </row>
    <row r="1953" ht="15.75" customHeight="1">
      <c r="A1953" s="8" t="s">
        <v>2819</v>
      </c>
      <c r="B1953" s="7" t="s">
        <v>2814</v>
      </c>
      <c r="C1953" s="13" t="s">
        <v>2815</v>
      </c>
      <c r="D1953" s="7" t="s">
        <v>242</v>
      </c>
      <c r="E1953" s="8" t="s">
        <v>72</v>
      </c>
      <c r="F1953" s="8" t="s">
        <v>318</v>
      </c>
      <c r="G1953" s="7" t="s">
        <v>2816</v>
      </c>
      <c r="H1953" s="7" t="s">
        <v>245</v>
      </c>
      <c r="I1953" s="8">
        <v>1200.0</v>
      </c>
      <c r="J1953" s="8">
        <v>2.9</v>
      </c>
      <c r="K1953" s="8" t="s">
        <v>583</v>
      </c>
      <c r="L1953" s="8" t="s">
        <v>322</v>
      </c>
      <c r="M1953" s="8" t="s">
        <v>337</v>
      </c>
      <c r="N1953" s="8">
        <v>7.3</v>
      </c>
      <c r="O1953" s="14">
        <f t="shared" si="1"/>
        <v>44166</v>
      </c>
      <c r="P1953" s="15">
        <f>IFERROR(VLOOKUP(K1953,Formula!$A$11:$B$20,2,FALSE),Formula!$C$26)</f>
        <v>0.95</v>
      </c>
      <c r="Q1953" s="15">
        <f>IF(AND(ISNUMBER(J1953),J1953&gt;0),1/J1953,IF(AND(ISNUMBER(I1953),I1953&gt;0),SQRT(MIN(I1953,Formula!$C$27))/Formula!$C$24,1/Formula!$C$25))</f>
        <v>0.3448275862</v>
      </c>
      <c r="R1953" s="15">
        <f t="shared" si="2"/>
        <v>0.3275862069</v>
      </c>
      <c r="S1953" s="15">
        <f>IF(H1953&lt;&gt;"",EXP(-Formula!$C$28*(EOMONTH(H1953,0)-H1953)),EXP(-Formula!$C$28*(EOMONTH(D1953,0)-D1953)))</f>
        <v>0.670320046</v>
      </c>
      <c r="T1953" s="15">
        <f t="shared" si="3"/>
        <v>0.1924500897</v>
      </c>
      <c r="U1953" s="15">
        <f t="shared" si="4"/>
        <v>0.04225965357</v>
      </c>
      <c r="V1953" s="16">
        <f>IF(AND(L1953="Among all respondents",NOT(OR(K1953="Online poll in Telegram channel",K1953="Website online poll",K1953="CAWI (Computer Assisted Web Interviewing)"))),1/(1-MIN(MAX(Formula!$C$33+(YEAR(D1953)-Formula!$C$34)/(Formula!$C$35-Formula!$C$34)*(Formula!$C$32-Formula!$C$33),Formula!$C$33),Formula!$C$32)),1)</f>
        <v>1</v>
      </c>
      <c r="W1953" s="17">
        <f t="shared" si="5"/>
        <v>7.3</v>
      </c>
    </row>
    <row r="1954" ht="15.75" customHeight="1">
      <c r="A1954" s="8" t="s">
        <v>2820</v>
      </c>
      <c r="B1954" s="7" t="s">
        <v>2814</v>
      </c>
      <c r="C1954" s="13" t="s">
        <v>2815</v>
      </c>
      <c r="D1954" s="7" t="s">
        <v>242</v>
      </c>
      <c r="E1954" s="8" t="s">
        <v>72</v>
      </c>
      <c r="F1954" s="8" t="s">
        <v>318</v>
      </c>
      <c r="G1954" s="7" t="s">
        <v>2816</v>
      </c>
      <c r="H1954" s="7" t="s">
        <v>245</v>
      </c>
      <c r="I1954" s="8">
        <v>1200.0</v>
      </c>
      <c r="J1954" s="8">
        <v>2.9</v>
      </c>
      <c r="K1954" s="8" t="s">
        <v>583</v>
      </c>
      <c r="L1954" s="8" t="s">
        <v>322</v>
      </c>
      <c r="M1954" s="8" t="s">
        <v>828</v>
      </c>
      <c r="N1954" s="8">
        <v>6.5</v>
      </c>
      <c r="O1954" s="14">
        <f t="shared" si="1"/>
        <v>44166</v>
      </c>
      <c r="P1954" s="15">
        <f>IFERROR(VLOOKUP(K1954,Formula!$A$11:$B$20,2,FALSE),Formula!$C$26)</f>
        <v>0.95</v>
      </c>
      <c r="Q1954" s="15">
        <f>IF(AND(ISNUMBER(J1954),J1954&gt;0),1/J1954,IF(AND(ISNUMBER(I1954),I1954&gt;0),SQRT(MIN(I1954,Formula!$C$27))/Formula!$C$24,1/Formula!$C$25))</f>
        <v>0.3448275862</v>
      </c>
      <c r="R1954" s="15">
        <f t="shared" si="2"/>
        <v>0.3275862069</v>
      </c>
      <c r="S1954" s="15">
        <f>IF(H1954&lt;&gt;"",EXP(-Formula!$C$28*(EOMONTH(H1954,0)-H1954)),EXP(-Formula!$C$28*(EOMONTH(D1954,0)-D1954)))</f>
        <v>0.670320046</v>
      </c>
      <c r="T1954" s="15">
        <f t="shared" si="3"/>
        <v>0.1924500897</v>
      </c>
      <c r="U1954" s="15">
        <f t="shared" si="4"/>
        <v>0.04225965357</v>
      </c>
      <c r="V1954" s="16">
        <f>IF(AND(L1954="Among all respondents",NOT(OR(K1954="Online poll in Telegram channel",K1954="Website online poll",K1954="CAWI (Computer Assisted Web Interviewing)"))),1/(1-MIN(MAX(Formula!$C$33+(YEAR(D1954)-Formula!$C$34)/(Formula!$C$35-Formula!$C$34)*(Formula!$C$32-Formula!$C$33),Formula!$C$33),Formula!$C$32)),1)</f>
        <v>1</v>
      </c>
      <c r="W1954" s="17">
        <f t="shared" si="5"/>
        <v>6.5</v>
      </c>
    </row>
    <row r="1955" ht="15.75" customHeight="1">
      <c r="A1955" s="8" t="s">
        <v>2821</v>
      </c>
      <c r="B1955" s="7" t="s">
        <v>2814</v>
      </c>
      <c r="C1955" s="13" t="s">
        <v>2815</v>
      </c>
      <c r="D1955" s="7" t="s">
        <v>242</v>
      </c>
      <c r="E1955" s="8" t="s">
        <v>72</v>
      </c>
      <c r="F1955" s="8" t="s">
        <v>318</v>
      </c>
      <c r="G1955" s="7" t="s">
        <v>2816</v>
      </c>
      <c r="H1955" s="7" t="s">
        <v>245</v>
      </c>
      <c r="I1955" s="8">
        <v>1200.0</v>
      </c>
      <c r="J1955" s="8">
        <v>2.9</v>
      </c>
      <c r="K1955" s="8" t="s">
        <v>583</v>
      </c>
      <c r="L1955" s="8" t="s">
        <v>322</v>
      </c>
      <c r="M1955" s="8" t="s">
        <v>388</v>
      </c>
      <c r="N1955" s="8">
        <v>6.2</v>
      </c>
      <c r="O1955" s="14">
        <f t="shared" si="1"/>
        <v>44166</v>
      </c>
      <c r="P1955" s="15">
        <f>IFERROR(VLOOKUP(K1955,Formula!$A$11:$B$20,2,FALSE),Formula!$C$26)</f>
        <v>0.95</v>
      </c>
      <c r="Q1955" s="15">
        <f>IF(AND(ISNUMBER(J1955),J1955&gt;0),1/J1955,IF(AND(ISNUMBER(I1955),I1955&gt;0),SQRT(MIN(I1955,Formula!$C$27))/Formula!$C$24,1/Formula!$C$25))</f>
        <v>0.3448275862</v>
      </c>
      <c r="R1955" s="15">
        <f t="shared" si="2"/>
        <v>0.3275862069</v>
      </c>
      <c r="S1955" s="15">
        <f>IF(H1955&lt;&gt;"",EXP(-Formula!$C$28*(EOMONTH(H1955,0)-H1955)),EXP(-Formula!$C$28*(EOMONTH(D1955,0)-D1955)))</f>
        <v>0.670320046</v>
      </c>
      <c r="T1955" s="15">
        <f t="shared" si="3"/>
        <v>0.1924500897</v>
      </c>
      <c r="U1955" s="15">
        <f t="shared" si="4"/>
        <v>0.04225965357</v>
      </c>
      <c r="V1955" s="16">
        <f>IF(AND(L1955="Among all respondents",NOT(OR(K1955="Online poll in Telegram channel",K1955="Website online poll",K1955="CAWI (Computer Assisted Web Interviewing)"))),1/(1-MIN(MAX(Formula!$C$33+(YEAR(D1955)-Formula!$C$34)/(Formula!$C$35-Formula!$C$34)*(Formula!$C$32-Formula!$C$33),Formula!$C$33),Formula!$C$32)),1)</f>
        <v>1</v>
      </c>
      <c r="W1955" s="17">
        <f t="shared" si="5"/>
        <v>6.2</v>
      </c>
    </row>
    <row r="1956" ht="15.75" customHeight="1">
      <c r="A1956" s="8" t="s">
        <v>2822</v>
      </c>
      <c r="B1956" s="7" t="s">
        <v>2814</v>
      </c>
      <c r="C1956" s="13" t="s">
        <v>2815</v>
      </c>
      <c r="D1956" s="7" t="s">
        <v>242</v>
      </c>
      <c r="E1956" s="8" t="s">
        <v>72</v>
      </c>
      <c r="F1956" s="8" t="s">
        <v>318</v>
      </c>
      <c r="G1956" s="7" t="s">
        <v>2816</v>
      </c>
      <c r="H1956" s="7" t="s">
        <v>245</v>
      </c>
      <c r="I1956" s="8">
        <v>1200.0</v>
      </c>
      <c r="J1956" s="8">
        <v>2.9</v>
      </c>
      <c r="K1956" s="8" t="s">
        <v>583</v>
      </c>
      <c r="L1956" s="8" t="s">
        <v>322</v>
      </c>
      <c r="M1956" s="8" t="s">
        <v>386</v>
      </c>
      <c r="N1956" s="8">
        <v>6.0</v>
      </c>
      <c r="O1956" s="14">
        <f t="shared" si="1"/>
        <v>44166</v>
      </c>
      <c r="P1956" s="15">
        <f>IFERROR(VLOOKUP(K1956,Formula!$A$11:$B$20,2,FALSE),Formula!$C$26)</f>
        <v>0.95</v>
      </c>
      <c r="Q1956" s="15">
        <f>IF(AND(ISNUMBER(J1956),J1956&gt;0),1/J1956,IF(AND(ISNUMBER(I1956),I1956&gt;0),SQRT(MIN(I1956,Formula!$C$27))/Formula!$C$24,1/Formula!$C$25))</f>
        <v>0.3448275862</v>
      </c>
      <c r="R1956" s="15">
        <f t="shared" si="2"/>
        <v>0.3275862069</v>
      </c>
      <c r="S1956" s="15">
        <f>IF(H1956&lt;&gt;"",EXP(-Formula!$C$28*(EOMONTH(H1956,0)-H1956)),EXP(-Formula!$C$28*(EOMONTH(D1956,0)-D1956)))</f>
        <v>0.670320046</v>
      </c>
      <c r="T1956" s="15">
        <f t="shared" si="3"/>
        <v>0.1924500897</v>
      </c>
      <c r="U1956" s="15">
        <f t="shared" si="4"/>
        <v>0.04225965357</v>
      </c>
      <c r="V1956" s="16">
        <f>IF(AND(L1956="Among all respondents",NOT(OR(K1956="Online poll in Telegram channel",K1956="Website online poll",K1956="CAWI (Computer Assisted Web Interviewing)"))),1/(1-MIN(MAX(Formula!$C$33+(YEAR(D1956)-Formula!$C$34)/(Formula!$C$35-Formula!$C$34)*(Formula!$C$32-Formula!$C$33),Formula!$C$33),Formula!$C$32)),1)</f>
        <v>1</v>
      </c>
      <c r="W1956" s="17">
        <f t="shared" si="5"/>
        <v>6</v>
      </c>
    </row>
    <row r="1957" ht="15.75" customHeight="1">
      <c r="A1957" s="8" t="s">
        <v>2823</v>
      </c>
      <c r="B1957" s="7" t="s">
        <v>2814</v>
      </c>
      <c r="C1957" s="13" t="s">
        <v>2815</v>
      </c>
      <c r="D1957" s="7" t="s">
        <v>242</v>
      </c>
      <c r="E1957" s="8" t="s">
        <v>72</v>
      </c>
      <c r="F1957" s="8" t="s">
        <v>318</v>
      </c>
      <c r="G1957" s="7" t="s">
        <v>2816</v>
      </c>
      <c r="H1957" s="7" t="s">
        <v>245</v>
      </c>
      <c r="I1957" s="8">
        <v>1200.0</v>
      </c>
      <c r="J1957" s="8">
        <v>2.9</v>
      </c>
      <c r="K1957" s="8" t="s">
        <v>583</v>
      </c>
      <c r="L1957" s="8" t="s">
        <v>322</v>
      </c>
      <c r="M1957" s="8" t="s">
        <v>339</v>
      </c>
      <c r="N1957" s="8">
        <v>3.8</v>
      </c>
      <c r="O1957" s="14">
        <f t="shared" si="1"/>
        <v>44166</v>
      </c>
      <c r="P1957" s="15">
        <f>IFERROR(VLOOKUP(K1957,Formula!$A$11:$B$20,2,FALSE),Formula!$C$26)</f>
        <v>0.95</v>
      </c>
      <c r="Q1957" s="15">
        <f>IF(AND(ISNUMBER(J1957),J1957&gt;0),1/J1957,IF(AND(ISNUMBER(I1957),I1957&gt;0),SQRT(MIN(I1957,Formula!$C$27))/Formula!$C$24,1/Formula!$C$25))</f>
        <v>0.3448275862</v>
      </c>
      <c r="R1957" s="15">
        <f t="shared" si="2"/>
        <v>0.3275862069</v>
      </c>
      <c r="S1957" s="15">
        <f>IF(H1957&lt;&gt;"",EXP(-Formula!$C$28*(EOMONTH(H1957,0)-H1957)),EXP(-Formula!$C$28*(EOMONTH(D1957,0)-D1957)))</f>
        <v>0.670320046</v>
      </c>
      <c r="T1957" s="15">
        <f t="shared" si="3"/>
        <v>0.1924500897</v>
      </c>
      <c r="U1957" s="15">
        <f t="shared" si="4"/>
        <v>0.04225965357</v>
      </c>
      <c r="V1957" s="16">
        <f>IF(AND(L1957="Among all respondents",NOT(OR(K1957="Online poll in Telegram channel",K1957="Website online poll",K1957="CAWI (Computer Assisted Web Interviewing)"))),1/(1-MIN(MAX(Formula!$C$33+(YEAR(D1957)-Formula!$C$34)/(Formula!$C$35-Formula!$C$34)*(Formula!$C$32-Formula!$C$33),Formula!$C$33),Formula!$C$32)),1)</f>
        <v>1</v>
      </c>
      <c r="W1957" s="17">
        <f t="shared" si="5"/>
        <v>3.8</v>
      </c>
    </row>
    <row r="1958" ht="15.75" customHeight="1">
      <c r="A1958" s="8" t="s">
        <v>2824</v>
      </c>
      <c r="B1958" s="7" t="s">
        <v>2814</v>
      </c>
      <c r="C1958" s="13" t="s">
        <v>2815</v>
      </c>
      <c r="D1958" s="7" t="s">
        <v>242</v>
      </c>
      <c r="E1958" s="8" t="s">
        <v>72</v>
      </c>
      <c r="F1958" s="8" t="s">
        <v>318</v>
      </c>
      <c r="G1958" s="7" t="s">
        <v>2816</v>
      </c>
      <c r="H1958" s="7" t="s">
        <v>245</v>
      </c>
      <c r="I1958" s="8">
        <v>1200.0</v>
      </c>
      <c r="J1958" s="8">
        <v>2.9</v>
      </c>
      <c r="K1958" s="8" t="s">
        <v>583</v>
      </c>
      <c r="L1958" s="8" t="s">
        <v>322</v>
      </c>
      <c r="M1958" s="8" t="s">
        <v>343</v>
      </c>
      <c r="N1958" s="8">
        <v>1.6</v>
      </c>
      <c r="O1958" s="14">
        <f t="shared" si="1"/>
        <v>44166</v>
      </c>
      <c r="P1958" s="15">
        <f>IFERROR(VLOOKUP(K1958,Formula!$A$11:$B$20,2,FALSE),Formula!$C$26)</f>
        <v>0.95</v>
      </c>
      <c r="Q1958" s="15">
        <f>IF(AND(ISNUMBER(J1958),J1958&gt;0),1/J1958,IF(AND(ISNUMBER(I1958),I1958&gt;0),SQRT(MIN(I1958,Formula!$C$27))/Formula!$C$24,1/Formula!$C$25))</f>
        <v>0.3448275862</v>
      </c>
      <c r="R1958" s="15">
        <f t="shared" si="2"/>
        <v>0.3275862069</v>
      </c>
      <c r="S1958" s="15">
        <f>IF(H1958&lt;&gt;"",EXP(-Formula!$C$28*(EOMONTH(H1958,0)-H1958)),EXP(-Formula!$C$28*(EOMONTH(D1958,0)-D1958)))</f>
        <v>0.670320046</v>
      </c>
      <c r="T1958" s="15">
        <f t="shared" si="3"/>
        <v>0.1924500897</v>
      </c>
      <c r="U1958" s="15">
        <f t="shared" si="4"/>
        <v>0.04225965357</v>
      </c>
      <c r="V1958" s="16">
        <f>IF(AND(L1958="Among all respondents",NOT(OR(K1958="Online poll in Telegram channel",K1958="Website online poll",K1958="CAWI (Computer Assisted Web Interviewing)"))),1/(1-MIN(MAX(Formula!$C$33+(YEAR(D1958)-Formula!$C$34)/(Formula!$C$35-Formula!$C$34)*(Formula!$C$32-Formula!$C$33),Formula!$C$33),Formula!$C$32)),1)</f>
        <v>1</v>
      </c>
      <c r="W1958" s="17">
        <f t="shared" si="5"/>
        <v>1.6</v>
      </c>
    </row>
    <row r="1959" ht="15.75" customHeight="1">
      <c r="A1959" s="8" t="s">
        <v>2825</v>
      </c>
      <c r="B1959" s="7" t="s">
        <v>2814</v>
      </c>
      <c r="C1959" s="13" t="s">
        <v>2815</v>
      </c>
      <c r="D1959" s="7" t="s">
        <v>242</v>
      </c>
      <c r="E1959" s="8" t="s">
        <v>72</v>
      </c>
      <c r="F1959" s="8" t="s">
        <v>318</v>
      </c>
      <c r="G1959" s="7" t="s">
        <v>2816</v>
      </c>
      <c r="H1959" s="7" t="s">
        <v>245</v>
      </c>
      <c r="I1959" s="8">
        <v>1200.0</v>
      </c>
      <c r="J1959" s="8">
        <v>2.9</v>
      </c>
      <c r="K1959" s="8" t="s">
        <v>583</v>
      </c>
      <c r="L1959" s="8" t="s">
        <v>322</v>
      </c>
      <c r="M1959" s="8" t="s">
        <v>1663</v>
      </c>
      <c r="N1959" s="8">
        <v>1.3</v>
      </c>
      <c r="O1959" s="14">
        <f t="shared" si="1"/>
        <v>44166</v>
      </c>
      <c r="P1959" s="15">
        <f>IFERROR(VLOOKUP(K1959,Formula!$A$11:$B$20,2,FALSE),Formula!$C$26)</f>
        <v>0.95</v>
      </c>
      <c r="Q1959" s="15">
        <f>IF(AND(ISNUMBER(J1959),J1959&gt;0),1/J1959,IF(AND(ISNUMBER(I1959),I1959&gt;0),SQRT(MIN(I1959,Formula!$C$27))/Formula!$C$24,1/Formula!$C$25))</f>
        <v>0.3448275862</v>
      </c>
      <c r="R1959" s="15">
        <f t="shared" si="2"/>
        <v>0.3275862069</v>
      </c>
      <c r="S1959" s="15">
        <f>IF(H1959&lt;&gt;"",EXP(-Formula!$C$28*(EOMONTH(H1959,0)-H1959)),EXP(-Formula!$C$28*(EOMONTH(D1959,0)-D1959)))</f>
        <v>0.670320046</v>
      </c>
      <c r="T1959" s="15">
        <f t="shared" si="3"/>
        <v>0.1924500897</v>
      </c>
      <c r="U1959" s="15">
        <f t="shared" si="4"/>
        <v>0.04225965357</v>
      </c>
      <c r="V1959" s="16">
        <f>IF(AND(L1959="Among all respondents",NOT(OR(K1959="Online poll in Telegram channel",K1959="Website online poll",K1959="CAWI (Computer Assisted Web Interviewing)"))),1/(1-MIN(MAX(Formula!$C$33+(YEAR(D1959)-Formula!$C$34)/(Formula!$C$35-Formula!$C$34)*(Formula!$C$32-Formula!$C$33),Formula!$C$33),Formula!$C$32)),1)</f>
        <v>1</v>
      </c>
      <c r="W1959" s="17">
        <f t="shared" si="5"/>
        <v>1.3</v>
      </c>
    </row>
    <row r="1960" ht="15.75" customHeight="1">
      <c r="A1960" s="8" t="s">
        <v>2826</v>
      </c>
      <c r="B1960" s="7" t="s">
        <v>2814</v>
      </c>
      <c r="C1960" s="13" t="s">
        <v>2815</v>
      </c>
      <c r="D1960" s="7" t="s">
        <v>242</v>
      </c>
      <c r="E1960" s="8" t="s">
        <v>72</v>
      </c>
      <c r="F1960" s="8" t="s">
        <v>318</v>
      </c>
      <c r="G1960" s="7" t="s">
        <v>2816</v>
      </c>
      <c r="H1960" s="7" t="s">
        <v>245</v>
      </c>
      <c r="I1960" s="8">
        <v>1200.0</v>
      </c>
      <c r="J1960" s="8">
        <v>2.9</v>
      </c>
      <c r="K1960" s="8" t="s">
        <v>583</v>
      </c>
      <c r="L1960" s="8" t="s">
        <v>322</v>
      </c>
      <c r="M1960" s="8" t="s">
        <v>345</v>
      </c>
      <c r="N1960" s="8">
        <v>1.2</v>
      </c>
      <c r="O1960" s="14">
        <f t="shared" si="1"/>
        <v>44166</v>
      </c>
      <c r="P1960" s="15">
        <f>IFERROR(VLOOKUP(K1960,Formula!$A$11:$B$20,2,FALSE),Formula!$C$26)</f>
        <v>0.95</v>
      </c>
      <c r="Q1960" s="15">
        <f>IF(AND(ISNUMBER(J1960),J1960&gt;0),1/J1960,IF(AND(ISNUMBER(I1960),I1960&gt;0),SQRT(MIN(I1960,Formula!$C$27))/Formula!$C$24,1/Formula!$C$25))</f>
        <v>0.3448275862</v>
      </c>
      <c r="R1960" s="15">
        <f t="shared" si="2"/>
        <v>0.3275862069</v>
      </c>
      <c r="S1960" s="15">
        <f>IF(H1960&lt;&gt;"",EXP(-Formula!$C$28*(EOMONTH(H1960,0)-H1960)),EXP(-Formula!$C$28*(EOMONTH(D1960,0)-D1960)))</f>
        <v>0.670320046</v>
      </c>
      <c r="T1960" s="15">
        <f t="shared" si="3"/>
        <v>0.1924500897</v>
      </c>
      <c r="U1960" s="15">
        <f t="shared" si="4"/>
        <v>0.04225965357</v>
      </c>
      <c r="V1960" s="16">
        <f>IF(AND(L1960="Among all respondents",NOT(OR(K1960="Online poll in Telegram channel",K1960="Website online poll",K1960="CAWI (Computer Assisted Web Interviewing)"))),1/(1-MIN(MAX(Formula!$C$33+(YEAR(D1960)-Formula!$C$34)/(Formula!$C$35-Formula!$C$34)*(Formula!$C$32-Formula!$C$33),Formula!$C$33),Formula!$C$32)),1)</f>
        <v>1</v>
      </c>
      <c r="W1960" s="17">
        <f t="shared" si="5"/>
        <v>1.2</v>
      </c>
    </row>
    <row r="1961" ht="15.75" customHeight="1">
      <c r="A1961" s="8" t="s">
        <v>2827</v>
      </c>
      <c r="B1961" s="7" t="s">
        <v>2814</v>
      </c>
      <c r="C1961" s="13" t="s">
        <v>2815</v>
      </c>
      <c r="D1961" s="7" t="s">
        <v>242</v>
      </c>
      <c r="E1961" s="8" t="s">
        <v>72</v>
      </c>
      <c r="F1961" s="8" t="s">
        <v>318</v>
      </c>
      <c r="G1961" s="7" t="s">
        <v>2816</v>
      </c>
      <c r="H1961" s="7" t="s">
        <v>245</v>
      </c>
      <c r="I1961" s="8">
        <v>1200.0</v>
      </c>
      <c r="J1961" s="8">
        <v>2.9</v>
      </c>
      <c r="K1961" s="8" t="s">
        <v>583</v>
      </c>
      <c r="L1961" s="8" t="s">
        <v>322</v>
      </c>
      <c r="M1961" s="8" t="s">
        <v>335</v>
      </c>
      <c r="N1961" s="8">
        <v>0.8</v>
      </c>
      <c r="O1961" s="14">
        <f t="shared" si="1"/>
        <v>44166</v>
      </c>
      <c r="P1961" s="15">
        <f>IFERROR(VLOOKUP(K1961,Formula!$A$11:$B$20,2,FALSE),Formula!$C$26)</f>
        <v>0.95</v>
      </c>
      <c r="Q1961" s="15">
        <f>IF(AND(ISNUMBER(J1961),J1961&gt;0),1/J1961,IF(AND(ISNUMBER(I1961),I1961&gt;0),SQRT(MIN(I1961,Formula!$C$27))/Formula!$C$24,1/Formula!$C$25))</f>
        <v>0.3448275862</v>
      </c>
      <c r="R1961" s="15">
        <f t="shared" si="2"/>
        <v>0.3275862069</v>
      </c>
      <c r="S1961" s="15">
        <f>IF(H1961&lt;&gt;"",EXP(-Formula!$C$28*(EOMONTH(H1961,0)-H1961)),EXP(-Formula!$C$28*(EOMONTH(D1961,0)-D1961)))</f>
        <v>0.670320046</v>
      </c>
      <c r="T1961" s="15">
        <f t="shared" si="3"/>
        <v>0.1924500897</v>
      </c>
      <c r="U1961" s="15">
        <f t="shared" si="4"/>
        <v>0.04225965357</v>
      </c>
      <c r="V1961" s="16">
        <f>IF(AND(L1961="Among all respondents",NOT(OR(K1961="Online poll in Telegram channel",K1961="Website online poll",K1961="CAWI (Computer Assisted Web Interviewing)"))),1/(1-MIN(MAX(Formula!$C$33+(YEAR(D1961)-Formula!$C$34)/(Formula!$C$35-Formula!$C$34)*(Formula!$C$32-Formula!$C$33),Formula!$C$33),Formula!$C$32)),1)</f>
        <v>1</v>
      </c>
      <c r="W1961" s="17">
        <f t="shared" si="5"/>
        <v>0.8</v>
      </c>
    </row>
    <row r="1962" ht="15.75" customHeight="1">
      <c r="A1962" s="8" t="s">
        <v>2828</v>
      </c>
      <c r="B1962" s="7" t="s">
        <v>2814</v>
      </c>
      <c r="C1962" s="13" t="s">
        <v>2815</v>
      </c>
      <c r="D1962" s="7" t="s">
        <v>242</v>
      </c>
      <c r="E1962" s="8" t="s">
        <v>72</v>
      </c>
      <c r="F1962" s="8" t="s">
        <v>318</v>
      </c>
      <c r="G1962" s="7" t="s">
        <v>2816</v>
      </c>
      <c r="H1962" s="7" t="s">
        <v>245</v>
      </c>
      <c r="I1962" s="8">
        <v>1200.0</v>
      </c>
      <c r="J1962" s="8">
        <v>2.9</v>
      </c>
      <c r="K1962" s="8" t="s">
        <v>583</v>
      </c>
      <c r="L1962" s="8" t="s">
        <v>322</v>
      </c>
      <c r="M1962" s="8" t="s">
        <v>740</v>
      </c>
      <c r="N1962" s="8">
        <v>0.8</v>
      </c>
      <c r="O1962" s="14">
        <f t="shared" si="1"/>
        <v>44166</v>
      </c>
      <c r="P1962" s="15">
        <f>IFERROR(VLOOKUP(K1962,Formula!$A$11:$B$20,2,FALSE),Formula!$C$26)</f>
        <v>0.95</v>
      </c>
      <c r="Q1962" s="15">
        <f>IF(AND(ISNUMBER(J1962),J1962&gt;0),1/J1962,IF(AND(ISNUMBER(I1962),I1962&gt;0),SQRT(MIN(I1962,Formula!$C$27))/Formula!$C$24,1/Formula!$C$25))</f>
        <v>0.3448275862</v>
      </c>
      <c r="R1962" s="15">
        <f t="shared" si="2"/>
        <v>0.3275862069</v>
      </c>
      <c r="S1962" s="15">
        <f>IF(H1962&lt;&gt;"",EXP(-Formula!$C$28*(EOMONTH(H1962,0)-H1962)),EXP(-Formula!$C$28*(EOMONTH(D1962,0)-D1962)))</f>
        <v>0.670320046</v>
      </c>
      <c r="T1962" s="15">
        <f t="shared" si="3"/>
        <v>0.1924500897</v>
      </c>
      <c r="U1962" s="15">
        <f t="shared" si="4"/>
        <v>0.04225965357</v>
      </c>
      <c r="V1962" s="16">
        <f>IF(AND(L1962="Among all respondents",NOT(OR(K1962="Online poll in Telegram channel",K1962="Website online poll",K1962="CAWI (Computer Assisted Web Interviewing)"))),1/(1-MIN(MAX(Formula!$C$33+(YEAR(D1962)-Formula!$C$34)/(Formula!$C$35-Formula!$C$34)*(Formula!$C$32-Formula!$C$33),Formula!$C$33),Formula!$C$32)),1)</f>
        <v>1</v>
      </c>
      <c r="W1962" s="17">
        <f t="shared" si="5"/>
        <v>0.8</v>
      </c>
    </row>
    <row r="1963" ht="15.75" customHeight="1">
      <c r="A1963" s="8" t="s">
        <v>2813</v>
      </c>
      <c r="B1963" s="7" t="s">
        <v>2814</v>
      </c>
      <c r="C1963" s="13" t="s">
        <v>2815</v>
      </c>
      <c r="D1963" s="7" t="s">
        <v>242</v>
      </c>
      <c r="E1963" s="8" t="s">
        <v>72</v>
      </c>
      <c r="F1963" s="8" t="s">
        <v>318</v>
      </c>
      <c r="G1963" s="7" t="s">
        <v>2816</v>
      </c>
      <c r="H1963" s="7" t="s">
        <v>245</v>
      </c>
      <c r="I1963" s="8">
        <v>1200.0</v>
      </c>
      <c r="J1963" s="8">
        <v>2.9</v>
      </c>
      <c r="K1963" s="8" t="s">
        <v>583</v>
      </c>
      <c r="L1963" s="8" t="s">
        <v>322</v>
      </c>
      <c r="M1963" s="8" t="s">
        <v>323</v>
      </c>
      <c r="N1963" s="8">
        <v>27.0</v>
      </c>
      <c r="O1963" s="14">
        <f t="shared" si="1"/>
        <v>44166</v>
      </c>
      <c r="P1963" s="15">
        <f>IFERROR(VLOOKUP(K1963,Formula!$A$11:$B$20,2,FALSE),Formula!$C$26)</f>
        <v>0.95</v>
      </c>
      <c r="Q1963" s="15">
        <f>IF(AND(ISNUMBER(J1963),J1963&gt;0),1/J1963,IF(AND(ISNUMBER(I1963),I1963&gt;0),SQRT(MIN(I1963,Formula!$C$27))/Formula!$C$24,1/Formula!$C$25))</f>
        <v>0.3448275862</v>
      </c>
      <c r="R1963" s="15">
        <f t="shared" si="2"/>
        <v>0.3275862069</v>
      </c>
      <c r="S1963" s="15">
        <f>IF(H1963&lt;&gt;"",EXP(-Formula!$C$28*(EOMONTH(H1963,0)-H1963)),EXP(-Formula!$C$28*(EOMONTH(D1963,0)-D1963)))</f>
        <v>0.670320046</v>
      </c>
      <c r="T1963" s="15">
        <f t="shared" si="3"/>
        <v>0.1924500897</v>
      </c>
      <c r="U1963" s="15">
        <f t="shared" si="4"/>
        <v>0.04225965357</v>
      </c>
      <c r="V1963" s="16">
        <f>IF(AND(L1963="Among all respondents",NOT(OR(K1963="Online poll in Telegram channel",K1963="Website online poll",K1963="CAWI (Computer Assisted Web Interviewing)"))),1/(1-MIN(MAX(Formula!$C$33+(YEAR(D1963)-Formula!$C$34)/(Formula!$C$35-Formula!$C$34)*(Formula!$C$32-Formula!$C$33),Formula!$C$33),Formula!$C$32)),1)</f>
        <v>1</v>
      </c>
      <c r="W1963" s="17">
        <f t="shared" si="5"/>
        <v>27</v>
      </c>
    </row>
    <row r="1964" ht="15.75" customHeight="1">
      <c r="A1964" s="8" t="s">
        <v>2817</v>
      </c>
      <c r="B1964" s="7" t="s">
        <v>2814</v>
      </c>
      <c r="C1964" s="13" t="s">
        <v>2815</v>
      </c>
      <c r="D1964" s="7" t="s">
        <v>242</v>
      </c>
      <c r="E1964" s="8" t="s">
        <v>72</v>
      </c>
      <c r="F1964" s="8" t="s">
        <v>318</v>
      </c>
      <c r="G1964" s="7" t="s">
        <v>2816</v>
      </c>
      <c r="H1964" s="7" t="s">
        <v>245</v>
      </c>
      <c r="I1964" s="8">
        <v>1200.0</v>
      </c>
      <c r="J1964" s="8">
        <v>2.9</v>
      </c>
      <c r="K1964" s="8" t="s">
        <v>583</v>
      </c>
      <c r="L1964" s="8" t="s">
        <v>322</v>
      </c>
      <c r="M1964" s="8" t="s">
        <v>365</v>
      </c>
      <c r="N1964" s="8">
        <v>14.7</v>
      </c>
      <c r="O1964" s="14">
        <f t="shared" si="1"/>
        <v>44166</v>
      </c>
      <c r="P1964" s="15">
        <f>IFERROR(VLOOKUP(K1964,Formula!$A$11:$B$20,2,FALSE),Formula!$C$26)</f>
        <v>0.95</v>
      </c>
      <c r="Q1964" s="15">
        <f>IF(AND(ISNUMBER(J1964),J1964&gt;0),1/J1964,IF(AND(ISNUMBER(I1964),I1964&gt;0),SQRT(MIN(I1964,Formula!$C$27))/Formula!$C$24,1/Formula!$C$25))</f>
        <v>0.3448275862</v>
      </c>
      <c r="R1964" s="15">
        <f t="shared" si="2"/>
        <v>0.3275862069</v>
      </c>
      <c r="S1964" s="15">
        <f>IF(H1964&lt;&gt;"",EXP(-Formula!$C$28*(EOMONTH(H1964,0)-H1964)),EXP(-Formula!$C$28*(EOMONTH(D1964,0)-D1964)))</f>
        <v>0.670320046</v>
      </c>
      <c r="T1964" s="15">
        <f t="shared" si="3"/>
        <v>0.1924500897</v>
      </c>
      <c r="U1964" s="15">
        <f t="shared" si="4"/>
        <v>0.04225965357</v>
      </c>
      <c r="V1964" s="16">
        <f>IF(AND(L1964="Among all respondents",NOT(OR(K1964="Online poll in Telegram channel",K1964="Website online poll",K1964="CAWI (Computer Assisted Web Interviewing)"))),1/(1-MIN(MAX(Formula!$C$33+(YEAR(D1964)-Formula!$C$34)/(Formula!$C$35-Formula!$C$34)*(Formula!$C$32-Formula!$C$33),Formula!$C$33),Formula!$C$32)),1)</f>
        <v>1</v>
      </c>
      <c r="W1964" s="17">
        <f t="shared" si="5"/>
        <v>14.7</v>
      </c>
    </row>
    <row r="1965" ht="15.75" customHeight="1">
      <c r="A1965" s="8" t="s">
        <v>2818</v>
      </c>
      <c r="B1965" s="7" t="s">
        <v>2814</v>
      </c>
      <c r="C1965" s="13" t="s">
        <v>2815</v>
      </c>
      <c r="D1965" s="7" t="s">
        <v>242</v>
      </c>
      <c r="E1965" s="8" t="s">
        <v>72</v>
      </c>
      <c r="F1965" s="8" t="s">
        <v>318</v>
      </c>
      <c r="G1965" s="7" t="s">
        <v>2816</v>
      </c>
      <c r="H1965" s="7" t="s">
        <v>245</v>
      </c>
      <c r="I1965" s="8">
        <v>1200.0</v>
      </c>
      <c r="J1965" s="8">
        <v>2.9</v>
      </c>
      <c r="K1965" s="8" t="s">
        <v>583</v>
      </c>
      <c r="L1965" s="8" t="s">
        <v>322</v>
      </c>
      <c r="M1965" s="8" t="s">
        <v>329</v>
      </c>
      <c r="N1965" s="8">
        <v>13.7</v>
      </c>
      <c r="O1965" s="14">
        <f t="shared" si="1"/>
        <v>44166</v>
      </c>
      <c r="P1965" s="15">
        <f>IFERROR(VLOOKUP(K1965,Formula!$A$11:$B$20,2,FALSE),Formula!$C$26)</f>
        <v>0.95</v>
      </c>
      <c r="Q1965" s="15">
        <f>IF(AND(ISNUMBER(J1965),J1965&gt;0),1/J1965,IF(AND(ISNUMBER(I1965),I1965&gt;0),SQRT(MIN(I1965,Formula!$C$27))/Formula!$C$24,1/Formula!$C$25))</f>
        <v>0.3448275862</v>
      </c>
      <c r="R1965" s="15">
        <f t="shared" si="2"/>
        <v>0.3275862069</v>
      </c>
      <c r="S1965" s="15">
        <f>IF(H1965&lt;&gt;"",EXP(-Formula!$C$28*(EOMONTH(H1965,0)-H1965)),EXP(-Formula!$C$28*(EOMONTH(D1965,0)-D1965)))</f>
        <v>0.670320046</v>
      </c>
      <c r="T1965" s="15">
        <f t="shared" si="3"/>
        <v>0.1924500897</v>
      </c>
      <c r="U1965" s="15">
        <f t="shared" si="4"/>
        <v>0.04225965357</v>
      </c>
      <c r="V1965" s="16">
        <f>IF(AND(L1965="Among all respondents",NOT(OR(K1965="Online poll in Telegram channel",K1965="Website online poll",K1965="CAWI (Computer Assisted Web Interviewing)"))),1/(1-MIN(MAX(Formula!$C$33+(YEAR(D1965)-Formula!$C$34)/(Formula!$C$35-Formula!$C$34)*(Formula!$C$32-Formula!$C$33),Formula!$C$33),Formula!$C$32)),1)</f>
        <v>1</v>
      </c>
      <c r="W1965" s="17">
        <f t="shared" si="5"/>
        <v>13.7</v>
      </c>
    </row>
    <row r="1966" ht="15.75" customHeight="1">
      <c r="A1966" s="8" t="s">
        <v>2829</v>
      </c>
      <c r="B1966" s="7" t="s">
        <v>2814</v>
      </c>
      <c r="C1966" s="13" t="s">
        <v>2815</v>
      </c>
      <c r="D1966" s="7" t="s">
        <v>242</v>
      </c>
      <c r="E1966" s="8" t="s">
        <v>72</v>
      </c>
      <c r="F1966" s="8" t="s">
        <v>318</v>
      </c>
      <c r="G1966" s="7" t="s">
        <v>2816</v>
      </c>
      <c r="H1966" s="7" t="s">
        <v>245</v>
      </c>
      <c r="I1966" s="8">
        <v>1200.0</v>
      </c>
      <c r="J1966" s="8">
        <v>2.9</v>
      </c>
      <c r="K1966" s="8" t="s">
        <v>583</v>
      </c>
      <c r="L1966" s="8" t="s">
        <v>322</v>
      </c>
      <c r="M1966" s="8" t="s">
        <v>1334</v>
      </c>
      <c r="N1966" s="8">
        <v>8.7</v>
      </c>
      <c r="O1966" s="14">
        <f t="shared" si="1"/>
        <v>44166</v>
      </c>
      <c r="P1966" s="15">
        <f>IFERROR(VLOOKUP(K1966,Formula!$A$11:$B$20,2,FALSE),Formula!$C$26)</f>
        <v>0.95</v>
      </c>
      <c r="Q1966" s="15">
        <f>IF(AND(ISNUMBER(J1966),J1966&gt;0),1/J1966,IF(AND(ISNUMBER(I1966),I1966&gt;0),SQRT(MIN(I1966,Formula!$C$27))/Formula!$C$24,1/Formula!$C$25))</f>
        <v>0.3448275862</v>
      </c>
      <c r="R1966" s="15">
        <f t="shared" si="2"/>
        <v>0.3275862069</v>
      </c>
      <c r="S1966" s="15">
        <f>IF(H1966&lt;&gt;"",EXP(-Formula!$C$28*(EOMONTH(H1966,0)-H1966)),EXP(-Formula!$C$28*(EOMONTH(D1966,0)-D1966)))</f>
        <v>0.670320046</v>
      </c>
      <c r="T1966" s="15">
        <f t="shared" si="3"/>
        <v>0.1924500897</v>
      </c>
      <c r="U1966" s="15">
        <f t="shared" si="4"/>
        <v>0.04225965357</v>
      </c>
      <c r="V1966" s="16">
        <f>IF(AND(L1966="Among all respondents",NOT(OR(K1966="Online poll in Telegram channel",K1966="Website online poll",K1966="CAWI (Computer Assisted Web Interviewing)"))),1/(1-MIN(MAX(Formula!$C$33+(YEAR(D1966)-Formula!$C$34)/(Formula!$C$35-Formula!$C$34)*(Formula!$C$32-Formula!$C$33),Formula!$C$33),Formula!$C$32)),1)</f>
        <v>1</v>
      </c>
      <c r="W1966" s="17">
        <f t="shared" si="5"/>
        <v>8.7</v>
      </c>
    </row>
    <row r="1967" ht="15.75" customHeight="1">
      <c r="A1967" s="8" t="s">
        <v>2819</v>
      </c>
      <c r="B1967" s="7" t="s">
        <v>2814</v>
      </c>
      <c r="C1967" s="13" t="s">
        <v>2815</v>
      </c>
      <c r="D1967" s="7" t="s">
        <v>242</v>
      </c>
      <c r="E1967" s="8" t="s">
        <v>72</v>
      </c>
      <c r="F1967" s="8" t="s">
        <v>318</v>
      </c>
      <c r="G1967" s="7" t="s">
        <v>2816</v>
      </c>
      <c r="H1967" s="7" t="s">
        <v>245</v>
      </c>
      <c r="I1967" s="8">
        <v>1200.0</v>
      </c>
      <c r="J1967" s="8">
        <v>2.9</v>
      </c>
      <c r="K1967" s="8" t="s">
        <v>583</v>
      </c>
      <c r="L1967" s="8" t="s">
        <v>322</v>
      </c>
      <c r="M1967" s="8" t="s">
        <v>337</v>
      </c>
      <c r="N1967" s="8">
        <v>7.5</v>
      </c>
      <c r="O1967" s="14">
        <f t="shared" si="1"/>
        <v>44166</v>
      </c>
      <c r="P1967" s="15">
        <f>IFERROR(VLOOKUP(K1967,Formula!$A$11:$B$20,2,FALSE),Formula!$C$26)</f>
        <v>0.95</v>
      </c>
      <c r="Q1967" s="15">
        <f>IF(AND(ISNUMBER(J1967),J1967&gt;0),1/J1967,IF(AND(ISNUMBER(I1967),I1967&gt;0),SQRT(MIN(I1967,Formula!$C$27))/Formula!$C$24,1/Formula!$C$25))</f>
        <v>0.3448275862</v>
      </c>
      <c r="R1967" s="15">
        <f t="shared" si="2"/>
        <v>0.3275862069</v>
      </c>
      <c r="S1967" s="15">
        <f>IF(H1967&lt;&gt;"",EXP(-Formula!$C$28*(EOMONTH(H1967,0)-H1967)),EXP(-Formula!$C$28*(EOMONTH(D1967,0)-D1967)))</f>
        <v>0.670320046</v>
      </c>
      <c r="T1967" s="15">
        <f t="shared" si="3"/>
        <v>0.1924500897</v>
      </c>
      <c r="U1967" s="15">
        <f t="shared" si="4"/>
        <v>0.04225965357</v>
      </c>
      <c r="V1967" s="16">
        <f>IF(AND(L1967="Among all respondents",NOT(OR(K1967="Online poll in Telegram channel",K1967="Website online poll",K1967="CAWI (Computer Assisted Web Interviewing)"))),1/(1-MIN(MAX(Formula!$C$33+(YEAR(D1967)-Formula!$C$34)/(Formula!$C$35-Formula!$C$34)*(Formula!$C$32-Formula!$C$33),Formula!$C$33),Formula!$C$32)),1)</f>
        <v>1</v>
      </c>
      <c r="W1967" s="17">
        <f t="shared" si="5"/>
        <v>7.5</v>
      </c>
    </row>
    <row r="1968" ht="15.75" customHeight="1">
      <c r="A1968" s="8" t="s">
        <v>2821</v>
      </c>
      <c r="B1968" s="7" t="s">
        <v>2814</v>
      </c>
      <c r="C1968" s="13" t="s">
        <v>2815</v>
      </c>
      <c r="D1968" s="7" t="s">
        <v>242</v>
      </c>
      <c r="E1968" s="8" t="s">
        <v>72</v>
      </c>
      <c r="F1968" s="8" t="s">
        <v>318</v>
      </c>
      <c r="G1968" s="7" t="s">
        <v>2816</v>
      </c>
      <c r="H1968" s="7" t="s">
        <v>245</v>
      </c>
      <c r="I1968" s="8">
        <v>1200.0</v>
      </c>
      <c r="J1968" s="8">
        <v>2.9</v>
      </c>
      <c r="K1968" s="8" t="s">
        <v>583</v>
      </c>
      <c r="L1968" s="8" t="s">
        <v>322</v>
      </c>
      <c r="M1968" s="8" t="s">
        <v>388</v>
      </c>
      <c r="N1968" s="8">
        <v>6.3</v>
      </c>
      <c r="O1968" s="14">
        <f t="shared" si="1"/>
        <v>44166</v>
      </c>
      <c r="P1968" s="15">
        <f>IFERROR(VLOOKUP(K1968,Formula!$A$11:$B$20,2,FALSE),Formula!$C$26)</f>
        <v>0.95</v>
      </c>
      <c r="Q1968" s="15">
        <f>IF(AND(ISNUMBER(J1968),J1968&gt;0),1/J1968,IF(AND(ISNUMBER(I1968),I1968&gt;0),SQRT(MIN(I1968,Formula!$C$27))/Formula!$C$24,1/Formula!$C$25))</f>
        <v>0.3448275862</v>
      </c>
      <c r="R1968" s="15">
        <f t="shared" si="2"/>
        <v>0.3275862069</v>
      </c>
      <c r="S1968" s="15">
        <f>IF(H1968&lt;&gt;"",EXP(-Formula!$C$28*(EOMONTH(H1968,0)-H1968)),EXP(-Formula!$C$28*(EOMONTH(D1968,0)-D1968)))</f>
        <v>0.670320046</v>
      </c>
      <c r="T1968" s="15">
        <f t="shared" si="3"/>
        <v>0.1924500897</v>
      </c>
      <c r="U1968" s="15">
        <f t="shared" si="4"/>
        <v>0.04225965357</v>
      </c>
      <c r="V1968" s="16">
        <f>IF(AND(L1968="Among all respondents",NOT(OR(K1968="Online poll in Telegram channel",K1968="Website online poll",K1968="CAWI (Computer Assisted Web Interviewing)"))),1/(1-MIN(MAX(Formula!$C$33+(YEAR(D1968)-Formula!$C$34)/(Formula!$C$35-Formula!$C$34)*(Formula!$C$32-Formula!$C$33),Formula!$C$33),Formula!$C$32)),1)</f>
        <v>1</v>
      </c>
      <c r="W1968" s="17">
        <f t="shared" si="5"/>
        <v>6.3</v>
      </c>
    </row>
    <row r="1969" ht="15.75" customHeight="1">
      <c r="A1969" s="8" t="s">
        <v>2822</v>
      </c>
      <c r="B1969" s="7" t="s">
        <v>2814</v>
      </c>
      <c r="C1969" s="13" t="s">
        <v>2815</v>
      </c>
      <c r="D1969" s="7" t="s">
        <v>242</v>
      </c>
      <c r="E1969" s="8" t="s">
        <v>72</v>
      </c>
      <c r="F1969" s="8" t="s">
        <v>318</v>
      </c>
      <c r="G1969" s="7" t="s">
        <v>2816</v>
      </c>
      <c r="H1969" s="7" t="s">
        <v>245</v>
      </c>
      <c r="I1969" s="8">
        <v>1200.0</v>
      </c>
      <c r="J1969" s="8">
        <v>2.9</v>
      </c>
      <c r="K1969" s="8" t="s">
        <v>583</v>
      </c>
      <c r="L1969" s="8" t="s">
        <v>322</v>
      </c>
      <c r="M1969" s="8" t="s">
        <v>386</v>
      </c>
      <c r="N1969" s="8">
        <v>5.5</v>
      </c>
      <c r="O1969" s="14">
        <f t="shared" si="1"/>
        <v>44166</v>
      </c>
      <c r="P1969" s="15">
        <f>IFERROR(VLOOKUP(K1969,Formula!$A$11:$B$20,2,FALSE),Formula!$C$26)</f>
        <v>0.95</v>
      </c>
      <c r="Q1969" s="15">
        <f>IF(AND(ISNUMBER(J1969),J1969&gt;0),1/J1969,IF(AND(ISNUMBER(I1969),I1969&gt;0),SQRT(MIN(I1969,Formula!$C$27))/Formula!$C$24,1/Formula!$C$25))</f>
        <v>0.3448275862</v>
      </c>
      <c r="R1969" s="15">
        <f t="shared" si="2"/>
        <v>0.3275862069</v>
      </c>
      <c r="S1969" s="15">
        <f>IF(H1969&lt;&gt;"",EXP(-Formula!$C$28*(EOMONTH(H1969,0)-H1969)),EXP(-Formula!$C$28*(EOMONTH(D1969,0)-D1969)))</f>
        <v>0.670320046</v>
      </c>
      <c r="T1969" s="15">
        <f t="shared" si="3"/>
        <v>0.1924500897</v>
      </c>
      <c r="U1969" s="15">
        <f t="shared" si="4"/>
        <v>0.04225965357</v>
      </c>
      <c r="V1969" s="16">
        <f>IF(AND(L1969="Among all respondents",NOT(OR(K1969="Online poll in Telegram channel",K1969="Website online poll",K1969="CAWI (Computer Assisted Web Interviewing)"))),1/(1-MIN(MAX(Formula!$C$33+(YEAR(D1969)-Formula!$C$34)/(Formula!$C$35-Formula!$C$34)*(Formula!$C$32-Formula!$C$33),Formula!$C$33),Formula!$C$32)),1)</f>
        <v>1</v>
      </c>
      <c r="W1969" s="17">
        <f t="shared" si="5"/>
        <v>5.5</v>
      </c>
    </row>
    <row r="1970" ht="15.75" customHeight="1">
      <c r="A1970" s="8" t="s">
        <v>2823</v>
      </c>
      <c r="B1970" s="7" t="s">
        <v>2814</v>
      </c>
      <c r="C1970" s="13" t="s">
        <v>2815</v>
      </c>
      <c r="D1970" s="7" t="s">
        <v>242</v>
      </c>
      <c r="E1970" s="8" t="s">
        <v>72</v>
      </c>
      <c r="F1970" s="8" t="s">
        <v>318</v>
      </c>
      <c r="G1970" s="7" t="s">
        <v>2816</v>
      </c>
      <c r="H1970" s="7" t="s">
        <v>245</v>
      </c>
      <c r="I1970" s="8">
        <v>1200.0</v>
      </c>
      <c r="J1970" s="8">
        <v>2.9</v>
      </c>
      <c r="K1970" s="8" t="s">
        <v>583</v>
      </c>
      <c r="L1970" s="8" t="s">
        <v>322</v>
      </c>
      <c r="M1970" s="8" t="s">
        <v>339</v>
      </c>
      <c r="N1970" s="8">
        <v>4.1</v>
      </c>
      <c r="O1970" s="14">
        <f t="shared" si="1"/>
        <v>44166</v>
      </c>
      <c r="P1970" s="15">
        <f>IFERROR(VLOOKUP(K1970,Formula!$A$11:$B$20,2,FALSE),Formula!$C$26)</f>
        <v>0.95</v>
      </c>
      <c r="Q1970" s="15">
        <f>IF(AND(ISNUMBER(J1970),J1970&gt;0),1/J1970,IF(AND(ISNUMBER(I1970),I1970&gt;0),SQRT(MIN(I1970,Formula!$C$27))/Formula!$C$24,1/Formula!$C$25))</f>
        <v>0.3448275862</v>
      </c>
      <c r="R1970" s="15">
        <f t="shared" si="2"/>
        <v>0.3275862069</v>
      </c>
      <c r="S1970" s="15">
        <f>IF(H1970&lt;&gt;"",EXP(-Formula!$C$28*(EOMONTH(H1970,0)-H1970)),EXP(-Formula!$C$28*(EOMONTH(D1970,0)-D1970)))</f>
        <v>0.670320046</v>
      </c>
      <c r="T1970" s="15">
        <f t="shared" si="3"/>
        <v>0.1924500897</v>
      </c>
      <c r="U1970" s="15">
        <f t="shared" si="4"/>
        <v>0.04225965357</v>
      </c>
      <c r="V1970" s="16">
        <f>IF(AND(L1970="Among all respondents",NOT(OR(K1970="Online poll in Telegram channel",K1970="Website online poll",K1970="CAWI (Computer Assisted Web Interviewing)"))),1/(1-MIN(MAX(Formula!$C$33+(YEAR(D1970)-Formula!$C$34)/(Formula!$C$35-Formula!$C$34)*(Formula!$C$32-Formula!$C$33),Formula!$C$33),Formula!$C$32)),1)</f>
        <v>1</v>
      </c>
      <c r="W1970" s="17">
        <f t="shared" si="5"/>
        <v>4.1</v>
      </c>
    </row>
    <row r="1971" ht="15.75" customHeight="1">
      <c r="A1971" s="8" t="s">
        <v>2830</v>
      </c>
      <c r="B1971" s="7" t="s">
        <v>2814</v>
      </c>
      <c r="C1971" s="13" t="s">
        <v>2815</v>
      </c>
      <c r="D1971" s="7" t="s">
        <v>242</v>
      </c>
      <c r="E1971" s="8" t="s">
        <v>72</v>
      </c>
      <c r="F1971" s="8" t="s">
        <v>318</v>
      </c>
      <c r="G1971" s="7" t="s">
        <v>2816</v>
      </c>
      <c r="H1971" s="7" t="s">
        <v>245</v>
      </c>
      <c r="I1971" s="8">
        <v>1200.0</v>
      </c>
      <c r="J1971" s="8">
        <v>2.9</v>
      </c>
      <c r="K1971" s="8" t="s">
        <v>583</v>
      </c>
      <c r="L1971" s="8" t="s">
        <v>322</v>
      </c>
      <c r="M1971" s="8" t="s">
        <v>333</v>
      </c>
      <c r="N1971" s="8">
        <v>3.4</v>
      </c>
      <c r="O1971" s="14">
        <f t="shared" si="1"/>
        <v>44166</v>
      </c>
      <c r="P1971" s="15">
        <f>IFERROR(VLOOKUP(K1971,Formula!$A$11:$B$20,2,FALSE),Formula!$C$26)</f>
        <v>0.95</v>
      </c>
      <c r="Q1971" s="15">
        <f>IF(AND(ISNUMBER(J1971),J1971&gt;0),1/J1971,IF(AND(ISNUMBER(I1971),I1971&gt;0),SQRT(MIN(I1971,Formula!$C$27))/Formula!$C$24,1/Formula!$C$25))</f>
        <v>0.3448275862</v>
      </c>
      <c r="R1971" s="15">
        <f t="shared" si="2"/>
        <v>0.3275862069</v>
      </c>
      <c r="S1971" s="15">
        <f>IF(H1971&lt;&gt;"",EXP(-Formula!$C$28*(EOMONTH(H1971,0)-H1971)),EXP(-Formula!$C$28*(EOMONTH(D1971,0)-D1971)))</f>
        <v>0.670320046</v>
      </c>
      <c r="T1971" s="15">
        <f t="shared" si="3"/>
        <v>0.1924500897</v>
      </c>
      <c r="U1971" s="15">
        <f t="shared" si="4"/>
        <v>0.04225965357</v>
      </c>
      <c r="V1971" s="16">
        <f>IF(AND(L1971="Among all respondents",NOT(OR(K1971="Online poll in Telegram channel",K1971="Website online poll",K1971="CAWI (Computer Assisted Web Interviewing)"))),1/(1-MIN(MAX(Formula!$C$33+(YEAR(D1971)-Formula!$C$34)/(Formula!$C$35-Formula!$C$34)*(Formula!$C$32-Formula!$C$33),Formula!$C$33),Formula!$C$32)),1)</f>
        <v>1</v>
      </c>
      <c r="W1971" s="17">
        <f t="shared" si="5"/>
        <v>3.4</v>
      </c>
    </row>
    <row r="1972" ht="15.75" customHeight="1">
      <c r="A1972" s="8" t="s">
        <v>2824</v>
      </c>
      <c r="B1972" s="7" t="s">
        <v>2814</v>
      </c>
      <c r="C1972" s="13" t="s">
        <v>2815</v>
      </c>
      <c r="D1972" s="7" t="s">
        <v>242</v>
      </c>
      <c r="E1972" s="8" t="s">
        <v>72</v>
      </c>
      <c r="F1972" s="8" t="s">
        <v>318</v>
      </c>
      <c r="G1972" s="7" t="s">
        <v>2816</v>
      </c>
      <c r="H1972" s="7" t="s">
        <v>245</v>
      </c>
      <c r="I1972" s="8">
        <v>1200.0</v>
      </c>
      <c r="J1972" s="8">
        <v>2.9</v>
      </c>
      <c r="K1972" s="8" t="s">
        <v>583</v>
      </c>
      <c r="L1972" s="8" t="s">
        <v>322</v>
      </c>
      <c r="M1972" s="8" t="s">
        <v>343</v>
      </c>
      <c r="N1972" s="8">
        <v>2.2</v>
      </c>
      <c r="O1972" s="14">
        <f t="shared" si="1"/>
        <v>44166</v>
      </c>
      <c r="P1972" s="15">
        <f>IFERROR(VLOOKUP(K1972,Formula!$A$11:$B$20,2,FALSE),Formula!$C$26)</f>
        <v>0.95</v>
      </c>
      <c r="Q1972" s="15">
        <f>IF(AND(ISNUMBER(J1972),J1972&gt;0),1/J1972,IF(AND(ISNUMBER(I1972),I1972&gt;0),SQRT(MIN(I1972,Formula!$C$27))/Formula!$C$24,1/Formula!$C$25))</f>
        <v>0.3448275862</v>
      </c>
      <c r="R1972" s="15">
        <f t="shared" si="2"/>
        <v>0.3275862069</v>
      </c>
      <c r="S1972" s="15">
        <f>IF(H1972&lt;&gt;"",EXP(-Formula!$C$28*(EOMONTH(H1972,0)-H1972)),EXP(-Formula!$C$28*(EOMONTH(D1972,0)-D1972)))</f>
        <v>0.670320046</v>
      </c>
      <c r="T1972" s="15">
        <f t="shared" si="3"/>
        <v>0.1924500897</v>
      </c>
      <c r="U1972" s="15">
        <f t="shared" si="4"/>
        <v>0.04225965357</v>
      </c>
      <c r="V1972" s="16">
        <f>IF(AND(L1972="Among all respondents",NOT(OR(K1972="Online poll in Telegram channel",K1972="Website online poll",K1972="CAWI (Computer Assisted Web Interviewing)"))),1/(1-MIN(MAX(Formula!$C$33+(YEAR(D1972)-Formula!$C$34)/(Formula!$C$35-Formula!$C$34)*(Formula!$C$32-Formula!$C$33),Formula!$C$33),Formula!$C$32)),1)</f>
        <v>1</v>
      </c>
      <c r="W1972" s="17">
        <f t="shared" si="5"/>
        <v>2.2</v>
      </c>
    </row>
    <row r="1973" ht="15.75" customHeight="1">
      <c r="A1973" s="8" t="s">
        <v>2828</v>
      </c>
      <c r="B1973" s="7" t="s">
        <v>2814</v>
      </c>
      <c r="C1973" s="13" t="s">
        <v>2815</v>
      </c>
      <c r="D1973" s="7" t="s">
        <v>242</v>
      </c>
      <c r="E1973" s="8" t="s">
        <v>72</v>
      </c>
      <c r="F1973" s="8" t="s">
        <v>318</v>
      </c>
      <c r="G1973" s="7" t="s">
        <v>2816</v>
      </c>
      <c r="H1973" s="7" t="s">
        <v>245</v>
      </c>
      <c r="I1973" s="8">
        <v>1200.0</v>
      </c>
      <c r="J1973" s="8">
        <v>2.9</v>
      </c>
      <c r="K1973" s="8" t="s">
        <v>583</v>
      </c>
      <c r="L1973" s="8" t="s">
        <v>322</v>
      </c>
      <c r="M1973" s="8" t="s">
        <v>740</v>
      </c>
      <c r="N1973" s="8">
        <v>1.7</v>
      </c>
      <c r="O1973" s="14">
        <f t="shared" si="1"/>
        <v>44166</v>
      </c>
      <c r="P1973" s="15">
        <f>IFERROR(VLOOKUP(K1973,Formula!$A$11:$B$20,2,FALSE),Formula!$C$26)</f>
        <v>0.95</v>
      </c>
      <c r="Q1973" s="15">
        <f>IF(AND(ISNUMBER(J1973),J1973&gt;0),1/J1973,IF(AND(ISNUMBER(I1973),I1973&gt;0),SQRT(MIN(I1973,Formula!$C$27))/Formula!$C$24,1/Formula!$C$25))</f>
        <v>0.3448275862</v>
      </c>
      <c r="R1973" s="15">
        <f t="shared" si="2"/>
        <v>0.3275862069</v>
      </c>
      <c r="S1973" s="15">
        <f>IF(H1973&lt;&gt;"",EXP(-Formula!$C$28*(EOMONTH(H1973,0)-H1973)),EXP(-Formula!$C$28*(EOMONTH(D1973,0)-D1973)))</f>
        <v>0.670320046</v>
      </c>
      <c r="T1973" s="15">
        <f t="shared" si="3"/>
        <v>0.1924500897</v>
      </c>
      <c r="U1973" s="15">
        <f t="shared" si="4"/>
        <v>0.04225965357</v>
      </c>
      <c r="V1973" s="16">
        <f>IF(AND(L1973="Among all respondents",NOT(OR(K1973="Online poll in Telegram channel",K1973="Website online poll",K1973="CAWI (Computer Assisted Web Interviewing)"))),1/(1-MIN(MAX(Formula!$C$33+(YEAR(D1973)-Formula!$C$34)/(Formula!$C$35-Formula!$C$34)*(Formula!$C$32-Formula!$C$33),Formula!$C$33),Formula!$C$32)),1)</f>
        <v>1</v>
      </c>
      <c r="W1973" s="17">
        <f t="shared" si="5"/>
        <v>1.7</v>
      </c>
    </row>
    <row r="1974" ht="15.75" customHeight="1">
      <c r="A1974" s="8" t="s">
        <v>2826</v>
      </c>
      <c r="B1974" s="7" t="s">
        <v>2814</v>
      </c>
      <c r="C1974" s="13" t="s">
        <v>2815</v>
      </c>
      <c r="D1974" s="7" t="s">
        <v>242</v>
      </c>
      <c r="E1974" s="8" t="s">
        <v>72</v>
      </c>
      <c r="F1974" s="8" t="s">
        <v>318</v>
      </c>
      <c r="G1974" s="7" t="s">
        <v>2816</v>
      </c>
      <c r="H1974" s="7" t="s">
        <v>245</v>
      </c>
      <c r="I1974" s="8">
        <v>1200.0</v>
      </c>
      <c r="J1974" s="8">
        <v>2.9</v>
      </c>
      <c r="K1974" s="8" t="s">
        <v>583</v>
      </c>
      <c r="L1974" s="8" t="s">
        <v>322</v>
      </c>
      <c r="M1974" s="8" t="s">
        <v>345</v>
      </c>
      <c r="N1974" s="8">
        <v>1.2</v>
      </c>
      <c r="O1974" s="14">
        <f t="shared" si="1"/>
        <v>44166</v>
      </c>
      <c r="P1974" s="15">
        <f>IFERROR(VLOOKUP(K1974,Formula!$A$11:$B$20,2,FALSE),Formula!$C$26)</f>
        <v>0.95</v>
      </c>
      <c r="Q1974" s="15">
        <f>IF(AND(ISNUMBER(J1974),J1974&gt;0),1/J1974,IF(AND(ISNUMBER(I1974),I1974&gt;0),SQRT(MIN(I1974,Formula!$C$27))/Formula!$C$24,1/Formula!$C$25))</f>
        <v>0.3448275862</v>
      </c>
      <c r="R1974" s="15">
        <f t="shared" si="2"/>
        <v>0.3275862069</v>
      </c>
      <c r="S1974" s="15">
        <f>IF(H1974&lt;&gt;"",EXP(-Formula!$C$28*(EOMONTH(H1974,0)-H1974)),EXP(-Formula!$C$28*(EOMONTH(D1974,0)-D1974)))</f>
        <v>0.670320046</v>
      </c>
      <c r="T1974" s="15">
        <f t="shared" si="3"/>
        <v>0.1924500897</v>
      </c>
      <c r="U1974" s="15">
        <f t="shared" si="4"/>
        <v>0.04225965357</v>
      </c>
      <c r="V1974" s="16">
        <f>IF(AND(L1974="Among all respondents",NOT(OR(K1974="Online poll in Telegram channel",K1974="Website online poll",K1974="CAWI (Computer Assisted Web Interviewing)"))),1/(1-MIN(MAX(Formula!$C$33+(YEAR(D1974)-Formula!$C$34)/(Formula!$C$35-Formula!$C$34)*(Formula!$C$32-Formula!$C$33),Formula!$C$33),Formula!$C$32)),1)</f>
        <v>1</v>
      </c>
      <c r="W1974" s="17">
        <f t="shared" si="5"/>
        <v>1.2</v>
      </c>
    </row>
    <row r="1975" ht="15.75" customHeight="1">
      <c r="A1975" s="8" t="s">
        <v>2827</v>
      </c>
      <c r="B1975" s="7" t="s">
        <v>2814</v>
      </c>
      <c r="C1975" s="13" t="s">
        <v>2815</v>
      </c>
      <c r="D1975" s="7" t="s">
        <v>242</v>
      </c>
      <c r="E1975" s="8" t="s">
        <v>72</v>
      </c>
      <c r="F1975" s="8" t="s">
        <v>318</v>
      </c>
      <c r="G1975" s="7" t="s">
        <v>2816</v>
      </c>
      <c r="H1975" s="7" t="s">
        <v>245</v>
      </c>
      <c r="I1975" s="8">
        <v>1200.0</v>
      </c>
      <c r="J1975" s="8">
        <v>2.9</v>
      </c>
      <c r="K1975" s="8" t="s">
        <v>583</v>
      </c>
      <c r="L1975" s="8" t="s">
        <v>322</v>
      </c>
      <c r="M1975" s="8" t="s">
        <v>335</v>
      </c>
      <c r="N1975" s="8">
        <v>0.9</v>
      </c>
      <c r="O1975" s="14">
        <f t="shared" si="1"/>
        <v>44166</v>
      </c>
      <c r="P1975" s="15">
        <f>IFERROR(VLOOKUP(K1975,Formula!$A$11:$B$20,2,FALSE),Formula!$C$26)</f>
        <v>0.95</v>
      </c>
      <c r="Q1975" s="15">
        <f>IF(AND(ISNUMBER(J1975),J1975&gt;0),1/J1975,IF(AND(ISNUMBER(I1975),I1975&gt;0),SQRT(MIN(I1975,Formula!$C$27))/Formula!$C$24,1/Formula!$C$25))</f>
        <v>0.3448275862</v>
      </c>
      <c r="R1975" s="15">
        <f t="shared" si="2"/>
        <v>0.3275862069</v>
      </c>
      <c r="S1975" s="15">
        <f>IF(H1975&lt;&gt;"",EXP(-Formula!$C$28*(EOMONTH(H1975,0)-H1975)),EXP(-Formula!$C$28*(EOMONTH(D1975,0)-D1975)))</f>
        <v>0.670320046</v>
      </c>
      <c r="T1975" s="15">
        <f t="shared" si="3"/>
        <v>0.1924500897</v>
      </c>
      <c r="U1975" s="15">
        <f t="shared" si="4"/>
        <v>0.04225965357</v>
      </c>
      <c r="V1975" s="16">
        <f>IF(AND(L1975="Among all respondents",NOT(OR(K1975="Online poll in Telegram channel",K1975="Website online poll",K1975="CAWI (Computer Assisted Web Interviewing)"))),1/(1-MIN(MAX(Formula!$C$33+(YEAR(D1975)-Formula!$C$34)/(Formula!$C$35-Formula!$C$34)*(Formula!$C$32-Formula!$C$33),Formula!$C$33),Formula!$C$32)),1)</f>
        <v>1</v>
      </c>
      <c r="W1975" s="17">
        <f t="shared" si="5"/>
        <v>0.9</v>
      </c>
    </row>
    <row r="1976" ht="15.75" customHeight="1">
      <c r="A1976" s="8" t="s">
        <v>2825</v>
      </c>
      <c r="B1976" s="7" t="s">
        <v>2814</v>
      </c>
      <c r="C1976" s="13" t="s">
        <v>2815</v>
      </c>
      <c r="D1976" s="7" t="s">
        <v>242</v>
      </c>
      <c r="E1976" s="8" t="s">
        <v>72</v>
      </c>
      <c r="F1976" s="8" t="s">
        <v>318</v>
      </c>
      <c r="G1976" s="7" t="s">
        <v>2816</v>
      </c>
      <c r="H1976" s="7" t="s">
        <v>245</v>
      </c>
      <c r="I1976" s="8">
        <v>1200.0</v>
      </c>
      <c r="J1976" s="8">
        <v>2.9</v>
      </c>
      <c r="K1976" s="8" t="s">
        <v>583</v>
      </c>
      <c r="L1976" s="8" t="s">
        <v>322</v>
      </c>
      <c r="M1976" s="8" t="s">
        <v>1663</v>
      </c>
      <c r="N1976" s="8">
        <v>0.8</v>
      </c>
      <c r="O1976" s="14">
        <f t="shared" si="1"/>
        <v>44166</v>
      </c>
      <c r="P1976" s="15">
        <f>IFERROR(VLOOKUP(K1976,Formula!$A$11:$B$20,2,FALSE),Formula!$C$26)</f>
        <v>0.95</v>
      </c>
      <c r="Q1976" s="15">
        <f>IF(AND(ISNUMBER(J1976),J1976&gt;0),1/J1976,IF(AND(ISNUMBER(I1976),I1976&gt;0),SQRT(MIN(I1976,Formula!$C$27))/Formula!$C$24,1/Formula!$C$25))</f>
        <v>0.3448275862</v>
      </c>
      <c r="R1976" s="15">
        <f t="shared" si="2"/>
        <v>0.3275862069</v>
      </c>
      <c r="S1976" s="15">
        <f>IF(H1976&lt;&gt;"",EXP(-Formula!$C$28*(EOMONTH(H1976,0)-H1976)),EXP(-Formula!$C$28*(EOMONTH(D1976,0)-D1976)))</f>
        <v>0.670320046</v>
      </c>
      <c r="T1976" s="15">
        <f t="shared" si="3"/>
        <v>0.1924500897</v>
      </c>
      <c r="U1976" s="15">
        <f t="shared" si="4"/>
        <v>0.04225965357</v>
      </c>
      <c r="V1976" s="16">
        <f>IF(AND(L1976="Among all respondents",NOT(OR(K1976="Online poll in Telegram channel",K1976="Website online poll",K1976="CAWI (Computer Assisted Web Interviewing)"))),1/(1-MIN(MAX(Formula!$C$33+(YEAR(D1976)-Formula!$C$34)/(Formula!$C$35-Formula!$C$34)*(Formula!$C$32-Formula!$C$33),Formula!$C$33),Formula!$C$32)),1)</f>
        <v>1</v>
      </c>
      <c r="W1976" s="17">
        <f t="shared" si="5"/>
        <v>0.8</v>
      </c>
    </row>
    <row r="1977" ht="15.75" customHeight="1">
      <c r="A1977" s="8" t="s">
        <v>2831</v>
      </c>
      <c r="B1977" s="7" t="s">
        <v>2832</v>
      </c>
      <c r="C1977" s="13" t="s">
        <v>2833</v>
      </c>
      <c r="D1977" s="7" t="s">
        <v>244</v>
      </c>
      <c r="E1977" s="8" t="s">
        <v>150</v>
      </c>
      <c r="F1977" s="8" t="s">
        <v>318</v>
      </c>
      <c r="G1977" s="7" t="s">
        <v>246</v>
      </c>
      <c r="H1977" s="7" t="s">
        <v>245</v>
      </c>
      <c r="I1977" s="8">
        <v>1205.0</v>
      </c>
      <c r="J1977" s="8">
        <v>3.0</v>
      </c>
      <c r="K1977" s="8" t="s">
        <v>583</v>
      </c>
      <c r="L1977" s="8" t="s">
        <v>322</v>
      </c>
      <c r="M1977" s="8" t="s">
        <v>323</v>
      </c>
      <c r="N1977" s="8">
        <v>26.2</v>
      </c>
      <c r="O1977" s="14">
        <f t="shared" si="1"/>
        <v>44166</v>
      </c>
      <c r="P1977" s="15">
        <f>IFERROR(VLOOKUP(K1977,Formula!$A$11:$B$20,2,FALSE),Formula!$C$26)</f>
        <v>0.95</v>
      </c>
      <c r="Q1977" s="15">
        <f>IF(AND(ISNUMBER(J1977),J1977&gt;0),1/J1977,IF(AND(ISNUMBER(I1977),I1977&gt;0),SQRT(MIN(I1977,Formula!$C$27))/Formula!$C$24,1/Formula!$C$25))</f>
        <v>0.3333333333</v>
      </c>
      <c r="R1977" s="15">
        <f t="shared" si="2"/>
        <v>0.3166666667</v>
      </c>
      <c r="S1977" s="15">
        <f>IF(H1977&lt;&gt;"",EXP(-Formula!$C$28*(EOMONTH(H1977,0)-H1977)),EXP(-Formula!$C$28*(EOMONTH(D1977,0)-D1977)))</f>
        <v>0.670320046</v>
      </c>
      <c r="T1977" s="15">
        <f t="shared" si="3"/>
        <v>0.3333333333</v>
      </c>
      <c r="U1977" s="15">
        <f t="shared" si="4"/>
        <v>0.07075600486</v>
      </c>
      <c r="V1977" s="16">
        <f>IF(AND(L1977="Among all respondents",NOT(OR(K1977="Online poll in Telegram channel",K1977="Website online poll",K1977="CAWI (Computer Assisted Web Interviewing)"))),1/(1-MIN(MAX(Formula!$C$33+(YEAR(D1977)-Formula!$C$34)/(Formula!$C$35-Formula!$C$34)*(Formula!$C$32-Formula!$C$33),Formula!$C$33),Formula!$C$32)),1)</f>
        <v>1</v>
      </c>
      <c r="W1977" s="17">
        <f t="shared" si="5"/>
        <v>26.2</v>
      </c>
    </row>
    <row r="1978" ht="15.75" customHeight="1">
      <c r="A1978" s="8" t="s">
        <v>2834</v>
      </c>
      <c r="B1978" s="7" t="s">
        <v>2832</v>
      </c>
      <c r="C1978" s="13" t="s">
        <v>2833</v>
      </c>
      <c r="D1978" s="7" t="s">
        <v>244</v>
      </c>
      <c r="E1978" s="8" t="s">
        <v>150</v>
      </c>
      <c r="F1978" s="8" t="s">
        <v>318</v>
      </c>
      <c r="G1978" s="7" t="s">
        <v>246</v>
      </c>
      <c r="H1978" s="7" t="s">
        <v>245</v>
      </c>
      <c r="I1978" s="8">
        <v>1205.0</v>
      </c>
      <c r="J1978" s="8">
        <v>3.0</v>
      </c>
      <c r="K1978" s="8" t="s">
        <v>583</v>
      </c>
      <c r="L1978" s="8" t="s">
        <v>322</v>
      </c>
      <c r="M1978" s="8" t="s">
        <v>365</v>
      </c>
      <c r="N1978" s="8">
        <v>22.3</v>
      </c>
      <c r="O1978" s="14">
        <f t="shared" si="1"/>
        <v>44166</v>
      </c>
      <c r="P1978" s="15">
        <f>IFERROR(VLOOKUP(K1978,Formula!$A$11:$B$20,2,FALSE),Formula!$C$26)</f>
        <v>0.95</v>
      </c>
      <c r="Q1978" s="15">
        <f>IF(AND(ISNUMBER(J1978),J1978&gt;0),1/J1978,IF(AND(ISNUMBER(I1978),I1978&gt;0),SQRT(MIN(I1978,Formula!$C$27))/Formula!$C$24,1/Formula!$C$25))</f>
        <v>0.3333333333</v>
      </c>
      <c r="R1978" s="15">
        <f t="shared" si="2"/>
        <v>0.3166666667</v>
      </c>
      <c r="S1978" s="15">
        <f>IF(H1978&lt;&gt;"",EXP(-Formula!$C$28*(EOMONTH(H1978,0)-H1978)),EXP(-Formula!$C$28*(EOMONTH(D1978,0)-D1978)))</f>
        <v>0.670320046</v>
      </c>
      <c r="T1978" s="15">
        <f t="shared" si="3"/>
        <v>0.3333333333</v>
      </c>
      <c r="U1978" s="15">
        <f t="shared" si="4"/>
        <v>0.07075600486</v>
      </c>
      <c r="V1978" s="16">
        <f>IF(AND(L1978="Among all respondents",NOT(OR(K1978="Online poll in Telegram channel",K1978="Website online poll",K1978="CAWI (Computer Assisted Web Interviewing)"))),1/(1-MIN(MAX(Formula!$C$33+(YEAR(D1978)-Formula!$C$34)/(Formula!$C$35-Formula!$C$34)*(Formula!$C$32-Formula!$C$33),Formula!$C$33),Formula!$C$32)),1)</f>
        <v>1</v>
      </c>
      <c r="W1978" s="17">
        <f t="shared" si="5"/>
        <v>22.3</v>
      </c>
    </row>
    <row r="1979" ht="15.75" customHeight="1">
      <c r="A1979" s="8" t="s">
        <v>2835</v>
      </c>
      <c r="B1979" s="7" t="s">
        <v>2832</v>
      </c>
      <c r="C1979" s="13" t="s">
        <v>2833</v>
      </c>
      <c r="D1979" s="7" t="s">
        <v>244</v>
      </c>
      <c r="E1979" s="8" t="s">
        <v>150</v>
      </c>
      <c r="F1979" s="8" t="s">
        <v>318</v>
      </c>
      <c r="G1979" s="7" t="s">
        <v>246</v>
      </c>
      <c r="H1979" s="7" t="s">
        <v>245</v>
      </c>
      <c r="I1979" s="8">
        <v>1205.0</v>
      </c>
      <c r="J1979" s="8">
        <v>3.0</v>
      </c>
      <c r="K1979" s="8" t="s">
        <v>583</v>
      </c>
      <c r="L1979" s="8" t="s">
        <v>322</v>
      </c>
      <c r="M1979" s="8" t="s">
        <v>329</v>
      </c>
      <c r="N1979" s="8">
        <v>14.6</v>
      </c>
      <c r="O1979" s="14">
        <f t="shared" si="1"/>
        <v>44166</v>
      </c>
      <c r="P1979" s="15">
        <f>IFERROR(VLOOKUP(K1979,Formula!$A$11:$B$20,2,FALSE),Formula!$C$26)</f>
        <v>0.95</v>
      </c>
      <c r="Q1979" s="15">
        <f>IF(AND(ISNUMBER(J1979),J1979&gt;0),1/J1979,IF(AND(ISNUMBER(I1979),I1979&gt;0),SQRT(MIN(I1979,Formula!$C$27))/Formula!$C$24,1/Formula!$C$25))</f>
        <v>0.3333333333</v>
      </c>
      <c r="R1979" s="15">
        <f t="shared" si="2"/>
        <v>0.3166666667</v>
      </c>
      <c r="S1979" s="15">
        <f>IF(H1979&lt;&gt;"",EXP(-Formula!$C$28*(EOMONTH(H1979,0)-H1979)),EXP(-Formula!$C$28*(EOMONTH(D1979,0)-D1979)))</f>
        <v>0.670320046</v>
      </c>
      <c r="T1979" s="15">
        <f t="shared" si="3"/>
        <v>0.3333333333</v>
      </c>
      <c r="U1979" s="15">
        <f t="shared" si="4"/>
        <v>0.07075600486</v>
      </c>
      <c r="V1979" s="16">
        <f>IF(AND(L1979="Among all respondents",NOT(OR(K1979="Online poll in Telegram channel",K1979="Website online poll",K1979="CAWI (Computer Assisted Web Interviewing)"))),1/(1-MIN(MAX(Formula!$C$33+(YEAR(D1979)-Formula!$C$34)/(Formula!$C$35-Formula!$C$34)*(Formula!$C$32-Formula!$C$33),Formula!$C$33),Formula!$C$32)),1)</f>
        <v>1</v>
      </c>
      <c r="W1979" s="17">
        <f t="shared" si="5"/>
        <v>14.6</v>
      </c>
    </row>
    <row r="1980" ht="15.75" customHeight="1">
      <c r="A1980" s="8" t="s">
        <v>2836</v>
      </c>
      <c r="B1980" s="7" t="s">
        <v>2832</v>
      </c>
      <c r="C1980" s="13" t="s">
        <v>2833</v>
      </c>
      <c r="D1980" s="7" t="s">
        <v>244</v>
      </c>
      <c r="E1980" s="8" t="s">
        <v>150</v>
      </c>
      <c r="F1980" s="8" t="s">
        <v>318</v>
      </c>
      <c r="G1980" s="7" t="s">
        <v>246</v>
      </c>
      <c r="H1980" s="7" t="s">
        <v>245</v>
      </c>
      <c r="I1980" s="8">
        <v>1205.0</v>
      </c>
      <c r="J1980" s="8">
        <v>3.0</v>
      </c>
      <c r="K1980" s="8" t="s">
        <v>583</v>
      </c>
      <c r="L1980" s="8" t="s">
        <v>322</v>
      </c>
      <c r="M1980" s="8" t="s">
        <v>337</v>
      </c>
      <c r="N1980" s="8">
        <v>6.2</v>
      </c>
      <c r="O1980" s="14">
        <f t="shared" si="1"/>
        <v>44166</v>
      </c>
      <c r="P1980" s="15">
        <f>IFERROR(VLOOKUP(K1980,Formula!$A$11:$B$20,2,FALSE),Formula!$C$26)</f>
        <v>0.95</v>
      </c>
      <c r="Q1980" s="15">
        <f>IF(AND(ISNUMBER(J1980),J1980&gt;0),1/J1980,IF(AND(ISNUMBER(I1980),I1980&gt;0),SQRT(MIN(I1980,Formula!$C$27))/Formula!$C$24,1/Formula!$C$25))</f>
        <v>0.3333333333</v>
      </c>
      <c r="R1980" s="15">
        <f t="shared" si="2"/>
        <v>0.3166666667</v>
      </c>
      <c r="S1980" s="15">
        <f>IF(H1980&lt;&gt;"",EXP(-Formula!$C$28*(EOMONTH(H1980,0)-H1980)),EXP(-Formula!$C$28*(EOMONTH(D1980,0)-D1980)))</f>
        <v>0.670320046</v>
      </c>
      <c r="T1980" s="15">
        <f t="shared" si="3"/>
        <v>0.3333333333</v>
      </c>
      <c r="U1980" s="15">
        <f t="shared" si="4"/>
        <v>0.07075600486</v>
      </c>
      <c r="V1980" s="16">
        <f>IF(AND(L1980="Among all respondents",NOT(OR(K1980="Online poll in Telegram channel",K1980="Website online poll",K1980="CAWI (Computer Assisted Web Interviewing)"))),1/(1-MIN(MAX(Formula!$C$33+(YEAR(D1980)-Formula!$C$34)/(Formula!$C$35-Formula!$C$34)*(Formula!$C$32-Formula!$C$33),Formula!$C$33),Formula!$C$32)),1)</f>
        <v>1</v>
      </c>
      <c r="W1980" s="17">
        <f t="shared" si="5"/>
        <v>6.2</v>
      </c>
    </row>
    <row r="1981" ht="15.75" customHeight="1">
      <c r="A1981" s="8" t="s">
        <v>2837</v>
      </c>
      <c r="B1981" s="7" t="s">
        <v>2832</v>
      </c>
      <c r="C1981" s="13" t="s">
        <v>2833</v>
      </c>
      <c r="D1981" s="7" t="s">
        <v>244</v>
      </c>
      <c r="E1981" s="8" t="s">
        <v>150</v>
      </c>
      <c r="F1981" s="8" t="s">
        <v>318</v>
      </c>
      <c r="G1981" s="7" t="s">
        <v>246</v>
      </c>
      <c r="H1981" s="7" t="s">
        <v>245</v>
      </c>
      <c r="I1981" s="8">
        <v>1205.0</v>
      </c>
      <c r="J1981" s="8">
        <v>3.0</v>
      </c>
      <c r="K1981" s="8" t="s">
        <v>583</v>
      </c>
      <c r="L1981" s="8" t="s">
        <v>322</v>
      </c>
      <c r="M1981" s="8" t="s">
        <v>333</v>
      </c>
      <c r="N1981" s="8">
        <v>5.6</v>
      </c>
      <c r="O1981" s="14">
        <f t="shared" si="1"/>
        <v>44166</v>
      </c>
      <c r="P1981" s="15">
        <f>IFERROR(VLOOKUP(K1981,Formula!$A$11:$B$20,2,FALSE),Formula!$C$26)</f>
        <v>0.95</v>
      </c>
      <c r="Q1981" s="15">
        <f>IF(AND(ISNUMBER(J1981),J1981&gt;0),1/J1981,IF(AND(ISNUMBER(I1981),I1981&gt;0),SQRT(MIN(I1981,Formula!$C$27))/Formula!$C$24,1/Formula!$C$25))</f>
        <v>0.3333333333</v>
      </c>
      <c r="R1981" s="15">
        <f t="shared" si="2"/>
        <v>0.3166666667</v>
      </c>
      <c r="S1981" s="15">
        <f>IF(H1981&lt;&gt;"",EXP(-Formula!$C$28*(EOMONTH(H1981,0)-H1981)),EXP(-Formula!$C$28*(EOMONTH(D1981,0)-D1981)))</f>
        <v>0.670320046</v>
      </c>
      <c r="T1981" s="15">
        <f t="shared" si="3"/>
        <v>0.3333333333</v>
      </c>
      <c r="U1981" s="15">
        <f t="shared" si="4"/>
        <v>0.07075600486</v>
      </c>
      <c r="V1981" s="16">
        <f>IF(AND(L1981="Among all respondents",NOT(OR(K1981="Online poll in Telegram channel",K1981="Website online poll",K1981="CAWI (Computer Assisted Web Interviewing)"))),1/(1-MIN(MAX(Formula!$C$33+(YEAR(D1981)-Formula!$C$34)/(Formula!$C$35-Formula!$C$34)*(Formula!$C$32-Formula!$C$33),Formula!$C$33),Formula!$C$32)),1)</f>
        <v>1</v>
      </c>
      <c r="W1981" s="17">
        <f t="shared" si="5"/>
        <v>5.6</v>
      </c>
    </row>
    <row r="1982" ht="15.75" customHeight="1">
      <c r="A1982" s="8" t="s">
        <v>2838</v>
      </c>
      <c r="B1982" s="7" t="s">
        <v>2832</v>
      </c>
      <c r="C1982" s="13" t="s">
        <v>2833</v>
      </c>
      <c r="D1982" s="7" t="s">
        <v>244</v>
      </c>
      <c r="E1982" s="8" t="s">
        <v>150</v>
      </c>
      <c r="F1982" s="8" t="s">
        <v>318</v>
      </c>
      <c r="G1982" s="7" t="s">
        <v>246</v>
      </c>
      <c r="H1982" s="7" t="s">
        <v>245</v>
      </c>
      <c r="I1982" s="8">
        <v>1205.0</v>
      </c>
      <c r="J1982" s="8">
        <v>3.0</v>
      </c>
      <c r="K1982" s="8" t="s">
        <v>583</v>
      </c>
      <c r="L1982" s="8" t="s">
        <v>322</v>
      </c>
      <c r="M1982" s="8" t="s">
        <v>828</v>
      </c>
      <c r="N1982" s="8">
        <v>5.4</v>
      </c>
      <c r="O1982" s="14">
        <f t="shared" si="1"/>
        <v>44166</v>
      </c>
      <c r="P1982" s="15">
        <f>IFERROR(VLOOKUP(K1982,Formula!$A$11:$B$20,2,FALSE),Formula!$C$26)</f>
        <v>0.95</v>
      </c>
      <c r="Q1982" s="15">
        <f>IF(AND(ISNUMBER(J1982),J1982&gt;0),1/J1982,IF(AND(ISNUMBER(I1982),I1982&gt;0),SQRT(MIN(I1982,Formula!$C$27))/Formula!$C$24,1/Formula!$C$25))</f>
        <v>0.3333333333</v>
      </c>
      <c r="R1982" s="15">
        <f t="shared" si="2"/>
        <v>0.3166666667</v>
      </c>
      <c r="S1982" s="15">
        <f>IF(H1982&lt;&gt;"",EXP(-Formula!$C$28*(EOMONTH(H1982,0)-H1982)),EXP(-Formula!$C$28*(EOMONTH(D1982,0)-D1982)))</f>
        <v>0.670320046</v>
      </c>
      <c r="T1982" s="15">
        <f t="shared" si="3"/>
        <v>0.3333333333</v>
      </c>
      <c r="U1982" s="15">
        <f t="shared" si="4"/>
        <v>0.07075600486</v>
      </c>
      <c r="V1982" s="16">
        <f>IF(AND(L1982="Among all respondents",NOT(OR(K1982="Online poll in Telegram channel",K1982="Website online poll",K1982="CAWI (Computer Assisted Web Interviewing)"))),1/(1-MIN(MAX(Formula!$C$33+(YEAR(D1982)-Formula!$C$34)/(Formula!$C$35-Formula!$C$34)*(Formula!$C$32-Formula!$C$33),Formula!$C$33),Formula!$C$32)),1)</f>
        <v>1</v>
      </c>
      <c r="W1982" s="17">
        <f t="shared" si="5"/>
        <v>5.4</v>
      </c>
    </row>
    <row r="1983" ht="15.75" customHeight="1">
      <c r="A1983" s="8" t="s">
        <v>2839</v>
      </c>
      <c r="B1983" s="7" t="s">
        <v>2832</v>
      </c>
      <c r="C1983" s="13" t="s">
        <v>2833</v>
      </c>
      <c r="D1983" s="7" t="s">
        <v>244</v>
      </c>
      <c r="E1983" s="8" t="s">
        <v>150</v>
      </c>
      <c r="F1983" s="8" t="s">
        <v>318</v>
      </c>
      <c r="G1983" s="7" t="s">
        <v>246</v>
      </c>
      <c r="H1983" s="7" t="s">
        <v>245</v>
      </c>
      <c r="I1983" s="8">
        <v>1205.0</v>
      </c>
      <c r="J1983" s="8">
        <v>3.0</v>
      </c>
      <c r="K1983" s="8" t="s">
        <v>583</v>
      </c>
      <c r="L1983" s="8" t="s">
        <v>322</v>
      </c>
      <c r="M1983" s="8" t="s">
        <v>838</v>
      </c>
      <c r="N1983" s="8">
        <v>5.2</v>
      </c>
      <c r="O1983" s="14">
        <f t="shared" si="1"/>
        <v>44166</v>
      </c>
      <c r="P1983" s="15">
        <f>IFERROR(VLOOKUP(K1983,Formula!$A$11:$B$20,2,FALSE),Formula!$C$26)</f>
        <v>0.95</v>
      </c>
      <c r="Q1983" s="15">
        <f>IF(AND(ISNUMBER(J1983),J1983&gt;0),1/J1983,IF(AND(ISNUMBER(I1983),I1983&gt;0),SQRT(MIN(I1983,Formula!$C$27))/Formula!$C$24,1/Formula!$C$25))</f>
        <v>0.3333333333</v>
      </c>
      <c r="R1983" s="15">
        <f t="shared" si="2"/>
        <v>0.3166666667</v>
      </c>
      <c r="S1983" s="15">
        <f>IF(H1983&lt;&gt;"",EXP(-Formula!$C$28*(EOMONTH(H1983,0)-H1983)),EXP(-Formula!$C$28*(EOMONTH(D1983,0)-D1983)))</f>
        <v>0.670320046</v>
      </c>
      <c r="T1983" s="15">
        <f t="shared" si="3"/>
        <v>0.3333333333</v>
      </c>
      <c r="U1983" s="15">
        <f t="shared" si="4"/>
        <v>0.07075600486</v>
      </c>
      <c r="V1983" s="16">
        <f>IF(AND(L1983="Among all respondents",NOT(OR(K1983="Online poll in Telegram channel",K1983="Website online poll",K1983="CAWI (Computer Assisted Web Interviewing)"))),1/(1-MIN(MAX(Formula!$C$33+(YEAR(D1983)-Formula!$C$34)/(Formula!$C$35-Formula!$C$34)*(Formula!$C$32-Formula!$C$33),Formula!$C$33),Formula!$C$32)),1)</f>
        <v>1</v>
      </c>
      <c r="W1983" s="17">
        <f t="shared" si="5"/>
        <v>5.2</v>
      </c>
    </row>
    <row r="1984" ht="15.75" customHeight="1">
      <c r="A1984" s="8" t="s">
        <v>2840</v>
      </c>
      <c r="B1984" s="7" t="s">
        <v>2832</v>
      </c>
      <c r="C1984" s="13" t="s">
        <v>2833</v>
      </c>
      <c r="D1984" s="7" t="s">
        <v>244</v>
      </c>
      <c r="E1984" s="8" t="s">
        <v>150</v>
      </c>
      <c r="F1984" s="8" t="s">
        <v>318</v>
      </c>
      <c r="G1984" s="7" t="s">
        <v>246</v>
      </c>
      <c r="H1984" s="7" t="s">
        <v>245</v>
      </c>
      <c r="I1984" s="8">
        <v>1205.0</v>
      </c>
      <c r="J1984" s="8">
        <v>3.0</v>
      </c>
      <c r="K1984" s="8" t="s">
        <v>583</v>
      </c>
      <c r="L1984" s="8" t="s">
        <v>322</v>
      </c>
      <c r="M1984" s="8" t="s">
        <v>388</v>
      </c>
      <c r="N1984" s="8">
        <v>3.7</v>
      </c>
      <c r="O1984" s="14">
        <f t="shared" si="1"/>
        <v>44166</v>
      </c>
      <c r="P1984" s="15">
        <f>IFERROR(VLOOKUP(K1984,Formula!$A$11:$B$20,2,FALSE),Formula!$C$26)</f>
        <v>0.95</v>
      </c>
      <c r="Q1984" s="15">
        <f>IF(AND(ISNUMBER(J1984),J1984&gt;0),1/J1984,IF(AND(ISNUMBER(I1984),I1984&gt;0),SQRT(MIN(I1984,Formula!$C$27))/Formula!$C$24,1/Formula!$C$25))</f>
        <v>0.3333333333</v>
      </c>
      <c r="R1984" s="15">
        <f t="shared" si="2"/>
        <v>0.3166666667</v>
      </c>
      <c r="S1984" s="15">
        <f>IF(H1984&lt;&gt;"",EXP(-Formula!$C$28*(EOMONTH(H1984,0)-H1984)),EXP(-Formula!$C$28*(EOMONTH(D1984,0)-D1984)))</f>
        <v>0.670320046</v>
      </c>
      <c r="T1984" s="15">
        <f t="shared" si="3"/>
        <v>0.3333333333</v>
      </c>
      <c r="U1984" s="15">
        <f t="shared" si="4"/>
        <v>0.07075600486</v>
      </c>
      <c r="V1984" s="16">
        <f>IF(AND(L1984="Among all respondents",NOT(OR(K1984="Online poll in Telegram channel",K1984="Website online poll",K1984="CAWI (Computer Assisted Web Interviewing)"))),1/(1-MIN(MAX(Formula!$C$33+(YEAR(D1984)-Formula!$C$34)/(Formula!$C$35-Formula!$C$34)*(Formula!$C$32-Formula!$C$33),Formula!$C$33),Formula!$C$32)),1)</f>
        <v>1</v>
      </c>
      <c r="W1984" s="17">
        <f t="shared" si="5"/>
        <v>3.7</v>
      </c>
    </row>
    <row r="1985" ht="15.75" customHeight="1">
      <c r="A1985" s="8" t="s">
        <v>2841</v>
      </c>
      <c r="B1985" s="7" t="s">
        <v>2832</v>
      </c>
      <c r="C1985" s="13" t="s">
        <v>2833</v>
      </c>
      <c r="D1985" s="7" t="s">
        <v>244</v>
      </c>
      <c r="E1985" s="8" t="s">
        <v>150</v>
      </c>
      <c r="F1985" s="8" t="s">
        <v>318</v>
      </c>
      <c r="G1985" s="7" t="s">
        <v>246</v>
      </c>
      <c r="H1985" s="7" t="s">
        <v>245</v>
      </c>
      <c r="I1985" s="8">
        <v>1205.0</v>
      </c>
      <c r="J1985" s="8">
        <v>3.0</v>
      </c>
      <c r="K1985" s="8" t="s">
        <v>583</v>
      </c>
      <c r="L1985" s="8" t="s">
        <v>322</v>
      </c>
      <c r="M1985" s="8" t="s">
        <v>339</v>
      </c>
      <c r="N1985" s="8">
        <v>3.3</v>
      </c>
      <c r="O1985" s="14">
        <f t="shared" si="1"/>
        <v>44166</v>
      </c>
      <c r="P1985" s="15">
        <f>IFERROR(VLOOKUP(K1985,Formula!$A$11:$B$20,2,FALSE),Formula!$C$26)</f>
        <v>0.95</v>
      </c>
      <c r="Q1985" s="15">
        <f>IF(AND(ISNUMBER(J1985),J1985&gt;0),1/J1985,IF(AND(ISNUMBER(I1985),I1985&gt;0),SQRT(MIN(I1985,Formula!$C$27))/Formula!$C$24,1/Formula!$C$25))</f>
        <v>0.3333333333</v>
      </c>
      <c r="R1985" s="15">
        <f t="shared" si="2"/>
        <v>0.3166666667</v>
      </c>
      <c r="S1985" s="15">
        <f>IF(H1985&lt;&gt;"",EXP(-Formula!$C$28*(EOMONTH(H1985,0)-H1985)),EXP(-Formula!$C$28*(EOMONTH(D1985,0)-D1985)))</f>
        <v>0.670320046</v>
      </c>
      <c r="T1985" s="15">
        <f t="shared" si="3"/>
        <v>0.3333333333</v>
      </c>
      <c r="U1985" s="15">
        <f t="shared" si="4"/>
        <v>0.07075600486</v>
      </c>
      <c r="V1985" s="16">
        <f>IF(AND(L1985="Among all respondents",NOT(OR(K1985="Online poll in Telegram channel",K1985="Website online poll",K1985="CAWI (Computer Assisted Web Interviewing)"))),1/(1-MIN(MAX(Formula!$C$33+(YEAR(D1985)-Formula!$C$34)/(Formula!$C$35-Formula!$C$34)*(Formula!$C$32-Formula!$C$33),Formula!$C$33),Formula!$C$32)),1)</f>
        <v>1</v>
      </c>
      <c r="W1985" s="17">
        <f t="shared" si="5"/>
        <v>3.3</v>
      </c>
    </row>
    <row r="1986" ht="15.75" customHeight="1">
      <c r="A1986" s="8" t="s">
        <v>2842</v>
      </c>
      <c r="B1986" s="7" t="s">
        <v>2843</v>
      </c>
      <c r="C1986" s="13" t="s">
        <v>2844</v>
      </c>
      <c r="D1986" s="7" t="s">
        <v>245</v>
      </c>
      <c r="E1986" s="8" t="s">
        <v>40</v>
      </c>
      <c r="F1986" s="8" t="s">
        <v>318</v>
      </c>
      <c r="G1986" s="7" t="s">
        <v>246</v>
      </c>
      <c r="H1986" s="7" t="s">
        <v>2845</v>
      </c>
      <c r="I1986" s="8">
        <v>2000.0</v>
      </c>
      <c r="J1986" s="8">
        <v>2.2</v>
      </c>
      <c r="K1986" s="8" t="s">
        <v>583</v>
      </c>
      <c r="M1986" s="8" t="s">
        <v>323</v>
      </c>
      <c r="N1986" s="8">
        <v>24.0</v>
      </c>
      <c r="O1986" s="14">
        <f t="shared" si="1"/>
        <v>44166</v>
      </c>
      <c r="P1986" s="15">
        <f>IFERROR(VLOOKUP(K1986,Formula!$A$11:$B$20,2,FALSE),Formula!$C$26)</f>
        <v>0.95</v>
      </c>
      <c r="Q1986" s="15">
        <f>IF(AND(ISNUMBER(J1986),J1986&gt;0),1/J1986,IF(AND(ISNUMBER(I1986),I1986&gt;0),SQRT(MIN(I1986,Formula!$C$27))/Formula!$C$24,1/Formula!$C$25))</f>
        <v>0.4545454545</v>
      </c>
      <c r="R1986" s="15">
        <f t="shared" si="2"/>
        <v>0.4318181818</v>
      </c>
      <c r="S1986" s="15">
        <f>IF(H1986&lt;&gt;"",EXP(-Formula!$C$28*(EOMONTH(H1986,0)-H1986)),EXP(-Formula!$C$28*(EOMONTH(D1986,0)-D1986)))</f>
        <v>0.5769498104</v>
      </c>
      <c r="T1986" s="15">
        <f t="shared" si="3"/>
        <v>0.2886751346</v>
      </c>
      <c r="U1986" s="15">
        <f t="shared" si="4"/>
        <v>0.07191977771</v>
      </c>
      <c r="V1986" s="16">
        <f>IF(AND(L1986="Among all respondents",NOT(OR(K1986="Online poll in Telegram channel",K1986="Website online poll",K1986="CAWI (Computer Assisted Web Interviewing)"))),1/(1-MIN(MAX(Formula!$C$33+(YEAR(D1986)-Formula!$C$34)/(Formula!$C$35-Formula!$C$34)*(Formula!$C$32-Formula!$C$33),Formula!$C$33),Formula!$C$32)),1)</f>
        <v>1</v>
      </c>
      <c r="W1986" s="17">
        <f t="shared" si="5"/>
        <v>24</v>
      </c>
    </row>
    <row r="1987" ht="15.75" customHeight="1">
      <c r="A1987" s="8" t="s">
        <v>2846</v>
      </c>
      <c r="B1987" s="7" t="s">
        <v>2843</v>
      </c>
      <c r="C1987" s="13" t="s">
        <v>2844</v>
      </c>
      <c r="D1987" s="7" t="s">
        <v>245</v>
      </c>
      <c r="E1987" s="8" t="s">
        <v>40</v>
      </c>
      <c r="F1987" s="8" t="s">
        <v>318</v>
      </c>
      <c r="G1987" s="7" t="s">
        <v>246</v>
      </c>
      <c r="H1987" s="7" t="s">
        <v>2845</v>
      </c>
      <c r="I1987" s="8">
        <v>2000.0</v>
      </c>
      <c r="J1987" s="8">
        <v>2.2</v>
      </c>
      <c r="K1987" s="8" t="s">
        <v>583</v>
      </c>
      <c r="M1987" s="8" t="s">
        <v>329</v>
      </c>
      <c r="N1987" s="8">
        <v>13.0</v>
      </c>
      <c r="O1987" s="14">
        <f t="shared" si="1"/>
        <v>44166</v>
      </c>
      <c r="P1987" s="15">
        <f>IFERROR(VLOOKUP(K1987,Formula!$A$11:$B$20,2,FALSE),Formula!$C$26)</f>
        <v>0.95</v>
      </c>
      <c r="Q1987" s="15">
        <f>IF(AND(ISNUMBER(J1987),J1987&gt;0),1/J1987,IF(AND(ISNUMBER(I1987),I1987&gt;0),SQRT(MIN(I1987,Formula!$C$27))/Formula!$C$24,1/Formula!$C$25))</f>
        <v>0.4545454545</v>
      </c>
      <c r="R1987" s="15">
        <f t="shared" si="2"/>
        <v>0.4318181818</v>
      </c>
      <c r="S1987" s="15">
        <f>IF(H1987&lt;&gt;"",EXP(-Formula!$C$28*(EOMONTH(H1987,0)-H1987)),EXP(-Formula!$C$28*(EOMONTH(D1987,0)-D1987)))</f>
        <v>0.5769498104</v>
      </c>
      <c r="T1987" s="15">
        <f t="shared" si="3"/>
        <v>0.2886751346</v>
      </c>
      <c r="U1987" s="15">
        <f t="shared" si="4"/>
        <v>0.07191977771</v>
      </c>
      <c r="V1987" s="16">
        <f>IF(AND(L1987="Among all respondents",NOT(OR(K1987="Online poll in Telegram channel",K1987="Website online poll",K1987="CAWI (Computer Assisted Web Interviewing)"))),1/(1-MIN(MAX(Formula!$C$33+(YEAR(D1987)-Formula!$C$34)/(Formula!$C$35-Formula!$C$34)*(Formula!$C$32-Formula!$C$33),Formula!$C$33),Formula!$C$32)),1)</f>
        <v>1</v>
      </c>
      <c r="W1987" s="17">
        <f t="shared" si="5"/>
        <v>13</v>
      </c>
    </row>
    <row r="1988" ht="15.75" customHeight="1">
      <c r="A1988" s="8" t="s">
        <v>2847</v>
      </c>
      <c r="B1988" s="7" t="s">
        <v>2843</v>
      </c>
      <c r="C1988" s="13" t="s">
        <v>2844</v>
      </c>
      <c r="D1988" s="7" t="s">
        <v>245</v>
      </c>
      <c r="E1988" s="8" t="s">
        <v>40</v>
      </c>
      <c r="F1988" s="8" t="s">
        <v>318</v>
      </c>
      <c r="G1988" s="7" t="s">
        <v>246</v>
      </c>
      <c r="H1988" s="7" t="s">
        <v>2845</v>
      </c>
      <c r="I1988" s="8">
        <v>2000.0</v>
      </c>
      <c r="J1988" s="8">
        <v>2.2</v>
      </c>
      <c r="K1988" s="8" t="s">
        <v>583</v>
      </c>
      <c r="M1988" s="8" t="s">
        <v>365</v>
      </c>
      <c r="N1988" s="8">
        <v>9.1</v>
      </c>
      <c r="O1988" s="14">
        <f t="shared" si="1"/>
        <v>44166</v>
      </c>
      <c r="P1988" s="15">
        <f>IFERROR(VLOOKUP(K1988,Formula!$A$11:$B$20,2,FALSE),Formula!$C$26)</f>
        <v>0.95</v>
      </c>
      <c r="Q1988" s="15">
        <f>IF(AND(ISNUMBER(J1988),J1988&gt;0),1/J1988,IF(AND(ISNUMBER(I1988),I1988&gt;0),SQRT(MIN(I1988,Formula!$C$27))/Formula!$C$24,1/Formula!$C$25))</f>
        <v>0.4545454545</v>
      </c>
      <c r="R1988" s="15">
        <f t="shared" si="2"/>
        <v>0.4318181818</v>
      </c>
      <c r="S1988" s="15">
        <f>IF(H1988&lt;&gt;"",EXP(-Formula!$C$28*(EOMONTH(H1988,0)-H1988)),EXP(-Formula!$C$28*(EOMONTH(D1988,0)-D1988)))</f>
        <v>0.5769498104</v>
      </c>
      <c r="T1988" s="15">
        <f t="shared" si="3"/>
        <v>0.2886751346</v>
      </c>
      <c r="U1988" s="15">
        <f t="shared" si="4"/>
        <v>0.07191977771</v>
      </c>
      <c r="V1988" s="16">
        <f>IF(AND(L1988="Among all respondents",NOT(OR(K1988="Online poll in Telegram channel",K1988="Website online poll",K1988="CAWI (Computer Assisted Web Interviewing)"))),1/(1-MIN(MAX(Formula!$C$33+(YEAR(D1988)-Formula!$C$34)/(Formula!$C$35-Formula!$C$34)*(Formula!$C$32-Formula!$C$33),Formula!$C$33),Formula!$C$32)),1)</f>
        <v>1</v>
      </c>
      <c r="W1988" s="17">
        <f t="shared" si="5"/>
        <v>9.1</v>
      </c>
    </row>
    <row r="1989" ht="15.75" customHeight="1">
      <c r="A1989" s="8" t="s">
        <v>2848</v>
      </c>
      <c r="B1989" s="7" t="s">
        <v>2843</v>
      </c>
      <c r="C1989" s="13" t="s">
        <v>2844</v>
      </c>
      <c r="D1989" s="7" t="s">
        <v>245</v>
      </c>
      <c r="E1989" s="8" t="s">
        <v>40</v>
      </c>
      <c r="F1989" s="8" t="s">
        <v>318</v>
      </c>
      <c r="G1989" s="7" t="s">
        <v>246</v>
      </c>
      <c r="H1989" s="7" t="s">
        <v>2845</v>
      </c>
      <c r="I1989" s="8">
        <v>2000.0</v>
      </c>
      <c r="J1989" s="8">
        <v>2.2</v>
      </c>
      <c r="K1989" s="8" t="s">
        <v>583</v>
      </c>
      <c r="M1989" s="8" t="s">
        <v>337</v>
      </c>
      <c r="N1989" s="8">
        <v>8.8</v>
      </c>
      <c r="O1989" s="14">
        <f t="shared" si="1"/>
        <v>44166</v>
      </c>
      <c r="P1989" s="15">
        <f>IFERROR(VLOOKUP(K1989,Formula!$A$11:$B$20,2,FALSE),Formula!$C$26)</f>
        <v>0.95</v>
      </c>
      <c r="Q1989" s="15">
        <f>IF(AND(ISNUMBER(J1989),J1989&gt;0),1/J1989,IF(AND(ISNUMBER(I1989),I1989&gt;0),SQRT(MIN(I1989,Formula!$C$27))/Formula!$C$24,1/Formula!$C$25))</f>
        <v>0.4545454545</v>
      </c>
      <c r="R1989" s="15">
        <f t="shared" si="2"/>
        <v>0.4318181818</v>
      </c>
      <c r="S1989" s="15">
        <f>IF(H1989&lt;&gt;"",EXP(-Formula!$C$28*(EOMONTH(H1989,0)-H1989)),EXP(-Formula!$C$28*(EOMONTH(D1989,0)-D1989)))</f>
        <v>0.5769498104</v>
      </c>
      <c r="T1989" s="15">
        <f t="shared" si="3"/>
        <v>0.2886751346</v>
      </c>
      <c r="U1989" s="15">
        <f t="shared" si="4"/>
        <v>0.07191977771</v>
      </c>
      <c r="V1989" s="16">
        <f>IF(AND(L1989="Among all respondents",NOT(OR(K1989="Online poll in Telegram channel",K1989="Website online poll",K1989="CAWI (Computer Assisted Web Interviewing)"))),1/(1-MIN(MAX(Formula!$C$33+(YEAR(D1989)-Formula!$C$34)/(Formula!$C$35-Formula!$C$34)*(Formula!$C$32-Formula!$C$33),Formula!$C$33),Formula!$C$32)),1)</f>
        <v>1</v>
      </c>
      <c r="W1989" s="17">
        <f t="shared" si="5"/>
        <v>8.8</v>
      </c>
    </row>
    <row r="1990" ht="15.75" customHeight="1">
      <c r="A1990" s="8" t="s">
        <v>2849</v>
      </c>
      <c r="B1990" s="7" t="s">
        <v>2843</v>
      </c>
      <c r="C1990" s="13" t="s">
        <v>2844</v>
      </c>
      <c r="D1990" s="7" t="s">
        <v>245</v>
      </c>
      <c r="E1990" s="8" t="s">
        <v>40</v>
      </c>
      <c r="F1990" s="8" t="s">
        <v>318</v>
      </c>
      <c r="G1990" s="7" t="s">
        <v>246</v>
      </c>
      <c r="H1990" s="7" t="s">
        <v>2845</v>
      </c>
      <c r="I1990" s="8">
        <v>2000.0</v>
      </c>
      <c r="J1990" s="8">
        <v>2.2</v>
      </c>
      <c r="K1990" s="8" t="s">
        <v>583</v>
      </c>
      <c r="M1990" s="8" t="s">
        <v>1334</v>
      </c>
      <c r="N1990" s="8">
        <v>6.9</v>
      </c>
      <c r="O1990" s="14">
        <f t="shared" si="1"/>
        <v>44166</v>
      </c>
      <c r="P1990" s="15">
        <f>IFERROR(VLOOKUP(K1990,Formula!$A$11:$B$20,2,FALSE),Formula!$C$26)</f>
        <v>0.95</v>
      </c>
      <c r="Q1990" s="15">
        <f>IF(AND(ISNUMBER(J1990),J1990&gt;0),1/J1990,IF(AND(ISNUMBER(I1990),I1990&gt;0),SQRT(MIN(I1990,Formula!$C$27))/Formula!$C$24,1/Formula!$C$25))</f>
        <v>0.4545454545</v>
      </c>
      <c r="R1990" s="15">
        <f t="shared" si="2"/>
        <v>0.4318181818</v>
      </c>
      <c r="S1990" s="15">
        <f>IF(H1990&lt;&gt;"",EXP(-Formula!$C$28*(EOMONTH(H1990,0)-H1990)),EXP(-Formula!$C$28*(EOMONTH(D1990,0)-D1990)))</f>
        <v>0.5769498104</v>
      </c>
      <c r="T1990" s="15">
        <f t="shared" si="3"/>
        <v>0.2886751346</v>
      </c>
      <c r="U1990" s="15">
        <f t="shared" si="4"/>
        <v>0.07191977771</v>
      </c>
      <c r="V1990" s="16">
        <f>IF(AND(L1990="Among all respondents",NOT(OR(K1990="Online poll in Telegram channel",K1990="Website online poll",K1990="CAWI (Computer Assisted Web Interviewing)"))),1/(1-MIN(MAX(Formula!$C$33+(YEAR(D1990)-Formula!$C$34)/(Formula!$C$35-Formula!$C$34)*(Formula!$C$32-Formula!$C$33),Formula!$C$33),Formula!$C$32)),1)</f>
        <v>1</v>
      </c>
      <c r="W1990" s="17">
        <f t="shared" si="5"/>
        <v>6.9</v>
      </c>
    </row>
    <row r="1991" ht="15.75" customHeight="1">
      <c r="A1991" s="8" t="s">
        <v>2850</v>
      </c>
      <c r="B1991" s="7" t="s">
        <v>2843</v>
      </c>
      <c r="C1991" s="13" t="s">
        <v>2844</v>
      </c>
      <c r="D1991" s="7" t="s">
        <v>245</v>
      </c>
      <c r="E1991" s="8" t="s">
        <v>40</v>
      </c>
      <c r="F1991" s="8" t="s">
        <v>318</v>
      </c>
      <c r="G1991" s="7" t="s">
        <v>246</v>
      </c>
      <c r="H1991" s="7" t="s">
        <v>2845</v>
      </c>
      <c r="I1991" s="8">
        <v>2000.0</v>
      </c>
      <c r="J1991" s="8">
        <v>2.2</v>
      </c>
      <c r="K1991" s="8" t="s">
        <v>583</v>
      </c>
      <c r="M1991" s="8" t="s">
        <v>838</v>
      </c>
      <c r="N1991" s="8">
        <v>5.8</v>
      </c>
      <c r="O1991" s="14">
        <f t="shared" si="1"/>
        <v>44166</v>
      </c>
      <c r="P1991" s="15">
        <f>IFERROR(VLOOKUP(K1991,Formula!$A$11:$B$20,2,FALSE),Formula!$C$26)</f>
        <v>0.95</v>
      </c>
      <c r="Q1991" s="15">
        <f>IF(AND(ISNUMBER(J1991),J1991&gt;0),1/J1991,IF(AND(ISNUMBER(I1991),I1991&gt;0),SQRT(MIN(I1991,Formula!$C$27))/Formula!$C$24,1/Formula!$C$25))</f>
        <v>0.4545454545</v>
      </c>
      <c r="R1991" s="15">
        <f t="shared" si="2"/>
        <v>0.4318181818</v>
      </c>
      <c r="S1991" s="15">
        <f>IF(H1991&lt;&gt;"",EXP(-Formula!$C$28*(EOMONTH(H1991,0)-H1991)),EXP(-Formula!$C$28*(EOMONTH(D1991,0)-D1991)))</f>
        <v>0.5769498104</v>
      </c>
      <c r="T1991" s="15">
        <f t="shared" si="3"/>
        <v>0.2886751346</v>
      </c>
      <c r="U1991" s="15">
        <f t="shared" si="4"/>
        <v>0.07191977771</v>
      </c>
      <c r="V1991" s="16">
        <f>IF(AND(L1991="Among all respondents",NOT(OR(K1991="Online poll in Telegram channel",K1991="Website online poll",K1991="CAWI (Computer Assisted Web Interviewing)"))),1/(1-MIN(MAX(Formula!$C$33+(YEAR(D1991)-Formula!$C$34)/(Formula!$C$35-Formula!$C$34)*(Formula!$C$32-Formula!$C$33),Formula!$C$33),Formula!$C$32)),1)</f>
        <v>1</v>
      </c>
      <c r="W1991" s="17">
        <f t="shared" si="5"/>
        <v>5.8</v>
      </c>
    </row>
    <row r="1992" ht="15.75" customHeight="1">
      <c r="A1992" s="8" t="s">
        <v>2851</v>
      </c>
      <c r="B1992" s="7" t="s">
        <v>2843</v>
      </c>
      <c r="C1992" s="13" t="s">
        <v>2844</v>
      </c>
      <c r="D1992" s="7" t="s">
        <v>245</v>
      </c>
      <c r="E1992" s="8" t="s">
        <v>40</v>
      </c>
      <c r="F1992" s="8" t="s">
        <v>318</v>
      </c>
      <c r="G1992" s="7" t="s">
        <v>246</v>
      </c>
      <c r="H1992" s="7" t="s">
        <v>2845</v>
      </c>
      <c r="I1992" s="8">
        <v>2000.0</v>
      </c>
      <c r="J1992" s="8">
        <v>2.2</v>
      </c>
      <c r="K1992" s="8" t="s">
        <v>583</v>
      </c>
      <c r="M1992" s="8" t="s">
        <v>828</v>
      </c>
      <c r="N1992" s="8">
        <v>5.4</v>
      </c>
      <c r="O1992" s="14">
        <f t="shared" si="1"/>
        <v>44166</v>
      </c>
      <c r="P1992" s="15">
        <f>IFERROR(VLOOKUP(K1992,Formula!$A$11:$B$20,2,FALSE),Formula!$C$26)</f>
        <v>0.95</v>
      </c>
      <c r="Q1992" s="15">
        <f>IF(AND(ISNUMBER(J1992),J1992&gt;0),1/J1992,IF(AND(ISNUMBER(I1992),I1992&gt;0),SQRT(MIN(I1992,Formula!$C$27))/Formula!$C$24,1/Formula!$C$25))</f>
        <v>0.4545454545</v>
      </c>
      <c r="R1992" s="15">
        <f t="shared" si="2"/>
        <v>0.4318181818</v>
      </c>
      <c r="S1992" s="15">
        <f>IF(H1992&lt;&gt;"",EXP(-Formula!$C$28*(EOMONTH(H1992,0)-H1992)),EXP(-Formula!$C$28*(EOMONTH(D1992,0)-D1992)))</f>
        <v>0.5769498104</v>
      </c>
      <c r="T1992" s="15">
        <f t="shared" si="3"/>
        <v>0.2886751346</v>
      </c>
      <c r="U1992" s="15">
        <f t="shared" si="4"/>
        <v>0.07191977771</v>
      </c>
      <c r="V1992" s="16">
        <f>IF(AND(L1992="Among all respondents",NOT(OR(K1992="Online poll in Telegram channel",K1992="Website online poll",K1992="CAWI (Computer Assisted Web Interviewing)"))),1/(1-MIN(MAX(Formula!$C$33+(YEAR(D1992)-Formula!$C$34)/(Formula!$C$35-Formula!$C$34)*(Formula!$C$32-Formula!$C$33),Formula!$C$33),Formula!$C$32)),1)</f>
        <v>1</v>
      </c>
      <c r="W1992" s="17">
        <f t="shared" si="5"/>
        <v>5.4</v>
      </c>
    </row>
    <row r="1993" ht="15.75" customHeight="1">
      <c r="A1993" s="8" t="s">
        <v>2852</v>
      </c>
      <c r="B1993" s="7" t="s">
        <v>2843</v>
      </c>
      <c r="C1993" s="13" t="s">
        <v>2844</v>
      </c>
      <c r="D1993" s="7" t="s">
        <v>245</v>
      </c>
      <c r="E1993" s="8" t="s">
        <v>40</v>
      </c>
      <c r="F1993" s="8" t="s">
        <v>318</v>
      </c>
      <c r="G1993" s="7" t="s">
        <v>246</v>
      </c>
      <c r="H1993" s="7" t="s">
        <v>2845</v>
      </c>
      <c r="I1993" s="8">
        <v>2000.0</v>
      </c>
      <c r="J1993" s="8">
        <v>2.2</v>
      </c>
      <c r="K1993" s="8" t="s">
        <v>583</v>
      </c>
      <c r="M1993" s="8" t="s">
        <v>333</v>
      </c>
      <c r="N1993" s="8">
        <v>3.7</v>
      </c>
      <c r="O1993" s="14">
        <f t="shared" si="1"/>
        <v>44166</v>
      </c>
      <c r="P1993" s="15">
        <f>IFERROR(VLOOKUP(K1993,Formula!$A$11:$B$20,2,FALSE),Formula!$C$26)</f>
        <v>0.95</v>
      </c>
      <c r="Q1993" s="15">
        <f>IF(AND(ISNUMBER(J1993),J1993&gt;0),1/J1993,IF(AND(ISNUMBER(I1993),I1993&gt;0),SQRT(MIN(I1993,Formula!$C$27))/Formula!$C$24,1/Formula!$C$25))</f>
        <v>0.4545454545</v>
      </c>
      <c r="R1993" s="15">
        <f t="shared" si="2"/>
        <v>0.4318181818</v>
      </c>
      <c r="S1993" s="15">
        <f>IF(H1993&lt;&gt;"",EXP(-Formula!$C$28*(EOMONTH(H1993,0)-H1993)),EXP(-Formula!$C$28*(EOMONTH(D1993,0)-D1993)))</f>
        <v>0.5769498104</v>
      </c>
      <c r="T1993" s="15">
        <f t="shared" si="3"/>
        <v>0.2886751346</v>
      </c>
      <c r="U1993" s="15">
        <f t="shared" si="4"/>
        <v>0.07191977771</v>
      </c>
      <c r="V1993" s="16">
        <f>IF(AND(L1993="Among all respondents",NOT(OR(K1993="Online poll in Telegram channel",K1993="Website online poll",K1993="CAWI (Computer Assisted Web Interviewing)"))),1/(1-MIN(MAX(Formula!$C$33+(YEAR(D1993)-Formula!$C$34)/(Formula!$C$35-Formula!$C$34)*(Formula!$C$32-Formula!$C$33),Formula!$C$33),Formula!$C$32)),1)</f>
        <v>1</v>
      </c>
      <c r="W1993" s="17">
        <f t="shared" si="5"/>
        <v>3.7</v>
      </c>
    </row>
    <row r="1994" ht="15.75" customHeight="1">
      <c r="A1994" s="8" t="s">
        <v>2853</v>
      </c>
      <c r="B1994" s="7" t="s">
        <v>2843</v>
      </c>
      <c r="C1994" s="13" t="s">
        <v>2844</v>
      </c>
      <c r="D1994" s="7" t="s">
        <v>245</v>
      </c>
      <c r="E1994" s="8" t="s">
        <v>40</v>
      </c>
      <c r="F1994" s="8" t="s">
        <v>318</v>
      </c>
      <c r="G1994" s="7" t="s">
        <v>246</v>
      </c>
      <c r="H1994" s="7" t="s">
        <v>2845</v>
      </c>
      <c r="I1994" s="8">
        <v>2000.0</v>
      </c>
      <c r="J1994" s="8">
        <v>2.2</v>
      </c>
      <c r="K1994" s="8" t="s">
        <v>583</v>
      </c>
      <c r="M1994" s="8" t="s">
        <v>388</v>
      </c>
      <c r="N1994" s="8">
        <v>3.3</v>
      </c>
      <c r="O1994" s="14">
        <f t="shared" si="1"/>
        <v>44166</v>
      </c>
      <c r="P1994" s="15">
        <f>IFERROR(VLOOKUP(K1994,Formula!$A$11:$B$20,2,FALSE),Formula!$C$26)</f>
        <v>0.95</v>
      </c>
      <c r="Q1994" s="15">
        <f>IF(AND(ISNUMBER(J1994),J1994&gt;0),1/J1994,IF(AND(ISNUMBER(I1994),I1994&gt;0),SQRT(MIN(I1994,Formula!$C$27))/Formula!$C$24,1/Formula!$C$25))</f>
        <v>0.4545454545</v>
      </c>
      <c r="R1994" s="15">
        <f t="shared" si="2"/>
        <v>0.4318181818</v>
      </c>
      <c r="S1994" s="15">
        <f>IF(H1994&lt;&gt;"",EXP(-Formula!$C$28*(EOMONTH(H1994,0)-H1994)),EXP(-Formula!$C$28*(EOMONTH(D1994,0)-D1994)))</f>
        <v>0.5769498104</v>
      </c>
      <c r="T1994" s="15">
        <f t="shared" si="3"/>
        <v>0.2886751346</v>
      </c>
      <c r="U1994" s="15">
        <f t="shared" si="4"/>
        <v>0.07191977771</v>
      </c>
      <c r="V1994" s="16">
        <f>IF(AND(L1994="Among all respondents",NOT(OR(K1994="Online poll in Telegram channel",K1994="Website online poll",K1994="CAWI (Computer Assisted Web Interviewing)"))),1/(1-MIN(MAX(Formula!$C$33+(YEAR(D1994)-Formula!$C$34)/(Formula!$C$35-Formula!$C$34)*(Formula!$C$32-Formula!$C$33),Formula!$C$33),Formula!$C$32)),1)</f>
        <v>1</v>
      </c>
      <c r="W1994" s="17">
        <f t="shared" si="5"/>
        <v>3.3</v>
      </c>
    </row>
    <row r="1995" ht="15.75" customHeight="1">
      <c r="A1995" s="8" t="s">
        <v>2854</v>
      </c>
      <c r="B1995" s="7" t="s">
        <v>2843</v>
      </c>
      <c r="C1995" s="13" t="s">
        <v>2844</v>
      </c>
      <c r="D1995" s="7" t="s">
        <v>245</v>
      </c>
      <c r="E1995" s="8" t="s">
        <v>40</v>
      </c>
      <c r="F1995" s="8" t="s">
        <v>318</v>
      </c>
      <c r="G1995" s="7" t="s">
        <v>246</v>
      </c>
      <c r="H1995" s="7" t="s">
        <v>2845</v>
      </c>
      <c r="I1995" s="8">
        <v>2000.0</v>
      </c>
      <c r="J1995" s="8">
        <v>2.2</v>
      </c>
      <c r="K1995" s="8" t="s">
        <v>583</v>
      </c>
      <c r="M1995" s="8" t="s">
        <v>339</v>
      </c>
      <c r="N1995" s="8">
        <v>2.7</v>
      </c>
      <c r="O1995" s="14">
        <f t="shared" si="1"/>
        <v>44166</v>
      </c>
      <c r="P1995" s="15">
        <f>IFERROR(VLOOKUP(K1995,Formula!$A$11:$B$20,2,FALSE),Formula!$C$26)</f>
        <v>0.95</v>
      </c>
      <c r="Q1995" s="15">
        <f>IF(AND(ISNUMBER(J1995),J1995&gt;0),1/J1995,IF(AND(ISNUMBER(I1995),I1995&gt;0),SQRT(MIN(I1995,Formula!$C$27))/Formula!$C$24,1/Formula!$C$25))</f>
        <v>0.4545454545</v>
      </c>
      <c r="R1995" s="15">
        <f t="shared" si="2"/>
        <v>0.4318181818</v>
      </c>
      <c r="S1995" s="15">
        <f>IF(H1995&lt;&gt;"",EXP(-Formula!$C$28*(EOMONTH(H1995,0)-H1995)),EXP(-Formula!$C$28*(EOMONTH(D1995,0)-D1995)))</f>
        <v>0.5769498104</v>
      </c>
      <c r="T1995" s="15">
        <f t="shared" si="3"/>
        <v>0.2886751346</v>
      </c>
      <c r="U1995" s="15">
        <f t="shared" si="4"/>
        <v>0.07191977771</v>
      </c>
      <c r="V1995" s="16">
        <f>IF(AND(L1995="Among all respondents",NOT(OR(K1995="Online poll in Telegram channel",K1995="Website online poll",K1995="CAWI (Computer Assisted Web Interviewing)"))),1/(1-MIN(MAX(Formula!$C$33+(YEAR(D1995)-Formula!$C$34)/(Formula!$C$35-Formula!$C$34)*(Formula!$C$32-Formula!$C$33),Formula!$C$33),Formula!$C$32)),1)</f>
        <v>1</v>
      </c>
      <c r="W1995" s="17">
        <f t="shared" si="5"/>
        <v>2.7</v>
      </c>
    </row>
    <row r="1996" ht="15.75" customHeight="1">
      <c r="A1996" s="8" t="s">
        <v>2855</v>
      </c>
      <c r="B1996" s="7" t="s">
        <v>2843</v>
      </c>
      <c r="C1996" s="13" t="s">
        <v>2844</v>
      </c>
      <c r="D1996" s="7" t="s">
        <v>245</v>
      </c>
      <c r="E1996" s="8" t="s">
        <v>40</v>
      </c>
      <c r="F1996" s="8" t="s">
        <v>318</v>
      </c>
      <c r="G1996" s="7" t="s">
        <v>246</v>
      </c>
      <c r="H1996" s="7" t="s">
        <v>2845</v>
      </c>
      <c r="I1996" s="8">
        <v>2000.0</v>
      </c>
      <c r="J1996" s="8">
        <v>2.2</v>
      </c>
      <c r="K1996" s="8" t="s">
        <v>583</v>
      </c>
      <c r="M1996" s="8" t="s">
        <v>343</v>
      </c>
      <c r="N1996" s="8">
        <v>2.0</v>
      </c>
      <c r="O1996" s="14">
        <f t="shared" si="1"/>
        <v>44166</v>
      </c>
      <c r="P1996" s="15">
        <f>IFERROR(VLOOKUP(K1996,Formula!$A$11:$B$20,2,FALSE),Formula!$C$26)</f>
        <v>0.95</v>
      </c>
      <c r="Q1996" s="15">
        <f>IF(AND(ISNUMBER(J1996),J1996&gt;0),1/J1996,IF(AND(ISNUMBER(I1996),I1996&gt;0),SQRT(MIN(I1996,Formula!$C$27))/Formula!$C$24,1/Formula!$C$25))</f>
        <v>0.4545454545</v>
      </c>
      <c r="R1996" s="15">
        <f t="shared" si="2"/>
        <v>0.4318181818</v>
      </c>
      <c r="S1996" s="15">
        <f>IF(H1996&lt;&gt;"",EXP(-Formula!$C$28*(EOMONTH(H1996,0)-H1996)),EXP(-Formula!$C$28*(EOMONTH(D1996,0)-D1996)))</f>
        <v>0.5769498104</v>
      </c>
      <c r="T1996" s="15">
        <f t="shared" si="3"/>
        <v>0.2886751346</v>
      </c>
      <c r="U1996" s="15">
        <f t="shared" si="4"/>
        <v>0.07191977771</v>
      </c>
      <c r="V1996" s="16">
        <f>IF(AND(L1996="Among all respondents",NOT(OR(K1996="Online poll in Telegram channel",K1996="Website online poll",K1996="CAWI (Computer Assisted Web Interviewing)"))),1/(1-MIN(MAX(Formula!$C$33+(YEAR(D1996)-Formula!$C$34)/(Formula!$C$35-Formula!$C$34)*(Formula!$C$32-Formula!$C$33),Formula!$C$33),Formula!$C$32)),1)</f>
        <v>1</v>
      </c>
      <c r="W1996" s="17">
        <f t="shared" si="5"/>
        <v>2</v>
      </c>
    </row>
    <row r="1997" ht="15.75" customHeight="1">
      <c r="A1997" s="8" t="s">
        <v>2856</v>
      </c>
      <c r="B1997" s="7" t="s">
        <v>2843</v>
      </c>
      <c r="C1997" s="13" t="s">
        <v>2844</v>
      </c>
      <c r="D1997" s="7" t="s">
        <v>245</v>
      </c>
      <c r="E1997" s="8" t="s">
        <v>40</v>
      </c>
      <c r="F1997" s="8" t="s">
        <v>318</v>
      </c>
      <c r="G1997" s="7" t="s">
        <v>246</v>
      </c>
      <c r="H1997" s="7" t="s">
        <v>2845</v>
      </c>
      <c r="I1997" s="8">
        <v>2000.0</v>
      </c>
      <c r="J1997" s="8">
        <v>2.2</v>
      </c>
      <c r="K1997" s="8" t="s">
        <v>583</v>
      </c>
      <c r="M1997" s="8" t="s">
        <v>740</v>
      </c>
      <c r="N1997" s="8">
        <v>1.9</v>
      </c>
      <c r="O1997" s="14">
        <f t="shared" si="1"/>
        <v>44166</v>
      </c>
      <c r="P1997" s="15">
        <f>IFERROR(VLOOKUP(K1997,Formula!$A$11:$B$20,2,FALSE),Formula!$C$26)</f>
        <v>0.95</v>
      </c>
      <c r="Q1997" s="15">
        <f>IF(AND(ISNUMBER(J1997),J1997&gt;0),1/J1997,IF(AND(ISNUMBER(I1997),I1997&gt;0),SQRT(MIN(I1997,Formula!$C$27))/Formula!$C$24,1/Formula!$C$25))</f>
        <v>0.4545454545</v>
      </c>
      <c r="R1997" s="15">
        <f t="shared" si="2"/>
        <v>0.4318181818</v>
      </c>
      <c r="S1997" s="15">
        <f>IF(H1997&lt;&gt;"",EXP(-Formula!$C$28*(EOMONTH(H1997,0)-H1997)),EXP(-Formula!$C$28*(EOMONTH(D1997,0)-D1997)))</f>
        <v>0.5769498104</v>
      </c>
      <c r="T1997" s="15">
        <f t="shared" si="3"/>
        <v>0.2886751346</v>
      </c>
      <c r="U1997" s="15">
        <f t="shared" si="4"/>
        <v>0.07191977771</v>
      </c>
      <c r="V1997" s="16">
        <f>IF(AND(L1997="Among all respondents",NOT(OR(K1997="Online poll in Telegram channel",K1997="Website online poll",K1997="CAWI (Computer Assisted Web Interviewing)"))),1/(1-MIN(MAX(Formula!$C$33+(YEAR(D1997)-Formula!$C$34)/(Formula!$C$35-Formula!$C$34)*(Formula!$C$32-Formula!$C$33),Formula!$C$33),Formula!$C$32)),1)</f>
        <v>1</v>
      </c>
      <c r="W1997" s="17">
        <f t="shared" si="5"/>
        <v>1.9</v>
      </c>
    </row>
    <row r="1998" ht="15.75" customHeight="1">
      <c r="A1998" s="8" t="s">
        <v>2857</v>
      </c>
      <c r="B1998" s="7" t="s">
        <v>2858</v>
      </c>
      <c r="C1998" s="13" t="s">
        <v>2859</v>
      </c>
      <c r="D1998" s="7" t="s">
        <v>246</v>
      </c>
      <c r="E1998" s="8" t="s">
        <v>106</v>
      </c>
      <c r="F1998" s="8" t="s">
        <v>318</v>
      </c>
      <c r="G1998" s="7" t="s">
        <v>2860</v>
      </c>
      <c r="H1998" s="7" t="s">
        <v>2861</v>
      </c>
      <c r="I1998" s="8">
        <v>2018.0</v>
      </c>
      <c r="J1998" s="8">
        <v>2.3</v>
      </c>
      <c r="K1998" s="8" t="s">
        <v>583</v>
      </c>
      <c r="M1998" s="8" t="s">
        <v>323</v>
      </c>
      <c r="N1998" s="8">
        <v>18.6</v>
      </c>
      <c r="O1998" s="14">
        <f t="shared" si="1"/>
        <v>44166</v>
      </c>
      <c r="P1998" s="15">
        <f>IFERROR(VLOOKUP(K1998,Formula!$A$11:$B$20,2,FALSE),Formula!$C$26)</f>
        <v>0.95</v>
      </c>
      <c r="Q1998" s="15">
        <f>IF(AND(ISNUMBER(J1998),J1998&gt;0),1/J1998,IF(AND(ISNUMBER(I1998),I1998&gt;0),SQRT(MIN(I1998,Formula!$C$27))/Formula!$C$24,1/Formula!$C$25))</f>
        <v>0.4347826087</v>
      </c>
      <c r="R1998" s="15">
        <f t="shared" si="2"/>
        <v>0.4130434783</v>
      </c>
      <c r="S1998" s="15">
        <f>IF(H1998&lt;&gt;"",EXP(-Formula!$C$28*(EOMONTH(H1998,0)-H1998)),EXP(-Formula!$C$28*(EOMONTH(D1998,0)-D1998)))</f>
        <v>0.3328710837</v>
      </c>
      <c r="T1998" s="15">
        <f t="shared" si="3"/>
        <v>0.2886751346</v>
      </c>
      <c r="U1998" s="15">
        <f t="shared" si="4"/>
        <v>0.03969001072</v>
      </c>
      <c r="V1998" s="16">
        <f>IF(AND(L1998="Among all respondents",NOT(OR(K1998="Online poll in Telegram channel",K1998="Website online poll",K1998="CAWI (Computer Assisted Web Interviewing)"))),1/(1-MIN(MAX(Formula!$C$33+(YEAR(D1998)-Formula!$C$34)/(Formula!$C$35-Formula!$C$34)*(Formula!$C$32-Formula!$C$33),Formula!$C$33),Formula!$C$32)),1)</f>
        <v>1</v>
      </c>
      <c r="W1998" s="17">
        <f t="shared" si="5"/>
        <v>18.6</v>
      </c>
    </row>
    <row r="1999" ht="15.75" customHeight="1">
      <c r="A1999" s="8" t="s">
        <v>2862</v>
      </c>
      <c r="B1999" s="7" t="s">
        <v>2858</v>
      </c>
      <c r="C1999" s="13" t="s">
        <v>2859</v>
      </c>
      <c r="D1999" s="7" t="s">
        <v>246</v>
      </c>
      <c r="E1999" s="8" t="s">
        <v>106</v>
      </c>
      <c r="F1999" s="8" t="s">
        <v>318</v>
      </c>
      <c r="G1999" s="7" t="s">
        <v>2860</v>
      </c>
      <c r="H1999" s="7" t="s">
        <v>2861</v>
      </c>
      <c r="I1999" s="8">
        <v>2018.0</v>
      </c>
      <c r="J1999" s="8">
        <v>2.3</v>
      </c>
      <c r="K1999" s="8" t="s">
        <v>583</v>
      </c>
      <c r="M1999" s="8" t="s">
        <v>329</v>
      </c>
      <c r="N1999" s="8">
        <v>12.9</v>
      </c>
      <c r="O1999" s="14">
        <f t="shared" si="1"/>
        <v>44166</v>
      </c>
      <c r="P1999" s="15">
        <f>IFERROR(VLOOKUP(K1999,Formula!$A$11:$B$20,2,FALSE),Formula!$C$26)</f>
        <v>0.95</v>
      </c>
      <c r="Q1999" s="15">
        <f>IF(AND(ISNUMBER(J1999),J1999&gt;0),1/J1999,IF(AND(ISNUMBER(I1999),I1999&gt;0),SQRT(MIN(I1999,Formula!$C$27))/Formula!$C$24,1/Formula!$C$25))</f>
        <v>0.4347826087</v>
      </c>
      <c r="R1999" s="15">
        <f t="shared" si="2"/>
        <v>0.4130434783</v>
      </c>
      <c r="S1999" s="15">
        <f>IF(H1999&lt;&gt;"",EXP(-Formula!$C$28*(EOMONTH(H1999,0)-H1999)),EXP(-Formula!$C$28*(EOMONTH(D1999,0)-D1999)))</f>
        <v>0.3328710837</v>
      </c>
      <c r="T1999" s="15">
        <f t="shared" si="3"/>
        <v>0.2886751346</v>
      </c>
      <c r="U1999" s="15">
        <f t="shared" si="4"/>
        <v>0.03969001072</v>
      </c>
      <c r="V1999" s="16">
        <f>IF(AND(L1999="Among all respondents",NOT(OR(K1999="Online poll in Telegram channel",K1999="Website online poll",K1999="CAWI (Computer Assisted Web Interviewing)"))),1/(1-MIN(MAX(Formula!$C$33+(YEAR(D1999)-Formula!$C$34)/(Formula!$C$35-Formula!$C$34)*(Formula!$C$32-Formula!$C$33),Formula!$C$33),Formula!$C$32)),1)</f>
        <v>1</v>
      </c>
      <c r="W1999" s="17">
        <f t="shared" si="5"/>
        <v>12.9</v>
      </c>
    </row>
    <row r="2000" ht="15.75" customHeight="1">
      <c r="A2000" s="8" t="s">
        <v>2863</v>
      </c>
      <c r="B2000" s="7" t="s">
        <v>2858</v>
      </c>
      <c r="C2000" s="13" t="s">
        <v>2859</v>
      </c>
      <c r="D2000" s="7" t="s">
        <v>246</v>
      </c>
      <c r="E2000" s="8" t="s">
        <v>106</v>
      </c>
      <c r="F2000" s="8" t="s">
        <v>318</v>
      </c>
      <c r="G2000" s="7" t="s">
        <v>2860</v>
      </c>
      <c r="H2000" s="7" t="s">
        <v>2861</v>
      </c>
      <c r="I2000" s="8">
        <v>2018.0</v>
      </c>
      <c r="J2000" s="8">
        <v>2.3</v>
      </c>
      <c r="K2000" s="8" t="s">
        <v>583</v>
      </c>
      <c r="M2000" s="8" t="s">
        <v>365</v>
      </c>
      <c r="N2000" s="8">
        <v>12.1</v>
      </c>
      <c r="O2000" s="14">
        <f t="shared" si="1"/>
        <v>44166</v>
      </c>
      <c r="P2000" s="15">
        <f>IFERROR(VLOOKUP(K2000,Formula!$A$11:$B$20,2,FALSE),Formula!$C$26)</f>
        <v>0.95</v>
      </c>
      <c r="Q2000" s="15">
        <f>IF(AND(ISNUMBER(J2000),J2000&gt;0),1/J2000,IF(AND(ISNUMBER(I2000),I2000&gt;0),SQRT(MIN(I2000,Formula!$C$27))/Formula!$C$24,1/Formula!$C$25))</f>
        <v>0.4347826087</v>
      </c>
      <c r="R2000" s="15">
        <f t="shared" si="2"/>
        <v>0.4130434783</v>
      </c>
      <c r="S2000" s="15">
        <f>IF(H2000&lt;&gt;"",EXP(-Formula!$C$28*(EOMONTH(H2000,0)-H2000)),EXP(-Formula!$C$28*(EOMONTH(D2000,0)-D2000)))</f>
        <v>0.3328710837</v>
      </c>
      <c r="T2000" s="15">
        <f t="shared" si="3"/>
        <v>0.2886751346</v>
      </c>
      <c r="U2000" s="15">
        <f t="shared" si="4"/>
        <v>0.03969001072</v>
      </c>
      <c r="V2000" s="16">
        <f>IF(AND(L2000="Among all respondents",NOT(OR(K2000="Online poll in Telegram channel",K2000="Website online poll",K2000="CAWI (Computer Assisted Web Interviewing)"))),1/(1-MIN(MAX(Formula!$C$33+(YEAR(D2000)-Formula!$C$34)/(Formula!$C$35-Formula!$C$34)*(Formula!$C$32-Formula!$C$33),Formula!$C$33),Formula!$C$32)),1)</f>
        <v>1</v>
      </c>
      <c r="W2000" s="17">
        <f t="shared" si="5"/>
        <v>12.1</v>
      </c>
    </row>
    <row r="2001" ht="15.75" customHeight="1">
      <c r="A2001" s="8" t="s">
        <v>2864</v>
      </c>
      <c r="B2001" s="7" t="s">
        <v>2858</v>
      </c>
      <c r="C2001" s="13" t="s">
        <v>2859</v>
      </c>
      <c r="D2001" s="7" t="s">
        <v>246</v>
      </c>
      <c r="E2001" s="8" t="s">
        <v>106</v>
      </c>
      <c r="F2001" s="8" t="s">
        <v>318</v>
      </c>
      <c r="G2001" s="7" t="s">
        <v>2860</v>
      </c>
      <c r="H2001" s="7" t="s">
        <v>2861</v>
      </c>
      <c r="I2001" s="8">
        <v>2018.0</v>
      </c>
      <c r="J2001" s="8">
        <v>2.3</v>
      </c>
      <c r="K2001" s="8" t="s">
        <v>583</v>
      </c>
      <c r="M2001" s="8" t="s">
        <v>337</v>
      </c>
      <c r="N2001" s="8">
        <v>5.8</v>
      </c>
      <c r="O2001" s="14">
        <f t="shared" si="1"/>
        <v>44166</v>
      </c>
      <c r="P2001" s="15">
        <f>IFERROR(VLOOKUP(K2001,Formula!$A$11:$B$20,2,FALSE),Formula!$C$26)</f>
        <v>0.95</v>
      </c>
      <c r="Q2001" s="15">
        <f>IF(AND(ISNUMBER(J2001),J2001&gt;0),1/J2001,IF(AND(ISNUMBER(I2001),I2001&gt;0),SQRT(MIN(I2001,Formula!$C$27))/Formula!$C$24,1/Formula!$C$25))</f>
        <v>0.4347826087</v>
      </c>
      <c r="R2001" s="15">
        <f t="shared" si="2"/>
        <v>0.4130434783</v>
      </c>
      <c r="S2001" s="15">
        <f>IF(H2001&lt;&gt;"",EXP(-Formula!$C$28*(EOMONTH(H2001,0)-H2001)),EXP(-Formula!$C$28*(EOMONTH(D2001,0)-D2001)))</f>
        <v>0.3328710837</v>
      </c>
      <c r="T2001" s="15">
        <f t="shared" si="3"/>
        <v>0.2886751346</v>
      </c>
      <c r="U2001" s="15">
        <f t="shared" si="4"/>
        <v>0.03969001072</v>
      </c>
      <c r="V2001" s="16">
        <f>IF(AND(L2001="Among all respondents",NOT(OR(K2001="Online poll in Telegram channel",K2001="Website online poll",K2001="CAWI (Computer Assisted Web Interviewing)"))),1/(1-MIN(MAX(Formula!$C$33+(YEAR(D2001)-Formula!$C$34)/(Formula!$C$35-Formula!$C$34)*(Formula!$C$32-Formula!$C$33),Formula!$C$33),Formula!$C$32)),1)</f>
        <v>1</v>
      </c>
      <c r="W2001" s="17">
        <f t="shared" si="5"/>
        <v>5.8</v>
      </c>
    </row>
    <row r="2002" ht="15.75" customHeight="1">
      <c r="A2002" s="8" t="s">
        <v>2865</v>
      </c>
      <c r="B2002" s="7" t="s">
        <v>2858</v>
      </c>
      <c r="C2002" s="13" t="s">
        <v>2859</v>
      </c>
      <c r="D2002" s="7" t="s">
        <v>246</v>
      </c>
      <c r="E2002" s="8" t="s">
        <v>106</v>
      </c>
      <c r="F2002" s="8" t="s">
        <v>318</v>
      </c>
      <c r="G2002" s="7" t="s">
        <v>2860</v>
      </c>
      <c r="H2002" s="7" t="s">
        <v>2861</v>
      </c>
      <c r="I2002" s="8">
        <v>2018.0</v>
      </c>
      <c r="J2002" s="8">
        <v>2.3</v>
      </c>
      <c r="K2002" s="8" t="s">
        <v>583</v>
      </c>
      <c r="M2002" s="8" t="s">
        <v>828</v>
      </c>
      <c r="N2002" s="8">
        <v>4.5</v>
      </c>
      <c r="O2002" s="14">
        <f t="shared" si="1"/>
        <v>44166</v>
      </c>
      <c r="P2002" s="15">
        <f>IFERROR(VLOOKUP(K2002,Formula!$A$11:$B$20,2,FALSE),Formula!$C$26)</f>
        <v>0.95</v>
      </c>
      <c r="Q2002" s="15">
        <f>IF(AND(ISNUMBER(J2002),J2002&gt;0),1/J2002,IF(AND(ISNUMBER(I2002),I2002&gt;0),SQRT(MIN(I2002,Formula!$C$27))/Formula!$C$24,1/Formula!$C$25))</f>
        <v>0.4347826087</v>
      </c>
      <c r="R2002" s="15">
        <f t="shared" si="2"/>
        <v>0.4130434783</v>
      </c>
      <c r="S2002" s="15">
        <f>IF(H2002&lt;&gt;"",EXP(-Formula!$C$28*(EOMONTH(H2002,0)-H2002)),EXP(-Formula!$C$28*(EOMONTH(D2002,0)-D2002)))</f>
        <v>0.3328710837</v>
      </c>
      <c r="T2002" s="15">
        <f t="shared" si="3"/>
        <v>0.2886751346</v>
      </c>
      <c r="U2002" s="15">
        <f t="shared" si="4"/>
        <v>0.03969001072</v>
      </c>
      <c r="V2002" s="16">
        <f>IF(AND(L2002="Among all respondents",NOT(OR(K2002="Online poll in Telegram channel",K2002="Website online poll",K2002="CAWI (Computer Assisted Web Interviewing)"))),1/(1-MIN(MAX(Formula!$C$33+(YEAR(D2002)-Formula!$C$34)/(Formula!$C$35-Formula!$C$34)*(Formula!$C$32-Formula!$C$33),Formula!$C$33),Formula!$C$32)),1)</f>
        <v>1</v>
      </c>
      <c r="W2002" s="17">
        <f t="shared" si="5"/>
        <v>4.5</v>
      </c>
    </row>
    <row r="2003" ht="15.75" customHeight="1">
      <c r="A2003" s="8" t="s">
        <v>2866</v>
      </c>
      <c r="B2003" s="7" t="s">
        <v>2858</v>
      </c>
      <c r="C2003" s="13" t="s">
        <v>2859</v>
      </c>
      <c r="D2003" s="7" t="s">
        <v>246</v>
      </c>
      <c r="E2003" s="8" t="s">
        <v>106</v>
      </c>
      <c r="F2003" s="8" t="s">
        <v>318</v>
      </c>
      <c r="G2003" s="7" t="s">
        <v>2860</v>
      </c>
      <c r="H2003" s="7" t="s">
        <v>2861</v>
      </c>
      <c r="I2003" s="8">
        <v>2018.0</v>
      </c>
      <c r="J2003" s="8">
        <v>2.3</v>
      </c>
      <c r="K2003" s="8" t="s">
        <v>583</v>
      </c>
      <c r="M2003" s="8" t="s">
        <v>386</v>
      </c>
      <c r="N2003" s="8">
        <v>3.2</v>
      </c>
      <c r="O2003" s="14">
        <f t="shared" si="1"/>
        <v>44166</v>
      </c>
      <c r="P2003" s="15">
        <f>IFERROR(VLOOKUP(K2003,Formula!$A$11:$B$20,2,FALSE),Formula!$C$26)</f>
        <v>0.95</v>
      </c>
      <c r="Q2003" s="15">
        <f>IF(AND(ISNUMBER(J2003),J2003&gt;0),1/J2003,IF(AND(ISNUMBER(I2003),I2003&gt;0),SQRT(MIN(I2003,Formula!$C$27))/Formula!$C$24,1/Formula!$C$25))</f>
        <v>0.4347826087</v>
      </c>
      <c r="R2003" s="15">
        <f t="shared" si="2"/>
        <v>0.4130434783</v>
      </c>
      <c r="S2003" s="15">
        <f>IF(H2003&lt;&gt;"",EXP(-Formula!$C$28*(EOMONTH(H2003,0)-H2003)),EXP(-Formula!$C$28*(EOMONTH(D2003,0)-D2003)))</f>
        <v>0.3328710837</v>
      </c>
      <c r="T2003" s="15">
        <f t="shared" si="3"/>
        <v>0.2886751346</v>
      </c>
      <c r="U2003" s="15">
        <f t="shared" si="4"/>
        <v>0.03969001072</v>
      </c>
      <c r="V2003" s="16">
        <f>IF(AND(L2003="Among all respondents",NOT(OR(K2003="Online poll in Telegram channel",K2003="Website online poll",K2003="CAWI (Computer Assisted Web Interviewing)"))),1/(1-MIN(MAX(Formula!$C$33+(YEAR(D2003)-Formula!$C$34)/(Formula!$C$35-Formula!$C$34)*(Formula!$C$32-Formula!$C$33),Formula!$C$33),Formula!$C$32)),1)</f>
        <v>1</v>
      </c>
      <c r="W2003" s="17">
        <f t="shared" si="5"/>
        <v>3.2</v>
      </c>
    </row>
    <row r="2004" ht="15.75" customHeight="1">
      <c r="A2004" s="8" t="s">
        <v>2867</v>
      </c>
      <c r="B2004" s="7" t="s">
        <v>2858</v>
      </c>
      <c r="C2004" s="13" t="s">
        <v>2859</v>
      </c>
      <c r="D2004" s="7" t="s">
        <v>246</v>
      </c>
      <c r="E2004" s="8" t="s">
        <v>106</v>
      </c>
      <c r="F2004" s="8" t="s">
        <v>318</v>
      </c>
      <c r="G2004" s="7" t="s">
        <v>2860</v>
      </c>
      <c r="H2004" s="7" t="s">
        <v>2861</v>
      </c>
      <c r="I2004" s="8">
        <v>2018.0</v>
      </c>
      <c r="J2004" s="8">
        <v>2.3</v>
      </c>
      <c r="K2004" s="8" t="s">
        <v>583</v>
      </c>
      <c r="M2004" s="8" t="s">
        <v>838</v>
      </c>
      <c r="N2004" s="8">
        <v>2.6</v>
      </c>
      <c r="O2004" s="14">
        <f t="shared" si="1"/>
        <v>44166</v>
      </c>
      <c r="P2004" s="15">
        <f>IFERROR(VLOOKUP(K2004,Formula!$A$11:$B$20,2,FALSE),Formula!$C$26)</f>
        <v>0.95</v>
      </c>
      <c r="Q2004" s="15">
        <f>IF(AND(ISNUMBER(J2004),J2004&gt;0),1/J2004,IF(AND(ISNUMBER(I2004),I2004&gt;0),SQRT(MIN(I2004,Formula!$C$27))/Formula!$C$24,1/Formula!$C$25))</f>
        <v>0.4347826087</v>
      </c>
      <c r="R2004" s="15">
        <f t="shared" si="2"/>
        <v>0.4130434783</v>
      </c>
      <c r="S2004" s="15">
        <f>IF(H2004&lt;&gt;"",EXP(-Formula!$C$28*(EOMONTH(H2004,0)-H2004)),EXP(-Formula!$C$28*(EOMONTH(D2004,0)-D2004)))</f>
        <v>0.3328710837</v>
      </c>
      <c r="T2004" s="15">
        <f t="shared" si="3"/>
        <v>0.2886751346</v>
      </c>
      <c r="U2004" s="15">
        <f t="shared" si="4"/>
        <v>0.03969001072</v>
      </c>
      <c r="V2004" s="16">
        <f>IF(AND(L2004="Among all respondents",NOT(OR(K2004="Online poll in Telegram channel",K2004="Website online poll",K2004="CAWI (Computer Assisted Web Interviewing)"))),1/(1-MIN(MAX(Formula!$C$33+(YEAR(D2004)-Formula!$C$34)/(Formula!$C$35-Formula!$C$34)*(Formula!$C$32-Formula!$C$33),Formula!$C$33),Formula!$C$32)),1)</f>
        <v>1</v>
      </c>
      <c r="W2004" s="17">
        <f t="shared" si="5"/>
        <v>2.6</v>
      </c>
    </row>
    <row r="2005" ht="15.75" customHeight="1">
      <c r="A2005" s="8" t="s">
        <v>2868</v>
      </c>
      <c r="B2005" s="7" t="s">
        <v>2858</v>
      </c>
      <c r="C2005" s="13" t="s">
        <v>2859</v>
      </c>
      <c r="D2005" s="7" t="s">
        <v>246</v>
      </c>
      <c r="E2005" s="8" t="s">
        <v>106</v>
      </c>
      <c r="F2005" s="8" t="s">
        <v>318</v>
      </c>
      <c r="G2005" s="7" t="s">
        <v>2860</v>
      </c>
      <c r="H2005" s="7" t="s">
        <v>2861</v>
      </c>
      <c r="I2005" s="8">
        <v>2018.0</v>
      </c>
      <c r="J2005" s="8">
        <v>2.3</v>
      </c>
      <c r="K2005" s="8" t="s">
        <v>583</v>
      </c>
      <c r="M2005" s="8" t="s">
        <v>333</v>
      </c>
      <c r="N2005" s="8">
        <v>2.0</v>
      </c>
      <c r="O2005" s="14">
        <f t="shared" si="1"/>
        <v>44166</v>
      </c>
      <c r="P2005" s="15">
        <f>IFERROR(VLOOKUP(K2005,Formula!$A$11:$B$20,2,FALSE),Formula!$C$26)</f>
        <v>0.95</v>
      </c>
      <c r="Q2005" s="15">
        <f>IF(AND(ISNUMBER(J2005),J2005&gt;0),1/J2005,IF(AND(ISNUMBER(I2005),I2005&gt;0),SQRT(MIN(I2005,Formula!$C$27))/Formula!$C$24,1/Formula!$C$25))</f>
        <v>0.4347826087</v>
      </c>
      <c r="R2005" s="15">
        <f t="shared" si="2"/>
        <v>0.4130434783</v>
      </c>
      <c r="S2005" s="15">
        <f>IF(H2005&lt;&gt;"",EXP(-Formula!$C$28*(EOMONTH(H2005,0)-H2005)),EXP(-Formula!$C$28*(EOMONTH(D2005,0)-D2005)))</f>
        <v>0.3328710837</v>
      </c>
      <c r="T2005" s="15">
        <f t="shared" si="3"/>
        <v>0.2886751346</v>
      </c>
      <c r="U2005" s="15">
        <f t="shared" si="4"/>
        <v>0.03969001072</v>
      </c>
      <c r="V2005" s="16">
        <f>IF(AND(L2005="Among all respondents",NOT(OR(K2005="Online poll in Telegram channel",K2005="Website online poll",K2005="CAWI (Computer Assisted Web Interviewing)"))),1/(1-MIN(MAX(Formula!$C$33+(YEAR(D2005)-Formula!$C$34)/(Formula!$C$35-Formula!$C$34)*(Formula!$C$32-Formula!$C$33),Formula!$C$33),Formula!$C$32)),1)</f>
        <v>1</v>
      </c>
      <c r="W2005" s="17">
        <f t="shared" si="5"/>
        <v>2</v>
      </c>
    </row>
    <row r="2006" ht="15.75" customHeight="1">
      <c r="A2006" s="8" t="s">
        <v>2869</v>
      </c>
      <c r="B2006" s="7" t="s">
        <v>2858</v>
      </c>
      <c r="C2006" s="13" t="s">
        <v>2859</v>
      </c>
      <c r="D2006" s="7" t="s">
        <v>246</v>
      </c>
      <c r="E2006" s="8" t="s">
        <v>106</v>
      </c>
      <c r="F2006" s="8" t="s">
        <v>318</v>
      </c>
      <c r="G2006" s="7" t="s">
        <v>2860</v>
      </c>
      <c r="H2006" s="7" t="s">
        <v>2861</v>
      </c>
      <c r="I2006" s="8">
        <v>2018.0</v>
      </c>
      <c r="J2006" s="8">
        <v>2.3</v>
      </c>
      <c r="K2006" s="8" t="s">
        <v>583</v>
      </c>
      <c r="M2006" s="8" t="s">
        <v>388</v>
      </c>
      <c r="N2006" s="8">
        <v>1.3</v>
      </c>
      <c r="O2006" s="14">
        <f t="shared" si="1"/>
        <v>44166</v>
      </c>
      <c r="P2006" s="15">
        <f>IFERROR(VLOOKUP(K2006,Formula!$A$11:$B$20,2,FALSE),Formula!$C$26)</f>
        <v>0.95</v>
      </c>
      <c r="Q2006" s="15">
        <f>IF(AND(ISNUMBER(J2006),J2006&gt;0),1/J2006,IF(AND(ISNUMBER(I2006),I2006&gt;0),SQRT(MIN(I2006,Formula!$C$27))/Formula!$C$24,1/Formula!$C$25))</f>
        <v>0.4347826087</v>
      </c>
      <c r="R2006" s="15">
        <f t="shared" si="2"/>
        <v>0.4130434783</v>
      </c>
      <c r="S2006" s="15">
        <f>IF(H2006&lt;&gt;"",EXP(-Formula!$C$28*(EOMONTH(H2006,0)-H2006)),EXP(-Formula!$C$28*(EOMONTH(D2006,0)-D2006)))</f>
        <v>0.3328710837</v>
      </c>
      <c r="T2006" s="15">
        <f t="shared" si="3"/>
        <v>0.2886751346</v>
      </c>
      <c r="U2006" s="15">
        <f t="shared" si="4"/>
        <v>0.03969001072</v>
      </c>
      <c r="V2006" s="16">
        <f>IF(AND(L2006="Among all respondents",NOT(OR(K2006="Online poll in Telegram channel",K2006="Website online poll",K2006="CAWI (Computer Assisted Web Interviewing)"))),1/(1-MIN(MAX(Formula!$C$33+(YEAR(D2006)-Formula!$C$34)/(Formula!$C$35-Formula!$C$34)*(Formula!$C$32-Formula!$C$33),Formula!$C$33),Formula!$C$32)),1)</f>
        <v>1</v>
      </c>
      <c r="W2006" s="17">
        <f t="shared" si="5"/>
        <v>1.3</v>
      </c>
    </row>
    <row r="2007" ht="15.75" customHeight="1">
      <c r="A2007" s="8" t="s">
        <v>2870</v>
      </c>
      <c r="B2007" s="7" t="s">
        <v>2858</v>
      </c>
      <c r="C2007" s="13" t="s">
        <v>2859</v>
      </c>
      <c r="D2007" s="7" t="s">
        <v>246</v>
      </c>
      <c r="E2007" s="8" t="s">
        <v>106</v>
      </c>
      <c r="F2007" s="8" t="s">
        <v>318</v>
      </c>
      <c r="G2007" s="7" t="s">
        <v>2860</v>
      </c>
      <c r="H2007" s="7" t="s">
        <v>2861</v>
      </c>
      <c r="I2007" s="8">
        <v>2018.0</v>
      </c>
      <c r="J2007" s="8">
        <v>2.3</v>
      </c>
      <c r="K2007" s="8" t="s">
        <v>583</v>
      </c>
      <c r="M2007" s="8" t="s">
        <v>1398</v>
      </c>
      <c r="N2007" s="8">
        <v>1.2</v>
      </c>
      <c r="O2007" s="14">
        <f t="shared" si="1"/>
        <v>44166</v>
      </c>
      <c r="P2007" s="15">
        <f>IFERROR(VLOOKUP(K2007,Formula!$A$11:$B$20,2,FALSE),Formula!$C$26)</f>
        <v>0.95</v>
      </c>
      <c r="Q2007" s="15">
        <f>IF(AND(ISNUMBER(J2007),J2007&gt;0),1/J2007,IF(AND(ISNUMBER(I2007),I2007&gt;0),SQRT(MIN(I2007,Formula!$C$27))/Formula!$C$24,1/Formula!$C$25))</f>
        <v>0.4347826087</v>
      </c>
      <c r="R2007" s="15">
        <f t="shared" si="2"/>
        <v>0.4130434783</v>
      </c>
      <c r="S2007" s="15">
        <f>IF(H2007&lt;&gt;"",EXP(-Formula!$C$28*(EOMONTH(H2007,0)-H2007)),EXP(-Formula!$C$28*(EOMONTH(D2007,0)-D2007)))</f>
        <v>0.3328710837</v>
      </c>
      <c r="T2007" s="15">
        <f t="shared" si="3"/>
        <v>0.2886751346</v>
      </c>
      <c r="U2007" s="15">
        <f t="shared" si="4"/>
        <v>0.03969001072</v>
      </c>
      <c r="V2007" s="16">
        <f>IF(AND(L2007="Among all respondents",NOT(OR(K2007="Online poll in Telegram channel",K2007="Website online poll",K2007="CAWI (Computer Assisted Web Interviewing)"))),1/(1-MIN(MAX(Formula!$C$33+(YEAR(D2007)-Formula!$C$34)/(Formula!$C$35-Formula!$C$34)*(Formula!$C$32-Formula!$C$33),Formula!$C$33),Formula!$C$32)),1)</f>
        <v>1</v>
      </c>
      <c r="W2007" s="17">
        <f t="shared" si="5"/>
        <v>1.2</v>
      </c>
    </row>
    <row r="2008" ht="15.75" customHeight="1">
      <c r="A2008" s="8" t="s">
        <v>2871</v>
      </c>
      <c r="B2008" s="7" t="s">
        <v>2858</v>
      </c>
      <c r="C2008" s="13" t="s">
        <v>2859</v>
      </c>
      <c r="D2008" s="7" t="s">
        <v>246</v>
      </c>
      <c r="E2008" s="8" t="s">
        <v>106</v>
      </c>
      <c r="F2008" s="8" t="s">
        <v>318</v>
      </c>
      <c r="G2008" s="7" t="s">
        <v>2860</v>
      </c>
      <c r="H2008" s="7" t="s">
        <v>2861</v>
      </c>
      <c r="I2008" s="8">
        <v>2018.0</v>
      </c>
      <c r="J2008" s="8">
        <v>2.3</v>
      </c>
      <c r="K2008" s="8" t="s">
        <v>583</v>
      </c>
      <c r="M2008" s="8" t="s">
        <v>343</v>
      </c>
      <c r="N2008" s="8">
        <v>1.1</v>
      </c>
      <c r="O2008" s="14">
        <f t="shared" si="1"/>
        <v>44166</v>
      </c>
      <c r="P2008" s="15">
        <f>IFERROR(VLOOKUP(K2008,Formula!$A$11:$B$20,2,FALSE),Formula!$C$26)</f>
        <v>0.95</v>
      </c>
      <c r="Q2008" s="15">
        <f>IF(AND(ISNUMBER(J2008),J2008&gt;0),1/J2008,IF(AND(ISNUMBER(I2008),I2008&gt;0),SQRT(MIN(I2008,Formula!$C$27))/Formula!$C$24,1/Formula!$C$25))</f>
        <v>0.4347826087</v>
      </c>
      <c r="R2008" s="15">
        <f t="shared" si="2"/>
        <v>0.4130434783</v>
      </c>
      <c r="S2008" s="15">
        <f>IF(H2008&lt;&gt;"",EXP(-Formula!$C$28*(EOMONTH(H2008,0)-H2008)),EXP(-Formula!$C$28*(EOMONTH(D2008,0)-D2008)))</f>
        <v>0.3328710837</v>
      </c>
      <c r="T2008" s="15">
        <f t="shared" si="3"/>
        <v>0.2886751346</v>
      </c>
      <c r="U2008" s="15">
        <f t="shared" si="4"/>
        <v>0.03969001072</v>
      </c>
      <c r="V2008" s="16">
        <f>IF(AND(L2008="Among all respondents",NOT(OR(K2008="Online poll in Telegram channel",K2008="Website online poll",K2008="CAWI (Computer Assisted Web Interviewing)"))),1/(1-MIN(MAX(Formula!$C$33+(YEAR(D2008)-Formula!$C$34)/(Formula!$C$35-Formula!$C$34)*(Formula!$C$32-Formula!$C$33),Formula!$C$33),Formula!$C$32)),1)</f>
        <v>1</v>
      </c>
      <c r="W2008" s="17">
        <f t="shared" si="5"/>
        <v>1.1</v>
      </c>
    </row>
    <row r="2009" ht="15.75" customHeight="1">
      <c r="A2009" s="8" t="s">
        <v>2872</v>
      </c>
      <c r="B2009" s="7" t="s">
        <v>2858</v>
      </c>
      <c r="C2009" s="13" t="s">
        <v>2859</v>
      </c>
      <c r="D2009" s="7" t="s">
        <v>246</v>
      </c>
      <c r="E2009" s="8" t="s">
        <v>106</v>
      </c>
      <c r="F2009" s="8" t="s">
        <v>318</v>
      </c>
      <c r="G2009" s="7" t="s">
        <v>2860</v>
      </c>
      <c r="H2009" s="7" t="s">
        <v>2861</v>
      </c>
      <c r="I2009" s="8">
        <v>2018.0</v>
      </c>
      <c r="J2009" s="8">
        <v>2.3</v>
      </c>
      <c r="K2009" s="8" t="s">
        <v>583</v>
      </c>
      <c r="M2009" s="8" t="s">
        <v>345</v>
      </c>
      <c r="N2009" s="8">
        <v>0.7</v>
      </c>
      <c r="O2009" s="14">
        <f t="shared" si="1"/>
        <v>44166</v>
      </c>
      <c r="P2009" s="15">
        <f>IFERROR(VLOOKUP(K2009,Formula!$A$11:$B$20,2,FALSE),Formula!$C$26)</f>
        <v>0.95</v>
      </c>
      <c r="Q2009" s="15">
        <f>IF(AND(ISNUMBER(J2009),J2009&gt;0),1/J2009,IF(AND(ISNUMBER(I2009),I2009&gt;0),SQRT(MIN(I2009,Formula!$C$27))/Formula!$C$24,1/Formula!$C$25))</f>
        <v>0.4347826087</v>
      </c>
      <c r="R2009" s="15">
        <f t="shared" si="2"/>
        <v>0.4130434783</v>
      </c>
      <c r="S2009" s="15">
        <f>IF(H2009&lt;&gt;"",EXP(-Formula!$C$28*(EOMONTH(H2009,0)-H2009)),EXP(-Formula!$C$28*(EOMONTH(D2009,0)-D2009)))</f>
        <v>0.3328710837</v>
      </c>
      <c r="T2009" s="15">
        <f t="shared" si="3"/>
        <v>0.2886751346</v>
      </c>
      <c r="U2009" s="15">
        <f t="shared" si="4"/>
        <v>0.03969001072</v>
      </c>
      <c r="V2009" s="16">
        <f>IF(AND(L2009="Among all respondents",NOT(OR(K2009="Online poll in Telegram channel",K2009="Website online poll",K2009="CAWI (Computer Assisted Web Interviewing)"))),1/(1-MIN(MAX(Formula!$C$33+(YEAR(D2009)-Formula!$C$34)/(Formula!$C$35-Formula!$C$34)*(Formula!$C$32-Formula!$C$33),Formula!$C$33),Formula!$C$32)),1)</f>
        <v>1</v>
      </c>
      <c r="W2009" s="17">
        <f t="shared" si="5"/>
        <v>0.7</v>
      </c>
    </row>
    <row r="2010" ht="15.75" customHeight="1">
      <c r="A2010" s="8" t="s">
        <v>2873</v>
      </c>
      <c r="B2010" s="7" t="s">
        <v>2874</v>
      </c>
      <c r="C2010" s="13" t="s">
        <v>2875</v>
      </c>
      <c r="D2010" s="7" t="s">
        <v>247</v>
      </c>
      <c r="E2010" s="8" t="s">
        <v>249</v>
      </c>
      <c r="F2010" s="8" t="s">
        <v>318</v>
      </c>
      <c r="G2010" s="7" t="s">
        <v>2876</v>
      </c>
      <c r="H2010" s="7" t="s">
        <v>2877</v>
      </c>
      <c r="I2010" s="8">
        <v>1800.0</v>
      </c>
      <c r="J2010" s="8">
        <v>2.4</v>
      </c>
      <c r="K2010" s="8" t="s">
        <v>583</v>
      </c>
      <c r="M2010" s="8" t="s">
        <v>323</v>
      </c>
      <c r="N2010" s="8">
        <v>26.4</v>
      </c>
      <c r="O2010" s="14">
        <f t="shared" si="1"/>
        <v>44136</v>
      </c>
      <c r="P2010" s="15">
        <f>IFERROR(VLOOKUP(K2010,Formula!$A$11:$B$20,2,FALSE),Formula!$C$26)</f>
        <v>0.95</v>
      </c>
      <c r="Q2010" s="15">
        <f>IF(AND(ISNUMBER(J2010),J2010&gt;0),1/J2010,IF(AND(ISNUMBER(I2010),I2010&gt;0),SQRT(MIN(I2010,Formula!$C$27))/Formula!$C$24,1/Formula!$C$25))</f>
        <v>0.4166666667</v>
      </c>
      <c r="R2010" s="15">
        <f t="shared" si="2"/>
        <v>0.3958333333</v>
      </c>
      <c r="S2010" s="15">
        <f>IF(H2010&lt;&gt;"",EXP(-Formula!$C$28*(EOMONTH(H2010,0)-H2010)),EXP(-Formula!$C$28*(EOMONTH(D2010,0)-D2010)))</f>
        <v>0.7788007831</v>
      </c>
      <c r="T2010" s="15">
        <f t="shared" si="3"/>
        <v>0.3015113446</v>
      </c>
      <c r="U2010" s="15">
        <f t="shared" si="4"/>
        <v>0.09294850321</v>
      </c>
      <c r="V2010" s="16">
        <f>IF(AND(L2010="Among all respondents",NOT(OR(K2010="Online poll in Telegram channel",K2010="Website online poll",K2010="CAWI (Computer Assisted Web Interviewing)"))),1/(1-MIN(MAX(Formula!$C$33+(YEAR(D2010)-Formula!$C$34)/(Formula!$C$35-Formula!$C$34)*(Formula!$C$32-Formula!$C$33),Formula!$C$33),Formula!$C$32)),1)</f>
        <v>1</v>
      </c>
      <c r="W2010" s="17">
        <f t="shared" si="5"/>
        <v>26.4</v>
      </c>
    </row>
    <row r="2011" ht="15.75" customHeight="1">
      <c r="A2011" s="8" t="s">
        <v>2878</v>
      </c>
      <c r="B2011" s="7" t="s">
        <v>2874</v>
      </c>
      <c r="C2011" s="13" t="s">
        <v>2875</v>
      </c>
      <c r="D2011" s="7" t="s">
        <v>247</v>
      </c>
      <c r="E2011" s="8" t="s">
        <v>249</v>
      </c>
      <c r="F2011" s="8" t="s">
        <v>318</v>
      </c>
      <c r="G2011" s="7" t="s">
        <v>2876</v>
      </c>
      <c r="H2011" s="7" t="s">
        <v>2877</v>
      </c>
      <c r="I2011" s="8">
        <v>1800.0</v>
      </c>
      <c r="J2011" s="8">
        <v>2.4</v>
      </c>
      <c r="K2011" s="8" t="s">
        <v>583</v>
      </c>
      <c r="M2011" s="8" t="s">
        <v>329</v>
      </c>
      <c r="N2011" s="8">
        <v>10.4</v>
      </c>
      <c r="O2011" s="14">
        <f t="shared" si="1"/>
        <v>44136</v>
      </c>
      <c r="P2011" s="15">
        <f>IFERROR(VLOOKUP(K2011,Formula!$A$11:$B$20,2,FALSE),Formula!$C$26)</f>
        <v>0.95</v>
      </c>
      <c r="Q2011" s="15">
        <f>IF(AND(ISNUMBER(J2011),J2011&gt;0),1/J2011,IF(AND(ISNUMBER(I2011),I2011&gt;0),SQRT(MIN(I2011,Formula!$C$27))/Formula!$C$24,1/Formula!$C$25))</f>
        <v>0.4166666667</v>
      </c>
      <c r="R2011" s="15">
        <f t="shared" si="2"/>
        <v>0.3958333333</v>
      </c>
      <c r="S2011" s="15">
        <f>IF(H2011&lt;&gt;"",EXP(-Formula!$C$28*(EOMONTH(H2011,0)-H2011)),EXP(-Formula!$C$28*(EOMONTH(D2011,0)-D2011)))</f>
        <v>0.7788007831</v>
      </c>
      <c r="T2011" s="15">
        <f t="shared" si="3"/>
        <v>0.3015113446</v>
      </c>
      <c r="U2011" s="15">
        <f t="shared" si="4"/>
        <v>0.09294850321</v>
      </c>
      <c r="V2011" s="16">
        <f>IF(AND(L2011="Among all respondents",NOT(OR(K2011="Online poll in Telegram channel",K2011="Website online poll",K2011="CAWI (Computer Assisted Web Interviewing)"))),1/(1-MIN(MAX(Formula!$C$33+(YEAR(D2011)-Formula!$C$34)/(Formula!$C$35-Formula!$C$34)*(Formula!$C$32-Formula!$C$33),Formula!$C$33),Formula!$C$32)),1)</f>
        <v>1</v>
      </c>
      <c r="W2011" s="17">
        <f t="shared" si="5"/>
        <v>10.4</v>
      </c>
    </row>
    <row r="2012" ht="15.75" customHeight="1">
      <c r="A2012" s="8" t="s">
        <v>2879</v>
      </c>
      <c r="B2012" s="7" t="s">
        <v>2874</v>
      </c>
      <c r="C2012" s="13" t="s">
        <v>2875</v>
      </c>
      <c r="D2012" s="7" t="s">
        <v>247</v>
      </c>
      <c r="E2012" s="8" t="s">
        <v>249</v>
      </c>
      <c r="F2012" s="8" t="s">
        <v>318</v>
      </c>
      <c r="G2012" s="7" t="s">
        <v>2876</v>
      </c>
      <c r="H2012" s="7" t="s">
        <v>2877</v>
      </c>
      <c r="I2012" s="8">
        <v>1800.0</v>
      </c>
      <c r="J2012" s="8">
        <v>2.4</v>
      </c>
      <c r="K2012" s="8" t="s">
        <v>583</v>
      </c>
      <c r="M2012" s="8" t="s">
        <v>365</v>
      </c>
      <c r="N2012" s="8">
        <v>10.2</v>
      </c>
      <c r="O2012" s="14">
        <f t="shared" si="1"/>
        <v>44136</v>
      </c>
      <c r="P2012" s="15">
        <f>IFERROR(VLOOKUP(K2012,Formula!$A$11:$B$20,2,FALSE),Formula!$C$26)</f>
        <v>0.95</v>
      </c>
      <c r="Q2012" s="15">
        <f>IF(AND(ISNUMBER(J2012),J2012&gt;0),1/J2012,IF(AND(ISNUMBER(I2012),I2012&gt;0),SQRT(MIN(I2012,Formula!$C$27))/Formula!$C$24,1/Formula!$C$25))</f>
        <v>0.4166666667</v>
      </c>
      <c r="R2012" s="15">
        <f t="shared" si="2"/>
        <v>0.3958333333</v>
      </c>
      <c r="S2012" s="15">
        <f>IF(H2012&lt;&gt;"",EXP(-Formula!$C$28*(EOMONTH(H2012,0)-H2012)),EXP(-Formula!$C$28*(EOMONTH(D2012,0)-D2012)))</f>
        <v>0.7788007831</v>
      </c>
      <c r="T2012" s="15">
        <f t="shared" si="3"/>
        <v>0.3015113446</v>
      </c>
      <c r="U2012" s="15">
        <f t="shared" si="4"/>
        <v>0.09294850321</v>
      </c>
      <c r="V2012" s="16">
        <f>IF(AND(L2012="Among all respondents",NOT(OR(K2012="Online poll in Telegram channel",K2012="Website online poll",K2012="CAWI (Computer Assisted Web Interviewing)"))),1/(1-MIN(MAX(Formula!$C$33+(YEAR(D2012)-Formula!$C$34)/(Formula!$C$35-Formula!$C$34)*(Formula!$C$32-Formula!$C$33),Formula!$C$33),Formula!$C$32)),1)</f>
        <v>1</v>
      </c>
      <c r="W2012" s="17">
        <f t="shared" si="5"/>
        <v>10.2</v>
      </c>
    </row>
    <row r="2013" ht="15.75" customHeight="1">
      <c r="A2013" s="8" t="s">
        <v>2880</v>
      </c>
      <c r="B2013" s="7" t="s">
        <v>2874</v>
      </c>
      <c r="C2013" s="13" t="s">
        <v>2875</v>
      </c>
      <c r="D2013" s="7" t="s">
        <v>247</v>
      </c>
      <c r="E2013" s="8" t="s">
        <v>249</v>
      </c>
      <c r="F2013" s="8" t="s">
        <v>318</v>
      </c>
      <c r="G2013" s="7" t="s">
        <v>2876</v>
      </c>
      <c r="H2013" s="7" t="s">
        <v>2877</v>
      </c>
      <c r="I2013" s="8">
        <v>1800.0</v>
      </c>
      <c r="J2013" s="8">
        <v>2.4</v>
      </c>
      <c r="K2013" s="8" t="s">
        <v>583</v>
      </c>
      <c r="M2013" s="8" t="s">
        <v>337</v>
      </c>
      <c r="N2013" s="8">
        <v>6.7</v>
      </c>
      <c r="O2013" s="14">
        <f t="shared" si="1"/>
        <v>44136</v>
      </c>
      <c r="P2013" s="15">
        <f>IFERROR(VLOOKUP(K2013,Formula!$A$11:$B$20,2,FALSE),Formula!$C$26)</f>
        <v>0.95</v>
      </c>
      <c r="Q2013" s="15">
        <f>IF(AND(ISNUMBER(J2013),J2013&gt;0),1/J2013,IF(AND(ISNUMBER(I2013),I2013&gt;0),SQRT(MIN(I2013,Formula!$C$27))/Formula!$C$24,1/Formula!$C$25))</f>
        <v>0.4166666667</v>
      </c>
      <c r="R2013" s="15">
        <f t="shared" si="2"/>
        <v>0.3958333333</v>
      </c>
      <c r="S2013" s="15">
        <f>IF(H2013&lt;&gt;"",EXP(-Formula!$C$28*(EOMONTH(H2013,0)-H2013)),EXP(-Formula!$C$28*(EOMONTH(D2013,0)-D2013)))</f>
        <v>0.7788007831</v>
      </c>
      <c r="T2013" s="15">
        <f t="shared" si="3"/>
        <v>0.3015113446</v>
      </c>
      <c r="U2013" s="15">
        <f t="shared" si="4"/>
        <v>0.09294850321</v>
      </c>
      <c r="V2013" s="16">
        <f>IF(AND(L2013="Among all respondents",NOT(OR(K2013="Online poll in Telegram channel",K2013="Website online poll",K2013="CAWI (Computer Assisted Web Interviewing)"))),1/(1-MIN(MAX(Formula!$C$33+(YEAR(D2013)-Formula!$C$34)/(Formula!$C$35-Formula!$C$34)*(Formula!$C$32-Formula!$C$33),Formula!$C$33),Formula!$C$32)),1)</f>
        <v>1</v>
      </c>
      <c r="W2013" s="17">
        <f t="shared" si="5"/>
        <v>6.7</v>
      </c>
    </row>
    <row r="2014" ht="15.75" customHeight="1">
      <c r="A2014" s="8" t="s">
        <v>2881</v>
      </c>
      <c r="B2014" s="7" t="s">
        <v>2874</v>
      </c>
      <c r="C2014" s="13" t="s">
        <v>2875</v>
      </c>
      <c r="D2014" s="7" t="s">
        <v>247</v>
      </c>
      <c r="E2014" s="8" t="s">
        <v>249</v>
      </c>
      <c r="F2014" s="8" t="s">
        <v>318</v>
      </c>
      <c r="G2014" s="7" t="s">
        <v>2876</v>
      </c>
      <c r="H2014" s="7" t="s">
        <v>2877</v>
      </c>
      <c r="I2014" s="8">
        <v>1800.0</v>
      </c>
      <c r="J2014" s="8">
        <v>2.4</v>
      </c>
      <c r="K2014" s="8" t="s">
        <v>583</v>
      </c>
      <c r="M2014" s="8" t="s">
        <v>828</v>
      </c>
      <c r="N2014" s="8">
        <v>3.2</v>
      </c>
      <c r="O2014" s="14">
        <f t="shared" si="1"/>
        <v>44136</v>
      </c>
      <c r="P2014" s="15">
        <f>IFERROR(VLOOKUP(K2014,Formula!$A$11:$B$20,2,FALSE),Formula!$C$26)</f>
        <v>0.95</v>
      </c>
      <c r="Q2014" s="15">
        <f>IF(AND(ISNUMBER(J2014),J2014&gt;0),1/J2014,IF(AND(ISNUMBER(I2014),I2014&gt;0),SQRT(MIN(I2014,Formula!$C$27))/Formula!$C$24,1/Formula!$C$25))</f>
        <v>0.4166666667</v>
      </c>
      <c r="R2014" s="15">
        <f t="shared" si="2"/>
        <v>0.3958333333</v>
      </c>
      <c r="S2014" s="15">
        <f>IF(H2014&lt;&gt;"",EXP(-Formula!$C$28*(EOMONTH(H2014,0)-H2014)),EXP(-Formula!$C$28*(EOMONTH(D2014,0)-D2014)))</f>
        <v>0.7788007831</v>
      </c>
      <c r="T2014" s="15">
        <f t="shared" si="3"/>
        <v>0.3015113446</v>
      </c>
      <c r="U2014" s="15">
        <f t="shared" si="4"/>
        <v>0.09294850321</v>
      </c>
      <c r="V2014" s="16">
        <f>IF(AND(L2014="Among all respondents",NOT(OR(K2014="Online poll in Telegram channel",K2014="Website online poll",K2014="CAWI (Computer Assisted Web Interviewing)"))),1/(1-MIN(MAX(Formula!$C$33+(YEAR(D2014)-Formula!$C$34)/(Formula!$C$35-Formula!$C$34)*(Formula!$C$32-Formula!$C$33),Formula!$C$33),Formula!$C$32)),1)</f>
        <v>1</v>
      </c>
      <c r="W2014" s="17">
        <f t="shared" si="5"/>
        <v>3.2</v>
      </c>
    </row>
    <row r="2015" ht="15.75" customHeight="1">
      <c r="A2015" s="8" t="s">
        <v>2882</v>
      </c>
      <c r="B2015" s="7" t="s">
        <v>2874</v>
      </c>
      <c r="C2015" s="13" t="s">
        <v>2875</v>
      </c>
      <c r="D2015" s="7" t="s">
        <v>247</v>
      </c>
      <c r="E2015" s="8" t="s">
        <v>249</v>
      </c>
      <c r="F2015" s="8" t="s">
        <v>318</v>
      </c>
      <c r="G2015" s="7" t="s">
        <v>2876</v>
      </c>
      <c r="H2015" s="7" t="s">
        <v>2877</v>
      </c>
      <c r="I2015" s="8">
        <v>1800.0</v>
      </c>
      <c r="J2015" s="8">
        <v>2.4</v>
      </c>
      <c r="K2015" s="8" t="s">
        <v>583</v>
      </c>
      <c r="M2015" s="8" t="s">
        <v>838</v>
      </c>
      <c r="N2015" s="8">
        <v>2.3</v>
      </c>
      <c r="O2015" s="14">
        <f t="shared" si="1"/>
        <v>44136</v>
      </c>
      <c r="P2015" s="15">
        <f>IFERROR(VLOOKUP(K2015,Formula!$A$11:$B$20,2,FALSE),Formula!$C$26)</f>
        <v>0.95</v>
      </c>
      <c r="Q2015" s="15">
        <f>IF(AND(ISNUMBER(J2015),J2015&gt;0),1/J2015,IF(AND(ISNUMBER(I2015),I2015&gt;0),SQRT(MIN(I2015,Formula!$C$27))/Formula!$C$24,1/Formula!$C$25))</f>
        <v>0.4166666667</v>
      </c>
      <c r="R2015" s="15">
        <f t="shared" si="2"/>
        <v>0.3958333333</v>
      </c>
      <c r="S2015" s="15">
        <f>IF(H2015&lt;&gt;"",EXP(-Formula!$C$28*(EOMONTH(H2015,0)-H2015)),EXP(-Formula!$C$28*(EOMONTH(D2015,0)-D2015)))</f>
        <v>0.7788007831</v>
      </c>
      <c r="T2015" s="15">
        <f t="shared" si="3"/>
        <v>0.3015113446</v>
      </c>
      <c r="U2015" s="15">
        <f t="shared" si="4"/>
        <v>0.09294850321</v>
      </c>
      <c r="V2015" s="16">
        <f>IF(AND(L2015="Among all respondents",NOT(OR(K2015="Online poll in Telegram channel",K2015="Website online poll",K2015="CAWI (Computer Assisted Web Interviewing)"))),1/(1-MIN(MAX(Formula!$C$33+(YEAR(D2015)-Formula!$C$34)/(Formula!$C$35-Formula!$C$34)*(Formula!$C$32-Formula!$C$33),Formula!$C$33),Formula!$C$32)),1)</f>
        <v>1</v>
      </c>
      <c r="W2015" s="17">
        <f t="shared" si="5"/>
        <v>2.3</v>
      </c>
    </row>
    <row r="2016" ht="15.75" customHeight="1">
      <c r="A2016" s="8" t="s">
        <v>2883</v>
      </c>
      <c r="B2016" s="7" t="s">
        <v>2874</v>
      </c>
      <c r="C2016" s="13" t="s">
        <v>2875</v>
      </c>
      <c r="D2016" s="7" t="s">
        <v>247</v>
      </c>
      <c r="E2016" s="8" t="s">
        <v>249</v>
      </c>
      <c r="F2016" s="8" t="s">
        <v>318</v>
      </c>
      <c r="G2016" s="7" t="s">
        <v>2876</v>
      </c>
      <c r="H2016" s="7" t="s">
        <v>2877</v>
      </c>
      <c r="I2016" s="8">
        <v>1800.0</v>
      </c>
      <c r="J2016" s="8">
        <v>2.4</v>
      </c>
      <c r="K2016" s="8" t="s">
        <v>583</v>
      </c>
      <c r="M2016" s="8" t="s">
        <v>1334</v>
      </c>
      <c r="N2016" s="8">
        <v>1.7</v>
      </c>
      <c r="O2016" s="14">
        <f t="shared" si="1"/>
        <v>44136</v>
      </c>
      <c r="P2016" s="15">
        <f>IFERROR(VLOOKUP(K2016,Formula!$A$11:$B$20,2,FALSE),Formula!$C$26)</f>
        <v>0.95</v>
      </c>
      <c r="Q2016" s="15">
        <f>IF(AND(ISNUMBER(J2016),J2016&gt;0),1/J2016,IF(AND(ISNUMBER(I2016),I2016&gt;0),SQRT(MIN(I2016,Formula!$C$27))/Formula!$C$24,1/Formula!$C$25))</f>
        <v>0.4166666667</v>
      </c>
      <c r="R2016" s="15">
        <f t="shared" si="2"/>
        <v>0.3958333333</v>
      </c>
      <c r="S2016" s="15">
        <f>IF(H2016&lt;&gt;"",EXP(-Formula!$C$28*(EOMONTH(H2016,0)-H2016)),EXP(-Formula!$C$28*(EOMONTH(D2016,0)-D2016)))</f>
        <v>0.7788007831</v>
      </c>
      <c r="T2016" s="15">
        <f t="shared" si="3"/>
        <v>0.3015113446</v>
      </c>
      <c r="U2016" s="15">
        <f t="shared" si="4"/>
        <v>0.09294850321</v>
      </c>
      <c r="V2016" s="16">
        <f>IF(AND(L2016="Among all respondents",NOT(OR(K2016="Online poll in Telegram channel",K2016="Website online poll",K2016="CAWI (Computer Assisted Web Interviewing)"))),1/(1-MIN(MAX(Formula!$C$33+(YEAR(D2016)-Formula!$C$34)/(Formula!$C$35-Formula!$C$34)*(Formula!$C$32-Formula!$C$33),Formula!$C$33),Formula!$C$32)),1)</f>
        <v>1</v>
      </c>
      <c r="W2016" s="17">
        <f t="shared" si="5"/>
        <v>1.7</v>
      </c>
    </row>
    <row r="2017" ht="15.75" customHeight="1">
      <c r="A2017" s="8" t="s">
        <v>2884</v>
      </c>
      <c r="B2017" s="7" t="s">
        <v>2874</v>
      </c>
      <c r="C2017" s="13" t="s">
        <v>2875</v>
      </c>
      <c r="D2017" s="7" t="s">
        <v>247</v>
      </c>
      <c r="E2017" s="8" t="s">
        <v>249</v>
      </c>
      <c r="F2017" s="8" t="s">
        <v>318</v>
      </c>
      <c r="G2017" s="7" t="s">
        <v>2876</v>
      </c>
      <c r="H2017" s="7" t="s">
        <v>2877</v>
      </c>
      <c r="I2017" s="8">
        <v>1800.0</v>
      </c>
      <c r="J2017" s="8">
        <v>2.4</v>
      </c>
      <c r="K2017" s="8" t="s">
        <v>583</v>
      </c>
      <c r="M2017" s="8" t="s">
        <v>388</v>
      </c>
      <c r="N2017" s="8">
        <v>1.2</v>
      </c>
      <c r="O2017" s="14">
        <f t="shared" si="1"/>
        <v>44136</v>
      </c>
      <c r="P2017" s="15">
        <f>IFERROR(VLOOKUP(K2017,Formula!$A$11:$B$20,2,FALSE),Formula!$C$26)</f>
        <v>0.95</v>
      </c>
      <c r="Q2017" s="15">
        <f>IF(AND(ISNUMBER(J2017),J2017&gt;0),1/J2017,IF(AND(ISNUMBER(I2017),I2017&gt;0),SQRT(MIN(I2017,Formula!$C$27))/Formula!$C$24,1/Formula!$C$25))</f>
        <v>0.4166666667</v>
      </c>
      <c r="R2017" s="15">
        <f t="shared" si="2"/>
        <v>0.3958333333</v>
      </c>
      <c r="S2017" s="15">
        <f>IF(H2017&lt;&gt;"",EXP(-Formula!$C$28*(EOMONTH(H2017,0)-H2017)),EXP(-Formula!$C$28*(EOMONTH(D2017,0)-D2017)))</f>
        <v>0.7788007831</v>
      </c>
      <c r="T2017" s="15">
        <f t="shared" si="3"/>
        <v>0.3015113446</v>
      </c>
      <c r="U2017" s="15">
        <f t="shared" si="4"/>
        <v>0.09294850321</v>
      </c>
      <c r="V2017" s="16">
        <f>IF(AND(L2017="Among all respondents",NOT(OR(K2017="Online poll in Telegram channel",K2017="Website online poll",K2017="CAWI (Computer Assisted Web Interviewing)"))),1/(1-MIN(MAX(Formula!$C$33+(YEAR(D2017)-Formula!$C$34)/(Formula!$C$35-Formula!$C$34)*(Formula!$C$32-Formula!$C$33),Formula!$C$33),Formula!$C$32)),1)</f>
        <v>1</v>
      </c>
      <c r="W2017" s="17">
        <f t="shared" si="5"/>
        <v>1.2</v>
      </c>
    </row>
    <row r="2018" ht="15.75" customHeight="1">
      <c r="A2018" s="8" t="s">
        <v>2885</v>
      </c>
      <c r="B2018" s="7" t="s">
        <v>2874</v>
      </c>
      <c r="C2018" s="13" t="s">
        <v>2875</v>
      </c>
      <c r="D2018" s="7" t="s">
        <v>247</v>
      </c>
      <c r="E2018" s="8" t="s">
        <v>249</v>
      </c>
      <c r="F2018" s="8" t="s">
        <v>318</v>
      </c>
      <c r="G2018" s="7" t="s">
        <v>2876</v>
      </c>
      <c r="H2018" s="7" t="s">
        <v>2877</v>
      </c>
      <c r="I2018" s="8">
        <v>1800.0</v>
      </c>
      <c r="J2018" s="8">
        <v>2.4</v>
      </c>
      <c r="K2018" s="8" t="s">
        <v>583</v>
      </c>
      <c r="M2018" s="8" t="s">
        <v>333</v>
      </c>
      <c r="N2018" s="8">
        <v>1.0</v>
      </c>
      <c r="O2018" s="14">
        <f t="shared" si="1"/>
        <v>44136</v>
      </c>
      <c r="P2018" s="15">
        <f>IFERROR(VLOOKUP(K2018,Formula!$A$11:$B$20,2,FALSE),Formula!$C$26)</f>
        <v>0.95</v>
      </c>
      <c r="Q2018" s="15">
        <f>IF(AND(ISNUMBER(J2018),J2018&gt;0),1/J2018,IF(AND(ISNUMBER(I2018),I2018&gt;0),SQRT(MIN(I2018,Formula!$C$27))/Formula!$C$24,1/Formula!$C$25))</f>
        <v>0.4166666667</v>
      </c>
      <c r="R2018" s="15">
        <f t="shared" si="2"/>
        <v>0.3958333333</v>
      </c>
      <c r="S2018" s="15">
        <f>IF(H2018&lt;&gt;"",EXP(-Formula!$C$28*(EOMONTH(H2018,0)-H2018)),EXP(-Formula!$C$28*(EOMONTH(D2018,0)-D2018)))</f>
        <v>0.7788007831</v>
      </c>
      <c r="T2018" s="15">
        <f t="shared" si="3"/>
        <v>0.3015113446</v>
      </c>
      <c r="U2018" s="15">
        <f t="shared" si="4"/>
        <v>0.09294850321</v>
      </c>
      <c r="V2018" s="16">
        <f>IF(AND(L2018="Among all respondents",NOT(OR(K2018="Online poll in Telegram channel",K2018="Website online poll",K2018="CAWI (Computer Assisted Web Interviewing)"))),1/(1-MIN(MAX(Formula!$C$33+(YEAR(D2018)-Formula!$C$34)/(Formula!$C$35-Formula!$C$34)*(Formula!$C$32-Formula!$C$33),Formula!$C$33),Formula!$C$32)),1)</f>
        <v>1</v>
      </c>
      <c r="W2018" s="17">
        <f t="shared" si="5"/>
        <v>1</v>
      </c>
    </row>
    <row r="2019" ht="15.75" customHeight="1">
      <c r="A2019" s="8" t="s">
        <v>2886</v>
      </c>
      <c r="B2019" s="7" t="s">
        <v>2874</v>
      </c>
      <c r="C2019" s="13" t="s">
        <v>2875</v>
      </c>
      <c r="D2019" s="7" t="s">
        <v>247</v>
      </c>
      <c r="E2019" s="8" t="s">
        <v>249</v>
      </c>
      <c r="F2019" s="8" t="s">
        <v>318</v>
      </c>
      <c r="G2019" s="7" t="s">
        <v>2876</v>
      </c>
      <c r="H2019" s="7" t="s">
        <v>2877</v>
      </c>
      <c r="I2019" s="8">
        <v>1800.0</v>
      </c>
      <c r="J2019" s="8">
        <v>2.4</v>
      </c>
      <c r="K2019" s="8" t="s">
        <v>583</v>
      </c>
      <c r="M2019" s="8" t="s">
        <v>740</v>
      </c>
      <c r="N2019" s="8">
        <v>0.9</v>
      </c>
      <c r="O2019" s="14">
        <f t="shared" si="1"/>
        <v>44136</v>
      </c>
      <c r="P2019" s="15">
        <f>IFERROR(VLOOKUP(K2019,Formula!$A$11:$B$20,2,FALSE),Formula!$C$26)</f>
        <v>0.95</v>
      </c>
      <c r="Q2019" s="15">
        <f>IF(AND(ISNUMBER(J2019),J2019&gt;0),1/J2019,IF(AND(ISNUMBER(I2019),I2019&gt;0),SQRT(MIN(I2019,Formula!$C$27))/Formula!$C$24,1/Formula!$C$25))</f>
        <v>0.4166666667</v>
      </c>
      <c r="R2019" s="15">
        <f t="shared" si="2"/>
        <v>0.3958333333</v>
      </c>
      <c r="S2019" s="15">
        <f>IF(H2019&lt;&gt;"",EXP(-Formula!$C$28*(EOMONTH(H2019,0)-H2019)),EXP(-Formula!$C$28*(EOMONTH(D2019,0)-D2019)))</f>
        <v>0.7788007831</v>
      </c>
      <c r="T2019" s="15">
        <f t="shared" si="3"/>
        <v>0.3015113446</v>
      </c>
      <c r="U2019" s="15">
        <f t="shared" si="4"/>
        <v>0.09294850321</v>
      </c>
      <c r="V2019" s="16">
        <f>IF(AND(L2019="Among all respondents",NOT(OR(K2019="Online poll in Telegram channel",K2019="Website online poll",K2019="CAWI (Computer Assisted Web Interviewing)"))),1/(1-MIN(MAX(Formula!$C$33+(YEAR(D2019)-Formula!$C$34)/(Formula!$C$35-Formula!$C$34)*(Formula!$C$32-Formula!$C$33),Formula!$C$33),Formula!$C$32)),1)</f>
        <v>1</v>
      </c>
      <c r="W2019" s="17">
        <f t="shared" si="5"/>
        <v>0.9</v>
      </c>
    </row>
    <row r="2020" ht="15.75" customHeight="1">
      <c r="A2020" s="8" t="s">
        <v>2887</v>
      </c>
      <c r="B2020" s="7" t="s">
        <v>2874</v>
      </c>
      <c r="C2020" s="13" t="s">
        <v>2875</v>
      </c>
      <c r="D2020" s="7" t="s">
        <v>247</v>
      </c>
      <c r="E2020" s="8" t="s">
        <v>249</v>
      </c>
      <c r="F2020" s="8" t="s">
        <v>318</v>
      </c>
      <c r="G2020" s="7" t="s">
        <v>2876</v>
      </c>
      <c r="H2020" s="7" t="s">
        <v>2877</v>
      </c>
      <c r="I2020" s="8">
        <v>1800.0</v>
      </c>
      <c r="J2020" s="8">
        <v>2.4</v>
      </c>
      <c r="K2020" s="8" t="s">
        <v>583</v>
      </c>
      <c r="M2020" s="8" t="s">
        <v>343</v>
      </c>
      <c r="N2020" s="8">
        <v>0.4</v>
      </c>
      <c r="O2020" s="14">
        <f t="shared" si="1"/>
        <v>44136</v>
      </c>
      <c r="P2020" s="15">
        <f>IFERROR(VLOOKUP(K2020,Formula!$A$11:$B$20,2,FALSE),Formula!$C$26)</f>
        <v>0.95</v>
      </c>
      <c r="Q2020" s="15">
        <f>IF(AND(ISNUMBER(J2020),J2020&gt;0),1/J2020,IF(AND(ISNUMBER(I2020),I2020&gt;0),SQRT(MIN(I2020,Formula!$C$27))/Formula!$C$24,1/Formula!$C$25))</f>
        <v>0.4166666667</v>
      </c>
      <c r="R2020" s="15">
        <f t="shared" si="2"/>
        <v>0.3958333333</v>
      </c>
      <c r="S2020" s="15">
        <f>IF(H2020&lt;&gt;"",EXP(-Formula!$C$28*(EOMONTH(H2020,0)-H2020)),EXP(-Formula!$C$28*(EOMONTH(D2020,0)-D2020)))</f>
        <v>0.7788007831</v>
      </c>
      <c r="T2020" s="15">
        <f t="shared" si="3"/>
        <v>0.3015113446</v>
      </c>
      <c r="U2020" s="15">
        <f t="shared" si="4"/>
        <v>0.09294850321</v>
      </c>
      <c r="V2020" s="16">
        <f>IF(AND(L2020="Among all respondents",NOT(OR(K2020="Online poll in Telegram channel",K2020="Website online poll",K2020="CAWI (Computer Assisted Web Interviewing)"))),1/(1-MIN(MAX(Formula!$C$33+(YEAR(D2020)-Formula!$C$34)/(Formula!$C$35-Formula!$C$34)*(Formula!$C$32-Formula!$C$33),Formula!$C$33),Formula!$C$32)),1)</f>
        <v>1</v>
      </c>
      <c r="W2020" s="17">
        <f t="shared" si="5"/>
        <v>0.4</v>
      </c>
    </row>
    <row r="2021" ht="15.75" customHeight="1">
      <c r="A2021" s="8" t="s">
        <v>2888</v>
      </c>
      <c r="B2021" s="7" t="s">
        <v>2889</v>
      </c>
      <c r="C2021" s="13" t="s">
        <v>2890</v>
      </c>
      <c r="D2021" s="7" t="s">
        <v>251</v>
      </c>
      <c r="E2021" s="8" t="s">
        <v>17</v>
      </c>
      <c r="F2021" s="8" t="s">
        <v>318</v>
      </c>
      <c r="G2021" s="7" t="s">
        <v>2891</v>
      </c>
      <c r="H2021" s="7" t="s">
        <v>2892</v>
      </c>
      <c r="I2021" s="8">
        <v>2000.0</v>
      </c>
      <c r="K2021" s="8" t="s">
        <v>321</v>
      </c>
      <c r="M2021" s="8" t="s">
        <v>323</v>
      </c>
      <c r="N2021" s="8">
        <v>23.8</v>
      </c>
      <c r="O2021" s="14">
        <f t="shared" si="1"/>
        <v>44136</v>
      </c>
      <c r="P2021" s="15">
        <f>IFERROR(VLOOKUP(K2021,Formula!$A$11:$B$20,2,FALSE),Formula!$C$26)</f>
        <v>0.9</v>
      </c>
      <c r="Q2021" s="15">
        <f>IF(AND(ISNUMBER(J2021),J2021&gt;0),1/J2021,IF(AND(ISNUMBER(I2021),I2021&gt;0),SQRT(MIN(I2021,Formula!$C$27))/Formula!$C$24,1/Formula!$C$25))</f>
        <v>0.4563404036</v>
      </c>
      <c r="R2021" s="15">
        <f t="shared" si="2"/>
        <v>0.4107063632</v>
      </c>
      <c r="S2021" s="15">
        <f>IF(H2021&lt;&gt;"",EXP(-Formula!$C$28*(EOMONTH(H2021,0)-H2021)),EXP(-Formula!$C$28*(EOMONTH(D2021,0)-D2021)))</f>
        <v>0.2465969639</v>
      </c>
      <c r="T2021" s="15">
        <f t="shared" si="3"/>
        <v>0.3535533906</v>
      </c>
      <c r="U2021" s="15">
        <f t="shared" si="4"/>
        <v>0.03580751342</v>
      </c>
      <c r="V2021" s="16">
        <f>IF(AND(L2021="Among all respondents",NOT(OR(K2021="Online poll in Telegram channel",K2021="Website online poll",K2021="CAWI (Computer Assisted Web Interviewing)"))),1/(1-MIN(MAX(Formula!$C$33+(YEAR(D2021)-Formula!$C$34)/(Formula!$C$35-Formula!$C$34)*(Formula!$C$32-Formula!$C$33),Formula!$C$33),Formula!$C$32)),1)</f>
        <v>1</v>
      </c>
      <c r="W2021" s="17">
        <f t="shared" si="5"/>
        <v>23.8</v>
      </c>
    </row>
    <row r="2022" ht="15.75" customHeight="1">
      <c r="A2022" s="8" t="s">
        <v>2893</v>
      </c>
      <c r="B2022" s="7" t="s">
        <v>2889</v>
      </c>
      <c r="C2022" s="13" t="s">
        <v>2890</v>
      </c>
      <c r="D2022" s="7" t="s">
        <v>251</v>
      </c>
      <c r="E2022" s="8" t="s">
        <v>17</v>
      </c>
      <c r="F2022" s="8" t="s">
        <v>318</v>
      </c>
      <c r="G2022" s="7" t="s">
        <v>2891</v>
      </c>
      <c r="H2022" s="7" t="s">
        <v>2892</v>
      </c>
      <c r="I2022" s="8">
        <v>2000.0</v>
      </c>
      <c r="K2022" s="8" t="s">
        <v>321</v>
      </c>
      <c r="M2022" s="8" t="s">
        <v>329</v>
      </c>
      <c r="N2022" s="8">
        <v>13.0</v>
      </c>
      <c r="O2022" s="14">
        <f t="shared" si="1"/>
        <v>44136</v>
      </c>
      <c r="P2022" s="15">
        <f>IFERROR(VLOOKUP(K2022,Formula!$A$11:$B$20,2,FALSE),Formula!$C$26)</f>
        <v>0.9</v>
      </c>
      <c r="Q2022" s="15">
        <f>IF(AND(ISNUMBER(J2022),J2022&gt;0),1/J2022,IF(AND(ISNUMBER(I2022),I2022&gt;0),SQRT(MIN(I2022,Formula!$C$27))/Formula!$C$24,1/Formula!$C$25))</f>
        <v>0.4563404036</v>
      </c>
      <c r="R2022" s="15">
        <f t="shared" si="2"/>
        <v>0.4107063632</v>
      </c>
      <c r="S2022" s="15">
        <f>IF(H2022&lt;&gt;"",EXP(-Formula!$C$28*(EOMONTH(H2022,0)-H2022)),EXP(-Formula!$C$28*(EOMONTH(D2022,0)-D2022)))</f>
        <v>0.2465969639</v>
      </c>
      <c r="T2022" s="15">
        <f t="shared" si="3"/>
        <v>0.3535533906</v>
      </c>
      <c r="U2022" s="15">
        <f t="shared" si="4"/>
        <v>0.03580751342</v>
      </c>
      <c r="V2022" s="16">
        <f>IF(AND(L2022="Among all respondents",NOT(OR(K2022="Online poll in Telegram channel",K2022="Website online poll",K2022="CAWI (Computer Assisted Web Interviewing)"))),1/(1-MIN(MAX(Formula!$C$33+(YEAR(D2022)-Formula!$C$34)/(Formula!$C$35-Formula!$C$34)*(Formula!$C$32-Formula!$C$33),Formula!$C$33),Formula!$C$32)),1)</f>
        <v>1</v>
      </c>
      <c r="W2022" s="17">
        <f t="shared" si="5"/>
        <v>13</v>
      </c>
    </row>
    <row r="2023" ht="15.75" customHeight="1">
      <c r="A2023" s="8" t="s">
        <v>2894</v>
      </c>
      <c r="B2023" s="7" t="s">
        <v>2889</v>
      </c>
      <c r="C2023" s="13" t="s">
        <v>2890</v>
      </c>
      <c r="D2023" s="7" t="s">
        <v>251</v>
      </c>
      <c r="E2023" s="8" t="s">
        <v>17</v>
      </c>
      <c r="F2023" s="8" t="s">
        <v>318</v>
      </c>
      <c r="G2023" s="7" t="s">
        <v>2891</v>
      </c>
      <c r="H2023" s="7" t="s">
        <v>2892</v>
      </c>
      <c r="I2023" s="8">
        <v>2000.0</v>
      </c>
      <c r="K2023" s="8" t="s">
        <v>321</v>
      </c>
      <c r="M2023" s="8" t="s">
        <v>365</v>
      </c>
      <c r="N2023" s="8">
        <v>10.5</v>
      </c>
      <c r="O2023" s="14">
        <f t="shared" si="1"/>
        <v>44136</v>
      </c>
      <c r="P2023" s="15">
        <f>IFERROR(VLOOKUP(K2023,Formula!$A$11:$B$20,2,FALSE),Formula!$C$26)</f>
        <v>0.9</v>
      </c>
      <c r="Q2023" s="15">
        <f>IF(AND(ISNUMBER(J2023),J2023&gt;0),1/J2023,IF(AND(ISNUMBER(I2023),I2023&gt;0),SQRT(MIN(I2023,Formula!$C$27))/Formula!$C$24,1/Formula!$C$25))</f>
        <v>0.4563404036</v>
      </c>
      <c r="R2023" s="15">
        <f t="shared" si="2"/>
        <v>0.4107063632</v>
      </c>
      <c r="S2023" s="15">
        <f>IF(H2023&lt;&gt;"",EXP(-Formula!$C$28*(EOMONTH(H2023,0)-H2023)),EXP(-Formula!$C$28*(EOMONTH(D2023,0)-D2023)))</f>
        <v>0.2465969639</v>
      </c>
      <c r="T2023" s="15">
        <f t="shared" si="3"/>
        <v>0.3535533906</v>
      </c>
      <c r="U2023" s="15">
        <f t="shared" si="4"/>
        <v>0.03580751342</v>
      </c>
      <c r="V2023" s="16">
        <f>IF(AND(L2023="Among all respondents",NOT(OR(K2023="Online poll in Telegram channel",K2023="Website online poll",K2023="CAWI (Computer Assisted Web Interviewing)"))),1/(1-MIN(MAX(Formula!$C$33+(YEAR(D2023)-Formula!$C$34)/(Formula!$C$35-Formula!$C$34)*(Formula!$C$32-Formula!$C$33),Formula!$C$33),Formula!$C$32)),1)</f>
        <v>1</v>
      </c>
      <c r="W2023" s="17">
        <f t="shared" si="5"/>
        <v>10.5</v>
      </c>
    </row>
    <row r="2024" ht="15.75" customHeight="1">
      <c r="A2024" s="8" t="s">
        <v>2895</v>
      </c>
      <c r="B2024" s="7" t="s">
        <v>2889</v>
      </c>
      <c r="C2024" s="13" t="s">
        <v>2890</v>
      </c>
      <c r="D2024" s="7" t="s">
        <v>251</v>
      </c>
      <c r="E2024" s="8" t="s">
        <v>17</v>
      </c>
      <c r="F2024" s="8" t="s">
        <v>318</v>
      </c>
      <c r="G2024" s="7" t="s">
        <v>2891</v>
      </c>
      <c r="H2024" s="7" t="s">
        <v>2892</v>
      </c>
      <c r="I2024" s="8">
        <v>2000.0</v>
      </c>
      <c r="K2024" s="8" t="s">
        <v>321</v>
      </c>
      <c r="M2024" s="8" t="s">
        <v>337</v>
      </c>
      <c r="N2024" s="8">
        <v>5.8</v>
      </c>
      <c r="O2024" s="14">
        <f t="shared" si="1"/>
        <v>44136</v>
      </c>
      <c r="P2024" s="15">
        <f>IFERROR(VLOOKUP(K2024,Formula!$A$11:$B$20,2,FALSE),Formula!$C$26)</f>
        <v>0.9</v>
      </c>
      <c r="Q2024" s="15">
        <f>IF(AND(ISNUMBER(J2024),J2024&gt;0),1/J2024,IF(AND(ISNUMBER(I2024),I2024&gt;0),SQRT(MIN(I2024,Formula!$C$27))/Formula!$C$24,1/Formula!$C$25))</f>
        <v>0.4563404036</v>
      </c>
      <c r="R2024" s="15">
        <f t="shared" si="2"/>
        <v>0.4107063632</v>
      </c>
      <c r="S2024" s="15">
        <f>IF(H2024&lt;&gt;"",EXP(-Formula!$C$28*(EOMONTH(H2024,0)-H2024)),EXP(-Formula!$C$28*(EOMONTH(D2024,0)-D2024)))</f>
        <v>0.2465969639</v>
      </c>
      <c r="T2024" s="15">
        <f t="shared" si="3"/>
        <v>0.3535533906</v>
      </c>
      <c r="U2024" s="15">
        <f t="shared" si="4"/>
        <v>0.03580751342</v>
      </c>
      <c r="V2024" s="16">
        <f>IF(AND(L2024="Among all respondents",NOT(OR(K2024="Online poll in Telegram channel",K2024="Website online poll",K2024="CAWI (Computer Assisted Web Interviewing)"))),1/(1-MIN(MAX(Formula!$C$33+(YEAR(D2024)-Formula!$C$34)/(Formula!$C$35-Formula!$C$34)*(Formula!$C$32-Formula!$C$33),Formula!$C$33),Formula!$C$32)),1)</f>
        <v>1</v>
      </c>
      <c r="W2024" s="17">
        <f t="shared" si="5"/>
        <v>5.8</v>
      </c>
    </row>
    <row r="2025" ht="15.75" customHeight="1">
      <c r="A2025" s="8" t="s">
        <v>2896</v>
      </c>
      <c r="B2025" s="7" t="s">
        <v>2889</v>
      </c>
      <c r="C2025" s="13" t="s">
        <v>2890</v>
      </c>
      <c r="D2025" s="7" t="s">
        <v>251</v>
      </c>
      <c r="E2025" s="8" t="s">
        <v>17</v>
      </c>
      <c r="F2025" s="8" t="s">
        <v>318</v>
      </c>
      <c r="G2025" s="7" t="s">
        <v>2891</v>
      </c>
      <c r="H2025" s="7" t="s">
        <v>2892</v>
      </c>
      <c r="I2025" s="8">
        <v>2000.0</v>
      </c>
      <c r="K2025" s="8" t="s">
        <v>321</v>
      </c>
      <c r="M2025" s="8" t="s">
        <v>828</v>
      </c>
      <c r="N2025" s="8">
        <v>4.8</v>
      </c>
      <c r="O2025" s="14">
        <f t="shared" si="1"/>
        <v>44136</v>
      </c>
      <c r="P2025" s="15">
        <f>IFERROR(VLOOKUP(K2025,Formula!$A$11:$B$20,2,FALSE),Formula!$C$26)</f>
        <v>0.9</v>
      </c>
      <c r="Q2025" s="15">
        <f>IF(AND(ISNUMBER(J2025),J2025&gt;0),1/J2025,IF(AND(ISNUMBER(I2025),I2025&gt;0),SQRT(MIN(I2025,Formula!$C$27))/Formula!$C$24,1/Formula!$C$25))</f>
        <v>0.4563404036</v>
      </c>
      <c r="R2025" s="15">
        <f t="shared" si="2"/>
        <v>0.4107063632</v>
      </c>
      <c r="S2025" s="15">
        <f>IF(H2025&lt;&gt;"",EXP(-Formula!$C$28*(EOMONTH(H2025,0)-H2025)),EXP(-Formula!$C$28*(EOMONTH(D2025,0)-D2025)))</f>
        <v>0.2465969639</v>
      </c>
      <c r="T2025" s="15">
        <f t="shared" si="3"/>
        <v>0.3535533906</v>
      </c>
      <c r="U2025" s="15">
        <f t="shared" si="4"/>
        <v>0.03580751342</v>
      </c>
      <c r="V2025" s="16">
        <f>IF(AND(L2025="Among all respondents",NOT(OR(K2025="Online poll in Telegram channel",K2025="Website online poll",K2025="CAWI (Computer Assisted Web Interviewing)"))),1/(1-MIN(MAX(Formula!$C$33+(YEAR(D2025)-Formula!$C$34)/(Formula!$C$35-Formula!$C$34)*(Formula!$C$32-Formula!$C$33),Formula!$C$33),Formula!$C$32)),1)</f>
        <v>1</v>
      </c>
      <c r="W2025" s="17">
        <f t="shared" si="5"/>
        <v>4.8</v>
      </c>
    </row>
    <row r="2026" ht="15.75" customHeight="1">
      <c r="A2026" s="8" t="s">
        <v>2897</v>
      </c>
      <c r="B2026" s="7" t="s">
        <v>2889</v>
      </c>
      <c r="C2026" s="13" t="s">
        <v>2890</v>
      </c>
      <c r="D2026" s="7" t="s">
        <v>251</v>
      </c>
      <c r="E2026" s="8" t="s">
        <v>17</v>
      </c>
      <c r="F2026" s="8" t="s">
        <v>318</v>
      </c>
      <c r="G2026" s="7" t="s">
        <v>2891</v>
      </c>
      <c r="H2026" s="7" t="s">
        <v>2892</v>
      </c>
      <c r="I2026" s="8">
        <v>2000.0</v>
      </c>
      <c r="K2026" s="8" t="s">
        <v>321</v>
      </c>
      <c r="M2026" s="8" t="s">
        <v>388</v>
      </c>
      <c r="N2026" s="8">
        <v>3.1</v>
      </c>
      <c r="O2026" s="14">
        <f t="shared" si="1"/>
        <v>44136</v>
      </c>
      <c r="P2026" s="15">
        <f>IFERROR(VLOOKUP(K2026,Formula!$A$11:$B$20,2,FALSE),Formula!$C$26)</f>
        <v>0.9</v>
      </c>
      <c r="Q2026" s="15">
        <f>IF(AND(ISNUMBER(J2026),J2026&gt;0),1/J2026,IF(AND(ISNUMBER(I2026),I2026&gt;0),SQRT(MIN(I2026,Formula!$C$27))/Formula!$C$24,1/Formula!$C$25))</f>
        <v>0.4563404036</v>
      </c>
      <c r="R2026" s="15">
        <f t="shared" si="2"/>
        <v>0.4107063632</v>
      </c>
      <c r="S2026" s="15">
        <f>IF(H2026&lt;&gt;"",EXP(-Formula!$C$28*(EOMONTH(H2026,0)-H2026)),EXP(-Formula!$C$28*(EOMONTH(D2026,0)-D2026)))</f>
        <v>0.2465969639</v>
      </c>
      <c r="T2026" s="15">
        <f t="shared" si="3"/>
        <v>0.3535533906</v>
      </c>
      <c r="U2026" s="15">
        <f t="shared" si="4"/>
        <v>0.03580751342</v>
      </c>
      <c r="V2026" s="16">
        <f>IF(AND(L2026="Among all respondents",NOT(OR(K2026="Online poll in Telegram channel",K2026="Website online poll",K2026="CAWI (Computer Assisted Web Interviewing)"))),1/(1-MIN(MAX(Formula!$C$33+(YEAR(D2026)-Formula!$C$34)/(Formula!$C$35-Formula!$C$34)*(Formula!$C$32-Formula!$C$33),Formula!$C$33),Formula!$C$32)),1)</f>
        <v>1</v>
      </c>
      <c r="W2026" s="17">
        <f t="shared" si="5"/>
        <v>3.1</v>
      </c>
    </row>
    <row r="2027" ht="15.75" customHeight="1">
      <c r="A2027" s="8" t="s">
        <v>2898</v>
      </c>
      <c r="B2027" s="7" t="s">
        <v>2889</v>
      </c>
      <c r="C2027" s="13" t="s">
        <v>2890</v>
      </c>
      <c r="D2027" s="7" t="s">
        <v>251</v>
      </c>
      <c r="E2027" s="8" t="s">
        <v>17</v>
      </c>
      <c r="F2027" s="8" t="s">
        <v>318</v>
      </c>
      <c r="G2027" s="7" t="s">
        <v>2891</v>
      </c>
      <c r="H2027" s="7" t="s">
        <v>2892</v>
      </c>
      <c r="I2027" s="8">
        <v>2000.0</v>
      </c>
      <c r="K2027" s="8" t="s">
        <v>321</v>
      </c>
      <c r="M2027" s="8" t="s">
        <v>1539</v>
      </c>
      <c r="N2027" s="8">
        <v>1.5</v>
      </c>
      <c r="O2027" s="14">
        <f t="shared" si="1"/>
        <v>44136</v>
      </c>
      <c r="P2027" s="15">
        <f>IFERROR(VLOOKUP(K2027,Formula!$A$11:$B$20,2,FALSE),Formula!$C$26)</f>
        <v>0.9</v>
      </c>
      <c r="Q2027" s="15">
        <f>IF(AND(ISNUMBER(J2027),J2027&gt;0),1/J2027,IF(AND(ISNUMBER(I2027),I2027&gt;0),SQRT(MIN(I2027,Formula!$C$27))/Formula!$C$24,1/Formula!$C$25))</f>
        <v>0.4563404036</v>
      </c>
      <c r="R2027" s="15">
        <f t="shared" si="2"/>
        <v>0.4107063632</v>
      </c>
      <c r="S2027" s="15">
        <f>IF(H2027&lt;&gt;"",EXP(-Formula!$C$28*(EOMONTH(H2027,0)-H2027)),EXP(-Formula!$C$28*(EOMONTH(D2027,0)-D2027)))</f>
        <v>0.2465969639</v>
      </c>
      <c r="T2027" s="15">
        <f t="shared" si="3"/>
        <v>0.3535533906</v>
      </c>
      <c r="U2027" s="15">
        <f t="shared" si="4"/>
        <v>0.03580751342</v>
      </c>
      <c r="V2027" s="16">
        <f>IF(AND(L2027="Among all respondents",NOT(OR(K2027="Online poll in Telegram channel",K2027="Website online poll",K2027="CAWI (Computer Assisted Web Interviewing)"))),1/(1-MIN(MAX(Formula!$C$33+(YEAR(D2027)-Formula!$C$34)/(Formula!$C$35-Formula!$C$34)*(Formula!$C$32-Formula!$C$33),Formula!$C$33),Formula!$C$32)),1)</f>
        <v>1</v>
      </c>
      <c r="W2027" s="17">
        <f t="shared" si="5"/>
        <v>1.5</v>
      </c>
    </row>
    <row r="2028" ht="15.75" customHeight="1">
      <c r="A2028" s="8" t="s">
        <v>2899</v>
      </c>
      <c r="B2028" s="7" t="s">
        <v>2889</v>
      </c>
      <c r="C2028" s="13" t="s">
        <v>2890</v>
      </c>
      <c r="D2028" s="7" t="s">
        <v>251</v>
      </c>
      <c r="E2028" s="8" t="s">
        <v>17</v>
      </c>
      <c r="F2028" s="8" t="s">
        <v>318</v>
      </c>
      <c r="G2028" s="7" t="s">
        <v>2891</v>
      </c>
      <c r="H2028" s="7" t="s">
        <v>2892</v>
      </c>
      <c r="I2028" s="8">
        <v>2000.0</v>
      </c>
      <c r="K2028" s="8" t="s">
        <v>321</v>
      </c>
      <c r="M2028" s="8" t="s">
        <v>740</v>
      </c>
      <c r="N2028" s="8">
        <v>0.8</v>
      </c>
      <c r="O2028" s="14">
        <f t="shared" si="1"/>
        <v>44136</v>
      </c>
      <c r="P2028" s="15">
        <f>IFERROR(VLOOKUP(K2028,Formula!$A$11:$B$20,2,FALSE),Formula!$C$26)</f>
        <v>0.9</v>
      </c>
      <c r="Q2028" s="15">
        <f>IF(AND(ISNUMBER(J2028),J2028&gt;0),1/J2028,IF(AND(ISNUMBER(I2028),I2028&gt;0),SQRT(MIN(I2028,Formula!$C$27))/Formula!$C$24,1/Formula!$C$25))</f>
        <v>0.4563404036</v>
      </c>
      <c r="R2028" s="15">
        <f t="shared" si="2"/>
        <v>0.4107063632</v>
      </c>
      <c r="S2028" s="15">
        <f>IF(H2028&lt;&gt;"",EXP(-Formula!$C$28*(EOMONTH(H2028,0)-H2028)),EXP(-Formula!$C$28*(EOMONTH(D2028,0)-D2028)))</f>
        <v>0.2465969639</v>
      </c>
      <c r="T2028" s="15">
        <f t="shared" si="3"/>
        <v>0.3535533906</v>
      </c>
      <c r="U2028" s="15">
        <f t="shared" si="4"/>
        <v>0.03580751342</v>
      </c>
      <c r="V2028" s="16">
        <f>IF(AND(L2028="Among all respondents",NOT(OR(K2028="Online poll in Telegram channel",K2028="Website online poll",K2028="CAWI (Computer Assisted Web Interviewing)"))),1/(1-MIN(MAX(Formula!$C$33+(YEAR(D2028)-Formula!$C$34)/(Formula!$C$35-Formula!$C$34)*(Formula!$C$32-Formula!$C$33),Formula!$C$33),Formula!$C$32)),1)</f>
        <v>1</v>
      </c>
      <c r="W2028" s="17">
        <f t="shared" si="5"/>
        <v>0.8</v>
      </c>
    </row>
    <row r="2029" ht="15.75" customHeight="1">
      <c r="A2029" s="8" t="s">
        <v>2900</v>
      </c>
      <c r="B2029" s="7" t="s">
        <v>2901</v>
      </c>
      <c r="C2029" s="13" t="s">
        <v>2902</v>
      </c>
      <c r="D2029" s="7" t="s">
        <v>250</v>
      </c>
      <c r="E2029" s="8" t="s">
        <v>72</v>
      </c>
      <c r="F2029" s="8" t="s">
        <v>318</v>
      </c>
      <c r="G2029" s="7" t="s">
        <v>2903</v>
      </c>
      <c r="H2029" s="7" t="s">
        <v>2904</v>
      </c>
      <c r="I2029" s="8">
        <v>1502.0</v>
      </c>
      <c r="J2029" s="8">
        <v>2.6</v>
      </c>
      <c r="K2029" s="8" t="s">
        <v>321</v>
      </c>
      <c r="M2029" s="8" t="s">
        <v>323</v>
      </c>
      <c r="N2029" s="8">
        <v>25.3</v>
      </c>
      <c r="O2029" s="14">
        <f t="shared" si="1"/>
        <v>44136</v>
      </c>
      <c r="P2029" s="15">
        <f>IFERROR(VLOOKUP(K2029,Formula!$A$11:$B$20,2,FALSE),Formula!$C$26)</f>
        <v>0.9</v>
      </c>
      <c r="Q2029" s="15">
        <f>IF(AND(ISNUMBER(J2029),J2029&gt;0),1/J2029,IF(AND(ISNUMBER(I2029),I2029&gt;0),SQRT(MIN(I2029,Formula!$C$27))/Formula!$C$24,1/Formula!$C$25))</f>
        <v>0.3846153846</v>
      </c>
      <c r="R2029" s="15">
        <f t="shared" si="2"/>
        <v>0.3461538462</v>
      </c>
      <c r="S2029" s="15">
        <f>IF(H2029&lt;&gt;"",EXP(-Formula!$C$28*(EOMONTH(H2029,0)-H2029)),EXP(-Formula!$C$28*(EOMONTH(D2029,0)-D2029)))</f>
        <v>0.7046880897</v>
      </c>
      <c r="T2029" s="15">
        <f t="shared" si="3"/>
        <v>0.3535533906</v>
      </c>
      <c r="U2029" s="15">
        <f t="shared" si="4"/>
        <v>0.08624245273</v>
      </c>
      <c r="V2029" s="16">
        <f>IF(AND(L2029="Among all respondents",NOT(OR(K2029="Online poll in Telegram channel",K2029="Website online poll",K2029="CAWI (Computer Assisted Web Interviewing)"))),1/(1-MIN(MAX(Formula!$C$33+(YEAR(D2029)-Formula!$C$34)/(Formula!$C$35-Formula!$C$34)*(Formula!$C$32-Formula!$C$33),Formula!$C$33),Formula!$C$32)),1)</f>
        <v>1</v>
      </c>
      <c r="W2029" s="17">
        <f t="shared" si="5"/>
        <v>25.3</v>
      </c>
    </row>
    <row r="2030" ht="15.75" customHeight="1">
      <c r="A2030" s="8" t="s">
        <v>2905</v>
      </c>
      <c r="B2030" s="7" t="s">
        <v>2901</v>
      </c>
      <c r="C2030" s="13" t="s">
        <v>2902</v>
      </c>
      <c r="D2030" s="7" t="s">
        <v>250</v>
      </c>
      <c r="E2030" s="8" t="s">
        <v>72</v>
      </c>
      <c r="F2030" s="8" t="s">
        <v>318</v>
      </c>
      <c r="G2030" s="7" t="s">
        <v>2903</v>
      </c>
      <c r="H2030" s="7" t="s">
        <v>2904</v>
      </c>
      <c r="I2030" s="8">
        <v>1502.0</v>
      </c>
      <c r="J2030" s="8">
        <v>2.6</v>
      </c>
      <c r="K2030" s="8" t="s">
        <v>321</v>
      </c>
      <c r="M2030" s="8" t="s">
        <v>329</v>
      </c>
      <c r="N2030" s="8">
        <v>13.2</v>
      </c>
      <c r="O2030" s="14">
        <f t="shared" si="1"/>
        <v>44136</v>
      </c>
      <c r="P2030" s="15">
        <f>IFERROR(VLOOKUP(K2030,Formula!$A$11:$B$20,2,FALSE),Formula!$C$26)</f>
        <v>0.9</v>
      </c>
      <c r="Q2030" s="15">
        <f>IF(AND(ISNUMBER(J2030),J2030&gt;0),1/J2030,IF(AND(ISNUMBER(I2030),I2030&gt;0),SQRT(MIN(I2030,Formula!$C$27))/Formula!$C$24,1/Formula!$C$25))</f>
        <v>0.3846153846</v>
      </c>
      <c r="R2030" s="15">
        <f t="shared" si="2"/>
        <v>0.3461538462</v>
      </c>
      <c r="S2030" s="15">
        <f>IF(H2030&lt;&gt;"",EXP(-Formula!$C$28*(EOMONTH(H2030,0)-H2030)),EXP(-Formula!$C$28*(EOMONTH(D2030,0)-D2030)))</f>
        <v>0.7046880897</v>
      </c>
      <c r="T2030" s="15">
        <f t="shared" si="3"/>
        <v>0.3535533906</v>
      </c>
      <c r="U2030" s="15">
        <f t="shared" si="4"/>
        <v>0.08624245273</v>
      </c>
      <c r="V2030" s="16">
        <f>IF(AND(L2030="Among all respondents",NOT(OR(K2030="Online poll in Telegram channel",K2030="Website online poll",K2030="CAWI (Computer Assisted Web Interviewing)"))),1/(1-MIN(MAX(Formula!$C$33+(YEAR(D2030)-Formula!$C$34)/(Formula!$C$35-Formula!$C$34)*(Formula!$C$32-Formula!$C$33),Formula!$C$33),Formula!$C$32)),1)</f>
        <v>1</v>
      </c>
      <c r="W2030" s="17">
        <f t="shared" si="5"/>
        <v>13.2</v>
      </c>
    </row>
    <row r="2031" ht="15.75" customHeight="1">
      <c r="A2031" s="8" t="s">
        <v>2906</v>
      </c>
      <c r="B2031" s="7" t="s">
        <v>2901</v>
      </c>
      <c r="C2031" s="13" t="s">
        <v>2902</v>
      </c>
      <c r="D2031" s="7" t="s">
        <v>250</v>
      </c>
      <c r="E2031" s="8" t="s">
        <v>72</v>
      </c>
      <c r="F2031" s="8" t="s">
        <v>318</v>
      </c>
      <c r="G2031" s="7" t="s">
        <v>2903</v>
      </c>
      <c r="H2031" s="7" t="s">
        <v>2904</v>
      </c>
      <c r="I2031" s="8">
        <v>1502.0</v>
      </c>
      <c r="J2031" s="8">
        <v>2.6</v>
      </c>
      <c r="K2031" s="8" t="s">
        <v>321</v>
      </c>
      <c r="M2031" s="8" t="s">
        <v>337</v>
      </c>
      <c r="N2031" s="8">
        <v>8.5</v>
      </c>
      <c r="O2031" s="14">
        <f t="shared" si="1"/>
        <v>44136</v>
      </c>
      <c r="P2031" s="15">
        <f>IFERROR(VLOOKUP(K2031,Formula!$A$11:$B$20,2,FALSE),Formula!$C$26)</f>
        <v>0.9</v>
      </c>
      <c r="Q2031" s="15">
        <f>IF(AND(ISNUMBER(J2031),J2031&gt;0),1/J2031,IF(AND(ISNUMBER(I2031),I2031&gt;0),SQRT(MIN(I2031,Formula!$C$27))/Formula!$C$24,1/Formula!$C$25))</f>
        <v>0.3846153846</v>
      </c>
      <c r="R2031" s="15">
        <f t="shared" si="2"/>
        <v>0.3461538462</v>
      </c>
      <c r="S2031" s="15">
        <f>IF(H2031&lt;&gt;"",EXP(-Formula!$C$28*(EOMONTH(H2031,0)-H2031)),EXP(-Formula!$C$28*(EOMONTH(D2031,0)-D2031)))</f>
        <v>0.7046880897</v>
      </c>
      <c r="T2031" s="15">
        <f t="shared" si="3"/>
        <v>0.3535533906</v>
      </c>
      <c r="U2031" s="15">
        <f t="shared" si="4"/>
        <v>0.08624245273</v>
      </c>
      <c r="V2031" s="16">
        <f>IF(AND(L2031="Among all respondents",NOT(OR(K2031="Online poll in Telegram channel",K2031="Website online poll",K2031="CAWI (Computer Assisted Web Interviewing)"))),1/(1-MIN(MAX(Formula!$C$33+(YEAR(D2031)-Formula!$C$34)/(Formula!$C$35-Formula!$C$34)*(Formula!$C$32-Formula!$C$33),Formula!$C$33),Formula!$C$32)),1)</f>
        <v>1</v>
      </c>
      <c r="W2031" s="17">
        <f t="shared" si="5"/>
        <v>8.5</v>
      </c>
    </row>
    <row r="2032" ht="15.75" customHeight="1">
      <c r="A2032" s="8" t="s">
        <v>2907</v>
      </c>
      <c r="B2032" s="7" t="s">
        <v>2901</v>
      </c>
      <c r="C2032" s="13" t="s">
        <v>2902</v>
      </c>
      <c r="D2032" s="7" t="s">
        <v>250</v>
      </c>
      <c r="E2032" s="8" t="s">
        <v>72</v>
      </c>
      <c r="F2032" s="8" t="s">
        <v>318</v>
      </c>
      <c r="G2032" s="7" t="s">
        <v>2903</v>
      </c>
      <c r="H2032" s="7" t="s">
        <v>2904</v>
      </c>
      <c r="I2032" s="8">
        <v>1502.0</v>
      </c>
      <c r="J2032" s="8">
        <v>2.6</v>
      </c>
      <c r="K2032" s="8" t="s">
        <v>321</v>
      </c>
      <c r="M2032" s="8" t="s">
        <v>365</v>
      </c>
      <c r="N2032" s="8">
        <v>8.0</v>
      </c>
      <c r="O2032" s="14">
        <f t="shared" si="1"/>
        <v>44136</v>
      </c>
      <c r="P2032" s="15">
        <f>IFERROR(VLOOKUP(K2032,Formula!$A$11:$B$20,2,FALSE),Formula!$C$26)</f>
        <v>0.9</v>
      </c>
      <c r="Q2032" s="15">
        <f>IF(AND(ISNUMBER(J2032),J2032&gt;0),1/J2032,IF(AND(ISNUMBER(I2032),I2032&gt;0),SQRT(MIN(I2032,Formula!$C$27))/Formula!$C$24,1/Formula!$C$25))</f>
        <v>0.3846153846</v>
      </c>
      <c r="R2032" s="15">
        <f t="shared" si="2"/>
        <v>0.3461538462</v>
      </c>
      <c r="S2032" s="15">
        <f>IF(H2032&lt;&gt;"",EXP(-Formula!$C$28*(EOMONTH(H2032,0)-H2032)),EXP(-Formula!$C$28*(EOMONTH(D2032,0)-D2032)))</f>
        <v>0.7046880897</v>
      </c>
      <c r="T2032" s="15">
        <f t="shared" si="3"/>
        <v>0.3535533906</v>
      </c>
      <c r="U2032" s="15">
        <f t="shared" si="4"/>
        <v>0.08624245273</v>
      </c>
      <c r="V2032" s="16">
        <f>IF(AND(L2032="Among all respondents",NOT(OR(K2032="Online poll in Telegram channel",K2032="Website online poll",K2032="CAWI (Computer Assisted Web Interviewing)"))),1/(1-MIN(MAX(Formula!$C$33+(YEAR(D2032)-Formula!$C$34)/(Formula!$C$35-Formula!$C$34)*(Formula!$C$32-Formula!$C$33),Formula!$C$33),Formula!$C$32)),1)</f>
        <v>1</v>
      </c>
      <c r="W2032" s="17">
        <f t="shared" si="5"/>
        <v>8</v>
      </c>
    </row>
    <row r="2033" ht="15.75" customHeight="1">
      <c r="A2033" s="8" t="s">
        <v>2908</v>
      </c>
      <c r="B2033" s="7" t="s">
        <v>2901</v>
      </c>
      <c r="C2033" s="13" t="s">
        <v>2902</v>
      </c>
      <c r="D2033" s="7" t="s">
        <v>250</v>
      </c>
      <c r="E2033" s="8" t="s">
        <v>72</v>
      </c>
      <c r="F2033" s="8" t="s">
        <v>318</v>
      </c>
      <c r="G2033" s="7" t="s">
        <v>2903</v>
      </c>
      <c r="H2033" s="7" t="s">
        <v>2904</v>
      </c>
      <c r="I2033" s="8">
        <v>1502.0</v>
      </c>
      <c r="J2033" s="8">
        <v>2.6</v>
      </c>
      <c r="K2033" s="8" t="s">
        <v>321</v>
      </c>
      <c r="M2033" s="8" t="s">
        <v>828</v>
      </c>
      <c r="N2033" s="8">
        <v>7.2</v>
      </c>
      <c r="O2033" s="14">
        <f t="shared" si="1"/>
        <v>44136</v>
      </c>
      <c r="P2033" s="15">
        <f>IFERROR(VLOOKUP(K2033,Formula!$A$11:$B$20,2,FALSE),Formula!$C$26)</f>
        <v>0.9</v>
      </c>
      <c r="Q2033" s="15">
        <f>IF(AND(ISNUMBER(J2033),J2033&gt;0),1/J2033,IF(AND(ISNUMBER(I2033),I2033&gt;0),SQRT(MIN(I2033,Formula!$C$27))/Formula!$C$24,1/Formula!$C$25))</f>
        <v>0.3846153846</v>
      </c>
      <c r="R2033" s="15">
        <f t="shared" si="2"/>
        <v>0.3461538462</v>
      </c>
      <c r="S2033" s="15">
        <f>IF(H2033&lt;&gt;"",EXP(-Formula!$C$28*(EOMONTH(H2033,0)-H2033)),EXP(-Formula!$C$28*(EOMONTH(D2033,0)-D2033)))</f>
        <v>0.7046880897</v>
      </c>
      <c r="T2033" s="15">
        <f t="shared" si="3"/>
        <v>0.3535533906</v>
      </c>
      <c r="U2033" s="15">
        <f t="shared" si="4"/>
        <v>0.08624245273</v>
      </c>
      <c r="V2033" s="16">
        <f>IF(AND(L2033="Among all respondents",NOT(OR(K2033="Online poll in Telegram channel",K2033="Website online poll",K2033="CAWI (Computer Assisted Web Interviewing)"))),1/(1-MIN(MAX(Formula!$C$33+(YEAR(D2033)-Formula!$C$34)/(Formula!$C$35-Formula!$C$34)*(Formula!$C$32-Formula!$C$33),Formula!$C$33),Formula!$C$32)),1)</f>
        <v>1</v>
      </c>
      <c r="W2033" s="17">
        <f t="shared" si="5"/>
        <v>7.2</v>
      </c>
    </row>
    <row r="2034" ht="15.75" customHeight="1">
      <c r="A2034" s="8" t="s">
        <v>2909</v>
      </c>
      <c r="B2034" s="7" t="s">
        <v>2901</v>
      </c>
      <c r="C2034" s="13" t="s">
        <v>2902</v>
      </c>
      <c r="D2034" s="7" t="s">
        <v>250</v>
      </c>
      <c r="E2034" s="8" t="s">
        <v>72</v>
      </c>
      <c r="F2034" s="8" t="s">
        <v>318</v>
      </c>
      <c r="G2034" s="7" t="s">
        <v>2903</v>
      </c>
      <c r="H2034" s="7" t="s">
        <v>2904</v>
      </c>
      <c r="I2034" s="8">
        <v>1502.0</v>
      </c>
      <c r="J2034" s="8">
        <v>2.6</v>
      </c>
      <c r="K2034" s="8" t="s">
        <v>321</v>
      </c>
      <c r="M2034" s="8" t="s">
        <v>1334</v>
      </c>
      <c r="N2034" s="8">
        <v>6.7</v>
      </c>
      <c r="O2034" s="14">
        <f t="shared" si="1"/>
        <v>44136</v>
      </c>
      <c r="P2034" s="15">
        <f>IFERROR(VLOOKUP(K2034,Formula!$A$11:$B$20,2,FALSE),Formula!$C$26)</f>
        <v>0.9</v>
      </c>
      <c r="Q2034" s="15">
        <f>IF(AND(ISNUMBER(J2034),J2034&gt;0),1/J2034,IF(AND(ISNUMBER(I2034),I2034&gt;0),SQRT(MIN(I2034,Formula!$C$27))/Formula!$C$24,1/Formula!$C$25))</f>
        <v>0.3846153846</v>
      </c>
      <c r="R2034" s="15">
        <f t="shared" si="2"/>
        <v>0.3461538462</v>
      </c>
      <c r="S2034" s="15">
        <f>IF(H2034&lt;&gt;"",EXP(-Formula!$C$28*(EOMONTH(H2034,0)-H2034)),EXP(-Formula!$C$28*(EOMONTH(D2034,0)-D2034)))</f>
        <v>0.7046880897</v>
      </c>
      <c r="T2034" s="15">
        <f t="shared" si="3"/>
        <v>0.3535533906</v>
      </c>
      <c r="U2034" s="15">
        <f t="shared" si="4"/>
        <v>0.08624245273</v>
      </c>
      <c r="V2034" s="16">
        <f>IF(AND(L2034="Among all respondents",NOT(OR(K2034="Online poll in Telegram channel",K2034="Website online poll",K2034="CAWI (Computer Assisted Web Interviewing)"))),1/(1-MIN(MAX(Formula!$C$33+(YEAR(D2034)-Formula!$C$34)/(Formula!$C$35-Formula!$C$34)*(Formula!$C$32-Formula!$C$33),Formula!$C$33),Formula!$C$32)),1)</f>
        <v>1</v>
      </c>
      <c r="W2034" s="17">
        <f t="shared" si="5"/>
        <v>6.7</v>
      </c>
    </row>
    <row r="2035" ht="15.75" customHeight="1">
      <c r="A2035" s="8" t="s">
        <v>2910</v>
      </c>
      <c r="B2035" s="7" t="s">
        <v>2901</v>
      </c>
      <c r="C2035" s="13" t="s">
        <v>2902</v>
      </c>
      <c r="D2035" s="7" t="s">
        <v>250</v>
      </c>
      <c r="E2035" s="8" t="s">
        <v>72</v>
      </c>
      <c r="F2035" s="8" t="s">
        <v>318</v>
      </c>
      <c r="G2035" s="7" t="s">
        <v>2903</v>
      </c>
      <c r="H2035" s="7" t="s">
        <v>2904</v>
      </c>
      <c r="I2035" s="8">
        <v>1502.0</v>
      </c>
      <c r="J2035" s="8">
        <v>2.6</v>
      </c>
      <c r="K2035" s="8" t="s">
        <v>321</v>
      </c>
      <c r="M2035" s="8" t="s">
        <v>388</v>
      </c>
      <c r="N2035" s="8">
        <v>3.5</v>
      </c>
      <c r="O2035" s="14">
        <f t="shared" si="1"/>
        <v>44136</v>
      </c>
      <c r="P2035" s="15">
        <f>IFERROR(VLOOKUP(K2035,Formula!$A$11:$B$20,2,FALSE),Formula!$C$26)</f>
        <v>0.9</v>
      </c>
      <c r="Q2035" s="15">
        <f>IF(AND(ISNUMBER(J2035),J2035&gt;0),1/J2035,IF(AND(ISNUMBER(I2035),I2035&gt;0),SQRT(MIN(I2035,Formula!$C$27))/Formula!$C$24,1/Formula!$C$25))</f>
        <v>0.3846153846</v>
      </c>
      <c r="R2035" s="15">
        <f t="shared" si="2"/>
        <v>0.3461538462</v>
      </c>
      <c r="S2035" s="15">
        <f>IF(H2035&lt;&gt;"",EXP(-Formula!$C$28*(EOMONTH(H2035,0)-H2035)),EXP(-Formula!$C$28*(EOMONTH(D2035,0)-D2035)))</f>
        <v>0.7046880897</v>
      </c>
      <c r="T2035" s="15">
        <f t="shared" si="3"/>
        <v>0.3535533906</v>
      </c>
      <c r="U2035" s="15">
        <f t="shared" si="4"/>
        <v>0.08624245273</v>
      </c>
      <c r="V2035" s="16">
        <f>IF(AND(L2035="Among all respondents",NOT(OR(K2035="Online poll in Telegram channel",K2035="Website online poll",K2035="CAWI (Computer Assisted Web Interviewing)"))),1/(1-MIN(MAX(Formula!$C$33+(YEAR(D2035)-Formula!$C$34)/(Formula!$C$35-Formula!$C$34)*(Formula!$C$32-Formula!$C$33),Formula!$C$33),Formula!$C$32)),1)</f>
        <v>1</v>
      </c>
      <c r="W2035" s="17">
        <f t="shared" si="5"/>
        <v>3.5</v>
      </c>
    </row>
    <row r="2036" ht="15.75" customHeight="1">
      <c r="A2036" s="8" t="s">
        <v>2911</v>
      </c>
      <c r="B2036" s="7" t="s">
        <v>2901</v>
      </c>
      <c r="C2036" s="13" t="s">
        <v>2902</v>
      </c>
      <c r="D2036" s="7" t="s">
        <v>250</v>
      </c>
      <c r="E2036" s="8" t="s">
        <v>72</v>
      </c>
      <c r="F2036" s="8" t="s">
        <v>318</v>
      </c>
      <c r="G2036" s="7" t="s">
        <v>2903</v>
      </c>
      <c r="H2036" s="7" t="s">
        <v>2904</v>
      </c>
      <c r="I2036" s="8">
        <v>1502.0</v>
      </c>
      <c r="J2036" s="8">
        <v>2.6</v>
      </c>
      <c r="K2036" s="8" t="s">
        <v>321</v>
      </c>
      <c r="M2036" s="8" t="s">
        <v>1171</v>
      </c>
      <c r="N2036" s="8">
        <v>0.3</v>
      </c>
      <c r="O2036" s="14">
        <f t="shared" si="1"/>
        <v>44136</v>
      </c>
      <c r="P2036" s="15">
        <f>IFERROR(VLOOKUP(K2036,Formula!$A$11:$B$20,2,FALSE),Formula!$C$26)</f>
        <v>0.9</v>
      </c>
      <c r="Q2036" s="15">
        <f>IF(AND(ISNUMBER(J2036),J2036&gt;0),1/J2036,IF(AND(ISNUMBER(I2036),I2036&gt;0),SQRT(MIN(I2036,Formula!$C$27))/Formula!$C$24,1/Formula!$C$25))</f>
        <v>0.3846153846</v>
      </c>
      <c r="R2036" s="15">
        <f t="shared" si="2"/>
        <v>0.3461538462</v>
      </c>
      <c r="S2036" s="15">
        <f>IF(H2036&lt;&gt;"",EXP(-Formula!$C$28*(EOMONTH(H2036,0)-H2036)),EXP(-Formula!$C$28*(EOMONTH(D2036,0)-D2036)))</f>
        <v>0.7046880897</v>
      </c>
      <c r="T2036" s="15">
        <f t="shared" si="3"/>
        <v>0.3535533906</v>
      </c>
      <c r="U2036" s="15">
        <f t="shared" si="4"/>
        <v>0.08624245273</v>
      </c>
      <c r="V2036" s="16">
        <f>IF(AND(L2036="Among all respondents",NOT(OR(K2036="Online poll in Telegram channel",K2036="Website online poll",K2036="CAWI (Computer Assisted Web Interviewing)"))),1/(1-MIN(MAX(Formula!$C$33+(YEAR(D2036)-Formula!$C$34)/(Formula!$C$35-Formula!$C$34)*(Formula!$C$32-Formula!$C$33),Formula!$C$33),Formula!$C$32)),1)</f>
        <v>1</v>
      </c>
      <c r="W2036" s="17">
        <f t="shared" si="5"/>
        <v>0.3</v>
      </c>
    </row>
    <row r="2037" ht="15.75" customHeight="1">
      <c r="A2037" s="8" t="s">
        <v>2912</v>
      </c>
      <c r="B2037" s="7" t="s">
        <v>2913</v>
      </c>
      <c r="C2037" s="13" t="s">
        <v>2914</v>
      </c>
      <c r="D2037" s="7" t="s">
        <v>250</v>
      </c>
      <c r="E2037" s="8" t="s">
        <v>106</v>
      </c>
      <c r="F2037" s="8" t="s">
        <v>318</v>
      </c>
      <c r="G2037" s="7" t="s">
        <v>2915</v>
      </c>
      <c r="H2037" s="7" t="s">
        <v>2916</v>
      </c>
      <c r="I2037" s="8">
        <v>2020.0</v>
      </c>
      <c r="J2037" s="8">
        <v>2.3</v>
      </c>
      <c r="K2037" s="8" t="s">
        <v>583</v>
      </c>
      <c r="M2037" s="8" t="s">
        <v>323</v>
      </c>
      <c r="N2037" s="8">
        <v>21.4</v>
      </c>
      <c r="O2037" s="14">
        <f t="shared" si="1"/>
        <v>44136</v>
      </c>
      <c r="P2037" s="15">
        <f>IFERROR(VLOOKUP(K2037,Formula!$A$11:$B$20,2,FALSE),Formula!$C$26)</f>
        <v>0.95</v>
      </c>
      <c r="Q2037" s="15">
        <f>IF(AND(ISNUMBER(J2037),J2037&gt;0),1/J2037,IF(AND(ISNUMBER(I2037),I2037&gt;0),SQRT(MIN(I2037,Formula!$C$27))/Formula!$C$24,1/Formula!$C$25))</f>
        <v>0.4347826087</v>
      </c>
      <c r="R2037" s="15">
        <f t="shared" si="2"/>
        <v>0.4130434783</v>
      </c>
      <c r="S2037" s="15">
        <f>IF(H2037&lt;&gt;"",EXP(-Formula!$C$28*(EOMONTH(H2037,0)-H2037)),EXP(-Formula!$C$28*(EOMONTH(D2037,0)-D2037)))</f>
        <v>0.2865047969</v>
      </c>
      <c r="T2037" s="15">
        <f t="shared" si="3"/>
        <v>0.3535533906</v>
      </c>
      <c r="U2037" s="15">
        <f t="shared" si="4"/>
        <v>0.04183913271</v>
      </c>
      <c r="V2037" s="16">
        <f>IF(AND(L2037="Among all respondents",NOT(OR(K2037="Online poll in Telegram channel",K2037="Website online poll",K2037="CAWI (Computer Assisted Web Interviewing)"))),1/(1-MIN(MAX(Formula!$C$33+(YEAR(D2037)-Formula!$C$34)/(Formula!$C$35-Formula!$C$34)*(Formula!$C$32-Formula!$C$33),Formula!$C$33),Formula!$C$32)),1)</f>
        <v>1</v>
      </c>
      <c r="W2037" s="17">
        <f t="shared" si="5"/>
        <v>21.4</v>
      </c>
    </row>
    <row r="2038" ht="15.75" customHeight="1">
      <c r="A2038" s="8" t="s">
        <v>2917</v>
      </c>
      <c r="B2038" s="7" t="s">
        <v>2913</v>
      </c>
      <c r="C2038" s="13" t="s">
        <v>2914</v>
      </c>
      <c r="D2038" s="7" t="s">
        <v>250</v>
      </c>
      <c r="E2038" s="8" t="s">
        <v>106</v>
      </c>
      <c r="F2038" s="8" t="s">
        <v>318</v>
      </c>
      <c r="G2038" s="7" t="s">
        <v>2915</v>
      </c>
      <c r="H2038" s="7" t="s">
        <v>2916</v>
      </c>
      <c r="I2038" s="8">
        <v>2020.0</v>
      </c>
      <c r="J2038" s="8">
        <v>2.3</v>
      </c>
      <c r="K2038" s="8" t="s">
        <v>583</v>
      </c>
      <c r="M2038" s="8" t="s">
        <v>329</v>
      </c>
      <c r="N2038" s="8">
        <v>13.6</v>
      </c>
      <c r="O2038" s="14">
        <f t="shared" si="1"/>
        <v>44136</v>
      </c>
      <c r="P2038" s="15">
        <f>IFERROR(VLOOKUP(K2038,Formula!$A$11:$B$20,2,FALSE),Formula!$C$26)</f>
        <v>0.95</v>
      </c>
      <c r="Q2038" s="15">
        <f>IF(AND(ISNUMBER(J2038),J2038&gt;0),1/J2038,IF(AND(ISNUMBER(I2038),I2038&gt;0),SQRT(MIN(I2038,Formula!$C$27))/Formula!$C$24,1/Formula!$C$25))</f>
        <v>0.4347826087</v>
      </c>
      <c r="R2038" s="15">
        <f t="shared" si="2"/>
        <v>0.4130434783</v>
      </c>
      <c r="S2038" s="15">
        <f>IF(H2038&lt;&gt;"",EXP(-Formula!$C$28*(EOMONTH(H2038,0)-H2038)),EXP(-Formula!$C$28*(EOMONTH(D2038,0)-D2038)))</f>
        <v>0.2865047969</v>
      </c>
      <c r="T2038" s="15">
        <f t="shared" si="3"/>
        <v>0.3535533906</v>
      </c>
      <c r="U2038" s="15">
        <f t="shared" si="4"/>
        <v>0.04183913271</v>
      </c>
      <c r="V2038" s="16">
        <f>IF(AND(L2038="Among all respondents",NOT(OR(K2038="Online poll in Telegram channel",K2038="Website online poll",K2038="CAWI (Computer Assisted Web Interviewing)"))),1/(1-MIN(MAX(Formula!$C$33+(YEAR(D2038)-Formula!$C$34)/(Formula!$C$35-Formula!$C$34)*(Formula!$C$32-Formula!$C$33),Formula!$C$33),Formula!$C$32)),1)</f>
        <v>1</v>
      </c>
      <c r="W2038" s="17">
        <f t="shared" si="5"/>
        <v>13.6</v>
      </c>
    </row>
    <row r="2039" ht="15.75" customHeight="1">
      <c r="A2039" s="8" t="s">
        <v>2918</v>
      </c>
      <c r="B2039" s="7" t="s">
        <v>2913</v>
      </c>
      <c r="C2039" s="13" t="s">
        <v>2914</v>
      </c>
      <c r="D2039" s="7" t="s">
        <v>250</v>
      </c>
      <c r="E2039" s="8" t="s">
        <v>106</v>
      </c>
      <c r="F2039" s="8" t="s">
        <v>318</v>
      </c>
      <c r="G2039" s="7" t="s">
        <v>2915</v>
      </c>
      <c r="H2039" s="7" t="s">
        <v>2916</v>
      </c>
      <c r="I2039" s="8">
        <v>2020.0</v>
      </c>
      <c r="J2039" s="8">
        <v>2.3</v>
      </c>
      <c r="K2039" s="8" t="s">
        <v>583</v>
      </c>
      <c r="M2039" s="8" t="s">
        <v>365</v>
      </c>
      <c r="N2039" s="8">
        <v>12.2</v>
      </c>
      <c r="O2039" s="14">
        <f t="shared" si="1"/>
        <v>44136</v>
      </c>
      <c r="P2039" s="15">
        <f>IFERROR(VLOOKUP(K2039,Formula!$A$11:$B$20,2,FALSE),Formula!$C$26)</f>
        <v>0.95</v>
      </c>
      <c r="Q2039" s="15">
        <f>IF(AND(ISNUMBER(J2039),J2039&gt;0),1/J2039,IF(AND(ISNUMBER(I2039),I2039&gt;0),SQRT(MIN(I2039,Formula!$C$27))/Formula!$C$24,1/Formula!$C$25))</f>
        <v>0.4347826087</v>
      </c>
      <c r="R2039" s="15">
        <f t="shared" si="2"/>
        <v>0.4130434783</v>
      </c>
      <c r="S2039" s="15">
        <f>IF(H2039&lt;&gt;"",EXP(-Formula!$C$28*(EOMONTH(H2039,0)-H2039)),EXP(-Formula!$C$28*(EOMONTH(D2039,0)-D2039)))</f>
        <v>0.2865047969</v>
      </c>
      <c r="T2039" s="15">
        <f t="shared" si="3"/>
        <v>0.3535533906</v>
      </c>
      <c r="U2039" s="15">
        <f t="shared" si="4"/>
        <v>0.04183913271</v>
      </c>
      <c r="V2039" s="16">
        <f>IF(AND(L2039="Among all respondents",NOT(OR(K2039="Online poll in Telegram channel",K2039="Website online poll",K2039="CAWI (Computer Assisted Web Interviewing)"))),1/(1-MIN(MAX(Formula!$C$33+(YEAR(D2039)-Formula!$C$34)/(Formula!$C$35-Formula!$C$34)*(Formula!$C$32-Formula!$C$33),Formula!$C$33),Formula!$C$32)),1)</f>
        <v>1</v>
      </c>
      <c r="W2039" s="17">
        <f t="shared" si="5"/>
        <v>12.2</v>
      </c>
    </row>
    <row r="2040" ht="15.75" customHeight="1">
      <c r="A2040" s="8" t="s">
        <v>2919</v>
      </c>
      <c r="B2040" s="7" t="s">
        <v>2913</v>
      </c>
      <c r="C2040" s="13" t="s">
        <v>2914</v>
      </c>
      <c r="D2040" s="7" t="s">
        <v>250</v>
      </c>
      <c r="E2040" s="8" t="s">
        <v>106</v>
      </c>
      <c r="F2040" s="8" t="s">
        <v>318</v>
      </c>
      <c r="G2040" s="7" t="s">
        <v>2915</v>
      </c>
      <c r="H2040" s="7" t="s">
        <v>2916</v>
      </c>
      <c r="I2040" s="8">
        <v>2020.0</v>
      </c>
      <c r="J2040" s="8">
        <v>2.3</v>
      </c>
      <c r="K2040" s="8" t="s">
        <v>583</v>
      </c>
      <c r="M2040" s="8" t="s">
        <v>337</v>
      </c>
      <c r="N2040" s="8">
        <v>6.2</v>
      </c>
      <c r="O2040" s="14">
        <f t="shared" si="1"/>
        <v>44136</v>
      </c>
      <c r="P2040" s="15">
        <f>IFERROR(VLOOKUP(K2040,Formula!$A$11:$B$20,2,FALSE),Formula!$C$26)</f>
        <v>0.95</v>
      </c>
      <c r="Q2040" s="15">
        <f>IF(AND(ISNUMBER(J2040),J2040&gt;0),1/J2040,IF(AND(ISNUMBER(I2040),I2040&gt;0),SQRT(MIN(I2040,Formula!$C$27))/Formula!$C$24,1/Formula!$C$25))</f>
        <v>0.4347826087</v>
      </c>
      <c r="R2040" s="15">
        <f t="shared" si="2"/>
        <v>0.4130434783</v>
      </c>
      <c r="S2040" s="15">
        <f>IF(H2040&lt;&gt;"",EXP(-Formula!$C$28*(EOMONTH(H2040,0)-H2040)),EXP(-Formula!$C$28*(EOMONTH(D2040,0)-D2040)))</f>
        <v>0.2865047969</v>
      </c>
      <c r="T2040" s="15">
        <f t="shared" si="3"/>
        <v>0.3535533906</v>
      </c>
      <c r="U2040" s="15">
        <f t="shared" si="4"/>
        <v>0.04183913271</v>
      </c>
      <c r="V2040" s="16">
        <f>IF(AND(L2040="Among all respondents",NOT(OR(K2040="Online poll in Telegram channel",K2040="Website online poll",K2040="CAWI (Computer Assisted Web Interviewing)"))),1/(1-MIN(MAX(Formula!$C$33+(YEAR(D2040)-Formula!$C$34)/(Formula!$C$35-Formula!$C$34)*(Formula!$C$32-Formula!$C$33),Formula!$C$33),Formula!$C$32)),1)</f>
        <v>1</v>
      </c>
      <c r="W2040" s="17">
        <f t="shared" si="5"/>
        <v>6.2</v>
      </c>
    </row>
    <row r="2041" ht="15.75" customHeight="1">
      <c r="A2041" s="8" t="s">
        <v>2920</v>
      </c>
      <c r="B2041" s="7" t="s">
        <v>2913</v>
      </c>
      <c r="C2041" s="13" t="s">
        <v>2914</v>
      </c>
      <c r="D2041" s="7" t="s">
        <v>250</v>
      </c>
      <c r="E2041" s="8" t="s">
        <v>106</v>
      </c>
      <c r="F2041" s="8" t="s">
        <v>318</v>
      </c>
      <c r="G2041" s="7" t="s">
        <v>2915</v>
      </c>
      <c r="H2041" s="7" t="s">
        <v>2916</v>
      </c>
      <c r="I2041" s="8">
        <v>2020.0</v>
      </c>
      <c r="J2041" s="8">
        <v>2.3</v>
      </c>
      <c r="K2041" s="8" t="s">
        <v>583</v>
      </c>
      <c r="M2041" s="8" t="s">
        <v>828</v>
      </c>
      <c r="N2041" s="8">
        <v>3.9</v>
      </c>
      <c r="O2041" s="14">
        <f t="shared" si="1"/>
        <v>44136</v>
      </c>
      <c r="P2041" s="15">
        <f>IFERROR(VLOOKUP(K2041,Formula!$A$11:$B$20,2,FALSE),Formula!$C$26)</f>
        <v>0.95</v>
      </c>
      <c r="Q2041" s="15">
        <f>IF(AND(ISNUMBER(J2041),J2041&gt;0),1/J2041,IF(AND(ISNUMBER(I2041),I2041&gt;0),SQRT(MIN(I2041,Formula!$C$27))/Formula!$C$24,1/Formula!$C$25))</f>
        <v>0.4347826087</v>
      </c>
      <c r="R2041" s="15">
        <f t="shared" si="2"/>
        <v>0.4130434783</v>
      </c>
      <c r="S2041" s="15">
        <f>IF(H2041&lt;&gt;"",EXP(-Formula!$C$28*(EOMONTH(H2041,0)-H2041)),EXP(-Formula!$C$28*(EOMONTH(D2041,0)-D2041)))</f>
        <v>0.2865047969</v>
      </c>
      <c r="T2041" s="15">
        <f t="shared" si="3"/>
        <v>0.3535533906</v>
      </c>
      <c r="U2041" s="15">
        <f t="shared" si="4"/>
        <v>0.04183913271</v>
      </c>
      <c r="V2041" s="16">
        <f>IF(AND(L2041="Among all respondents",NOT(OR(K2041="Online poll in Telegram channel",K2041="Website online poll",K2041="CAWI (Computer Assisted Web Interviewing)"))),1/(1-MIN(MAX(Formula!$C$33+(YEAR(D2041)-Formula!$C$34)/(Formula!$C$35-Formula!$C$34)*(Formula!$C$32-Formula!$C$33),Formula!$C$33),Formula!$C$32)),1)</f>
        <v>1</v>
      </c>
      <c r="W2041" s="17">
        <f t="shared" si="5"/>
        <v>3.9</v>
      </c>
    </row>
    <row r="2042" ht="15.75" customHeight="1">
      <c r="A2042" s="8" t="s">
        <v>2921</v>
      </c>
      <c r="B2042" s="7" t="s">
        <v>2913</v>
      </c>
      <c r="C2042" s="13" t="s">
        <v>2914</v>
      </c>
      <c r="D2042" s="7" t="s">
        <v>250</v>
      </c>
      <c r="E2042" s="8" t="s">
        <v>106</v>
      </c>
      <c r="F2042" s="8" t="s">
        <v>318</v>
      </c>
      <c r="G2042" s="7" t="s">
        <v>2915</v>
      </c>
      <c r="H2042" s="7" t="s">
        <v>2916</v>
      </c>
      <c r="I2042" s="8">
        <v>2020.0</v>
      </c>
      <c r="J2042" s="8">
        <v>2.3</v>
      </c>
      <c r="K2042" s="8" t="s">
        <v>583</v>
      </c>
      <c r="M2042" s="8" t="s">
        <v>1398</v>
      </c>
      <c r="N2042" s="8">
        <v>1.7</v>
      </c>
      <c r="O2042" s="14">
        <f t="shared" si="1"/>
        <v>44136</v>
      </c>
      <c r="P2042" s="15">
        <f>IFERROR(VLOOKUP(K2042,Formula!$A$11:$B$20,2,FALSE),Formula!$C$26)</f>
        <v>0.95</v>
      </c>
      <c r="Q2042" s="15">
        <f>IF(AND(ISNUMBER(J2042),J2042&gt;0),1/J2042,IF(AND(ISNUMBER(I2042),I2042&gt;0),SQRT(MIN(I2042,Formula!$C$27))/Formula!$C$24,1/Formula!$C$25))</f>
        <v>0.4347826087</v>
      </c>
      <c r="R2042" s="15">
        <f t="shared" si="2"/>
        <v>0.4130434783</v>
      </c>
      <c r="S2042" s="15">
        <f>IF(H2042&lt;&gt;"",EXP(-Formula!$C$28*(EOMONTH(H2042,0)-H2042)),EXP(-Formula!$C$28*(EOMONTH(D2042,0)-D2042)))</f>
        <v>0.2865047969</v>
      </c>
      <c r="T2042" s="15">
        <f t="shared" si="3"/>
        <v>0.3535533906</v>
      </c>
      <c r="U2042" s="15">
        <f t="shared" si="4"/>
        <v>0.04183913271</v>
      </c>
      <c r="V2042" s="16">
        <f>IF(AND(L2042="Among all respondents",NOT(OR(K2042="Online poll in Telegram channel",K2042="Website online poll",K2042="CAWI (Computer Assisted Web Interviewing)"))),1/(1-MIN(MAX(Formula!$C$33+(YEAR(D2042)-Formula!$C$34)/(Formula!$C$35-Formula!$C$34)*(Formula!$C$32-Formula!$C$33),Formula!$C$33),Formula!$C$32)),1)</f>
        <v>1</v>
      </c>
      <c r="W2042" s="17">
        <f t="shared" si="5"/>
        <v>1.7</v>
      </c>
    </row>
    <row r="2043" ht="15.75" customHeight="1">
      <c r="A2043" s="8" t="s">
        <v>2922</v>
      </c>
      <c r="B2043" s="7" t="s">
        <v>2913</v>
      </c>
      <c r="C2043" s="13" t="s">
        <v>2914</v>
      </c>
      <c r="D2043" s="7" t="s">
        <v>250</v>
      </c>
      <c r="E2043" s="8" t="s">
        <v>106</v>
      </c>
      <c r="F2043" s="8" t="s">
        <v>318</v>
      </c>
      <c r="G2043" s="7" t="s">
        <v>2915</v>
      </c>
      <c r="H2043" s="7" t="s">
        <v>2916</v>
      </c>
      <c r="I2043" s="8">
        <v>2020.0</v>
      </c>
      <c r="J2043" s="8">
        <v>2.3</v>
      </c>
      <c r="K2043" s="8" t="s">
        <v>583</v>
      </c>
      <c r="M2043" s="8" t="s">
        <v>388</v>
      </c>
      <c r="N2043" s="8">
        <v>1.7</v>
      </c>
      <c r="O2043" s="14">
        <f t="shared" si="1"/>
        <v>44136</v>
      </c>
      <c r="P2043" s="15">
        <f>IFERROR(VLOOKUP(K2043,Formula!$A$11:$B$20,2,FALSE),Formula!$C$26)</f>
        <v>0.95</v>
      </c>
      <c r="Q2043" s="15">
        <f>IF(AND(ISNUMBER(J2043),J2043&gt;0),1/J2043,IF(AND(ISNUMBER(I2043),I2043&gt;0),SQRT(MIN(I2043,Formula!$C$27))/Formula!$C$24,1/Formula!$C$25))</f>
        <v>0.4347826087</v>
      </c>
      <c r="R2043" s="15">
        <f t="shared" si="2"/>
        <v>0.4130434783</v>
      </c>
      <c r="S2043" s="15">
        <f>IF(H2043&lt;&gt;"",EXP(-Formula!$C$28*(EOMONTH(H2043,0)-H2043)),EXP(-Formula!$C$28*(EOMONTH(D2043,0)-D2043)))</f>
        <v>0.2865047969</v>
      </c>
      <c r="T2043" s="15">
        <f t="shared" si="3"/>
        <v>0.3535533906</v>
      </c>
      <c r="U2043" s="15">
        <f t="shared" si="4"/>
        <v>0.04183913271</v>
      </c>
      <c r="V2043" s="16">
        <f>IF(AND(L2043="Among all respondents",NOT(OR(K2043="Online poll in Telegram channel",K2043="Website online poll",K2043="CAWI (Computer Assisted Web Interviewing)"))),1/(1-MIN(MAX(Formula!$C$33+(YEAR(D2043)-Formula!$C$34)/(Formula!$C$35-Formula!$C$34)*(Formula!$C$32-Formula!$C$33),Formula!$C$33),Formula!$C$32)),1)</f>
        <v>1</v>
      </c>
      <c r="W2043" s="17">
        <f t="shared" si="5"/>
        <v>1.7</v>
      </c>
    </row>
    <row r="2044" ht="15.75" customHeight="1">
      <c r="A2044" s="8" t="s">
        <v>2923</v>
      </c>
      <c r="B2044" s="7" t="s">
        <v>2913</v>
      </c>
      <c r="C2044" s="13" t="s">
        <v>2914</v>
      </c>
      <c r="D2044" s="7" t="s">
        <v>250</v>
      </c>
      <c r="E2044" s="8" t="s">
        <v>106</v>
      </c>
      <c r="F2044" s="8" t="s">
        <v>318</v>
      </c>
      <c r="G2044" s="7" t="s">
        <v>2915</v>
      </c>
      <c r="H2044" s="7" t="s">
        <v>2916</v>
      </c>
      <c r="I2044" s="8">
        <v>2020.0</v>
      </c>
      <c r="J2044" s="8">
        <v>2.3</v>
      </c>
      <c r="K2044" s="8" t="s">
        <v>583</v>
      </c>
      <c r="M2044" s="8" t="s">
        <v>345</v>
      </c>
      <c r="N2044" s="8">
        <v>1.0</v>
      </c>
      <c r="O2044" s="14">
        <f t="shared" si="1"/>
        <v>44136</v>
      </c>
      <c r="P2044" s="15">
        <f>IFERROR(VLOOKUP(K2044,Formula!$A$11:$B$20,2,FALSE),Formula!$C$26)</f>
        <v>0.95</v>
      </c>
      <c r="Q2044" s="15">
        <f>IF(AND(ISNUMBER(J2044),J2044&gt;0),1/J2044,IF(AND(ISNUMBER(I2044),I2044&gt;0),SQRT(MIN(I2044,Formula!$C$27))/Formula!$C$24,1/Formula!$C$25))</f>
        <v>0.4347826087</v>
      </c>
      <c r="R2044" s="15">
        <f t="shared" si="2"/>
        <v>0.4130434783</v>
      </c>
      <c r="S2044" s="15">
        <f>IF(H2044&lt;&gt;"",EXP(-Formula!$C$28*(EOMONTH(H2044,0)-H2044)),EXP(-Formula!$C$28*(EOMONTH(D2044,0)-D2044)))</f>
        <v>0.2865047969</v>
      </c>
      <c r="T2044" s="15">
        <f t="shared" si="3"/>
        <v>0.3535533906</v>
      </c>
      <c r="U2044" s="15">
        <f t="shared" si="4"/>
        <v>0.04183913271</v>
      </c>
      <c r="V2044" s="16">
        <f>IF(AND(L2044="Among all respondents",NOT(OR(K2044="Online poll in Telegram channel",K2044="Website online poll",K2044="CAWI (Computer Assisted Web Interviewing)"))),1/(1-MIN(MAX(Formula!$C$33+(YEAR(D2044)-Formula!$C$34)/(Formula!$C$35-Formula!$C$34)*(Formula!$C$32-Formula!$C$33),Formula!$C$33),Formula!$C$32)),1)</f>
        <v>1</v>
      </c>
      <c r="W2044" s="17">
        <f t="shared" si="5"/>
        <v>1</v>
      </c>
    </row>
    <row r="2045" ht="15.75" customHeight="1">
      <c r="A2045" s="8" t="s">
        <v>2924</v>
      </c>
      <c r="B2045" s="7" t="s">
        <v>2925</v>
      </c>
      <c r="C2045" s="13" t="s">
        <v>2926</v>
      </c>
      <c r="D2045" s="7" t="s">
        <v>253</v>
      </c>
      <c r="E2045" s="8" t="s">
        <v>17</v>
      </c>
      <c r="F2045" s="8" t="s">
        <v>318</v>
      </c>
      <c r="G2045" s="7" t="s">
        <v>2927</v>
      </c>
      <c r="H2045" s="7" t="s">
        <v>2928</v>
      </c>
      <c r="I2045" s="8">
        <v>2000.0</v>
      </c>
      <c r="J2045" s="8">
        <v>2.2</v>
      </c>
      <c r="K2045" s="8" t="s">
        <v>321</v>
      </c>
      <c r="M2045" s="8" t="s">
        <v>323</v>
      </c>
      <c r="N2045" s="8">
        <v>22.3</v>
      </c>
      <c r="O2045" s="14">
        <f t="shared" si="1"/>
        <v>44075</v>
      </c>
      <c r="P2045" s="15">
        <f>IFERROR(VLOOKUP(K2045,Formula!$A$11:$B$20,2,FALSE),Formula!$C$26)</f>
        <v>0.9</v>
      </c>
      <c r="Q2045" s="15">
        <f>IF(AND(ISNUMBER(J2045),J2045&gt;0),1/J2045,IF(AND(ISNUMBER(I2045),I2045&gt;0),SQRT(MIN(I2045,Formula!$C$27))/Formula!$C$24,1/Formula!$C$25))</f>
        <v>0.4545454545</v>
      </c>
      <c r="R2045" s="15">
        <f t="shared" si="2"/>
        <v>0.4090909091</v>
      </c>
      <c r="S2045" s="15">
        <f>IF(H2045&lt;&gt;"",EXP(-Formula!$C$28*(EOMONTH(H2045,0)-H2045)),EXP(-Formula!$C$28*(EOMONTH(D2045,0)-D2045)))</f>
        <v>0.904837418</v>
      </c>
      <c r="T2045" s="15">
        <f t="shared" si="3"/>
        <v>0.3535533906</v>
      </c>
      <c r="U2045" s="15">
        <f t="shared" si="4"/>
        <v>0.1308715924</v>
      </c>
      <c r="V2045" s="16">
        <f>IF(AND(L2045="Among all respondents",NOT(OR(K2045="Online poll in Telegram channel",K2045="Website online poll",K2045="CAWI (Computer Assisted Web Interviewing)"))),1/(1-MIN(MAX(Formula!$C$33+(YEAR(D2045)-Formula!$C$34)/(Formula!$C$35-Formula!$C$34)*(Formula!$C$32-Formula!$C$33),Formula!$C$33),Formula!$C$32)),1)</f>
        <v>1</v>
      </c>
      <c r="W2045" s="17">
        <f t="shared" si="5"/>
        <v>22.3</v>
      </c>
    </row>
    <row r="2046" ht="15.75" customHeight="1">
      <c r="A2046" s="8" t="s">
        <v>2929</v>
      </c>
      <c r="B2046" s="7" t="s">
        <v>2925</v>
      </c>
      <c r="C2046" s="13" t="s">
        <v>2926</v>
      </c>
      <c r="D2046" s="7" t="s">
        <v>253</v>
      </c>
      <c r="E2046" s="8" t="s">
        <v>17</v>
      </c>
      <c r="F2046" s="8" t="s">
        <v>318</v>
      </c>
      <c r="G2046" s="7" t="s">
        <v>2927</v>
      </c>
      <c r="H2046" s="7" t="s">
        <v>2928</v>
      </c>
      <c r="I2046" s="8">
        <v>2000.0</v>
      </c>
      <c r="J2046" s="8">
        <v>2.2</v>
      </c>
      <c r="K2046" s="8" t="s">
        <v>321</v>
      </c>
      <c r="M2046" s="8" t="s">
        <v>329</v>
      </c>
      <c r="N2046" s="8">
        <v>14.0</v>
      </c>
      <c r="O2046" s="14">
        <f t="shared" si="1"/>
        <v>44075</v>
      </c>
      <c r="P2046" s="15">
        <f>IFERROR(VLOOKUP(K2046,Formula!$A$11:$B$20,2,FALSE),Formula!$C$26)</f>
        <v>0.9</v>
      </c>
      <c r="Q2046" s="15">
        <f>IF(AND(ISNUMBER(J2046),J2046&gt;0),1/J2046,IF(AND(ISNUMBER(I2046),I2046&gt;0),SQRT(MIN(I2046,Formula!$C$27))/Formula!$C$24,1/Formula!$C$25))</f>
        <v>0.4545454545</v>
      </c>
      <c r="R2046" s="15">
        <f t="shared" si="2"/>
        <v>0.4090909091</v>
      </c>
      <c r="S2046" s="15">
        <f>IF(H2046&lt;&gt;"",EXP(-Formula!$C$28*(EOMONTH(H2046,0)-H2046)),EXP(-Formula!$C$28*(EOMONTH(D2046,0)-D2046)))</f>
        <v>0.904837418</v>
      </c>
      <c r="T2046" s="15">
        <f t="shared" si="3"/>
        <v>0.3535533906</v>
      </c>
      <c r="U2046" s="15">
        <f t="shared" si="4"/>
        <v>0.1308715924</v>
      </c>
      <c r="V2046" s="16">
        <f>IF(AND(L2046="Among all respondents",NOT(OR(K2046="Online poll in Telegram channel",K2046="Website online poll",K2046="CAWI (Computer Assisted Web Interviewing)"))),1/(1-MIN(MAX(Formula!$C$33+(YEAR(D2046)-Formula!$C$34)/(Formula!$C$35-Formula!$C$34)*(Formula!$C$32-Formula!$C$33),Formula!$C$33),Formula!$C$32)),1)</f>
        <v>1</v>
      </c>
      <c r="W2046" s="17">
        <f t="shared" si="5"/>
        <v>14</v>
      </c>
    </row>
    <row r="2047" ht="15.75" customHeight="1">
      <c r="A2047" s="8" t="s">
        <v>2930</v>
      </c>
      <c r="B2047" s="7" t="s">
        <v>2925</v>
      </c>
      <c r="C2047" s="13" t="s">
        <v>2926</v>
      </c>
      <c r="D2047" s="7" t="s">
        <v>253</v>
      </c>
      <c r="E2047" s="8" t="s">
        <v>17</v>
      </c>
      <c r="F2047" s="8" t="s">
        <v>318</v>
      </c>
      <c r="G2047" s="7" t="s">
        <v>2927</v>
      </c>
      <c r="H2047" s="7" t="s">
        <v>2928</v>
      </c>
      <c r="I2047" s="8">
        <v>2000.0</v>
      </c>
      <c r="J2047" s="8">
        <v>2.2</v>
      </c>
      <c r="K2047" s="8" t="s">
        <v>321</v>
      </c>
      <c r="M2047" s="8" t="s">
        <v>365</v>
      </c>
      <c r="N2047" s="8">
        <v>10.4</v>
      </c>
      <c r="O2047" s="14">
        <f t="shared" si="1"/>
        <v>44075</v>
      </c>
      <c r="P2047" s="15">
        <f>IFERROR(VLOOKUP(K2047,Formula!$A$11:$B$20,2,FALSE),Formula!$C$26)</f>
        <v>0.9</v>
      </c>
      <c r="Q2047" s="15">
        <f>IF(AND(ISNUMBER(J2047),J2047&gt;0),1/J2047,IF(AND(ISNUMBER(I2047),I2047&gt;0),SQRT(MIN(I2047,Formula!$C$27))/Formula!$C$24,1/Formula!$C$25))</f>
        <v>0.4545454545</v>
      </c>
      <c r="R2047" s="15">
        <f t="shared" si="2"/>
        <v>0.4090909091</v>
      </c>
      <c r="S2047" s="15">
        <f>IF(H2047&lt;&gt;"",EXP(-Formula!$C$28*(EOMONTH(H2047,0)-H2047)),EXP(-Formula!$C$28*(EOMONTH(D2047,0)-D2047)))</f>
        <v>0.904837418</v>
      </c>
      <c r="T2047" s="15">
        <f t="shared" si="3"/>
        <v>0.3535533906</v>
      </c>
      <c r="U2047" s="15">
        <f t="shared" si="4"/>
        <v>0.1308715924</v>
      </c>
      <c r="V2047" s="16">
        <f>IF(AND(L2047="Among all respondents",NOT(OR(K2047="Online poll in Telegram channel",K2047="Website online poll",K2047="CAWI (Computer Assisted Web Interviewing)"))),1/(1-MIN(MAX(Formula!$C$33+(YEAR(D2047)-Formula!$C$34)/(Formula!$C$35-Formula!$C$34)*(Formula!$C$32-Formula!$C$33),Formula!$C$33),Formula!$C$32)),1)</f>
        <v>1</v>
      </c>
      <c r="W2047" s="17">
        <f t="shared" si="5"/>
        <v>10.4</v>
      </c>
    </row>
    <row r="2048" ht="15.75" customHeight="1">
      <c r="A2048" s="8" t="s">
        <v>2931</v>
      </c>
      <c r="B2048" s="7" t="s">
        <v>2925</v>
      </c>
      <c r="C2048" s="13" t="s">
        <v>2926</v>
      </c>
      <c r="D2048" s="7" t="s">
        <v>253</v>
      </c>
      <c r="E2048" s="8" t="s">
        <v>17</v>
      </c>
      <c r="F2048" s="8" t="s">
        <v>318</v>
      </c>
      <c r="G2048" s="7" t="s">
        <v>2927</v>
      </c>
      <c r="H2048" s="7" t="s">
        <v>2928</v>
      </c>
      <c r="I2048" s="8">
        <v>2000.0</v>
      </c>
      <c r="J2048" s="8">
        <v>2.2</v>
      </c>
      <c r="K2048" s="8" t="s">
        <v>321</v>
      </c>
      <c r="M2048" s="8" t="s">
        <v>828</v>
      </c>
      <c r="N2048" s="8">
        <v>6.3</v>
      </c>
      <c r="O2048" s="14">
        <f t="shared" si="1"/>
        <v>44075</v>
      </c>
      <c r="P2048" s="15">
        <f>IFERROR(VLOOKUP(K2048,Formula!$A$11:$B$20,2,FALSE),Formula!$C$26)</f>
        <v>0.9</v>
      </c>
      <c r="Q2048" s="15">
        <f>IF(AND(ISNUMBER(J2048),J2048&gt;0),1/J2048,IF(AND(ISNUMBER(I2048),I2048&gt;0),SQRT(MIN(I2048,Formula!$C$27))/Formula!$C$24,1/Formula!$C$25))</f>
        <v>0.4545454545</v>
      </c>
      <c r="R2048" s="15">
        <f t="shared" si="2"/>
        <v>0.4090909091</v>
      </c>
      <c r="S2048" s="15">
        <f>IF(H2048&lt;&gt;"",EXP(-Formula!$C$28*(EOMONTH(H2048,0)-H2048)),EXP(-Formula!$C$28*(EOMONTH(D2048,0)-D2048)))</f>
        <v>0.904837418</v>
      </c>
      <c r="T2048" s="15">
        <f t="shared" si="3"/>
        <v>0.3535533906</v>
      </c>
      <c r="U2048" s="15">
        <f t="shared" si="4"/>
        <v>0.1308715924</v>
      </c>
      <c r="V2048" s="16">
        <f>IF(AND(L2048="Among all respondents",NOT(OR(K2048="Online poll in Telegram channel",K2048="Website online poll",K2048="CAWI (Computer Assisted Web Interviewing)"))),1/(1-MIN(MAX(Formula!$C$33+(YEAR(D2048)-Formula!$C$34)/(Formula!$C$35-Formula!$C$34)*(Formula!$C$32-Formula!$C$33),Formula!$C$33),Formula!$C$32)),1)</f>
        <v>1</v>
      </c>
      <c r="W2048" s="17">
        <f t="shared" si="5"/>
        <v>6.3</v>
      </c>
    </row>
    <row r="2049" ht="15.75" customHeight="1">
      <c r="A2049" s="8" t="s">
        <v>2932</v>
      </c>
      <c r="B2049" s="7" t="s">
        <v>2925</v>
      </c>
      <c r="C2049" s="13" t="s">
        <v>2926</v>
      </c>
      <c r="D2049" s="7" t="s">
        <v>253</v>
      </c>
      <c r="E2049" s="8" t="s">
        <v>17</v>
      </c>
      <c r="F2049" s="8" t="s">
        <v>318</v>
      </c>
      <c r="G2049" s="7" t="s">
        <v>2927</v>
      </c>
      <c r="H2049" s="7" t="s">
        <v>2928</v>
      </c>
      <c r="I2049" s="8">
        <v>2000.0</v>
      </c>
      <c r="J2049" s="8">
        <v>2.2</v>
      </c>
      <c r="K2049" s="8" t="s">
        <v>321</v>
      </c>
      <c r="M2049" s="8" t="s">
        <v>337</v>
      </c>
      <c r="N2049" s="8">
        <v>5.5</v>
      </c>
      <c r="O2049" s="14">
        <f t="shared" si="1"/>
        <v>44075</v>
      </c>
      <c r="P2049" s="15">
        <f>IFERROR(VLOOKUP(K2049,Formula!$A$11:$B$20,2,FALSE),Formula!$C$26)</f>
        <v>0.9</v>
      </c>
      <c r="Q2049" s="15">
        <f>IF(AND(ISNUMBER(J2049),J2049&gt;0),1/J2049,IF(AND(ISNUMBER(I2049),I2049&gt;0),SQRT(MIN(I2049,Formula!$C$27))/Formula!$C$24,1/Formula!$C$25))</f>
        <v>0.4545454545</v>
      </c>
      <c r="R2049" s="15">
        <f t="shared" si="2"/>
        <v>0.4090909091</v>
      </c>
      <c r="S2049" s="15">
        <f>IF(H2049&lt;&gt;"",EXP(-Formula!$C$28*(EOMONTH(H2049,0)-H2049)),EXP(-Formula!$C$28*(EOMONTH(D2049,0)-D2049)))</f>
        <v>0.904837418</v>
      </c>
      <c r="T2049" s="15">
        <f t="shared" si="3"/>
        <v>0.3535533906</v>
      </c>
      <c r="U2049" s="15">
        <f t="shared" si="4"/>
        <v>0.1308715924</v>
      </c>
      <c r="V2049" s="16">
        <f>IF(AND(L2049="Among all respondents",NOT(OR(K2049="Online poll in Telegram channel",K2049="Website online poll",K2049="CAWI (Computer Assisted Web Interviewing)"))),1/(1-MIN(MAX(Formula!$C$33+(YEAR(D2049)-Formula!$C$34)/(Formula!$C$35-Formula!$C$34)*(Formula!$C$32-Formula!$C$33),Formula!$C$33),Formula!$C$32)),1)</f>
        <v>1</v>
      </c>
      <c r="W2049" s="17">
        <f t="shared" si="5"/>
        <v>5.5</v>
      </c>
    </row>
    <row r="2050" ht="15.75" customHeight="1">
      <c r="A2050" s="8" t="s">
        <v>2933</v>
      </c>
      <c r="B2050" s="7" t="s">
        <v>2925</v>
      </c>
      <c r="C2050" s="13" t="s">
        <v>2926</v>
      </c>
      <c r="D2050" s="7" t="s">
        <v>253</v>
      </c>
      <c r="E2050" s="8" t="s">
        <v>17</v>
      </c>
      <c r="F2050" s="8" t="s">
        <v>318</v>
      </c>
      <c r="G2050" s="7" t="s">
        <v>2927</v>
      </c>
      <c r="H2050" s="7" t="s">
        <v>2928</v>
      </c>
      <c r="I2050" s="8">
        <v>2000.0</v>
      </c>
      <c r="J2050" s="8">
        <v>2.2</v>
      </c>
      <c r="K2050" s="8" t="s">
        <v>321</v>
      </c>
      <c r="M2050" s="8" t="s">
        <v>1539</v>
      </c>
      <c r="N2050" s="8">
        <v>2.9</v>
      </c>
      <c r="O2050" s="14">
        <f t="shared" si="1"/>
        <v>44075</v>
      </c>
      <c r="P2050" s="15">
        <f>IFERROR(VLOOKUP(K2050,Formula!$A$11:$B$20,2,FALSE),Formula!$C$26)</f>
        <v>0.9</v>
      </c>
      <c r="Q2050" s="15">
        <f>IF(AND(ISNUMBER(J2050),J2050&gt;0),1/J2050,IF(AND(ISNUMBER(I2050),I2050&gt;0),SQRT(MIN(I2050,Formula!$C$27))/Formula!$C$24,1/Formula!$C$25))</f>
        <v>0.4545454545</v>
      </c>
      <c r="R2050" s="15">
        <f t="shared" si="2"/>
        <v>0.4090909091</v>
      </c>
      <c r="S2050" s="15">
        <f>IF(H2050&lt;&gt;"",EXP(-Formula!$C$28*(EOMONTH(H2050,0)-H2050)),EXP(-Formula!$C$28*(EOMONTH(D2050,0)-D2050)))</f>
        <v>0.904837418</v>
      </c>
      <c r="T2050" s="15">
        <f t="shared" si="3"/>
        <v>0.3535533906</v>
      </c>
      <c r="U2050" s="15">
        <f t="shared" si="4"/>
        <v>0.1308715924</v>
      </c>
      <c r="V2050" s="16">
        <f>IF(AND(L2050="Among all respondents",NOT(OR(K2050="Online poll in Telegram channel",K2050="Website online poll",K2050="CAWI (Computer Assisted Web Interviewing)"))),1/(1-MIN(MAX(Formula!$C$33+(YEAR(D2050)-Formula!$C$34)/(Formula!$C$35-Formula!$C$34)*(Formula!$C$32-Formula!$C$33),Formula!$C$33),Formula!$C$32)),1)</f>
        <v>1</v>
      </c>
      <c r="W2050" s="17">
        <f t="shared" si="5"/>
        <v>2.9</v>
      </c>
    </row>
    <row r="2051" ht="15.75" customHeight="1">
      <c r="A2051" s="8" t="s">
        <v>2934</v>
      </c>
      <c r="B2051" s="7" t="s">
        <v>2925</v>
      </c>
      <c r="C2051" s="13" t="s">
        <v>2926</v>
      </c>
      <c r="D2051" s="7" t="s">
        <v>253</v>
      </c>
      <c r="E2051" s="8" t="s">
        <v>17</v>
      </c>
      <c r="F2051" s="8" t="s">
        <v>318</v>
      </c>
      <c r="G2051" s="7" t="s">
        <v>2927</v>
      </c>
      <c r="H2051" s="7" t="s">
        <v>2928</v>
      </c>
      <c r="I2051" s="8">
        <v>2000.0</v>
      </c>
      <c r="J2051" s="8">
        <v>2.2</v>
      </c>
      <c r="K2051" s="8" t="s">
        <v>321</v>
      </c>
      <c r="M2051" s="8" t="s">
        <v>388</v>
      </c>
      <c r="N2051" s="8">
        <v>2.1</v>
      </c>
      <c r="O2051" s="14">
        <f t="shared" si="1"/>
        <v>44075</v>
      </c>
      <c r="P2051" s="15">
        <f>IFERROR(VLOOKUP(K2051,Formula!$A$11:$B$20,2,FALSE),Formula!$C$26)</f>
        <v>0.9</v>
      </c>
      <c r="Q2051" s="15">
        <f>IF(AND(ISNUMBER(J2051),J2051&gt;0),1/J2051,IF(AND(ISNUMBER(I2051),I2051&gt;0),SQRT(MIN(I2051,Formula!$C$27))/Formula!$C$24,1/Formula!$C$25))</f>
        <v>0.4545454545</v>
      </c>
      <c r="R2051" s="15">
        <f t="shared" si="2"/>
        <v>0.4090909091</v>
      </c>
      <c r="S2051" s="15">
        <f>IF(H2051&lt;&gt;"",EXP(-Formula!$C$28*(EOMONTH(H2051,0)-H2051)),EXP(-Formula!$C$28*(EOMONTH(D2051,0)-D2051)))</f>
        <v>0.904837418</v>
      </c>
      <c r="T2051" s="15">
        <f t="shared" si="3"/>
        <v>0.3535533906</v>
      </c>
      <c r="U2051" s="15">
        <f t="shared" si="4"/>
        <v>0.1308715924</v>
      </c>
      <c r="V2051" s="16">
        <f>IF(AND(L2051="Among all respondents",NOT(OR(K2051="Online poll in Telegram channel",K2051="Website online poll",K2051="CAWI (Computer Assisted Web Interviewing)"))),1/(1-MIN(MAX(Formula!$C$33+(YEAR(D2051)-Formula!$C$34)/(Formula!$C$35-Formula!$C$34)*(Formula!$C$32-Formula!$C$33),Formula!$C$33),Formula!$C$32)),1)</f>
        <v>1</v>
      </c>
      <c r="W2051" s="17">
        <f t="shared" si="5"/>
        <v>2.1</v>
      </c>
    </row>
    <row r="2052" ht="15.75" customHeight="1">
      <c r="A2052" s="8" t="s">
        <v>2935</v>
      </c>
      <c r="B2052" s="7" t="s">
        <v>2925</v>
      </c>
      <c r="C2052" s="13" t="s">
        <v>2926</v>
      </c>
      <c r="D2052" s="7" t="s">
        <v>253</v>
      </c>
      <c r="E2052" s="8" t="s">
        <v>17</v>
      </c>
      <c r="F2052" s="8" t="s">
        <v>318</v>
      </c>
      <c r="G2052" s="7" t="s">
        <v>2927</v>
      </c>
      <c r="H2052" s="7" t="s">
        <v>2928</v>
      </c>
      <c r="I2052" s="8">
        <v>2000.0</v>
      </c>
      <c r="J2052" s="8">
        <v>2.2</v>
      </c>
      <c r="K2052" s="8" t="s">
        <v>321</v>
      </c>
      <c r="M2052" s="8" t="s">
        <v>335</v>
      </c>
      <c r="N2052" s="8">
        <v>0.7</v>
      </c>
      <c r="O2052" s="14">
        <f t="shared" si="1"/>
        <v>44075</v>
      </c>
      <c r="P2052" s="15">
        <f>IFERROR(VLOOKUP(K2052,Formula!$A$11:$B$20,2,FALSE),Formula!$C$26)</f>
        <v>0.9</v>
      </c>
      <c r="Q2052" s="15">
        <f>IF(AND(ISNUMBER(J2052),J2052&gt;0),1/J2052,IF(AND(ISNUMBER(I2052),I2052&gt;0),SQRT(MIN(I2052,Formula!$C$27))/Formula!$C$24,1/Formula!$C$25))</f>
        <v>0.4545454545</v>
      </c>
      <c r="R2052" s="15">
        <f t="shared" si="2"/>
        <v>0.4090909091</v>
      </c>
      <c r="S2052" s="15">
        <f>IF(H2052&lt;&gt;"",EXP(-Formula!$C$28*(EOMONTH(H2052,0)-H2052)),EXP(-Formula!$C$28*(EOMONTH(D2052,0)-D2052)))</f>
        <v>0.904837418</v>
      </c>
      <c r="T2052" s="15">
        <f t="shared" si="3"/>
        <v>0.3535533906</v>
      </c>
      <c r="U2052" s="15">
        <f t="shared" si="4"/>
        <v>0.1308715924</v>
      </c>
      <c r="V2052" s="16">
        <f>IF(AND(L2052="Among all respondents",NOT(OR(K2052="Online poll in Telegram channel",K2052="Website online poll",K2052="CAWI (Computer Assisted Web Interviewing)"))),1/(1-MIN(MAX(Formula!$C$33+(YEAR(D2052)-Formula!$C$34)/(Formula!$C$35-Formula!$C$34)*(Formula!$C$32-Formula!$C$33),Formula!$C$33),Formula!$C$32)),1)</f>
        <v>1</v>
      </c>
      <c r="W2052" s="17">
        <f t="shared" si="5"/>
        <v>0.7</v>
      </c>
    </row>
    <row r="2053" ht="15.75" customHeight="1">
      <c r="A2053" s="8" t="s">
        <v>2936</v>
      </c>
      <c r="B2053" s="7" t="s">
        <v>2937</v>
      </c>
      <c r="C2053" s="13" t="s">
        <v>2938</v>
      </c>
      <c r="D2053" s="7" t="s">
        <v>255</v>
      </c>
      <c r="E2053" s="8" t="s">
        <v>72</v>
      </c>
      <c r="F2053" s="8" t="s">
        <v>318</v>
      </c>
      <c r="G2053" s="7" t="s">
        <v>2939</v>
      </c>
      <c r="H2053" s="7" t="s">
        <v>257</v>
      </c>
      <c r="I2053" s="8">
        <v>2000.0</v>
      </c>
      <c r="J2053" s="8">
        <v>2.2</v>
      </c>
      <c r="K2053" s="8" t="s">
        <v>321</v>
      </c>
      <c r="M2053" s="8" t="s">
        <v>323</v>
      </c>
      <c r="N2053" s="8">
        <v>22.2</v>
      </c>
      <c r="O2053" s="14">
        <f t="shared" si="1"/>
        <v>44075</v>
      </c>
      <c r="P2053" s="15">
        <f>IFERROR(VLOOKUP(K2053,Formula!$A$11:$B$20,2,FALSE),Formula!$C$26)</f>
        <v>0.9</v>
      </c>
      <c r="Q2053" s="15">
        <f>IF(AND(ISNUMBER(J2053),J2053&gt;0),1/J2053,IF(AND(ISNUMBER(I2053),I2053&gt;0),SQRT(MIN(I2053,Formula!$C$27))/Formula!$C$24,1/Formula!$C$25))</f>
        <v>0.4545454545</v>
      </c>
      <c r="R2053" s="15">
        <f t="shared" si="2"/>
        <v>0.4090909091</v>
      </c>
      <c r="S2053" s="15">
        <f>IF(H2053&lt;&gt;"",EXP(-Formula!$C$28*(EOMONTH(H2053,0)-H2053)),EXP(-Formula!$C$28*(EOMONTH(D2053,0)-D2053)))</f>
        <v>0.4965853038</v>
      </c>
      <c r="T2053" s="15">
        <f t="shared" si="3"/>
        <v>0.3535533906</v>
      </c>
      <c r="U2053" s="15">
        <f t="shared" si="4"/>
        <v>0.07182385277</v>
      </c>
      <c r="V2053" s="16">
        <f>IF(AND(L2053="Among all respondents",NOT(OR(K2053="Online poll in Telegram channel",K2053="Website online poll",K2053="CAWI (Computer Assisted Web Interviewing)"))),1/(1-MIN(MAX(Formula!$C$33+(YEAR(D2053)-Formula!$C$34)/(Formula!$C$35-Formula!$C$34)*(Formula!$C$32-Formula!$C$33),Formula!$C$33),Formula!$C$32)),1)</f>
        <v>1</v>
      </c>
      <c r="W2053" s="17">
        <f t="shared" si="5"/>
        <v>22.2</v>
      </c>
    </row>
    <row r="2054" ht="15.75" customHeight="1">
      <c r="A2054" s="8" t="s">
        <v>2940</v>
      </c>
      <c r="B2054" s="7" t="s">
        <v>2937</v>
      </c>
      <c r="C2054" s="13" t="s">
        <v>2938</v>
      </c>
      <c r="D2054" s="7" t="s">
        <v>255</v>
      </c>
      <c r="E2054" s="8" t="s">
        <v>72</v>
      </c>
      <c r="F2054" s="8" t="s">
        <v>318</v>
      </c>
      <c r="G2054" s="7" t="s">
        <v>2939</v>
      </c>
      <c r="H2054" s="7" t="s">
        <v>257</v>
      </c>
      <c r="I2054" s="8">
        <v>2000.0</v>
      </c>
      <c r="J2054" s="8">
        <v>2.2</v>
      </c>
      <c r="K2054" s="8" t="s">
        <v>321</v>
      </c>
      <c r="M2054" s="8" t="s">
        <v>329</v>
      </c>
      <c r="N2054" s="8">
        <v>13.2</v>
      </c>
      <c r="O2054" s="14">
        <f t="shared" si="1"/>
        <v>44075</v>
      </c>
      <c r="P2054" s="15">
        <f>IFERROR(VLOOKUP(K2054,Formula!$A$11:$B$20,2,FALSE),Formula!$C$26)</f>
        <v>0.9</v>
      </c>
      <c r="Q2054" s="15">
        <f>IF(AND(ISNUMBER(J2054),J2054&gt;0),1/J2054,IF(AND(ISNUMBER(I2054),I2054&gt;0),SQRT(MIN(I2054,Formula!$C$27))/Formula!$C$24,1/Formula!$C$25))</f>
        <v>0.4545454545</v>
      </c>
      <c r="R2054" s="15">
        <f t="shared" si="2"/>
        <v>0.4090909091</v>
      </c>
      <c r="S2054" s="15">
        <f>IF(H2054&lt;&gt;"",EXP(-Formula!$C$28*(EOMONTH(H2054,0)-H2054)),EXP(-Formula!$C$28*(EOMONTH(D2054,0)-D2054)))</f>
        <v>0.4965853038</v>
      </c>
      <c r="T2054" s="15">
        <f t="shared" si="3"/>
        <v>0.3535533906</v>
      </c>
      <c r="U2054" s="15">
        <f t="shared" si="4"/>
        <v>0.07182385277</v>
      </c>
      <c r="V2054" s="16">
        <f>IF(AND(L2054="Among all respondents",NOT(OR(K2054="Online poll in Telegram channel",K2054="Website online poll",K2054="CAWI (Computer Assisted Web Interviewing)"))),1/(1-MIN(MAX(Formula!$C$33+(YEAR(D2054)-Formula!$C$34)/(Formula!$C$35-Formula!$C$34)*(Formula!$C$32-Formula!$C$33),Formula!$C$33),Formula!$C$32)),1)</f>
        <v>1</v>
      </c>
      <c r="W2054" s="17">
        <f t="shared" si="5"/>
        <v>13.2</v>
      </c>
    </row>
    <row r="2055" ht="15.75" customHeight="1">
      <c r="A2055" s="8" t="s">
        <v>2941</v>
      </c>
      <c r="B2055" s="7" t="s">
        <v>2937</v>
      </c>
      <c r="C2055" s="13" t="s">
        <v>2938</v>
      </c>
      <c r="D2055" s="7" t="s">
        <v>255</v>
      </c>
      <c r="E2055" s="8" t="s">
        <v>72</v>
      </c>
      <c r="F2055" s="8" t="s">
        <v>318</v>
      </c>
      <c r="G2055" s="7" t="s">
        <v>2939</v>
      </c>
      <c r="H2055" s="7" t="s">
        <v>257</v>
      </c>
      <c r="I2055" s="8">
        <v>2000.0</v>
      </c>
      <c r="J2055" s="8">
        <v>2.2</v>
      </c>
      <c r="K2055" s="8" t="s">
        <v>321</v>
      </c>
      <c r="M2055" s="8" t="s">
        <v>365</v>
      </c>
      <c r="N2055" s="8">
        <v>9.3</v>
      </c>
      <c r="O2055" s="14">
        <f t="shared" si="1"/>
        <v>44075</v>
      </c>
      <c r="P2055" s="15">
        <f>IFERROR(VLOOKUP(K2055,Formula!$A$11:$B$20,2,FALSE),Formula!$C$26)</f>
        <v>0.9</v>
      </c>
      <c r="Q2055" s="15">
        <f>IF(AND(ISNUMBER(J2055),J2055&gt;0),1/J2055,IF(AND(ISNUMBER(I2055),I2055&gt;0),SQRT(MIN(I2055,Formula!$C$27))/Formula!$C$24,1/Formula!$C$25))</f>
        <v>0.4545454545</v>
      </c>
      <c r="R2055" s="15">
        <f t="shared" si="2"/>
        <v>0.4090909091</v>
      </c>
      <c r="S2055" s="15">
        <f>IF(H2055&lt;&gt;"",EXP(-Formula!$C$28*(EOMONTH(H2055,0)-H2055)),EXP(-Formula!$C$28*(EOMONTH(D2055,0)-D2055)))</f>
        <v>0.4965853038</v>
      </c>
      <c r="T2055" s="15">
        <f t="shared" si="3"/>
        <v>0.3535533906</v>
      </c>
      <c r="U2055" s="15">
        <f t="shared" si="4"/>
        <v>0.07182385277</v>
      </c>
      <c r="V2055" s="16">
        <f>IF(AND(L2055="Among all respondents",NOT(OR(K2055="Online poll in Telegram channel",K2055="Website online poll",K2055="CAWI (Computer Assisted Web Interviewing)"))),1/(1-MIN(MAX(Formula!$C$33+(YEAR(D2055)-Formula!$C$34)/(Formula!$C$35-Formula!$C$34)*(Formula!$C$32-Formula!$C$33),Formula!$C$33),Formula!$C$32)),1)</f>
        <v>1</v>
      </c>
      <c r="W2055" s="17">
        <f t="shared" si="5"/>
        <v>9.3</v>
      </c>
    </row>
    <row r="2056" ht="15.75" customHeight="1">
      <c r="A2056" s="8" t="s">
        <v>2942</v>
      </c>
      <c r="B2056" s="7" t="s">
        <v>2937</v>
      </c>
      <c r="C2056" s="13" t="s">
        <v>2938</v>
      </c>
      <c r="D2056" s="7" t="s">
        <v>255</v>
      </c>
      <c r="E2056" s="8" t="s">
        <v>72</v>
      </c>
      <c r="F2056" s="8" t="s">
        <v>318</v>
      </c>
      <c r="G2056" s="7" t="s">
        <v>2939</v>
      </c>
      <c r="H2056" s="7" t="s">
        <v>257</v>
      </c>
      <c r="I2056" s="8">
        <v>2000.0</v>
      </c>
      <c r="J2056" s="8">
        <v>2.2</v>
      </c>
      <c r="K2056" s="8" t="s">
        <v>321</v>
      </c>
      <c r="M2056" s="8" t="s">
        <v>337</v>
      </c>
      <c r="N2056" s="8">
        <v>6.8</v>
      </c>
      <c r="O2056" s="14">
        <f t="shared" si="1"/>
        <v>44075</v>
      </c>
      <c r="P2056" s="15">
        <f>IFERROR(VLOOKUP(K2056,Formula!$A$11:$B$20,2,FALSE),Formula!$C$26)</f>
        <v>0.9</v>
      </c>
      <c r="Q2056" s="15">
        <f>IF(AND(ISNUMBER(J2056),J2056&gt;0),1/J2056,IF(AND(ISNUMBER(I2056),I2056&gt;0),SQRT(MIN(I2056,Formula!$C$27))/Formula!$C$24,1/Formula!$C$25))</f>
        <v>0.4545454545</v>
      </c>
      <c r="R2056" s="15">
        <f t="shared" si="2"/>
        <v>0.4090909091</v>
      </c>
      <c r="S2056" s="15">
        <f>IF(H2056&lt;&gt;"",EXP(-Formula!$C$28*(EOMONTH(H2056,0)-H2056)),EXP(-Formula!$C$28*(EOMONTH(D2056,0)-D2056)))</f>
        <v>0.4965853038</v>
      </c>
      <c r="T2056" s="15">
        <f t="shared" si="3"/>
        <v>0.3535533906</v>
      </c>
      <c r="U2056" s="15">
        <f t="shared" si="4"/>
        <v>0.07182385277</v>
      </c>
      <c r="V2056" s="16">
        <f>IF(AND(L2056="Among all respondents",NOT(OR(K2056="Online poll in Telegram channel",K2056="Website online poll",K2056="CAWI (Computer Assisted Web Interviewing)"))),1/(1-MIN(MAX(Formula!$C$33+(YEAR(D2056)-Formula!$C$34)/(Formula!$C$35-Formula!$C$34)*(Formula!$C$32-Formula!$C$33),Formula!$C$33),Formula!$C$32)),1)</f>
        <v>1</v>
      </c>
      <c r="W2056" s="17">
        <f t="shared" si="5"/>
        <v>6.8</v>
      </c>
    </row>
    <row r="2057" ht="15.75" customHeight="1">
      <c r="A2057" s="8" t="s">
        <v>2943</v>
      </c>
      <c r="B2057" s="7" t="s">
        <v>2937</v>
      </c>
      <c r="C2057" s="13" t="s">
        <v>2938</v>
      </c>
      <c r="D2057" s="7" t="s">
        <v>255</v>
      </c>
      <c r="E2057" s="8" t="s">
        <v>72</v>
      </c>
      <c r="F2057" s="8" t="s">
        <v>318</v>
      </c>
      <c r="G2057" s="7" t="s">
        <v>2939</v>
      </c>
      <c r="H2057" s="7" t="s">
        <v>257</v>
      </c>
      <c r="I2057" s="8">
        <v>2000.0</v>
      </c>
      <c r="J2057" s="8">
        <v>2.2</v>
      </c>
      <c r="K2057" s="8" t="s">
        <v>321</v>
      </c>
      <c r="M2057" s="8" t="s">
        <v>828</v>
      </c>
      <c r="N2057" s="8">
        <v>4.8</v>
      </c>
      <c r="O2057" s="14">
        <f t="shared" si="1"/>
        <v>44075</v>
      </c>
      <c r="P2057" s="15">
        <f>IFERROR(VLOOKUP(K2057,Formula!$A$11:$B$20,2,FALSE),Formula!$C$26)</f>
        <v>0.9</v>
      </c>
      <c r="Q2057" s="15">
        <f>IF(AND(ISNUMBER(J2057),J2057&gt;0),1/J2057,IF(AND(ISNUMBER(I2057),I2057&gt;0),SQRT(MIN(I2057,Formula!$C$27))/Formula!$C$24,1/Formula!$C$25))</f>
        <v>0.4545454545</v>
      </c>
      <c r="R2057" s="15">
        <f t="shared" si="2"/>
        <v>0.4090909091</v>
      </c>
      <c r="S2057" s="15">
        <f>IF(H2057&lt;&gt;"",EXP(-Formula!$C$28*(EOMONTH(H2057,0)-H2057)),EXP(-Formula!$C$28*(EOMONTH(D2057,0)-D2057)))</f>
        <v>0.4965853038</v>
      </c>
      <c r="T2057" s="15">
        <f t="shared" si="3"/>
        <v>0.3535533906</v>
      </c>
      <c r="U2057" s="15">
        <f t="shared" si="4"/>
        <v>0.07182385277</v>
      </c>
      <c r="V2057" s="16">
        <f>IF(AND(L2057="Among all respondents",NOT(OR(K2057="Online poll in Telegram channel",K2057="Website online poll",K2057="CAWI (Computer Assisted Web Interviewing)"))),1/(1-MIN(MAX(Formula!$C$33+(YEAR(D2057)-Formula!$C$34)/(Formula!$C$35-Formula!$C$34)*(Formula!$C$32-Formula!$C$33),Formula!$C$33),Formula!$C$32)),1)</f>
        <v>1</v>
      </c>
      <c r="W2057" s="17">
        <f t="shared" si="5"/>
        <v>4.8</v>
      </c>
    </row>
    <row r="2058" ht="15.75" customHeight="1">
      <c r="A2058" s="8" t="s">
        <v>2944</v>
      </c>
      <c r="B2058" s="7" t="s">
        <v>2937</v>
      </c>
      <c r="C2058" s="13" t="s">
        <v>2938</v>
      </c>
      <c r="D2058" s="7" t="s">
        <v>255</v>
      </c>
      <c r="E2058" s="8" t="s">
        <v>72</v>
      </c>
      <c r="F2058" s="8" t="s">
        <v>318</v>
      </c>
      <c r="G2058" s="7" t="s">
        <v>2939</v>
      </c>
      <c r="H2058" s="7" t="s">
        <v>257</v>
      </c>
      <c r="I2058" s="8">
        <v>2000.0</v>
      </c>
      <c r="J2058" s="8">
        <v>2.2</v>
      </c>
      <c r="K2058" s="8" t="s">
        <v>321</v>
      </c>
      <c r="M2058" s="8" t="s">
        <v>388</v>
      </c>
      <c r="N2058" s="8">
        <v>4.2</v>
      </c>
      <c r="O2058" s="14">
        <f t="shared" si="1"/>
        <v>44075</v>
      </c>
      <c r="P2058" s="15">
        <f>IFERROR(VLOOKUP(K2058,Formula!$A$11:$B$20,2,FALSE),Formula!$C$26)</f>
        <v>0.9</v>
      </c>
      <c r="Q2058" s="15">
        <f>IF(AND(ISNUMBER(J2058),J2058&gt;0),1/J2058,IF(AND(ISNUMBER(I2058),I2058&gt;0),SQRT(MIN(I2058,Formula!$C$27))/Formula!$C$24,1/Formula!$C$25))</f>
        <v>0.4545454545</v>
      </c>
      <c r="R2058" s="15">
        <f t="shared" si="2"/>
        <v>0.4090909091</v>
      </c>
      <c r="S2058" s="15">
        <f>IF(H2058&lt;&gt;"",EXP(-Formula!$C$28*(EOMONTH(H2058,0)-H2058)),EXP(-Formula!$C$28*(EOMONTH(D2058,0)-D2058)))</f>
        <v>0.4965853038</v>
      </c>
      <c r="T2058" s="15">
        <f t="shared" si="3"/>
        <v>0.3535533906</v>
      </c>
      <c r="U2058" s="15">
        <f t="shared" si="4"/>
        <v>0.07182385277</v>
      </c>
      <c r="V2058" s="16">
        <f>IF(AND(L2058="Among all respondents",NOT(OR(K2058="Online poll in Telegram channel",K2058="Website online poll",K2058="CAWI (Computer Assisted Web Interviewing)"))),1/(1-MIN(MAX(Formula!$C$33+(YEAR(D2058)-Formula!$C$34)/(Formula!$C$35-Formula!$C$34)*(Formula!$C$32-Formula!$C$33),Formula!$C$33),Formula!$C$32)),1)</f>
        <v>1</v>
      </c>
      <c r="W2058" s="17">
        <f t="shared" si="5"/>
        <v>4.2</v>
      </c>
    </row>
    <row r="2059" ht="15.75" customHeight="1">
      <c r="A2059" s="8" t="s">
        <v>2945</v>
      </c>
      <c r="B2059" s="7" t="s">
        <v>2937</v>
      </c>
      <c r="C2059" s="13" t="s">
        <v>2938</v>
      </c>
      <c r="D2059" s="7" t="s">
        <v>255</v>
      </c>
      <c r="E2059" s="8" t="s">
        <v>72</v>
      </c>
      <c r="F2059" s="8" t="s">
        <v>318</v>
      </c>
      <c r="G2059" s="7" t="s">
        <v>2939</v>
      </c>
      <c r="H2059" s="7" t="s">
        <v>257</v>
      </c>
      <c r="I2059" s="8">
        <v>2000.0</v>
      </c>
      <c r="J2059" s="8">
        <v>2.2</v>
      </c>
      <c r="K2059" s="8" t="s">
        <v>321</v>
      </c>
      <c r="M2059" s="8" t="s">
        <v>838</v>
      </c>
      <c r="N2059" s="8">
        <v>3.4</v>
      </c>
      <c r="O2059" s="14">
        <f t="shared" si="1"/>
        <v>44075</v>
      </c>
      <c r="P2059" s="15">
        <f>IFERROR(VLOOKUP(K2059,Formula!$A$11:$B$20,2,FALSE),Formula!$C$26)</f>
        <v>0.9</v>
      </c>
      <c r="Q2059" s="15">
        <f>IF(AND(ISNUMBER(J2059),J2059&gt;0),1/J2059,IF(AND(ISNUMBER(I2059),I2059&gt;0),SQRT(MIN(I2059,Formula!$C$27))/Formula!$C$24,1/Formula!$C$25))</f>
        <v>0.4545454545</v>
      </c>
      <c r="R2059" s="15">
        <f t="shared" si="2"/>
        <v>0.4090909091</v>
      </c>
      <c r="S2059" s="15">
        <f>IF(H2059&lt;&gt;"",EXP(-Formula!$C$28*(EOMONTH(H2059,0)-H2059)),EXP(-Formula!$C$28*(EOMONTH(D2059,0)-D2059)))</f>
        <v>0.4965853038</v>
      </c>
      <c r="T2059" s="15">
        <f t="shared" si="3"/>
        <v>0.3535533906</v>
      </c>
      <c r="U2059" s="15">
        <f t="shared" si="4"/>
        <v>0.07182385277</v>
      </c>
      <c r="V2059" s="16">
        <f>IF(AND(L2059="Among all respondents",NOT(OR(K2059="Online poll in Telegram channel",K2059="Website online poll",K2059="CAWI (Computer Assisted Web Interviewing)"))),1/(1-MIN(MAX(Formula!$C$33+(YEAR(D2059)-Formula!$C$34)/(Formula!$C$35-Formula!$C$34)*(Formula!$C$32-Formula!$C$33),Formula!$C$33),Formula!$C$32)),1)</f>
        <v>1</v>
      </c>
      <c r="W2059" s="17">
        <f t="shared" si="5"/>
        <v>3.4</v>
      </c>
    </row>
    <row r="2060" ht="15.75" customHeight="1">
      <c r="A2060" s="8" t="s">
        <v>2946</v>
      </c>
      <c r="B2060" s="7" t="s">
        <v>2937</v>
      </c>
      <c r="C2060" s="13" t="s">
        <v>2938</v>
      </c>
      <c r="D2060" s="7" t="s">
        <v>255</v>
      </c>
      <c r="E2060" s="8" t="s">
        <v>72</v>
      </c>
      <c r="F2060" s="8" t="s">
        <v>318</v>
      </c>
      <c r="G2060" s="7" t="s">
        <v>2939</v>
      </c>
      <c r="H2060" s="7" t="s">
        <v>257</v>
      </c>
      <c r="I2060" s="8">
        <v>2000.0</v>
      </c>
      <c r="J2060" s="8">
        <v>2.2</v>
      </c>
      <c r="K2060" s="8" t="s">
        <v>321</v>
      </c>
      <c r="M2060" s="8" t="s">
        <v>345</v>
      </c>
      <c r="N2060" s="8">
        <v>1.6</v>
      </c>
      <c r="O2060" s="14">
        <f t="shared" si="1"/>
        <v>44075</v>
      </c>
      <c r="P2060" s="15">
        <f>IFERROR(VLOOKUP(K2060,Formula!$A$11:$B$20,2,FALSE),Formula!$C$26)</f>
        <v>0.9</v>
      </c>
      <c r="Q2060" s="15">
        <f>IF(AND(ISNUMBER(J2060),J2060&gt;0),1/J2060,IF(AND(ISNUMBER(I2060),I2060&gt;0),SQRT(MIN(I2060,Formula!$C$27))/Formula!$C$24,1/Formula!$C$25))</f>
        <v>0.4545454545</v>
      </c>
      <c r="R2060" s="15">
        <f t="shared" si="2"/>
        <v>0.4090909091</v>
      </c>
      <c r="S2060" s="15">
        <f>IF(H2060&lt;&gt;"",EXP(-Formula!$C$28*(EOMONTH(H2060,0)-H2060)),EXP(-Formula!$C$28*(EOMONTH(D2060,0)-D2060)))</f>
        <v>0.4965853038</v>
      </c>
      <c r="T2060" s="15">
        <f t="shared" si="3"/>
        <v>0.3535533906</v>
      </c>
      <c r="U2060" s="15">
        <f t="shared" si="4"/>
        <v>0.07182385277</v>
      </c>
      <c r="V2060" s="16">
        <f>IF(AND(L2060="Among all respondents",NOT(OR(K2060="Online poll in Telegram channel",K2060="Website online poll",K2060="CAWI (Computer Assisted Web Interviewing)"))),1/(1-MIN(MAX(Formula!$C$33+(YEAR(D2060)-Formula!$C$34)/(Formula!$C$35-Formula!$C$34)*(Formula!$C$32-Formula!$C$33),Formula!$C$33),Formula!$C$32)),1)</f>
        <v>1</v>
      </c>
      <c r="W2060" s="17">
        <f t="shared" si="5"/>
        <v>1.6</v>
      </c>
    </row>
    <row r="2061" ht="15.75" customHeight="1">
      <c r="A2061" s="8" t="s">
        <v>2947</v>
      </c>
      <c r="B2061" s="7" t="s">
        <v>2948</v>
      </c>
      <c r="C2061" s="13" t="s">
        <v>2949</v>
      </c>
      <c r="D2061" s="7" t="s">
        <v>257</v>
      </c>
      <c r="E2061" s="8" t="s">
        <v>40</v>
      </c>
      <c r="F2061" s="8" t="s">
        <v>318</v>
      </c>
      <c r="G2061" s="7" t="s">
        <v>2950</v>
      </c>
      <c r="H2061" s="7" t="s">
        <v>2951</v>
      </c>
      <c r="I2061" s="8">
        <v>2000.0</v>
      </c>
      <c r="J2061" s="8">
        <v>2.2</v>
      </c>
      <c r="K2061" s="8" t="s">
        <v>583</v>
      </c>
      <c r="M2061" s="8" t="s">
        <v>323</v>
      </c>
      <c r="N2061" s="8">
        <v>22.2</v>
      </c>
      <c r="O2061" s="14">
        <f t="shared" si="1"/>
        <v>44075</v>
      </c>
      <c r="P2061" s="15">
        <f>IFERROR(VLOOKUP(K2061,Formula!$A$11:$B$20,2,FALSE),Formula!$C$26)</f>
        <v>0.95</v>
      </c>
      <c r="Q2061" s="15">
        <f>IF(AND(ISNUMBER(J2061),J2061&gt;0),1/J2061,IF(AND(ISNUMBER(I2061),I2061&gt;0),SQRT(MIN(I2061,Formula!$C$27))/Formula!$C$24,1/Formula!$C$25))</f>
        <v>0.4545454545</v>
      </c>
      <c r="R2061" s="15">
        <f t="shared" si="2"/>
        <v>0.4318181818</v>
      </c>
      <c r="S2061" s="15">
        <f>IF(H2061&lt;&gt;"",EXP(-Formula!$C$28*(EOMONTH(H2061,0)-H2061)),EXP(-Formula!$C$28*(EOMONTH(D2061,0)-D2061)))</f>
        <v>0.3011942119</v>
      </c>
      <c r="T2061" s="15">
        <f t="shared" si="3"/>
        <v>0.3015113446</v>
      </c>
      <c r="U2061" s="15">
        <f t="shared" si="4"/>
        <v>0.03921490828</v>
      </c>
      <c r="V2061" s="16">
        <f>IF(AND(L2061="Among all respondents",NOT(OR(K2061="Online poll in Telegram channel",K2061="Website online poll",K2061="CAWI (Computer Assisted Web Interviewing)"))),1/(1-MIN(MAX(Formula!$C$33+(YEAR(D2061)-Formula!$C$34)/(Formula!$C$35-Formula!$C$34)*(Formula!$C$32-Formula!$C$33),Formula!$C$33),Formula!$C$32)),1)</f>
        <v>1</v>
      </c>
      <c r="W2061" s="17">
        <f t="shared" si="5"/>
        <v>22.2</v>
      </c>
    </row>
    <row r="2062" ht="15.75" customHeight="1">
      <c r="A2062" s="8" t="s">
        <v>2952</v>
      </c>
      <c r="B2062" s="7" t="s">
        <v>2948</v>
      </c>
      <c r="C2062" s="13" t="s">
        <v>2949</v>
      </c>
      <c r="D2062" s="7" t="s">
        <v>257</v>
      </c>
      <c r="E2062" s="8" t="s">
        <v>40</v>
      </c>
      <c r="F2062" s="8" t="s">
        <v>318</v>
      </c>
      <c r="G2062" s="7" t="s">
        <v>2950</v>
      </c>
      <c r="H2062" s="7" t="s">
        <v>2951</v>
      </c>
      <c r="I2062" s="8">
        <v>2000.0</v>
      </c>
      <c r="J2062" s="8">
        <v>2.2</v>
      </c>
      <c r="K2062" s="8" t="s">
        <v>583</v>
      </c>
      <c r="M2062" s="8" t="s">
        <v>365</v>
      </c>
      <c r="N2062" s="8">
        <v>12.6</v>
      </c>
      <c r="O2062" s="14">
        <f t="shared" si="1"/>
        <v>44075</v>
      </c>
      <c r="P2062" s="15">
        <f>IFERROR(VLOOKUP(K2062,Formula!$A$11:$B$20,2,FALSE),Formula!$C$26)</f>
        <v>0.95</v>
      </c>
      <c r="Q2062" s="15">
        <f>IF(AND(ISNUMBER(J2062),J2062&gt;0),1/J2062,IF(AND(ISNUMBER(I2062),I2062&gt;0),SQRT(MIN(I2062,Formula!$C$27))/Formula!$C$24,1/Formula!$C$25))</f>
        <v>0.4545454545</v>
      </c>
      <c r="R2062" s="15">
        <f t="shared" si="2"/>
        <v>0.4318181818</v>
      </c>
      <c r="S2062" s="15">
        <f>IF(H2062&lt;&gt;"",EXP(-Formula!$C$28*(EOMONTH(H2062,0)-H2062)),EXP(-Formula!$C$28*(EOMONTH(D2062,0)-D2062)))</f>
        <v>0.3011942119</v>
      </c>
      <c r="T2062" s="15">
        <f t="shared" si="3"/>
        <v>0.3015113446</v>
      </c>
      <c r="U2062" s="15">
        <f t="shared" si="4"/>
        <v>0.03921490828</v>
      </c>
      <c r="V2062" s="16">
        <f>IF(AND(L2062="Among all respondents",NOT(OR(K2062="Online poll in Telegram channel",K2062="Website online poll",K2062="CAWI (Computer Assisted Web Interviewing)"))),1/(1-MIN(MAX(Formula!$C$33+(YEAR(D2062)-Formula!$C$34)/(Formula!$C$35-Formula!$C$34)*(Formula!$C$32-Formula!$C$33),Formula!$C$33),Formula!$C$32)),1)</f>
        <v>1</v>
      </c>
      <c r="W2062" s="17">
        <f t="shared" si="5"/>
        <v>12.6</v>
      </c>
    </row>
    <row r="2063" ht="15.75" customHeight="1">
      <c r="A2063" s="8" t="s">
        <v>2953</v>
      </c>
      <c r="B2063" s="7" t="s">
        <v>2948</v>
      </c>
      <c r="C2063" s="13" t="s">
        <v>2949</v>
      </c>
      <c r="D2063" s="7" t="s">
        <v>257</v>
      </c>
      <c r="E2063" s="8" t="s">
        <v>40</v>
      </c>
      <c r="F2063" s="8" t="s">
        <v>318</v>
      </c>
      <c r="G2063" s="7" t="s">
        <v>2950</v>
      </c>
      <c r="H2063" s="7" t="s">
        <v>2951</v>
      </c>
      <c r="I2063" s="8">
        <v>2000.0</v>
      </c>
      <c r="J2063" s="8">
        <v>2.2</v>
      </c>
      <c r="K2063" s="8" t="s">
        <v>583</v>
      </c>
      <c r="M2063" s="8" t="s">
        <v>329</v>
      </c>
      <c r="N2063" s="8">
        <v>10.1</v>
      </c>
      <c r="O2063" s="14">
        <f t="shared" si="1"/>
        <v>44075</v>
      </c>
      <c r="P2063" s="15">
        <f>IFERROR(VLOOKUP(K2063,Formula!$A$11:$B$20,2,FALSE),Formula!$C$26)</f>
        <v>0.95</v>
      </c>
      <c r="Q2063" s="15">
        <f>IF(AND(ISNUMBER(J2063),J2063&gt;0),1/J2063,IF(AND(ISNUMBER(I2063),I2063&gt;0),SQRT(MIN(I2063,Formula!$C$27))/Formula!$C$24,1/Formula!$C$25))</f>
        <v>0.4545454545</v>
      </c>
      <c r="R2063" s="15">
        <f t="shared" si="2"/>
        <v>0.4318181818</v>
      </c>
      <c r="S2063" s="15">
        <f>IF(H2063&lt;&gt;"",EXP(-Formula!$C$28*(EOMONTH(H2063,0)-H2063)),EXP(-Formula!$C$28*(EOMONTH(D2063,0)-D2063)))</f>
        <v>0.3011942119</v>
      </c>
      <c r="T2063" s="15">
        <f t="shared" si="3"/>
        <v>0.3015113446</v>
      </c>
      <c r="U2063" s="15">
        <f t="shared" si="4"/>
        <v>0.03921490828</v>
      </c>
      <c r="V2063" s="16">
        <f>IF(AND(L2063="Among all respondents",NOT(OR(K2063="Online poll in Telegram channel",K2063="Website online poll",K2063="CAWI (Computer Assisted Web Interviewing)"))),1/(1-MIN(MAX(Formula!$C$33+(YEAR(D2063)-Formula!$C$34)/(Formula!$C$35-Formula!$C$34)*(Formula!$C$32-Formula!$C$33),Formula!$C$33),Formula!$C$32)),1)</f>
        <v>1</v>
      </c>
      <c r="W2063" s="17">
        <f t="shared" si="5"/>
        <v>10.1</v>
      </c>
    </row>
    <row r="2064" ht="15.75" customHeight="1">
      <c r="A2064" s="8" t="s">
        <v>2954</v>
      </c>
      <c r="B2064" s="7" t="s">
        <v>2948</v>
      </c>
      <c r="C2064" s="13" t="s">
        <v>2949</v>
      </c>
      <c r="D2064" s="7" t="s">
        <v>257</v>
      </c>
      <c r="E2064" s="8" t="s">
        <v>40</v>
      </c>
      <c r="F2064" s="8" t="s">
        <v>318</v>
      </c>
      <c r="G2064" s="7" t="s">
        <v>2950</v>
      </c>
      <c r="H2064" s="7" t="s">
        <v>2951</v>
      </c>
      <c r="I2064" s="8">
        <v>2000.0</v>
      </c>
      <c r="J2064" s="8">
        <v>2.2</v>
      </c>
      <c r="K2064" s="8" t="s">
        <v>583</v>
      </c>
      <c r="M2064" s="8" t="s">
        <v>337</v>
      </c>
      <c r="N2064" s="8">
        <v>7.1</v>
      </c>
      <c r="O2064" s="14">
        <f t="shared" si="1"/>
        <v>44075</v>
      </c>
      <c r="P2064" s="15">
        <f>IFERROR(VLOOKUP(K2064,Formula!$A$11:$B$20,2,FALSE),Formula!$C$26)</f>
        <v>0.95</v>
      </c>
      <c r="Q2064" s="15">
        <f>IF(AND(ISNUMBER(J2064),J2064&gt;0),1/J2064,IF(AND(ISNUMBER(I2064),I2064&gt;0),SQRT(MIN(I2064,Formula!$C$27))/Formula!$C$24,1/Formula!$C$25))</f>
        <v>0.4545454545</v>
      </c>
      <c r="R2064" s="15">
        <f t="shared" si="2"/>
        <v>0.4318181818</v>
      </c>
      <c r="S2064" s="15">
        <f>IF(H2064&lt;&gt;"",EXP(-Formula!$C$28*(EOMONTH(H2064,0)-H2064)),EXP(-Formula!$C$28*(EOMONTH(D2064,0)-D2064)))</f>
        <v>0.3011942119</v>
      </c>
      <c r="T2064" s="15">
        <f t="shared" si="3"/>
        <v>0.3015113446</v>
      </c>
      <c r="U2064" s="15">
        <f t="shared" si="4"/>
        <v>0.03921490828</v>
      </c>
      <c r="V2064" s="16">
        <f>IF(AND(L2064="Among all respondents",NOT(OR(K2064="Online poll in Telegram channel",K2064="Website online poll",K2064="CAWI (Computer Assisted Web Interviewing)"))),1/(1-MIN(MAX(Formula!$C$33+(YEAR(D2064)-Formula!$C$34)/(Formula!$C$35-Formula!$C$34)*(Formula!$C$32-Formula!$C$33),Formula!$C$33),Formula!$C$32)),1)</f>
        <v>1</v>
      </c>
      <c r="W2064" s="17">
        <f t="shared" si="5"/>
        <v>7.1</v>
      </c>
    </row>
    <row r="2065" ht="15.75" customHeight="1">
      <c r="A2065" s="8" t="s">
        <v>2955</v>
      </c>
      <c r="B2065" s="7" t="s">
        <v>2948</v>
      </c>
      <c r="C2065" s="13" t="s">
        <v>2949</v>
      </c>
      <c r="D2065" s="7" t="s">
        <v>257</v>
      </c>
      <c r="E2065" s="8" t="s">
        <v>40</v>
      </c>
      <c r="F2065" s="8" t="s">
        <v>318</v>
      </c>
      <c r="G2065" s="7" t="s">
        <v>2950</v>
      </c>
      <c r="H2065" s="7" t="s">
        <v>2951</v>
      </c>
      <c r="I2065" s="8">
        <v>2000.0</v>
      </c>
      <c r="J2065" s="8">
        <v>2.2</v>
      </c>
      <c r="K2065" s="8" t="s">
        <v>583</v>
      </c>
      <c r="M2065" s="8" t="s">
        <v>828</v>
      </c>
      <c r="N2065" s="8">
        <v>4.9</v>
      </c>
      <c r="O2065" s="14">
        <f t="shared" si="1"/>
        <v>44075</v>
      </c>
      <c r="P2065" s="15">
        <f>IFERROR(VLOOKUP(K2065,Formula!$A$11:$B$20,2,FALSE),Formula!$C$26)</f>
        <v>0.95</v>
      </c>
      <c r="Q2065" s="15">
        <f>IF(AND(ISNUMBER(J2065),J2065&gt;0),1/J2065,IF(AND(ISNUMBER(I2065),I2065&gt;0),SQRT(MIN(I2065,Formula!$C$27))/Formula!$C$24,1/Formula!$C$25))</f>
        <v>0.4545454545</v>
      </c>
      <c r="R2065" s="15">
        <f t="shared" si="2"/>
        <v>0.4318181818</v>
      </c>
      <c r="S2065" s="15">
        <f>IF(H2065&lt;&gt;"",EXP(-Formula!$C$28*(EOMONTH(H2065,0)-H2065)),EXP(-Formula!$C$28*(EOMONTH(D2065,0)-D2065)))</f>
        <v>0.3011942119</v>
      </c>
      <c r="T2065" s="15">
        <f t="shared" si="3"/>
        <v>0.3015113446</v>
      </c>
      <c r="U2065" s="15">
        <f t="shared" si="4"/>
        <v>0.03921490828</v>
      </c>
      <c r="V2065" s="16">
        <f>IF(AND(L2065="Among all respondents",NOT(OR(K2065="Online poll in Telegram channel",K2065="Website online poll",K2065="CAWI (Computer Assisted Web Interviewing)"))),1/(1-MIN(MAX(Formula!$C$33+(YEAR(D2065)-Formula!$C$34)/(Formula!$C$35-Formula!$C$34)*(Formula!$C$32-Formula!$C$33),Formula!$C$33),Formula!$C$32)),1)</f>
        <v>1</v>
      </c>
      <c r="W2065" s="17">
        <f t="shared" si="5"/>
        <v>4.9</v>
      </c>
    </row>
    <row r="2066" ht="15.75" customHeight="1">
      <c r="A2066" s="8" t="s">
        <v>2956</v>
      </c>
      <c r="B2066" s="7" t="s">
        <v>2948</v>
      </c>
      <c r="C2066" s="13" t="s">
        <v>2949</v>
      </c>
      <c r="D2066" s="7" t="s">
        <v>257</v>
      </c>
      <c r="E2066" s="8" t="s">
        <v>40</v>
      </c>
      <c r="F2066" s="8" t="s">
        <v>318</v>
      </c>
      <c r="G2066" s="7" t="s">
        <v>2950</v>
      </c>
      <c r="H2066" s="7" t="s">
        <v>2951</v>
      </c>
      <c r="I2066" s="8">
        <v>2000.0</v>
      </c>
      <c r="J2066" s="8">
        <v>2.2</v>
      </c>
      <c r="K2066" s="8" t="s">
        <v>583</v>
      </c>
      <c r="M2066" s="8" t="s">
        <v>388</v>
      </c>
      <c r="N2066" s="8">
        <v>3.1</v>
      </c>
      <c r="O2066" s="14">
        <f t="shared" si="1"/>
        <v>44075</v>
      </c>
      <c r="P2066" s="15">
        <f>IFERROR(VLOOKUP(K2066,Formula!$A$11:$B$20,2,FALSE),Formula!$C$26)</f>
        <v>0.95</v>
      </c>
      <c r="Q2066" s="15">
        <f>IF(AND(ISNUMBER(J2066),J2066&gt;0),1/J2066,IF(AND(ISNUMBER(I2066),I2066&gt;0),SQRT(MIN(I2066,Formula!$C$27))/Formula!$C$24,1/Formula!$C$25))</f>
        <v>0.4545454545</v>
      </c>
      <c r="R2066" s="15">
        <f t="shared" si="2"/>
        <v>0.4318181818</v>
      </c>
      <c r="S2066" s="15">
        <f>IF(H2066&lt;&gt;"",EXP(-Formula!$C$28*(EOMONTH(H2066,0)-H2066)),EXP(-Formula!$C$28*(EOMONTH(D2066,0)-D2066)))</f>
        <v>0.3011942119</v>
      </c>
      <c r="T2066" s="15">
        <f t="shared" si="3"/>
        <v>0.3015113446</v>
      </c>
      <c r="U2066" s="15">
        <f t="shared" si="4"/>
        <v>0.03921490828</v>
      </c>
      <c r="V2066" s="16">
        <f>IF(AND(L2066="Among all respondents",NOT(OR(K2066="Online poll in Telegram channel",K2066="Website online poll",K2066="CAWI (Computer Assisted Web Interviewing)"))),1/(1-MIN(MAX(Formula!$C$33+(YEAR(D2066)-Formula!$C$34)/(Formula!$C$35-Formula!$C$34)*(Formula!$C$32-Formula!$C$33),Formula!$C$33),Formula!$C$32)),1)</f>
        <v>1</v>
      </c>
      <c r="W2066" s="17">
        <f t="shared" si="5"/>
        <v>3.1</v>
      </c>
    </row>
    <row r="2067" ht="15.75" customHeight="1">
      <c r="A2067" s="8" t="s">
        <v>2957</v>
      </c>
      <c r="B2067" s="7" t="s">
        <v>2948</v>
      </c>
      <c r="C2067" s="13" t="s">
        <v>2949</v>
      </c>
      <c r="D2067" s="7" t="s">
        <v>257</v>
      </c>
      <c r="E2067" s="8" t="s">
        <v>40</v>
      </c>
      <c r="F2067" s="8" t="s">
        <v>318</v>
      </c>
      <c r="G2067" s="7" t="s">
        <v>2950</v>
      </c>
      <c r="H2067" s="7" t="s">
        <v>2951</v>
      </c>
      <c r="I2067" s="8">
        <v>2000.0</v>
      </c>
      <c r="J2067" s="8">
        <v>2.2</v>
      </c>
      <c r="K2067" s="8" t="s">
        <v>583</v>
      </c>
      <c r="M2067" s="8" t="s">
        <v>339</v>
      </c>
      <c r="N2067" s="8">
        <v>3.1</v>
      </c>
      <c r="O2067" s="14">
        <f t="shared" si="1"/>
        <v>44075</v>
      </c>
      <c r="P2067" s="15">
        <f>IFERROR(VLOOKUP(K2067,Formula!$A$11:$B$20,2,FALSE),Formula!$C$26)</f>
        <v>0.95</v>
      </c>
      <c r="Q2067" s="15">
        <f>IF(AND(ISNUMBER(J2067),J2067&gt;0),1/J2067,IF(AND(ISNUMBER(I2067),I2067&gt;0),SQRT(MIN(I2067,Formula!$C$27))/Formula!$C$24,1/Formula!$C$25))</f>
        <v>0.4545454545</v>
      </c>
      <c r="R2067" s="15">
        <f t="shared" si="2"/>
        <v>0.4318181818</v>
      </c>
      <c r="S2067" s="15">
        <f>IF(H2067&lt;&gt;"",EXP(-Formula!$C$28*(EOMONTH(H2067,0)-H2067)),EXP(-Formula!$C$28*(EOMONTH(D2067,0)-D2067)))</f>
        <v>0.3011942119</v>
      </c>
      <c r="T2067" s="15">
        <f t="shared" si="3"/>
        <v>0.3015113446</v>
      </c>
      <c r="U2067" s="15">
        <f t="shared" si="4"/>
        <v>0.03921490828</v>
      </c>
      <c r="V2067" s="16">
        <f>IF(AND(L2067="Among all respondents",NOT(OR(K2067="Online poll in Telegram channel",K2067="Website online poll",K2067="CAWI (Computer Assisted Web Interviewing)"))),1/(1-MIN(MAX(Formula!$C$33+(YEAR(D2067)-Formula!$C$34)/(Formula!$C$35-Formula!$C$34)*(Formula!$C$32-Formula!$C$33),Formula!$C$33),Formula!$C$32)),1)</f>
        <v>1</v>
      </c>
      <c r="W2067" s="17">
        <f t="shared" si="5"/>
        <v>3.1</v>
      </c>
    </row>
    <row r="2068" ht="15.75" customHeight="1">
      <c r="A2068" s="8" t="s">
        <v>2958</v>
      </c>
      <c r="B2068" s="7" t="s">
        <v>2948</v>
      </c>
      <c r="C2068" s="13" t="s">
        <v>2949</v>
      </c>
      <c r="D2068" s="7" t="s">
        <v>257</v>
      </c>
      <c r="E2068" s="8" t="s">
        <v>40</v>
      </c>
      <c r="F2068" s="8" t="s">
        <v>318</v>
      </c>
      <c r="G2068" s="7" t="s">
        <v>2950</v>
      </c>
      <c r="H2068" s="7" t="s">
        <v>2951</v>
      </c>
      <c r="I2068" s="8">
        <v>2000.0</v>
      </c>
      <c r="J2068" s="8">
        <v>2.2</v>
      </c>
      <c r="K2068" s="8" t="s">
        <v>583</v>
      </c>
      <c r="M2068" s="8" t="s">
        <v>386</v>
      </c>
      <c r="N2068" s="8">
        <v>2.7</v>
      </c>
      <c r="O2068" s="14">
        <f t="shared" si="1"/>
        <v>44075</v>
      </c>
      <c r="P2068" s="15">
        <f>IFERROR(VLOOKUP(K2068,Formula!$A$11:$B$20,2,FALSE),Formula!$C$26)</f>
        <v>0.95</v>
      </c>
      <c r="Q2068" s="15">
        <f>IF(AND(ISNUMBER(J2068),J2068&gt;0),1/J2068,IF(AND(ISNUMBER(I2068),I2068&gt;0),SQRT(MIN(I2068,Formula!$C$27))/Formula!$C$24,1/Formula!$C$25))</f>
        <v>0.4545454545</v>
      </c>
      <c r="R2068" s="15">
        <f t="shared" si="2"/>
        <v>0.4318181818</v>
      </c>
      <c r="S2068" s="15">
        <f>IF(H2068&lt;&gt;"",EXP(-Formula!$C$28*(EOMONTH(H2068,0)-H2068)),EXP(-Formula!$C$28*(EOMONTH(D2068,0)-D2068)))</f>
        <v>0.3011942119</v>
      </c>
      <c r="T2068" s="15">
        <f t="shared" si="3"/>
        <v>0.3015113446</v>
      </c>
      <c r="U2068" s="15">
        <f t="shared" si="4"/>
        <v>0.03921490828</v>
      </c>
      <c r="V2068" s="16">
        <f>IF(AND(L2068="Among all respondents",NOT(OR(K2068="Online poll in Telegram channel",K2068="Website online poll",K2068="CAWI (Computer Assisted Web Interviewing)"))),1/(1-MIN(MAX(Formula!$C$33+(YEAR(D2068)-Formula!$C$34)/(Formula!$C$35-Formula!$C$34)*(Formula!$C$32-Formula!$C$33),Formula!$C$33),Formula!$C$32)),1)</f>
        <v>1</v>
      </c>
      <c r="W2068" s="17">
        <f t="shared" si="5"/>
        <v>2.7</v>
      </c>
    </row>
    <row r="2069" ht="15.75" customHeight="1">
      <c r="A2069" s="8" t="s">
        <v>2959</v>
      </c>
      <c r="B2069" s="7" t="s">
        <v>2948</v>
      </c>
      <c r="C2069" s="13" t="s">
        <v>2949</v>
      </c>
      <c r="D2069" s="7" t="s">
        <v>257</v>
      </c>
      <c r="E2069" s="8" t="s">
        <v>40</v>
      </c>
      <c r="F2069" s="8" t="s">
        <v>318</v>
      </c>
      <c r="G2069" s="7" t="s">
        <v>2950</v>
      </c>
      <c r="H2069" s="7" t="s">
        <v>2951</v>
      </c>
      <c r="I2069" s="8">
        <v>2000.0</v>
      </c>
      <c r="J2069" s="8">
        <v>2.2</v>
      </c>
      <c r="K2069" s="8" t="s">
        <v>583</v>
      </c>
      <c r="M2069" s="8" t="s">
        <v>333</v>
      </c>
      <c r="N2069" s="8">
        <v>2.1</v>
      </c>
      <c r="O2069" s="14">
        <f t="shared" si="1"/>
        <v>44075</v>
      </c>
      <c r="P2069" s="15">
        <f>IFERROR(VLOOKUP(K2069,Formula!$A$11:$B$20,2,FALSE),Formula!$C$26)</f>
        <v>0.95</v>
      </c>
      <c r="Q2069" s="15">
        <f>IF(AND(ISNUMBER(J2069),J2069&gt;0),1/J2069,IF(AND(ISNUMBER(I2069),I2069&gt;0),SQRT(MIN(I2069,Formula!$C$27))/Formula!$C$24,1/Formula!$C$25))</f>
        <v>0.4545454545</v>
      </c>
      <c r="R2069" s="15">
        <f t="shared" si="2"/>
        <v>0.4318181818</v>
      </c>
      <c r="S2069" s="15">
        <f>IF(H2069&lt;&gt;"",EXP(-Formula!$C$28*(EOMONTH(H2069,0)-H2069)),EXP(-Formula!$C$28*(EOMONTH(D2069,0)-D2069)))</f>
        <v>0.3011942119</v>
      </c>
      <c r="T2069" s="15">
        <f t="shared" si="3"/>
        <v>0.3015113446</v>
      </c>
      <c r="U2069" s="15">
        <f t="shared" si="4"/>
        <v>0.03921490828</v>
      </c>
      <c r="V2069" s="16">
        <f>IF(AND(L2069="Among all respondents",NOT(OR(K2069="Online poll in Telegram channel",K2069="Website online poll",K2069="CAWI (Computer Assisted Web Interviewing)"))),1/(1-MIN(MAX(Formula!$C$33+(YEAR(D2069)-Formula!$C$34)/(Formula!$C$35-Formula!$C$34)*(Formula!$C$32-Formula!$C$33),Formula!$C$33),Formula!$C$32)),1)</f>
        <v>1</v>
      </c>
      <c r="W2069" s="17">
        <f t="shared" si="5"/>
        <v>2.1</v>
      </c>
    </row>
    <row r="2070" ht="15.75" customHeight="1">
      <c r="A2070" s="8" t="s">
        <v>2960</v>
      </c>
      <c r="B2070" s="7" t="s">
        <v>2948</v>
      </c>
      <c r="C2070" s="13" t="s">
        <v>2949</v>
      </c>
      <c r="D2070" s="7" t="s">
        <v>257</v>
      </c>
      <c r="E2070" s="8" t="s">
        <v>40</v>
      </c>
      <c r="F2070" s="8" t="s">
        <v>318</v>
      </c>
      <c r="G2070" s="7" t="s">
        <v>2950</v>
      </c>
      <c r="H2070" s="7" t="s">
        <v>2951</v>
      </c>
      <c r="I2070" s="8">
        <v>2000.0</v>
      </c>
      <c r="J2070" s="8">
        <v>2.2</v>
      </c>
      <c r="K2070" s="8" t="s">
        <v>583</v>
      </c>
      <c r="M2070" s="8" t="s">
        <v>740</v>
      </c>
      <c r="N2070" s="8">
        <v>1.5</v>
      </c>
      <c r="O2070" s="14">
        <f t="shared" si="1"/>
        <v>44075</v>
      </c>
      <c r="P2070" s="15">
        <f>IFERROR(VLOOKUP(K2070,Formula!$A$11:$B$20,2,FALSE),Formula!$C$26)</f>
        <v>0.95</v>
      </c>
      <c r="Q2070" s="15">
        <f>IF(AND(ISNUMBER(J2070),J2070&gt;0),1/J2070,IF(AND(ISNUMBER(I2070),I2070&gt;0),SQRT(MIN(I2070,Formula!$C$27))/Formula!$C$24,1/Formula!$C$25))</f>
        <v>0.4545454545</v>
      </c>
      <c r="R2070" s="15">
        <f t="shared" si="2"/>
        <v>0.4318181818</v>
      </c>
      <c r="S2070" s="15">
        <f>IF(H2070&lt;&gt;"",EXP(-Formula!$C$28*(EOMONTH(H2070,0)-H2070)),EXP(-Formula!$C$28*(EOMONTH(D2070,0)-D2070)))</f>
        <v>0.3011942119</v>
      </c>
      <c r="T2070" s="15">
        <f t="shared" si="3"/>
        <v>0.3015113446</v>
      </c>
      <c r="U2070" s="15">
        <f t="shared" si="4"/>
        <v>0.03921490828</v>
      </c>
      <c r="V2070" s="16">
        <f>IF(AND(L2070="Among all respondents",NOT(OR(K2070="Online poll in Telegram channel",K2070="Website online poll",K2070="CAWI (Computer Assisted Web Interviewing)"))),1/(1-MIN(MAX(Formula!$C$33+(YEAR(D2070)-Formula!$C$34)/(Formula!$C$35-Formula!$C$34)*(Formula!$C$32-Formula!$C$33),Formula!$C$33),Formula!$C$32)),1)</f>
        <v>1</v>
      </c>
      <c r="W2070" s="17">
        <f t="shared" si="5"/>
        <v>1.5</v>
      </c>
    </row>
    <row r="2071" ht="15.75" customHeight="1">
      <c r="A2071" s="8" t="s">
        <v>2961</v>
      </c>
      <c r="B2071" s="7" t="s">
        <v>2948</v>
      </c>
      <c r="C2071" s="13" t="s">
        <v>2949</v>
      </c>
      <c r="D2071" s="7" t="s">
        <v>257</v>
      </c>
      <c r="E2071" s="8" t="s">
        <v>40</v>
      </c>
      <c r="F2071" s="8" t="s">
        <v>318</v>
      </c>
      <c r="G2071" s="7" t="s">
        <v>2950</v>
      </c>
      <c r="H2071" s="7" t="s">
        <v>2951</v>
      </c>
      <c r="I2071" s="8">
        <v>2000.0</v>
      </c>
      <c r="J2071" s="8">
        <v>2.2</v>
      </c>
      <c r="K2071" s="8" t="s">
        <v>583</v>
      </c>
      <c r="M2071" s="8" t="s">
        <v>343</v>
      </c>
      <c r="N2071" s="8">
        <v>0.8</v>
      </c>
      <c r="O2071" s="14">
        <f t="shared" si="1"/>
        <v>44075</v>
      </c>
      <c r="P2071" s="15">
        <f>IFERROR(VLOOKUP(K2071,Formula!$A$11:$B$20,2,FALSE),Formula!$C$26)</f>
        <v>0.95</v>
      </c>
      <c r="Q2071" s="15">
        <f>IF(AND(ISNUMBER(J2071),J2071&gt;0),1/J2071,IF(AND(ISNUMBER(I2071),I2071&gt;0),SQRT(MIN(I2071,Formula!$C$27))/Formula!$C$24,1/Formula!$C$25))</f>
        <v>0.4545454545</v>
      </c>
      <c r="R2071" s="15">
        <f t="shared" si="2"/>
        <v>0.4318181818</v>
      </c>
      <c r="S2071" s="15">
        <f>IF(H2071&lt;&gt;"",EXP(-Formula!$C$28*(EOMONTH(H2071,0)-H2071)),EXP(-Formula!$C$28*(EOMONTH(D2071,0)-D2071)))</f>
        <v>0.3011942119</v>
      </c>
      <c r="T2071" s="15">
        <f t="shared" si="3"/>
        <v>0.3015113446</v>
      </c>
      <c r="U2071" s="15">
        <f t="shared" si="4"/>
        <v>0.03921490828</v>
      </c>
      <c r="V2071" s="16">
        <f>IF(AND(L2071="Among all respondents",NOT(OR(K2071="Online poll in Telegram channel",K2071="Website online poll",K2071="CAWI (Computer Assisted Web Interviewing)"))),1/(1-MIN(MAX(Formula!$C$33+(YEAR(D2071)-Formula!$C$34)/(Formula!$C$35-Formula!$C$34)*(Formula!$C$32-Formula!$C$33),Formula!$C$33),Formula!$C$32)),1)</f>
        <v>1</v>
      </c>
      <c r="W2071" s="17">
        <f t="shared" si="5"/>
        <v>0.8</v>
      </c>
    </row>
    <row r="2072" ht="15.75" customHeight="1">
      <c r="A2072" s="8" t="s">
        <v>2962</v>
      </c>
      <c r="B2072" s="7" t="s">
        <v>2963</v>
      </c>
      <c r="C2072" s="13" t="s">
        <v>2964</v>
      </c>
      <c r="D2072" s="7" t="s">
        <v>256</v>
      </c>
      <c r="E2072" s="8" t="s">
        <v>240</v>
      </c>
      <c r="F2072" s="8" t="s">
        <v>318</v>
      </c>
      <c r="G2072" s="7" t="s">
        <v>2965</v>
      </c>
      <c r="H2072" s="7" t="s">
        <v>256</v>
      </c>
      <c r="I2072" s="8">
        <v>37400.0</v>
      </c>
      <c r="K2072" s="8" t="s">
        <v>877</v>
      </c>
      <c r="M2072" s="8" t="s">
        <v>323</v>
      </c>
      <c r="N2072" s="8">
        <v>48.0</v>
      </c>
      <c r="O2072" s="14">
        <f t="shared" si="1"/>
        <v>44075</v>
      </c>
      <c r="P2072" s="15">
        <f>IFERROR(VLOOKUP(K2072,Formula!$A$11:$B$20,2,FALSE),Formula!$C$26)</f>
        <v>0.2</v>
      </c>
      <c r="Q2072" s="15">
        <f>IF(AND(ISNUMBER(J2072),J2072&gt;0),1/J2072,IF(AND(ISNUMBER(I2072),I2072&gt;0),SQRT(MIN(I2072,Formula!$C$27))/Formula!$C$24,1/Formula!$C$25))</f>
        <v>0.7215375318</v>
      </c>
      <c r="R2072" s="15">
        <f t="shared" si="2"/>
        <v>0.1443075064</v>
      </c>
      <c r="S2072" s="15">
        <f>IF(H2072&lt;&gt;"",EXP(-Formula!$C$28*(EOMONTH(H2072,0)-H2072)),EXP(-Formula!$C$28*(EOMONTH(D2072,0)-D2072)))</f>
        <v>0.4723665527</v>
      </c>
      <c r="T2072" s="15">
        <f t="shared" si="3"/>
        <v>0.3333333333</v>
      </c>
      <c r="U2072" s="15">
        <f t="shared" si="4"/>
        <v>0.02272201311</v>
      </c>
      <c r="V2072" s="16">
        <f>IF(AND(L2072="Among all respondents",NOT(OR(K2072="Online poll in Telegram channel",K2072="Website online poll",K2072="CAWI (Computer Assisted Web Interviewing)"))),1/(1-MIN(MAX(Formula!$C$33+(YEAR(D2072)-Formula!$C$34)/(Formula!$C$35-Formula!$C$34)*(Formula!$C$32-Formula!$C$33),Formula!$C$33),Formula!$C$32)),1)</f>
        <v>1</v>
      </c>
      <c r="W2072" s="17">
        <f t="shared" si="5"/>
        <v>48</v>
      </c>
    </row>
    <row r="2073" ht="15.75" customHeight="1">
      <c r="A2073" s="8" t="s">
        <v>2966</v>
      </c>
      <c r="B2073" s="7" t="s">
        <v>2963</v>
      </c>
      <c r="C2073" s="13" t="s">
        <v>2964</v>
      </c>
      <c r="D2073" s="7" t="s">
        <v>256</v>
      </c>
      <c r="E2073" s="8" t="s">
        <v>240</v>
      </c>
      <c r="F2073" s="8" t="s">
        <v>318</v>
      </c>
      <c r="G2073" s="7" t="s">
        <v>2965</v>
      </c>
      <c r="H2073" s="7" t="s">
        <v>256</v>
      </c>
      <c r="I2073" s="8">
        <v>37400.0</v>
      </c>
      <c r="K2073" s="8" t="s">
        <v>877</v>
      </c>
      <c r="M2073" s="8" t="s">
        <v>329</v>
      </c>
      <c r="N2073" s="8">
        <v>13.0</v>
      </c>
      <c r="O2073" s="14">
        <f t="shared" si="1"/>
        <v>44075</v>
      </c>
      <c r="P2073" s="15">
        <f>IFERROR(VLOOKUP(K2073,Formula!$A$11:$B$20,2,FALSE),Formula!$C$26)</f>
        <v>0.2</v>
      </c>
      <c r="Q2073" s="15">
        <f>IF(AND(ISNUMBER(J2073),J2073&gt;0),1/J2073,IF(AND(ISNUMBER(I2073),I2073&gt;0),SQRT(MIN(I2073,Formula!$C$27))/Formula!$C$24,1/Formula!$C$25))</f>
        <v>0.7215375318</v>
      </c>
      <c r="R2073" s="15">
        <f t="shared" si="2"/>
        <v>0.1443075064</v>
      </c>
      <c r="S2073" s="15">
        <f>IF(H2073&lt;&gt;"",EXP(-Formula!$C$28*(EOMONTH(H2073,0)-H2073)),EXP(-Formula!$C$28*(EOMONTH(D2073,0)-D2073)))</f>
        <v>0.4723665527</v>
      </c>
      <c r="T2073" s="15">
        <f t="shared" si="3"/>
        <v>0.3333333333</v>
      </c>
      <c r="U2073" s="15">
        <f t="shared" si="4"/>
        <v>0.02272201311</v>
      </c>
      <c r="V2073" s="16">
        <f>IF(AND(L2073="Among all respondents",NOT(OR(K2073="Online poll in Telegram channel",K2073="Website online poll",K2073="CAWI (Computer Assisted Web Interviewing)"))),1/(1-MIN(MAX(Formula!$C$33+(YEAR(D2073)-Formula!$C$34)/(Formula!$C$35-Formula!$C$34)*(Formula!$C$32-Formula!$C$33),Formula!$C$33),Formula!$C$32)),1)</f>
        <v>1</v>
      </c>
      <c r="W2073" s="17">
        <f t="shared" si="5"/>
        <v>13</v>
      </c>
    </row>
    <row r="2074" ht="15.75" customHeight="1">
      <c r="A2074" s="8" t="s">
        <v>2967</v>
      </c>
      <c r="B2074" s="7" t="s">
        <v>2963</v>
      </c>
      <c r="C2074" s="13" t="s">
        <v>2964</v>
      </c>
      <c r="D2074" s="7" t="s">
        <v>256</v>
      </c>
      <c r="E2074" s="8" t="s">
        <v>240</v>
      </c>
      <c r="F2074" s="8" t="s">
        <v>318</v>
      </c>
      <c r="G2074" s="7" t="s">
        <v>2965</v>
      </c>
      <c r="H2074" s="7" t="s">
        <v>256</v>
      </c>
      <c r="I2074" s="8">
        <v>37400.0</v>
      </c>
      <c r="K2074" s="8" t="s">
        <v>877</v>
      </c>
      <c r="M2074" s="8" t="s">
        <v>1539</v>
      </c>
      <c r="N2074" s="8">
        <v>7.0</v>
      </c>
      <c r="O2074" s="14">
        <f t="shared" si="1"/>
        <v>44075</v>
      </c>
      <c r="P2074" s="15">
        <f>IFERROR(VLOOKUP(K2074,Formula!$A$11:$B$20,2,FALSE),Formula!$C$26)</f>
        <v>0.2</v>
      </c>
      <c r="Q2074" s="15">
        <f>IF(AND(ISNUMBER(J2074),J2074&gt;0),1/J2074,IF(AND(ISNUMBER(I2074),I2074&gt;0),SQRT(MIN(I2074,Formula!$C$27))/Formula!$C$24,1/Formula!$C$25))</f>
        <v>0.7215375318</v>
      </c>
      <c r="R2074" s="15">
        <f t="shared" si="2"/>
        <v>0.1443075064</v>
      </c>
      <c r="S2074" s="15">
        <f>IF(H2074&lt;&gt;"",EXP(-Formula!$C$28*(EOMONTH(H2074,0)-H2074)),EXP(-Formula!$C$28*(EOMONTH(D2074,0)-D2074)))</f>
        <v>0.4723665527</v>
      </c>
      <c r="T2074" s="15">
        <f t="shared" si="3"/>
        <v>0.3333333333</v>
      </c>
      <c r="U2074" s="15">
        <f t="shared" si="4"/>
        <v>0.02272201311</v>
      </c>
      <c r="V2074" s="16">
        <f>IF(AND(L2074="Among all respondents",NOT(OR(K2074="Online poll in Telegram channel",K2074="Website online poll",K2074="CAWI (Computer Assisted Web Interviewing)"))),1/(1-MIN(MAX(Formula!$C$33+(YEAR(D2074)-Formula!$C$34)/(Formula!$C$35-Formula!$C$34)*(Formula!$C$32-Formula!$C$33),Formula!$C$33),Formula!$C$32)),1)</f>
        <v>1</v>
      </c>
      <c r="W2074" s="17">
        <f t="shared" si="5"/>
        <v>7</v>
      </c>
    </row>
    <row r="2075" ht="15.75" customHeight="1">
      <c r="A2075" s="8" t="s">
        <v>2968</v>
      </c>
      <c r="B2075" s="7" t="s">
        <v>2963</v>
      </c>
      <c r="C2075" s="13" t="s">
        <v>2964</v>
      </c>
      <c r="D2075" s="7" t="s">
        <v>256</v>
      </c>
      <c r="E2075" s="8" t="s">
        <v>240</v>
      </c>
      <c r="F2075" s="8" t="s">
        <v>318</v>
      </c>
      <c r="G2075" s="7" t="s">
        <v>2965</v>
      </c>
      <c r="H2075" s="7" t="s">
        <v>256</v>
      </c>
      <c r="I2075" s="8">
        <v>37400.0</v>
      </c>
      <c r="K2075" s="8" t="s">
        <v>877</v>
      </c>
      <c r="M2075" s="8" t="s">
        <v>365</v>
      </c>
      <c r="N2075" s="8">
        <v>5.0</v>
      </c>
      <c r="O2075" s="14">
        <f t="shared" si="1"/>
        <v>44075</v>
      </c>
      <c r="P2075" s="15">
        <f>IFERROR(VLOOKUP(K2075,Formula!$A$11:$B$20,2,FALSE),Formula!$C$26)</f>
        <v>0.2</v>
      </c>
      <c r="Q2075" s="15">
        <f>IF(AND(ISNUMBER(J2075),J2075&gt;0),1/J2075,IF(AND(ISNUMBER(I2075),I2075&gt;0),SQRT(MIN(I2075,Formula!$C$27))/Formula!$C$24,1/Formula!$C$25))</f>
        <v>0.7215375318</v>
      </c>
      <c r="R2075" s="15">
        <f t="shared" si="2"/>
        <v>0.1443075064</v>
      </c>
      <c r="S2075" s="15">
        <f>IF(H2075&lt;&gt;"",EXP(-Formula!$C$28*(EOMONTH(H2075,0)-H2075)),EXP(-Formula!$C$28*(EOMONTH(D2075,0)-D2075)))</f>
        <v>0.4723665527</v>
      </c>
      <c r="T2075" s="15">
        <f t="shared" si="3"/>
        <v>0.3333333333</v>
      </c>
      <c r="U2075" s="15">
        <f t="shared" si="4"/>
        <v>0.02272201311</v>
      </c>
      <c r="V2075" s="16">
        <f>IF(AND(L2075="Among all respondents",NOT(OR(K2075="Online poll in Telegram channel",K2075="Website online poll",K2075="CAWI (Computer Assisted Web Interviewing)"))),1/(1-MIN(MAX(Formula!$C$33+(YEAR(D2075)-Formula!$C$34)/(Formula!$C$35-Formula!$C$34)*(Formula!$C$32-Formula!$C$33),Formula!$C$33),Formula!$C$32)),1)</f>
        <v>1</v>
      </c>
      <c r="W2075" s="17">
        <f t="shared" si="5"/>
        <v>5</v>
      </c>
    </row>
    <row r="2076" ht="15.75" customHeight="1">
      <c r="A2076" s="8" t="s">
        <v>2969</v>
      </c>
      <c r="B2076" s="7" t="s">
        <v>2963</v>
      </c>
      <c r="C2076" s="13" t="s">
        <v>2964</v>
      </c>
      <c r="D2076" s="7" t="s">
        <v>256</v>
      </c>
      <c r="E2076" s="8" t="s">
        <v>240</v>
      </c>
      <c r="F2076" s="8" t="s">
        <v>318</v>
      </c>
      <c r="G2076" s="7" t="s">
        <v>2965</v>
      </c>
      <c r="H2076" s="7" t="s">
        <v>256</v>
      </c>
      <c r="I2076" s="8">
        <v>37400.0</v>
      </c>
      <c r="K2076" s="8" t="s">
        <v>877</v>
      </c>
      <c r="M2076" s="8" t="s">
        <v>828</v>
      </c>
      <c r="N2076" s="8">
        <v>3.0</v>
      </c>
      <c r="O2076" s="14">
        <f t="shared" si="1"/>
        <v>44075</v>
      </c>
      <c r="P2076" s="15">
        <f>IFERROR(VLOOKUP(K2076,Formula!$A$11:$B$20,2,FALSE),Formula!$C$26)</f>
        <v>0.2</v>
      </c>
      <c r="Q2076" s="15">
        <f>IF(AND(ISNUMBER(J2076),J2076&gt;0),1/J2076,IF(AND(ISNUMBER(I2076),I2076&gt;0),SQRT(MIN(I2076,Formula!$C$27))/Formula!$C$24,1/Formula!$C$25))</f>
        <v>0.7215375318</v>
      </c>
      <c r="R2076" s="15">
        <f t="shared" si="2"/>
        <v>0.1443075064</v>
      </c>
      <c r="S2076" s="15">
        <f>IF(H2076&lt;&gt;"",EXP(-Formula!$C$28*(EOMONTH(H2076,0)-H2076)),EXP(-Formula!$C$28*(EOMONTH(D2076,0)-D2076)))</f>
        <v>0.4723665527</v>
      </c>
      <c r="T2076" s="15">
        <f t="shared" si="3"/>
        <v>0.3333333333</v>
      </c>
      <c r="U2076" s="15">
        <f t="shared" si="4"/>
        <v>0.02272201311</v>
      </c>
      <c r="V2076" s="16">
        <f>IF(AND(L2076="Among all respondents",NOT(OR(K2076="Online poll in Telegram channel",K2076="Website online poll",K2076="CAWI (Computer Assisted Web Interviewing)"))),1/(1-MIN(MAX(Formula!$C$33+(YEAR(D2076)-Formula!$C$34)/(Formula!$C$35-Formula!$C$34)*(Formula!$C$32-Formula!$C$33),Formula!$C$33),Formula!$C$32)),1)</f>
        <v>1</v>
      </c>
      <c r="W2076" s="17">
        <f t="shared" si="5"/>
        <v>3</v>
      </c>
    </row>
    <row r="2077" ht="15.75" customHeight="1">
      <c r="A2077" s="8" t="s">
        <v>2970</v>
      </c>
      <c r="B2077" s="7" t="s">
        <v>2963</v>
      </c>
      <c r="C2077" s="13" t="s">
        <v>2964</v>
      </c>
      <c r="D2077" s="7" t="s">
        <v>256</v>
      </c>
      <c r="E2077" s="8" t="s">
        <v>240</v>
      </c>
      <c r="F2077" s="8" t="s">
        <v>318</v>
      </c>
      <c r="G2077" s="7" t="s">
        <v>2965</v>
      </c>
      <c r="H2077" s="7" t="s">
        <v>256</v>
      </c>
      <c r="I2077" s="8">
        <v>37400.0</v>
      </c>
      <c r="K2077" s="8" t="s">
        <v>877</v>
      </c>
      <c r="M2077" s="8" t="s">
        <v>333</v>
      </c>
      <c r="N2077" s="8">
        <v>3.0</v>
      </c>
      <c r="O2077" s="14">
        <f t="shared" si="1"/>
        <v>44075</v>
      </c>
      <c r="P2077" s="15">
        <f>IFERROR(VLOOKUP(K2077,Formula!$A$11:$B$20,2,FALSE),Formula!$C$26)</f>
        <v>0.2</v>
      </c>
      <c r="Q2077" s="15">
        <f>IF(AND(ISNUMBER(J2077),J2077&gt;0),1/J2077,IF(AND(ISNUMBER(I2077),I2077&gt;0),SQRT(MIN(I2077,Formula!$C$27))/Formula!$C$24,1/Formula!$C$25))</f>
        <v>0.7215375318</v>
      </c>
      <c r="R2077" s="15">
        <f t="shared" si="2"/>
        <v>0.1443075064</v>
      </c>
      <c r="S2077" s="15">
        <f>IF(H2077&lt;&gt;"",EXP(-Formula!$C$28*(EOMONTH(H2077,0)-H2077)),EXP(-Formula!$C$28*(EOMONTH(D2077,0)-D2077)))</f>
        <v>0.4723665527</v>
      </c>
      <c r="T2077" s="15">
        <f t="shared" si="3"/>
        <v>0.3333333333</v>
      </c>
      <c r="U2077" s="15">
        <f t="shared" si="4"/>
        <v>0.02272201311</v>
      </c>
      <c r="V2077" s="16">
        <f>IF(AND(L2077="Among all respondents",NOT(OR(K2077="Online poll in Telegram channel",K2077="Website online poll",K2077="CAWI (Computer Assisted Web Interviewing)"))),1/(1-MIN(MAX(Formula!$C$33+(YEAR(D2077)-Formula!$C$34)/(Formula!$C$35-Formula!$C$34)*(Formula!$C$32-Formula!$C$33),Formula!$C$33),Formula!$C$32)),1)</f>
        <v>1</v>
      </c>
      <c r="W2077" s="17">
        <f t="shared" si="5"/>
        <v>3</v>
      </c>
    </row>
    <row r="2078" ht="15.75" customHeight="1">
      <c r="A2078" s="8" t="s">
        <v>2971</v>
      </c>
      <c r="B2078" s="7" t="s">
        <v>2963</v>
      </c>
      <c r="C2078" s="13" t="s">
        <v>2964</v>
      </c>
      <c r="D2078" s="7" t="s">
        <v>256</v>
      </c>
      <c r="E2078" s="8" t="s">
        <v>240</v>
      </c>
      <c r="F2078" s="8" t="s">
        <v>318</v>
      </c>
      <c r="G2078" s="7" t="s">
        <v>2965</v>
      </c>
      <c r="H2078" s="7" t="s">
        <v>256</v>
      </c>
      <c r="I2078" s="8">
        <v>37400.0</v>
      </c>
      <c r="K2078" s="8" t="s">
        <v>877</v>
      </c>
      <c r="M2078" s="8" t="s">
        <v>337</v>
      </c>
      <c r="N2078" s="8">
        <v>2.0</v>
      </c>
      <c r="O2078" s="14">
        <f t="shared" si="1"/>
        <v>44075</v>
      </c>
      <c r="P2078" s="15">
        <f>IFERROR(VLOOKUP(K2078,Formula!$A$11:$B$20,2,FALSE),Formula!$C$26)</f>
        <v>0.2</v>
      </c>
      <c r="Q2078" s="15">
        <f>IF(AND(ISNUMBER(J2078),J2078&gt;0),1/J2078,IF(AND(ISNUMBER(I2078),I2078&gt;0),SQRT(MIN(I2078,Formula!$C$27))/Formula!$C$24,1/Formula!$C$25))</f>
        <v>0.7215375318</v>
      </c>
      <c r="R2078" s="15">
        <f t="shared" si="2"/>
        <v>0.1443075064</v>
      </c>
      <c r="S2078" s="15">
        <f>IF(H2078&lt;&gt;"",EXP(-Formula!$C$28*(EOMONTH(H2078,0)-H2078)),EXP(-Formula!$C$28*(EOMONTH(D2078,0)-D2078)))</f>
        <v>0.4723665527</v>
      </c>
      <c r="T2078" s="15">
        <f t="shared" si="3"/>
        <v>0.3333333333</v>
      </c>
      <c r="U2078" s="15">
        <f t="shared" si="4"/>
        <v>0.02272201311</v>
      </c>
      <c r="V2078" s="16">
        <f>IF(AND(L2078="Among all respondents",NOT(OR(K2078="Online poll in Telegram channel",K2078="Website online poll",K2078="CAWI (Computer Assisted Web Interviewing)"))),1/(1-MIN(MAX(Formula!$C$33+(YEAR(D2078)-Formula!$C$34)/(Formula!$C$35-Formula!$C$34)*(Formula!$C$32-Formula!$C$33),Formula!$C$33),Formula!$C$32)),1)</f>
        <v>1</v>
      </c>
      <c r="W2078" s="17">
        <f t="shared" si="5"/>
        <v>2</v>
      </c>
    </row>
    <row r="2079" ht="15.75" customHeight="1">
      <c r="A2079" s="8" t="s">
        <v>2972</v>
      </c>
      <c r="B2079" s="7" t="s">
        <v>2963</v>
      </c>
      <c r="C2079" s="13" t="s">
        <v>2964</v>
      </c>
      <c r="D2079" s="7" t="s">
        <v>256</v>
      </c>
      <c r="E2079" s="8" t="s">
        <v>240</v>
      </c>
      <c r="F2079" s="8" t="s">
        <v>318</v>
      </c>
      <c r="G2079" s="7" t="s">
        <v>2965</v>
      </c>
      <c r="H2079" s="7" t="s">
        <v>256</v>
      </c>
      <c r="I2079" s="8">
        <v>37400.0</v>
      </c>
      <c r="K2079" s="8" t="s">
        <v>877</v>
      </c>
      <c r="M2079" s="8" t="s">
        <v>2973</v>
      </c>
      <c r="N2079" s="8">
        <v>2.0</v>
      </c>
      <c r="O2079" s="14">
        <f t="shared" si="1"/>
        <v>44075</v>
      </c>
      <c r="P2079" s="15">
        <f>IFERROR(VLOOKUP(K2079,Formula!$A$11:$B$20,2,FALSE),Formula!$C$26)</f>
        <v>0.2</v>
      </c>
      <c r="Q2079" s="15">
        <f>IF(AND(ISNUMBER(J2079),J2079&gt;0),1/J2079,IF(AND(ISNUMBER(I2079),I2079&gt;0),SQRT(MIN(I2079,Formula!$C$27))/Formula!$C$24,1/Formula!$C$25))</f>
        <v>0.7215375318</v>
      </c>
      <c r="R2079" s="15">
        <f t="shared" si="2"/>
        <v>0.1443075064</v>
      </c>
      <c r="S2079" s="15">
        <f>IF(H2079&lt;&gt;"",EXP(-Formula!$C$28*(EOMONTH(H2079,0)-H2079)),EXP(-Formula!$C$28*(EOMONTH(D2079,0)-D2079)))</f>
        <v>0.4723665527</v>
      </c>
      <c r="T2079" s="15">
        <f t="shared" si="3"/>
        <v>0.3333333333</v>
      </c>
      <c r="U2079" s="15">
        <f t="shared" si="4"/>
        <v>0.02272201311</v>
      </c>
      <c r="V2079" s="16">
        <f>IF(AND(L2079="Among all respondents",NOT(OR(K2079="Online poll in Telegram channel",K2079="Website online poll",K2079="CAWI (Computer Assisted Web Interviewing)"))),1/(1-MIN(MAX(Formula!$C$33+(YEAR(D2079)-Formula!$C$34)/(Formula!$C$35-Formula!$C$34)*(Formula!$C$32-Formula!$C$33),Formula!$C$33),Formula!$C$32)),1)</f>
        <v>1</v>
      </c>
      <c r="W2079" s="17">
        <f t="shared" si="5"/>
        <v>2</v>
      </c>
    </row>
    <row r="2080" ht="15.75" customHeight="1">
      <c r="A2080" s="8" t="s">
        <v>2974</v>
      </c>
      <c r="B2080" s="7" t="s">
        <v>2963</v>
      </c>
      <c r="C2080" s="13" t="s">
        <v>2964</v>
      </c>
      <c r="D2080" s="7" t="s">
        <v>256</v>
      </c>
      <c r="E2080" s="8" t="s">
        <v>240</v>
      </c>
      <c r="F2080" s="8" t="s">
        <v>318</v>
      </c>
      <c r="G2080" s="7" t="s">
        <v>2965</v>
      </c>
      <c r="H2080" s="7" t="s">
        <v>256</v>
      </c>
      <c r="I2080" s="8">
        <v>37400.0</v>
      </c>
      <c r="K2080" s="8" t="s">
        <v>877</v>
      </c>
      <c r="M2080" s="8" t="s">
        <v>858</v>
      </c>
      <c r="N2080" s="8">
        <v>1.0</v>
      </c>
      <c r="O2080" s="14">
        <f t="shared" si="1"/>
        <v>44075</v>
      </c>
      <c r="P2080" s="15">
        <f>IFERROR(VLOOKUP(K2080,Formula!$A$11:$B$20,2,FALSE),Formula!$C$26)</f>
        <v>0.2</v>
      </c>
      <c r="Q2080" s="15">
        <f>IF(AND(ISNUMBER(J2080),J2080&gt;0),1/J2080,IF(AND(ISNUMBER(I2080),I2080&gt;0),SQRT(MIN(I2080,Formula!$C$27))/Formula!$C$24,1/Formula!$C$25))</f>
        <v>0.7215375318</v>
      </c>
      <c r="R2080" s="15">
        <f t="shared" si="2"/>
        <v>0.1443075064</v>
      </c>
      <c r="S2080" s="15">
        <f>IF(H2080&lt;&gt;"",EXP(-Formula!$C$28*(EOMONTH(H2080,0)-H2080)),EXP(-Formula!$C$28*(EOMONTH(D2080,0)-D2080)))</f>
        <v>0.4723665527</v>
      </c>
      <c r="T2080" s="15">
        <f t="shared" si="3"/>
        <v>0.3333333333</v>
      </c>
      <c r="U2080" s="15">
        <f t="shared" si="4"/>
        <v>0.02272201311</v>
      </c>
      <c r="V2080" s="16">
        <f>IF(AND(L2080="Among all respondents",NOT(OR(K2080="Online poll in Telegram channel",K2080="Website online poll",K2080="CAWI (Computer Assisted Web Interviewing)"))),1/(1-MIN(MAX(Formula!$C$33+(YEAR(D2080)-Formula!$C$34)/(Formula!$C$35-Formula!$C$34)*(Formula!$C$32-Formula!$C$33),Formula!$C$33),Formula!$C$32)),1)</f>
        <v>1</v>
      </c>
      <c r="W2080" s="17">
        <f t="shared" si="5"/>
        <v>1</v>
      </c>
    </row>
    <row r="2081" ht="15.75" customHeight="1">
      <c r="A2081" s="8" t="s">
        <v>2975</v>
      </c>
      <c r="B2081" s="7" t="s">
        <v>2976</v>
      </c>
      <c r="C2081" s="13" t="s">
        <v>2977</v>
      </c>
      <c r="D2081" s="7" t="s">
        <v>260</v>
      </c>
      <c r="E2081" s="8" t="s">
        <v>261</v>
      </c>
      <c r="F2081" s="8" t="s">
        <v>318</v>
      </c>
      <c r="G2081" s="7" t="s">
        <v>2978</v>
      </c>
      <c r="H2081" s="7" t="s">
        <v>258</v>
      </c>
      <c r="I2081" s="8">
        <v>4000.0</v>
      </c>
      <c r="K2081" s="8" t="s">
        <v>583</v>
      </c>
      <c r="M2081" s="8" t="s">
        <v>323</v>
      </c>
      <c r="N2081" s="8">
        <v>25.6</v>
      </c>
      <c r="O2081" s="14">
        <f t="shared" si="1"/>
        <v>44044</v>
      </c>
      <c r="P2081" s="15">
        <f>IFERROR(VLOOKUP(K2081,Formula!$A$11:$B$20,2,FALSE),Formula!$C$26)</f>
        <v>0.95</v>
      </c>
      <c r="Q2081" s="15">
        <f>IF(AND(ISNUMBER(J2081),J2081&gt;0),1/J2081,IF(AND(ISNUMBER(I2081),I2081&gt;0),SQRT(MIN(I2081,Formula!$C$27))/Formula!$C$24,1/Formula!$C$25))</f>
        <v>0.6453627878</v>
      </c>
      <c r="R2081" s="15">
        <f t="shared" si="2"/>
        <v>0.6130946484</v>
      </c>
      <c r="S2081" s="15">
        <f>IF(H2081&lt;&gt;"",EXP(-Formula!$C$28*(EOMONTH(H2081,0)-H2081)),EXP(-Formula!$C$28*(EOMONTH(D2081,0)-D2081)))</f>
        <v>0.8607079764</v>
      </c>
      <c r="T2081" s="15">
        <f t="shared" si="3"/>
        <v>0.3535533906</v>
      </c>
      <c r="U2081" s="15">
        <f t="shared" si="4"/>
        <v>0.186568517</v>
      </c>
      <c r="V2081" s="16">
        <f>IF(AND(L2081="Among all respondents",NOT(OR(K2081="Online poll in Telegram channel",K2081="Website online poll",K2081="CAWI (Computer Assisted Web Interviewing)"))),1/(1-MIN(MAX(Formula!$C$33+(YEAR(D2081)-Formula!$C$34)/(Formula!$C$35-Formula!$C$34)*(Formula!$C$32-Formula!$C$33),Formula!$C$33),Formula!$C$32)),1)</f>
        <v>1</v>
      </c>
      <c r="W2081" s="17">
        <f t="shared" si="5"/>
        <v>25.6</v>
      </c>
    </row>
    <row r="2082" ht="15.75" customHeight="1">
      <c r="A2082" s="8" t="s">
        <v>2979</v>
      </c>
      <c r="B2082" s="7" t="s">
        <v>2976</v>
      </c>
      <c r="C2082" s="13" t="s">
        <v>2977</v>
      </c>
      <c r="D2082" s="7" t="s">
        <v>260</v>
      </c>
      <c r="E2082" s="8" t="s">
        <v>261</v>
      </c>
      <c r="F2082" s="8" t="s">
        <v>318</v>
      </c>
      <c r="G2082" s="7" t="s">
        <v>2978</v>
      </c>
      <c r="H2082" s="7" t="s">
        <v>258</v>
      </c>
      <c r="I2082" s="8">
        <v>4000.0</v>
      </c>
      <c r="K2082" s="8" t="s">
        <v>583</v>
      </c>
      <c r="M2082" s="8" t="s">
        <v>329</v>
      </c>
      <c r="N2082" s="8">
        <v>13.7</v>
      </c>
      <c r="O2082" s="14">
        <f t="shared" si="1"/>
        <v>44044</v>
      </c>
      <c r="P2082" s="15">
        <f>IFERROR(VLOOKUP(K2082,Formula!$A$11:$B$20,2,FALSE),Formula!$C$26)</f>
        <v>0.95</v>
      </c>
      <c r="Q2082" s="15">
        <f>IF(AND(ISNUMBER(J2082),J2082&gt;0),1/J2082,IF(AND(ISNUMBER(I2082),I2082&gt;0),SQRT(MIN(I2082,Formula!$C$27))/Formula!$C$24,1/Formula!$C$25))</f>
        <v>0.6453627878</v>
      </c>
      <c r="R2082" s="15">
        <f t="shared" si="2"/>
        <v>0.6130946484</v>
      </c>
      <c r="S2082" s="15">
        <f>IF(H2082&lt;&gt;"",EXP(-Formula!$C$28*(EOMONTH(H2082,0)-H2082)),EXP(-Formula!$C$28*(EOMONTH(D2082,0)-D2082)))</f>
        <v>0.8607079764</v>
      </c>
      <c r="T2082" s="15">
        <f t="shared" si="3"/>
        <v>0.3535533906</v>
      </c>
      <c r="U2082" s="15">
        <f t="shared" si="4"/>
        <v>0.186568517</v>
      </c>
      <c r="V2082" s="16">
        <f>IF(AND(L2082="Among all respondents",NOT(OR(K2082="Online poll in Telegram channel",K2082="Website online poll",K2082="CAWI (Computer Assisted Web Interviewing)"))),1/(1-MIN(MAX(Formula!$C$33+(YEAR(D2082)-Formula!$C$34)/(Formula!$C$35-Formula!$C$34)*(Formula!$C$32-Formula!$C$33),Formula!$C$33),Formula!$C$32)),1)</f>
        <v>1</v>
      </c>
      <c r="W2082" s="17">
        <f t="shared" si="5"/>
        <v>13.7</v>
      </c>
    </row>
    <row r="2083" ht="15.75" customHeight="1">
      <c r="A2083" s="8" t="s">
        <v>2980</v>
      </c>
      <c r="B2083" s="7" t="s">
        <v>2976</v>
      </c>
      <c r="C2083" s="13" t="s">
        <v>2977</v>
      </c>
      <c r="D2083" s="7" t="s">
        <v>260</v>
      </c>
      <c r="E2083" s="8" t="s">
        <v>261</v>
      </c>
      <c r="F2083" s="8" t="s">
        <v>318</v>
      </c>
      <c r="G2083" s="7" t="s">
        <v>2978</v>
      </c>
      <c r="H2083" s="7" t="s">
        <v>258</v>
      </c>
      <c r="I2083" s="8">
        <v>4000.0</v>
      </c>
      <c r="K2083" s="8" t="s">
        <v>583</v>
      </c>
      <c r="M2083" s="8" t="s">
        <v>365</v>
      </c>
      <c r="N2083" s="8">
        <v>12.0</v>
      </c>
      <c r="O2083" s="14">
        <f t="shared" si="1"/>
        <v>44044</v>
      </c>
      <c r="P2083" s="15">
        <f>IFERROR(VLOOKUP(K2083,Formula!$A$11:$B$20,2,FALSE),Formula!$C$26)</f>
        <v>0.95</v>
      </c>
      <c r="Q2083" s="15">
        <f>IF(AND(ISNUMBER(J2083),J2083&gt;0),1/J2083,IF(AND(ISNUMBER(I2083),I2083&gt;0),SQRT(MIN(I2083,Formula!$C$27))/Formula!$C$24,1/Formula!$C$25))</f>
        <v>0.6453627878</v>
      </c>
      <c r="R2083" s="15">
        <f t="shared" si="2"/>
        <v>0.6130946484</v>
      </c>
      <c r="S2083" s="15">
        <f>IF(H2083&lt;&gt;"",EXP(-Formula!$C$28*(EOMONTH(H2083,0)-H2083)),EXP(-Formula!$C$28*(EOMONTH(D2083,0)-D2083)))</f>
        <v>0.8607079764</v>
      </c>
      <c r="T2083" s="15">
        <f t="shared" si="3"/>
        <v>0.3535533906</v>
      </c>
      <c r="U2083" s="15">
        <f t="shared" si="4"/>
        <v>0.186568517</v>
      </c>
      <c r="V2083" s="16">
        <f>IF(AND(L2083="Among all respondents",NOT(OR(K2083="Online poll in Telegram channel",K2083="Website online poll",K2083="CAWI (Computer Assisted Web Interviewing)"))),1/(1-MIN(MAX(Formula!$C$33+(YEAR(D2083)-Formula!$C$34)/(Formula!$C$35-Formula!$C$34)*(Formula!$C$32-Formula!$C$33),Formula!$C$33),Formula!$C$32)),1)</f>
        <v>1</v>
      </c>
      <c r="W2083" s="17">
        <f t="shared" si="5"/>
        <v>12</v>
      </c>
    </row>
    <row r="2084" ht="15.75" customHeight="1">
      <c r="A2084" s="8" t="s">
        <v>2981</v>
      </c>
      <c r="B2084" s="7" t="s">
        <v>2976</v>
      </c>
      <c r="C2084" s="13" t="s">
        <v>2977</v>
      </c>
      <c r="D2084" s="7" t="s">
        <v>260</v>
      </c>
      <c r="E2084" s="8" t="s">
        <v>261</v>
      </c>
      <c r="F2084" s="8" t="s">
        <v>318</v>
      </c>
      <c r="G2084" s="7" t="s">
        <v>2978</v>
      </c>
      <c r="H2084" s="7" t="s">
        <v>258</v>
      </c>
      <c r="I2084" s="8">
        <v>4000.0</v>
      </c>
      <c r="K2084" s="8" t="s">
        <v>583</v>
      </c>
      <c r="M2084" s="8" t="s">
        <v>337</v>
      </c>
      <c r="N2084" s="8">
        <v>6.8</v>
      </c>
      <c r="O2084" s="14">
        <f t="shared" si="1"/>
        <v>44044</v>
      </c>
      <c r="P2084" s="15">
        <f>IFERROR(VLOOKUP(K2084,Formula!$A$11:$B$20,2,FALSE),Formula!$C$26)</f>
        <v>0.95</v>
      </c>
      <c r="Q2084" s="15">
        <f>IF(AND(ISNUMBER(J2084),J2084&gt;0),1/J2084,IF(AND(ISNUMBER(I2084),I2084&gt;0),SQRT(MIN(I2084,Formula!$C$27))/Formula!$C$24,1/Formula!$C$25))</f>
        <v>0.6453627878</v>
      </c>
      <c r="R2084" s="15">
        <f t="shared" si="2"/>
        <v>0.6130946484</v>
      </c>
      <c r="S2084" s="15">
        <f>IF(H2084&lt;&gt;"",EXP(-Formula!$C$28*(EOMONTH(H2084,0)-H2084)),EXP(-Formula!$C$28*(EOMONTH(D2084,0)-D2084)))</f>
        <v>0.8607079764</v>
      </c>
      <c r="T2084" s="15">
        <f t="shared" si="3"/>
        <v>0.3535533906</v>
      </c>
      <c r="U2084" s="15">
        <f t="shared" si="4"/>
        <v>0.186568517</v>
      </c>
      <c r="V2084" s="16">
        <f>IF(AND(L2084="Among all respondents",NOT(OR(K2084="Online poll in Telegram channel",K2084="Website online poll",K2084="CAWI (Computer Assisted Web Interviewing)"))),1/(1-MIN(MAX(Formula!$C$33+(YEAR(D2084)-Formula!$C$34)/(Formula!$C$35-Formula!$C$34)*(Formula!$C$32-Formula!$C$33),Formula!$C$33),Formula!$C$32)),1)</f>
        <v>1</v>
      </c>
      <c r="W2084" s="17">
        <f t="shared" si="5"/>
        <v>6.8</v>
      </c>
    </row>
    <row r="2085" ht="15.75" customHeight="1">
      <c r="A2085" s="8" t="s">
        <v>2982</v>
      </c>
      <c r="B2085" s="7" t="s">
        <v>2976</v>
      </c>
      <c r="C2085" s="13" t="s">
        <v>2977</v>
      </c>
      <c r="D2085" s="7" t="s">
        <v>260</v>
      </c>
      <c r="E2085" s="8" t="s">
        <v>261</v>
      </c>
      <c r="F2085" s="8" t="s">
        <v>318</v>
      </c>
      <c r="G2085" s="7" t="s">
        <v>2978</v>
      </c>
      <c r="H2085" s="7" t="s">
        <v>258</v>
      </c>
      <c r="I2085" s="8">
        <v>4000.0</v>
      </c>
      <c r="K2085" s="8" t="s">
        <v>583</v>
      </c>
      <c r="M2085" s="8" t="s">
        <v>828</v>
      </c>
      <c r="N2085" s="8">
        <v>5.3</v>
      </c>
      <c r="O2085" s="14">
        <f t="shared" si="1"/>
        <v>44044</v>
      </c>
      <c r="P2085" s="15">
        <f>IFERROR(VLOOKUP(K2085,Formula!$A$11:$B$20,2,FALSE),Formula!$C$26)</f>
        <v>0.95</v>
      </c>
      <c r="Q2085" s="15">
        <f>IF(AND(ISNUMBER(J2085),J2085&gt;0),1/J2085,IF(AND(ISNUMBER(I2085),I2085&gt;0),SQRT(MIN(I2085,Formula!$C$27))/Formula!$C$24,1/Formula!$C$25))</f>
        <v>0.6453627878</v>
      </c>
      <c r="R2085" s="15">
        <f t="shared" si="2"/>
        <v>0.6130946484</v>
      </c>
      <c r="S2085" s="15">
        <f>IF(H2085&lt;&gt;"",EXP(-Formula!$C$28*(EOMONTH(H2085,0)-H2085)),EXP(-Formula!$C$28*(EOMONTH(D2085,0)-D2085)))</f>
        <v>0.8607079764</v>
      </c>
      <c r="T2085" s="15">
        <f t="shared" si="3"/>
        <v>0.3535533906</v>
      </c>
      <c r="U2085" s="15">
        <f t="shared" si="4"/>
        <v>0.186568517</v>
      </c>
      <c r="V2085" s="16">
        <f>IF(AND(L2085="Among all respondents",NOT(OR(K2085="Online poll in Telegram channel",K2085="Website online poll",K2085="CAWI (Computer Assisted Web Interviewing)"))),1/(1-MIN(MAX(Formula!$C$33+(YEAR(D2085)-Formula!$C$34)/(Formula!$C$35-Formula!$C$34)*(Formula!$C$32-Formula!$C$33),Formula!$C$33),Formula!$C$32)),1)</f>
        <v>1</v>
      </c>
      <c r="W2085" s="17">
        <f t="shared" si="5"/>
        <v>5.3</v>
      </c>
    </row>
    <row r="2086" ht="15.75" customHeight="1">
      <c r="A2086" s="8" t="s">
        <v>2983</v>
      </c>
      <c r="B2086" s="7" t="s">
        <v>2976</v>
      </c>
      <c r="C2086" s="13" t="s">
        <v>2977</v>
      </c>
      <c r="D2086" s="7" t="s">
        <v>260</v>
      </c>
      <c r="E2086" s="8" t="s">
        <v>261</v>
      </c>
      <c r="F2086" s="8" t="s">
        <v>318</v>
      </c>
      <c r="G2086" s="7" t="s">
        <v>2978</v>
      </c>
      <c r="H2086" s="7" t="s">
        <v>258</v>
      </c>
      <c r="I2086" s="8">
        <v>4000.0</v>
      </c>
      <c r="K2086" s="8" t="s">
        <v>583</v>
      </c>
      <c r="M2086" s="8" t="s">
        <v>1539</v>
      </c>
      <c r="N2086" s="8">
        <v>2.2</v>
      </c>
      <c r="O2086" s="14">
        <f t="shared" si="1"/>
        <v>44044</v>
      </c>
      <c r="P2086" s="15">
        <f>IFERROR(VLOOKUP(K2086,Formula!$A$11:$B$20,2,FALSE),Formula!$C$26)</f>
        <v>0.95</v>
      </c>
      <c r="Q2086" s="15">
        <f>IF(AND(ISNUMBER(J2086),J2086&gt;0),1/J2086,IF(AND(ISNUMBER(I2086),I2086&gt;0),SQRT(MIN(I2086,Formula!$C$27))/Formula!$C$24,1/Formula!$C$25))</f>
        <v>0.6453627878</v>
      </c>
      <c r="R2086" s="15">
        <f t="shared" si="2"/>
        <v>0.6130946484</v>
      </c>
      <c r="S2086" s="15">
        <f>IF(H2086&lt;&gt;"",EXP(-Formula!$C$28*(EOMONTH(H2086,0)-H2086)),EXP(-Formula!$C$28*(EOMONTH(D2086,0)-D2086)))</f>
        <v>0.8607079764</v>
      </c>
      <c r="T2086" s="15">
        <f t="shared" si="3"/>
        <v>0.3535533906</v>
      </c>
      <c r="U2086" s="15">
        <f t="shared" si="4"/>
        <v>0.186568517</v>
      </c>
      <c r="V2086" s="16">
        <f>IF(AND(L2086="Among all respondents",NOT(OR(K2086="Online poll in Telegram channel",K2086="Website online poll",K2086="CAWI (Computer Assisted Web Interviewing)"))),1/(1-MIN(MAX(Formula!$C$33+(YEAR(D2086)-Formula!$C$34)/(Formula!$C$35-Formula!$C$34)*(Formula!$C$32-Formula!$C$33),Formula!$C$33),Formula!$C$32)),1)</f>
        <v>1</v>
      </c>
      <c r="W2086" s="17">
        <f t="shared" si="5"/>
        <v>2.2</v>
      </c>
    </row>
    <row r="2087" ht="15.75" customHeight="1">
      <c r="A2087" s="8" t="s">
        <v>2984</v>
      </c>
      <c r="B2087" s="7" t="s">
        <v>2976</v>
      </c>
      <c r="C2087" s="13" t="s">
        <v>2977</v>
      </c>
      <c r="D2087" s="7" t="s">
        <v>260</v>
      </c>
      <c r="E2087" s="8" t="s">
        <v>261</v>
      </c>
      <c r="F2087" s="8" t="s">
        <v>318</v>
      </c>
      <c r="G2087" s="7" t="s">
        <v>2978</v>
      </c>
      <c r="H2087" s="7" t="s">
        <v>258</v>
      </c>
      <c r="I2087" s="8">
        <v>4000.0</v>
      </c>
      <c r="K2087" s="8" t="s">
        <v>583</v>
      </c>
      <c r="M2087" s="8" t="s">
        <v>388</v>
      </c>
      <c r="N2087" s="8">
        <v>2.2</v>
      </c>
      <c r="O2087" s="14">
        <f t="shared" si="1"/>
        <v>44044</v>
      </c>
      <c r="P2087" s="15">
        <f>IFERROR(VLOOKUP(K2087,Formula!$A$11:$B$20,2,FALSE),Formula!$C$26)</f>
        <v>0.95</v>
      </c>
      <c r="Q2087" s="15">
        <f>IF(AND(ISNUMBER(J2087),J2087&gt;0),1/J2087,IF(AND(ISNUMBER(I2087),I2087&gt;0),SQRT(MIN(I2087,Formula!$C$27))/Formula!$C$24,1/Formula!$C$25))</f>
        <v>0.6453627878</v>
      </c>
      <c r="R2087" s="15">
        <f t="shared" si="2"/>
        <v>0.6130946484</v>
      </c>
      <c r="S2087" s="15">
        <f>IF(H2087&lt;&gt;"",EXP(-Formula!$C$28*(EOMONTH(H2087,0)-H2087)),EXP(-Formula!$C$28*(EOMONTH(D2087,0)-D2087)))</f>
        <v>0.8607079764</v>
      </c>
      <c r="T2087" s="15">
        <f t="shared" si="3"/>
        <v>0.3535533906</v>
      </c>
      <c r="U2087" s="15">
        <f t="shared" si="4"/>
        <v>0.186568517</v>
      </c>
      <c r="V2087" s="16">
        <f>IF(AND(L2087="Among all respondents",NOT(OR(K2087="Online poll in Telegram channel",K2087="Website online poll",K2087="CAWI (Computer Assisted Web Interviewing)"))),1/(1-MIN(MAX(Formula!$C$33+(YEAR(D2087)-Formula!$C$34)/(Formula!$C$35-Formula!$C$34)*(Formula!$C$32-Formula!$C$33),Formula!$C$33),Formula!$C$32)),1)</f>
        <v>1</v>
      </c>
      <c r="W2087" s="17">
        <f t="shared" si="5"/>
        <v>2.2</v>
      </c>
    </row>
    <row r="2088" ht="15.75" customHeight="1">
      <c r="A2088" s="8" t="s">
        <v>2985</v>
      </c>
      <c r="B2088" s="7" t="s">
        <v>2976</v>
      </c>
      <c r="C2088" s="13" t="s">
        <v>2977</v>
      </c>
      <c r="D2088" s="7" t="s">
        <v>260</v>
      </c>
      <c r="E2088" s="8" t="s">
        <v>261</v>
      </c>
      <c r="F2088" s="8" t="s">
        <v>318</v>
      </c>
      <c r="G2088" s="7" t="s">
        <v>2978</v>
      </c>
      <c r="H2088" s="7" t="s">
        <v>258</v>
      </c>
      <c r="I2088" s="8">
        <v>4000.0</v>
      </c>
      <c r="K2088" s="8" t="s">
        <v>583</v>
      </c>
      <c r="M2088" s="8" t="s">
        <v>335</v>
      </c>
      <c r="N2088" s="8">
        <v>0.8</v>
      </c>
      <c r="O2088" s="14">
        <f t="shared" si="1"/>
        <v>44044</v>
      </c>
      <c r="P2088" s="15">
        <f>IFERROR(VLOOKUP(K2088,Formula!$A$11:$B$20,2,FALSE),Formula!$C$26)</f>
        <v>0.95</v>
      </c>
      <c r="Q2088" s="15">
        <f>IF(AND(ISNUMBER(J2088),J2088&gt;0),1/J2088,IF(AND(ISNUMBER(I2088),I2088&gt;0),SQRT(MIN(I2088,Formula!$C$27))/Formula!$C$24,1/Formula!$C$25))</f>
        <v>0.6453627878</v>
      </c>
      <c r="R2088" s="15">
        <f t="shared" si="2"/>
        <v>0.6130946484</v>
      </c>
      <c r="S2088" s="15">
        <f>IF(H2088&lt;&gt;"",EXP(-Formula!$C$28*(EOMONTH(H2088,0)-H2088)),EXP(-Formula!$C$28*(EOMONTH(D2088,0)-D2088)))</f>
        <v>0.8607079764</v>
      </c>
      <c r="T2088" s="15">
        <f t="shared" si="3"/>
        <v>0.3535533906</v>
      </c>
      <c r="U2088" s="15">
        <f t="shared" si="4"/>
        <v>0.186568517</v>
      </c>
      <c r="V2088" s="16">
        <f>IF(AND(L2088="Among all respondents",NOT(OR(K2088="Online poll in Telegram channel",K2088="Website online poll",K2088="CAWI (Computer Assisted Web Interviewing)"))),1/(1-MIN(MAX(Formula!$C$33+(YEAR(D2088)-Formula!$C$34)/(Formula!$C$35-Formula!$C$34)*(Formula!$C$32-Formula!$C$33),Formula!$C$33),Formula!$C$32)),1)</f>
        <v>1</v>
      </c>
      <c r="W2088" s="17">
        <f t="shared" si="5"/>
        <v>0.8</v>
      </c>
    </row>
    <row r="2089" ht="15.75" customHeight="1">
      <c r="A2089" s="8" t="s">
        <v>2986</v>
      </c>
      <c r="B2089" s="7" t="s">
        <v>2987</v>
      </c>
      <c r="C2089" s="13" t="s">
        <v>2988</v>
      </c>
      <c r="D2089" s="7" t="s">
        <v>258</v>
      </c>
      <c r="E2089" s="8" t="s">
        <v>240</v>
      </c>
      <c r="F2089" s="8" t="s">
        <v>318</v>
      </c>
      <c r="G2089" s="7" t="s">
        <v>262</v>
      </c>
      <c r="H2089" s="7" t="s">
        <v>258</v>
      </c>
      <c r="I2089" s="8">
        <v>15790.0</v>
      </c>
      <c r="K2089" s="8" t="s">
        <v>877</v>
      </c>
      <c r="M2089" s="8" t="s">
        <v>323</v>
      </c>
      <c r="N2089" s="8">
        <v>54.5</v>
      </c>
      <c r="O2089" s="14">
        <f t="shared" si="1"/>
        <v>44013</v>
      </c>
      <c r="P2089" s="15">
        <f>IFERROR(VLOOKUP(K2089,Formula!$A$11:$B$20,2,FALSE),Formula!$C$26)</f>
        <v>0.2</v>
      </c>
      <c r="Q2089" s="15">
        <f>IF(AND(ISNUMBER(J2089),J2089&gt;0),1/J2089,IF(AND(ISNUMBER(I2089),I2089&gt;0),SQRT(MIN(I2089,Formula!$C$27))/Formula!$C$24,1/Formula!$C$25))</f>
        <v>0.7215375318</v>
      </c>
      <c r="R2089" s="15">
        <f t="shared" si="2"/>
        <v>0.1443075064</v>
      </c>
      <c r="S2089" s="15">
        <f>IF(H2089&lt;&gt;"",EXP(-Formula!$C$28*(EOMONTH(H2089,0)-H2089)),EXP(-Formula!$C$28*(EOMONTH(D2089,0)-D2089)))</f>
        <v>0.8607079764</v>
      </c>
      <c r="T2089" s="15">
        <f t="shared" si="3"/>
        <v>0.3333333333</v>
      </c>
      <c r="U2089" s="15">
        <f t="shared" si="4"/>
        <v>0.04140220726</v>
      </c>
      <c r="V2089" s="16">
        <f>IF(AND(L2089="Among all respondents",NOT(OR(K2089="Online poll in Telegram channel",K2089="Website online poll",K2089="CAWI (Computer Assisted Web Interviewing)"))),1/(1-MIN(MAX(Formula!$C$33+(YEAR(D2089)-Formula!$C$34)/(Formula!$C$35-Formula!$C$34)*(Formula!$C$32-Formula!$C$33),Formula!$C$33),Formula!$C$32)),1)</f>
        <v>1</v>
      </c>
      <c r="W2089" s="17">
        <f t="shared" si="5"/>
        <v>54.5</v>
      </c>
    </row>
    <row r="2090" ht="15.75" customHeight="1">
      <c r="A2090" s="8" t="s">
        <v>2989</v>
      </c>
      <c r="B2090" s="7" t="s">
        <v>2987</v>
      </c>
      <c r="C2090" s="13" t="s">
        <v>2988</v>
      </c>
      <c r="D2090" s="7" t="s">
        <v>258</v>
      </c>
      <c r="E2090" s="8" t="s">
        <v>240</v>
      </c>
      <c r="F2090" s="8" t="s">
        <v>318</v>
      </c>
      <c r="G2090" s="7" t="s">
        <v>262</v>
      </c>
      <c r="H2090" s="7" t="s">
        <v>258</v>
      </c>
      <c r="I2090" s="8">
        <v>15790.0</v>
      </c>
      <c r="K2090" s="8" t="s">
        <v>877</v>
      </c>
      <c r="M2090" s="8" t="s">
        <v>329</v>
      </c>
      <c r="N2090" s="8">
        <v>15.8</v>
      </c>
      <c r="O2090" s="14">
        <f t="shared" si="1"/>
        <v>44013</v>
      </c>
      <c r="P2090" s="15">
        <f>IFERROR(VLOOKUP(K2090,Formula!$A$11:$B$20,2,FALSE),Formula!$C$26)</f>
        <v>0.2</v>
      </c>
      <c r="Q2090" s="15">
        <f>IF(AND(ISNUMBER(J2090),J2090&gt;0),1/J2090,IF(AND(ISNUMBER(I2090),I2090&gt;0),SQRT(MIN(I2090,Formula!$C$27))/Formula!$C$24,1/Formula!$C$25))</f>
        <v>0.7215375318</v>
      </c>
      <c r="R2090" s="15">
        <f t="shared" si="2"/>
        <v>0.1443075064</v>
      </c>
      <c r="S2090" s="15">
        <f>IF(H2090&lt;&gt;"",EXP(-Formula!$C$28*(EOMONTH(H2090,0)-H2090)),EXP(-Formula!$C$28*(EOMONTH(D2090,0)-D2090)))</f>
        <v>0.8607079764</v>
      </c>
      <c r="T2090" s="15">
        <f t="shared" si="3"/>
        <v>0.3333333333</v>
      </c>
      <c r="U2090" s="15">
        <f t="shared" si="4"/>
        <v>0.04140220726</v>
      </c>
      <c r="V2090" s="16">
        <f>IF(AND(L2090="Among all respondents",NOT(OR(K2090="Online poll in Telegram channel",K2090="Website online poll",K2090="CAWI (Computer Assisted Web Interviewing)"))),1/(1-MIN(MAX(Formula!$C$33+(YEAR(D2090)-Formula!$C$34)/(Formula!$C$35-Formula!$C$34)*(Formula!$C$32-Formula!$C$33),Formula!$C$33),Formula!$C$32)),1)</f>
        <v>1</v>
      </c>
      <c r="W2090" s="17">
        <f t="shared" si="5"/>
        <v>15.8</v>
      </c>
    </row>
    <row r="2091" ht="15.75" customHeight="1">
      <c r="A2091" s="8" t="s">
        <v>2990</v>
      </c>
      <c r="B2091" s="7" t="s">
        <v>2987</v>
      </c>
      <c r="C2091" s="13" t="s">
        <v>2988</v>
      </c>
      <c r="D2091" s="7" t="s">
        <v>258</v>
      </c>
      <c r="E2091" s="8" t="s">
        <v>240</v>
      </c>
      <c r="F2091" s="8" t="s">
        <v>318</v>
      </c>
      <c r="G2091" s="7" t="s">
        <v>262</v>
      </c>
      <c r="H2091" s="7" t="s">
        <v>258</v>
      </c>
      <c r="I2091" s="8">
        <v>15790.0</v>
      </c>
      <c r="K2091" s="8" t="s">
        <v>877</v>
      </c>
      <c r="M2091" s="8" t="s">
        <v>1539</v>
      </c>
      <c r="N2091" s="8">
        <v>10.8</v>
      </c>
      <c r="O2091" s="14">
        <f t="shared" si="1"/>
        <v>44013</v>
      </c>
      <c r="P2091" s="15">
        <f>IFERROR(VLOOKUP(K2091,Formula!$A$11:$B$20,2,FALSE),Formula!$C$26)</f>
        <v>0.2</v>
      </c>
      <c r="Q2091" s="15">
        <f>IF(AND(ISNUMBER(J2091),J2091&gt;0),1/J2091,IF(AND(ISNUMBER(I2091),I2091&gt;0),SQRT(MIN(I2091,Formula!$C$27))/Formula!$C$24,1/Formula!$C$25))</f>
        <v>0.7215375318</v>
      </c>
      <c r="R2091" s="15">
        <f t="shared" si="2"/>
        <v>0.1443075064</v>
      </c>
      <c r="S2091" s="15">
        <f>IF(H2091&lt;&gt;"",EXP(-Formula!$C$28*(EOMONTH(H2091,0)-H2091)),EXP(-Formula!$C$28*(EOMONTH(D2091,0)-D2091)))</f>
        <v>0.8607079764</v>
      </c>
      <c r="T2091" s="15">
        <f t="shared" si="3"/>
        <v>0.3333333333</v>
      </c>
      <c r="U2091" s="15">
        <f t="shared" si="4"/>
        <v>0.04140220726</v>
      </c>
      <c r="V2091" s="16">
        <f>IF(AND(L2091="Among all respondents",NOT(OR(K2091="Online poll in Telegram channel",K2091="Website online poll",K2091="CAWI (Computer Assisted Web Interviewing)"))),1/(1-MIN(MAX(Formula!$C$33+(YEAR(D2091)-Formula!$C$34)/(Formula!$C$35-Formula!$C$34)*(Formula!$C$32-Formula!$C$33),Formula!$C$33),Formula!$C$32)),1)</f>
        <v>1</v>
      </c>
      <c r="W2091" s="17">
        <f t="shared" si="5"/>
        <v>10.8</v>
      </c>
    </row>
    <row r="2092" ht="15.75" customHeight="1">
      <c r="A2092" s="8" t="s">
        <v>2991</v>
      </c>
      <c r="B2092" s="7" t="s">
        <v>2987</v>
      </c>
      <c r="C2092" s="13" t="s">
        <v>2988</v>
      </c>
      <c r="D2092" s="7" t="s">
        <v>258</v>
      </c>
      <c r="E2092" s="8" t="s">
        <v>240</v>
      </c>
      <c r="F2092" s="8" t="s">
        <v>318</v>
      </c>
      <c r="G2092" s="7" t="s">
        <v>262</v>
      </c>
      <c r="H2092" s="7" t="s">
        <v>258</v>
      </c>
      <c r="I2092" s="8">
        <v>15790.0</v>
      </c>
      <c r="K2092" s="8" t="s">
        <v>877</v>
      </c>
      <c r="M2092" s="8" t="s">
        <v>365</v>
      </c>
      <c r="N2092" s="8">
        <v>6.3</v>
      </c>
      <c r="O2092" s="14">
        <f t="shared" si="1"/>
        <v>44013</v>
      </c>
      <c r="P2092" s="15">
        <f>IFERROR(VLOOKUP(K2092,Formula!$A$11:$B$20,2,FALSE),Formula!$C$26)</f>
        <v>0.2</v>
      </c>
      <c r="Q2092" s="15">
        <f>IF(AND(ISNUMBER(J2092),J2092&gt;0),1/J2092,IF(AND(ISNUMBER(I2092),I2092&gt;0),SQRT(MIN(I2092,Formula!$C$27))/Formula!$C$24,1/Formula!$C$25))</f>
        <v>0.7215375318</v>
      </c>
      <c r="R2092" s="15">
        <f t="shared" si="2"/>
        <v>0.1443075064</v>
      </c>
      <c r="S2092" s="15">
        <f>IF(H2092&lt;&gt;"",EXP(-Formula!$C$28*(EOMONTH(H2092,0)-H2092)),EXP(-Formula!$C$28*(EOMONTH(D2092,0)-D2092)))</f>
        <v>0.8607079764</v>
      </c>
      <c r="T2092" s="15">
        <f t="shared" si="3"/>
        <v>0.3333333333</v>
      </c>
      <c r="U2092" s="15">
        <f t="shared" si="4"/>
        <v>0.04140220726</v>
      </c>
      <c r="V2092" s="16">
        <f>IF(AND(L2092="Among all respondents",NOT(OR(K2092="Online poll in Telegram channel",K2092="Website online poll",K2092="CAWI (Computer Assisted Web Interviewing)"))),1/(1-MIN(MAX(Formula!$C$33+(YEAR(D2092)-Formula!$C$34)/(Formula!$C$35-Formula!$C$34)*(Formula!$C$32-Formula!$C$33),Formula!$C$33),Formula!$C$32)),1)</f>
        <v>1</v>
      </c>
      <c r="W2092" s="17">
        <f t="shared" si="5"/>
        <v>6.3</v>
      </c>
    </row>
    <row r="2093" ht="15.75" customHeight="1">
      <c r="A2093" s="8" t="s">
        <v>2992</v>
      </c>
      <c r="B2093" s="7" t="s">
        <v>2987</v>
      </c>
      <c r="C2093" s="13" t="s">
        <v>2988</v>
      </c>
      <c r="D2093" s="7" t="s">
        <v>258</v>
      </c>
      <c r="E2093" s="8" t="s">
        <v>240</v>
      </c>
      <c r="F2093" s="8" t="s">
        <v>318</v>
      </c>
      <c r="G2093" s="7" t="s">
        <v>262</v>
      </c>
      <c r="H2093" s="7" t="s">
        <v>258</v>
      </c>
      <c r="I2093" s="8">
        <v>15790.0</v>
      </c>
      <c r="K2093" s="8" t="s">
        <v>877</v>
      </c>
      <c r="M2093" s="8" t="s">
        <v>828</v>
      </c>
      <c r="N2093" s="8">
        <v>2.6</v>
      </c>
      <c r="O2093" s="14">
        <f t="shared" si="1"/>
        <v>44013</v>
      </c>
      <c r="P2093" s="15">
        <f>IFERROR(VLOOKUP(K2093,Formula!$A$11:$B$20,2,FALSE),Formula!$C$26)</f>
        <v>0.2</v>
      </c>
      <c r="Q2093" s="15">
        <f>IF(AND(ISNUMBER(J2093),J2093&gt;0),1/J2093,IF(AND(ISNUMBER(I2093),I2093&gt;0),SQRT(MIN(I2093,Formula!$C$27))/Formula!$C$24,1/Formula!$C$25))</f>
        <v>0.7215375318</v>
      </c>
      <c r="R2093" s="15">
        <f t="shared" si="2"/>
        <v>0.1443075064</v>
      </c>
      <c r="S2093" s="15">
        <f>IF(H2093&lt;&gt;"",EXP(-Formula!$C$28*(EOMONTH(H2093,0)-H2093)),EXP(-Formula!$C$28*(EOMONTH(D2093,0)-D2093)))</f>
        <v>0.8607079764</v>
      </c>
      <c r="T2093" s="15">
        <f t="shared" si="3"/>
        <v>0.3333333333</v>
      </c>
      <c r="U2093" s="15">
        <f t="shared" si="4"/>
        <v>0.04140220726</v>
      </c>
      <c r="V2093" s="16">
        <f>IF(AND(L2093="Among all respondents",NOT(OR(K2093="Online poll in Telegram channel",K2093="Website online poll",K2093="CAWI (Computer Assisted Web Interviewing)"))),1/(1-MIN(MAX(Formula!$C$33+(YEAR(D2093)-Formula!$C$34)/(Formula!$C$35-Formula!$C$34)*(Formula!$C$32-Formula!$C$33),Formula!$C$33),Formula!$C$32)),1)</f>
        <v>1</v>
      </c>
      <c r="W2093" s="17">
        <f t="shared" si="5"/>
        <v>2.6</v>
      </c>
    </row>
    <row r="2094" ht="15.75" customHeight="1">
      <c r="A2094" s="8" t="s">
        <v>2993</v>
      </c>
      <c r="B2094" s="7" t="s">
        <v>2987</v>
      </c>
      <c r="C2094" s="13" t="s">
        <v>2988</v>
      </c>
      <c r="D2094" s="7" t="s">
        <v>258</v>
      </c>
      <c r="E2094" s="8" t="s">
        <v>240</v>
      </c>
      <c r="F2094" s="8" t="s">
        <v>318</v>
      </c>
      <c r="G2094" s="7" t="s">
        <v>262</v>
      </c>
      <c r="H2094" s="7" t="s">
        <v>258</v>
      </c>
      <c r="I2094" s="8">
        <v>15790.0</v>
      </c>
      <c r="K2094" s="8" t="s">
        <v>877</v>
      </c>
      <c r="M2094" s="8" t="s">
        <v>337</v>
      </c>
      <c r="N2094" s="8">
        <v>1.8</v>
      </c>
      <c r="O2094" s="14">
        <f t="shared" si="1"/>
        <v>44013</v>
      </c>
      <c r="P2094" s="15">
        <f>IFERROR(VLOOKUP(K2094,Formula!$A$11:$B$20,2,FALSE),Formula!$C$26)</f>
        <v>0.2</v>
      </c>
      <c r="Q2094" s="15">
        <f>IF(AND(ISNUMBER(J2094),J2094&gt;0),1/J2094,IF(AND(ISNUMBER(I2094),I2094&gt;0),SQRT(MIN(I2094,Formula!$C$27))/Formula!$C$24,1/Formula!$C$25))</f>
        <v>0.7215375318</v>
      </c>
      <c r="R2094" s="15">
        <f t="shared" si="2"/>
        <v>0.1443075064</v>
      </c>
      <c r="S2094" s="15">
        <f>IF(H2094&lt;&gt;"",EXP(-Formula!$C$28*(EOMONTH(H2094,0)-H2094)),EXP(-Formula!$C$28*(EOMONTH(D2094,0)-D2094)))</f>
        <v>0.8607079764</v>
      </c>
      <c r="T2094" s="15">
        <f t="shared" si="3"/>
        <v>0.3333333333</v>
      </c>
      <c r="U2094" s="15">
        <f t="shared" si="4"/>
        <v>0.04140220726</v>
      </c>
      <c r="V2094" s="16">
        <f>IF(AND(L2094="Among all respondents",NOT(OR(K2094="Online poll in Telegram channel",K2094="Website online poll",K2094="CAWI (Computer Assisted Web Interviewing)"))),1/(1-MIN(MAX(Formula!$C$33+(YEAR(D2094)-Formula!$C$34)/(Formula!$C$35-Formula!$C$34)*(Formula!$C$32-Formula!$C$33),Formula!$C$33),Formula!$C$32)),1)</f>
        <v>1</v>
      </c>
      <c r="W2094" s="17">
        <f t="shared" si="5"/>
        <v>1.8</v>
      </c>
    </row>
    <row r="2095" ht="15.75" customHeight="1">
      <c r="A2095" s="8" t="s">
        <v>2994</v>
      </c>
      <c r="B2095" s="7" t="s">
        <v>2987</v>
      </c>
      <c r="C2095" s="13" t="s">
        <v>2988</v>
      </c>
      <c r="D2095" s="7" t="s">
        <v>258</v>
      </c>
      <c r="E2095" s="8" t="s">
        <v>240</v>
      </c>
      <c r="F2095" s="8" t="s">
        <v>318</v>
      </c>
      <c r="G2095" s="7" t="s">
        <v>262</v>
      </c>
      <c r="H2095" s="7" t="s">
        <v>258</v>
      </c>
      <c r="I2095" s="8">
        <v>15790.0</v>
      </c>
      <c r="K2095" s="8" t="s">
        <v>877</v>
      </c>
      <c r="M2095" s="8" t="s">
        <v>333</v>
      </c>
      <c r="N2095" s="8">
        <v>1.4</v>
      </c>
      <c r="O2095" s="14">
        <f t="shared" si="1"/>
        <v>44013</v>
      </c>
      <c r="P2095" s="15">
        <f>IFERROR(VLOOKUP(K2095,Formula!$A$11:$B$20,2,FALSE),Formula!$C$26)</f>
        <v>0.2</v>
      </c>
      <c r="Q2095" s="15">
        <f>IF(AND(ISNUMBER(J2095),J2095&gt;0),1/J2095,IF(AND(ISNUMBER(I2095),I2095&gt;0),SQRT(MIN(I2095,Formula!$C$27))/Formula!$C$24,1/Formula!$C$25))</f>
        <v>0.7215375318</v>
      </c>
      <c r="R2095" s="15">
        <f t="shared" si="2"/>
        <v>0.1443075064</v>
      </c>
      <c r="S2095" s="15">
        <f>IF(H2095&lt;&gt;"",EXP(-Formula!$C$28*(EOMONTH(H2095,0)-H2095)),EXP(-Formula!$C$28*(EOMONTH(D2095,0)-D2095)))</f>
        <v>0.8607079764</v>
      </c>
      <c r="T2095" s="15">
        <f t="shared" si="3"/>
        <v>0.3333333333</v>
      </c>
      <c r="U2095" s="15">
        <f t="shared" si="4"/>
        <v>0.04140220726</v>
      </c>
      <c r="V2095" s="16">
        <f>IF(AND(L2095="Among all respondents",NOT(OR(K2095="Online poll in Telegram channel",K2095="Website online poll",K2095="CAWI (Computer Assisted Web Interviewing)"))),1/(1-MIN(MAX(Formula!$C$33+(YEAR(D2095)-Formula!$C$34)/(Formula!$C$35-Formula!$C$34)*(Formula!$C$32-Formula!$C$33),Formula!$C$33),Formula!$C$32)),1)</f>
        <v>1</v>
      </c>
      <c r="W2095" s="17">
        <f t="shared" si="5"/>
        <v>1.4</v>
      </c>
    </row>
    <row r="2096" ht="15.75" customHeight="1">
      <c r="A2096" s="8" t="s">
        <v>2995</v>
      </c>
      <c r="B2096" s="7" t="s">
        <v>2987</v>
      </c>
      <c r="C2096" s="13" t="s">
        <v>2988</v>
      </c>
      <c r="D2096" s="7" t="s">
        <v>258</v>
      </c>
      <c r="E2096" s="8" t="s">
        <v>240</v>
      </c>
      <c r="F2096" s="8" t="s">
        <v>318</v>
      </c>
      <c r="G2096" s="7" t="s">
        <v>262</v>
      </c>
      <c r="H2096" s="7" t="s">
        <v>258</v>
      </c>
      <c r="I2096" s="8">
        <v>15790.0</v>
      </c>
      <c r="K2096" s="8" t="s">
        <v>877</v>
      </c>
      <c r="M2096" s="8" t="s">
        <v>388</v>
      </c>
      <c r="N2096" s="8">
        <v>0.8</v>
      </c>
      <c r="O2096" s="14">
        <f t="shared" si="1"/>
        <v>44013</v>
      </c>
      <c r="P2096" s="15">
        <f>IFERROR(VLOOKUP(K2096,Formula!$A$11:$B$20,2,FALSE),Formula!$C$26)</f>
        <v>0.2</v>
      </c>
      <c r="Q2096" s="15">
        <f>IF(AND(ISNUMBER(J2096),J2096&gt;0),1/J2096,IF(AND(ISNUMBER(I2096),I2096&gt;0),SQRT(MIN(I2096,Formula!$C$27))/Formula!$C$24,1/Formula!$C$25))</f>
        <v>0.7215375318</v>
      </c>
      <c r="R2096" s="15">
        <f t="shared" si="2"/>
        <v>0.1443075064</v>
      </c>
      <c r="S2096" s="15">
        <f>IF(H2096&lt;&gt;"",EXP(-Formula!$C$28*(EOMONTH(H2096,0)-H2096)),EXP(-Formula!$C$28*(EOMONTH(D2096,0)-D2096)))</f>
        <v>0.8607079764</v>
      </c>
      <c r="T2096" s="15">
        <f t="shared" si="3"/>
        <v>0.3333333333</v>
      </c>
      <c r="U2096" s="15">
        <f t="shared" si="4"/>
        <v>0.04140220726</v>
      </c>
      <c r="V2096" s="16">
        <f>IF(AND(L2096="Among all respondents",NOT(OR(K2096="Online poll in Telegram channel",K2096="Website online poll",K2096="CAWI (Computer Assisted Web Interviewing)"))),1/(1-MIN(MAX(Formula!$C$33+(YEAR(D2096)-Formula!$C$34)/(Formula!$C$35-Formula!$C$34)*(Formula!$C$32-Formula!$C$33),Formula!$C$33),Formula!$C$32)),1)</f>
        <v>1</v>
      </c>
      <c r="W2096" s="17">
        <f t="shared" si="5"/>
        <v>0.8</v>
      </c>
    </row>
    <row r="2097" ht="15.75" customHeight="1">
      <c r="A2097" s="8" t="s">
        <v>2996</v>
      </c>
      <c r="B2097" s="7" t="s">
        <v>2987</v>
      </c>
      <c r="C2097" s="13" t="s">
        <v>2988</v>
      </c>
      <c r="D2097" s="7" t="s">
        <v>258</v>
      </c>
      <c r="E2097" s="8" t="s">
        <v>240</v>
      </c>
      <c r="F2097" s="8" t="s">
        <v>318</v>
      </c>
      <c r="G2097" s="7" t="s">
        <v>262</v>
      </c>
      <c r="H2097" s="7" t="s">
        <v>258</v>
      </c>
      <c r="I2097" s="8">
        <v>15790.0</v>
      </c>
      <c r="K2097" s="8" t="s">
        <v>877</v>
      </c>
      <c r="M2097" s="8" t="s">
        <v>386</v>
      </c>
      <c r="N2097" s="8">
        <v>0.6</v>
      </c>
      <c r="O2097" s="14">
        <f t="shared" si="1"/>
        <v>44013</v>
      </c>
      <c r="P2097" s="15">
        <f>IFERROR(VLOOKUP(K2097,Formula!$A$11:$B$20,2,FALSE),Formula!$C$26)</f>
        <v>0.2</v>
      </c>
      <c r="Q2097" s="15">
        <f>IF(AND(ISNUMBER(J2097),J2097&gt;0),1/J2097,IF(AND(ISNUMBER(I2097),I2097&gt;0),SQRT(MIN(I2097,Formula!$C$27))/Formula!$C$24,1/Formula!$C$25))</f>
        <v>0.7215375318</v>
      </c>
      <c r="R2097" s="15">
        <f t="shared" si="2"/>
        <v>0.1443075064</v>
      </c>
      <c r="S2097" s="15">
        <f>IF(H2097&lt;&gt;"",EXP(-Formula!$C$28*(EOMONTH(H2097,0)-H2097)),EXP(-Formula!$C$28*(EOMONTH(D2097,0)-D2097)))</f>
        <v>0.8607079764</v>
      </c>
      <c r="T2097" s="15">
        <f t="shared" si="3"/>
        <v>0.3333333333</v>
      </c>
      <c r="U2097" s="15">
        <f t="shared" si="4"/>
        <v>0.04140220726</v>
      </c>
      <c r="V2097" s="16">
        <f>IF(AND(L2097="Among all respondents",NOT(OR(K2097="Online poll in Telegram channel",K2097="Website online poll",K2097="CAWI (Computer Assisted Web Interviewing)"))),1/(1-MIN(MAX(Formula!$C$33+(YEAR(D2097)-Formula!$C$34)/(Formula!$C$35-Formula!$C$34)*(Formula!$C$32-Formula!$C$33),Formula!$C$33),Formula!$C$32)),1)</f>
        <v>1</v>
      </c>
      <c r="W2097" s="17">
        <f t="shared" si="5"/>
        <v>0.6</v>
      </c>
    </row>
    <row r="2098" ht="15.75" customHeight="1">
      <c r="A2098" s="8" t="s">
        <v>2997</v>
      </c>
      <c r="B2098" s="7" t="s">
        <v>2998</v>
      </c>
      <c r="C2098" s="13" t="s">
        <v>2999</v>
      </c>
      <c r="D2098" s="7" t="s">
        <v>262</v>
      </c>
      <c r="E2098" s="8" t="s">
        <v>40</v>
      </c>
      <c r="F2098" s="8" t="s">
        <v>318</v>
      </c>
      <c r="G2098" s="7" t="s">
        <v>263</v>
      </c>
      <c r="H2098" s="7" t="s">
        <v>3000</v>
      </c>
      <c r="I2098" s="8">
        <v>2000.0</v>
      </c>
      <c r="J2098" s="8">
        <v>2.2</v>
      </c>
      <c r="K2098" s="8" t="s">
        <v>583</v>
      </c>
      <c r="M2098" s="8" t="s">
        <v>323</v>
      </c>
      <c r="N2098" s="8">
        <v>23.0</v>
      </c>
      <c r="O2098" s="14">
        <f t="shared" si="1"/>
        <v>44013</v>
      </c>
      <c r="P2098" s="15">
        <f>IFERROR(VLOOKUP(K2098,Formula!$A$11:$B$20,2,FALSE),Formula!$C$26)</f>
        <v>0.95</v>
      </c>
      <c r="Q2098" s="15">
        <f>IF(AND(ISNUMBER(J2098),J2098&gt;0),1/J2098,IF(AND(ISNUMBER(I2098),I2098&gt;0),SQRT(MIN(I2098,Formula!$C$27))/Formula!$C$24,1/Formula!$C$25))</f>
        <v>0.4545454545</v>
      </c>
      <c r="R2098" s="15">
        <f t="shared" si="2"/>
        <v>0.4318181818</v>
      </c>
      <c r="S2098" s="15">
        <f>IF(H2098&lt;&gt;"",EXP(-Formula!$C$28*(EOMONTH(H2098,0)-H2098)),EXP(-Formula!$C$28*(EOMONTH(D2098,0)-D2098)))</f>
        <v>0.5769498104</v>
      </c>
      <c r="T2098" s="15">
        <f t="shared" si="3"/>
        <v>0.1924500897</v>
      </c>
      <c r="U2098" s="15">
        <f t="shared" si="4"/>
        <v>0.04794651847</v>
      </c>
      <c r="V2098" s="16">
        <f>IF(AND(L2098="Among all respondents",NOT(OR(K2098="Online poll in Telegram channel",K2098="Website online poll",K2098="CAWI (Computer Assisted Web Interviewing)"))),1/(1-MIN(MAX(Formula!$C$33+(YEAR(D2098)-Formula!$C$34)/(Formula!$C$35-Formula!$C$34)*(Formula!$C$32-Formula!$C$33),Formula!$C$33),Formula!$C$32)),1)</f>
        <v>1</v>
      </c>
      <c r="W2098" s="17">
        <f t="shared" si="5"/>
        <v>23</v>
      </c>
    </row>
    <row r="2099" ht="15.75" customHeight="1">
      <c r="A2099" s="8" t="s">
        <v>3001</v>
      </c>
      <c r="B2099" s="7" t="s">
        <v>2998</v>
      </c>
      <c r="C2099" s="13" t="s">
        <v>2999</v>
      </c>
      <c r="D2099" s="7" t="s">
        <v>262</v>
      </c>
      <c r="E2099" s="8" t="s">
        <v>40</v>
      </c>
      <c r="F2099" s="8" t="s">
        <v>318</v>
      </c>
      <c r="G2099" s="7" t="s">
        <v>263</v>
      </c>
      <c r="H2099" s="7" t="s">
        <v>3000</v>
      </c>
      <c r="I2099" s="8">
        <v>2000.0</v>
      </c>
      <c r="J2099" s="8">
        <v>2.2</v>
      </c>
      <c r="K2099" s="8" t="s">
        <v>583</v>
      </c>
      <c r="M2099" s="8" t="s">
        <v>365</v>
      </c>
      <c r="N2099" s="8">
        <v>11.5</v>
      </c>
      <c r="O2099" s="14">
        <f t="shared" si="1"/>
        <v>44013</v>
      </c>
      <c r="P2099" s="15">
        <f>IFERROR(VLOOKUP(K2099,Formula!$A$11:$B$20,2,FALSE),Formula!$C$26)</f>
        <v>0.95</v>
      </c>
      <c r="Q2099" s="15">
        <f>IF(AND(ISNUMBER(J2099),J2099&gt;0),1/J2099,IF(AND(ISNUMBER(I2099),I2099&gt;0),SQRT(MIN(I2099,Formula!$C$27))/Formula!$C$24,1/Formula!$C$25))</f>
        <v>0.4545454545</v>
      </c>
      <c r="R2099" s="15">
        <f t="shared" si="2"/>
        <v>0.4318181818</v>
      </c>
      <c r="S2099" s="15">
        <f>IF(H2099&lt;&gt;"",EXP(-Formula!$C$28*(EOMONTH(H2099,0)-H2099)),EXP(-Formula!$C$28*(EOMONTH(D2099,0)-D2099)))</f>
        <v>0.5769498104</v>
      </c>
      <c r="T2099" s="15">
        <f t="shared" si="3"/>
        <v>0.1924500897</v>
      </c>
      <c r="U2099" s="15">
        <f t="shared" si="4"/>
        <v>0.04794651847</v>
      </c>
      <c r="V2099" s="16">
        <f>IF(AND(L2099="Among all respondents",NOT(OR(K2099="Online poll in Telegram channel",K2099="Website online poll",K2099="CAWI (Computer Assisted Web Interviewing)"))),1/(1-MIN(MAX(Formula!$C$33+(YEAR(D2099)-Formula!$C$34)/(Formula!$C$35-Formula!$C$34)*(Formula!$C$32-Formula!$C$33),Formula!$C$33),Formula!$C$32)),1)</f>
        <v>1</v>
      </c>
      <c r="W2099" s="17">
        <f t="shared" si="5"/>
        <v>11.5</v>
      </c>
    </row>
    <row r="2100" ht="15.75" customHeight="1">
      <c r="A2100" s="8" t="s">
        <v>3002</v>
      </c>
      <c r="B2100" s="7" t="s">
        <v>2998</v>
      </c>
      <c r="C2100" s="13" t="s">
        <v>2999</v>
      </c>
      <c r="D2100" s="7" t="s">
        <v>262</v>
      </c>
      <c r="E2100" s="8" t="s">
        <v>40</v>
      </c>
      <c r="F2100" s="8" t="s">
        <v>318</v>
      </c>
      <c r="G2100" s="7" t="s">
        <v>263</v>
      </c>
      <c r="H2100" s="7" t="s">
        <v>3000</v>
      </c>
      <c r="I2100" s="8">
        <v>2000.0</v>
      </c>
      <c r="J2100" s="8">
        <v>2.2</v>
      </c>
      <c r="K2100" s="8" t="s">
        <v>583</v>
      </c>
      <c r="M2100" s="8" t="s">
        <v>329</v>
      </c>
      <c r="N2100" s="8">
        <v>10.4</v>
      </c>
      <c r="O2100" s="14">
        <f t="shared" si="1"/>
        <v>44013</v>
      </c>
      <c r="P2100" s="15">
        <f>IFERROR(VLOOKUP(K2100,Formula!$A$11:$B$20,2,FALSE),Formula!$C$26)</f>
        <v>0.95</v>
      </c>
      <c r="Q2100" s="15">
        <f>IF(AND(ISNUMBER(J2100),J2100&gt;0),1/J2100,IF(AND(ISNUMBER(I2100),I2100&gt;0),SQRT(MIN(I2100,Formula!$C$27))/Formula!$C$24,1/Formula!$C$25))</f>
        <v>0.4545454545</v>
      </c>
      <c r="R2100" s="15">
        <f t="shared" si="2"/>
        <v>0.4318181818</v>
      </c>
      <c r="S2100" s="15">
        <f>IF(H2100&lt;&gt;"",EXP(-Formula!$C$28*(EOMONTH(H2100,0)-H2100)),EXP(-Formula!$C$28*(EOMONTH(D2100,0)-D2100)))</f>
        <v>0.5769498104</v>
      </c>
      <c r="T2100" s="15">
        <f t="shared" si="3"/>
        <v>0.1924500897</v>
      </c>
      <c r="U2100" s="15">
        <f t="shared" si="4"/>
        <v>0.04794651847</v>
      </c>
      <c r="V2100" s="16">
        <f>IF(AND(L2100="Among all respondents",NOT(OR(K2100="Online poll in Telegram channel",K2100="Website online poll",K2100="CAWI (Computer Assisted Web Interviewing)"))),1/(1-MIN(MAX(Formula!$C$33+(YEAR(D2100)-Formula!$C$34)/(Formula!$C$35-Formula!$C$34)*(Formula!$C$32-Formula!$C$33),Formula!$C$33),Formula!$C$32)),1)</f>
        <v>1</v>
      </c>
      <c r="W2100" s="17">
        <f t="shared" si="5"/>
        <v>10.4</v>
      </c>
    </row>
    <row r="2101" ht="15.75" customHeight="1">
      <c r="A2101" s="8" t="s">
        <v>3003</v>
      </c>
      <c r="B2101" s="7" t="s">
        <v>2998</v>
      </c>
      <c r="C2101" s="13" t="s">
        <v>2999</v>
      </c>
      <c r="D2101" s="7" t="s">
        <v>262</v>
      </c>
      <c r="E2101" s="8" t="s">
        <v>40</v>
      </c>
      <c r="F2101" s="8" t="s">
        <v>318</v>
      </c>
      <c r="G2101" s="7" t="s">
        <v>263</v>
      </c>
      <c r="H2101" s="7" t="s">
        <v>3000</v>
      </c>
      <c r="I2101" s="8">
        <v>2000.0</v>
      </c>
      <c r="J2101" s="8">
        <v>2.2</v>
      </c>
      <c r="K2101" s="8" t="s">
        <v>583</v>
      </c>
      <c r="M2101" s="8" t="s">
        <v>337</v>
      </c>
      <c r="N2101" s="8">
        <v>7.2</v>
      </c>
      <c r="O2101" s="14">
        <f t="shared" si="1"/>
        <v>44013</v>
      </c>
      <c r="P2101" s="15">
        <f>IFERROR(VLOOKUP(K2101,Formula!$A$11:$B$20,2,FALSE),Formula!$C$26)</f>
        <v>0.95</v>
      </c>
      <c r="Q2101" s="15">
        <f>IF(AND(ISNUMBER(J2101),J2101&gt;0),1/J2101,IF(AND(ISNUMBER(I2101),I2101&gt;0),SQRT(MIN(I2101,Formula!$C$27))/Formula!$C$24,1/Formula!$C$25))</f>
        <v>0.4545454545</v>
      </c>
      <c r="R2101" s="15">
        <f t="shared" si="2"/>
        <v>0.4318181818</v>
      </c>
      <c r="S2101" s="15">
        <f>IF(H2101&lt;&gt;"",EXP(-Formula!$C$28*(EOMONTH(H2101,0)-H2101)),EXP(-Formula!$C$28*(EOMONTH(D2101,0)-D2101)))</f>
        <v>0.5769498104</v>
      </c>
      <c r="T2101" s="15">
        <f t="shared" si="3"/>
        <v>0.1924500897</v>
      </c>
      <c r="U2101" s="15">
        <f t="shared" si="4"/>
        <v>0.04794651847</v>
      </c>
      <c r="V2101" s="16">
        <f>IF(AND(L2101="Among all respondents",NOT(OR(K2101="Online poll in Telegram channel",K2101="Website online poll",K2101="CAWI (Computer Assisted Web Interviewing)"))),1/(1-MIN(MAX(Formula!$C$33+(YEAR(D2101)-Formula!$C$34)/(Formula!$C$35-Formula!$C$34)*(Formula!$C$32-Formula!$C$33),Formula!$C$33),Formula!$C$32)),1)</f>
        <v>1</v>
      </c>
      <c r="W2101" s="17">
        <f t="shared" si="5"/>
        <v>7.2</v>
      </c>
    </row>
    <row r="2102" ht="15.75" customHeight="1">
      <c r="A2102" s="8" t="s">
        <v>3004</v>
      </c>
      <c r="B2102" s="7" t="s">
        <v>2998</v>
      </c>
      <c r="C2102" s="13" t="s">
        <v>2999</v>
      </c>
      <c r="D2102" s="7" t="s">
        <v>262</v>
      </c>
      <c r="E2102" s="8" t="s">
        <v>40</v>
      </c>
      <c r="F2102" s="8" t="s">
        <v>318</v>
      </c>
      <c r="G2102" s="7" t="s">
        <v>263</v>
      </c>
      <c r="H2102" s="7" t="s">
        <v>3000</v>
      </c>
      <c r="I2102" s="8">
        <v>2000.0</v>
      </c>
      <c r="J2102" s="8">
        <v>2.2</v>
      </c>
      <c r="K2102" s="8" t="s">
        <v>583</v>
      </c>
      <c r="M2102" s="8" t="s">
        <v>828</v>
      </c>
      <c r="N2102" s="8">
        <v>4.7</v>
      </c>
      <c r="O2102" s="14">
        <f t="shared" si="1"/>
        <v>44013</v>
      </c>
      <c r="P2102" s="15">
        <f>IFERROR(VLOOKUP(K2102,Formula!$A$11:$B$20,2,FALSE),Formula!$C$26)</f>
        <v>0.95</v>
      </c>
      <c r="Q2102" s="15">
        <f>IF(AND(ISNUMBER(J2102),J2102&gt;0),1/J2102,IF(AND(ISNUMBER(I2102),I2102&gt;0),SQRT(MIN(I2102,Formula!$C$27))/Formula!$C$24,1/Formula!$C$25))</f>
        <v>0.4545454545</v>
      </c>
      <c r="R2102" s="15">
        <f t="shared" si="2"/>
        <v>0.4318181818</v>
      </c>
      <c r="S2102" s="15">
        <f>IF(H2102&lt;&gt;"",EXP(-Formula!$C$28*(EOMONTH(H2102,0)-H2102)),EXP(-Formula!$C$28*(EOMONTH(D2102,0)-D2102)))</f>
        <v>0.5769498104</v>
      </c>
      <c r="T2102" s="15">
        <f t="shared" si="3"/>
        <v>0.1924500897</v>
      </c>
      <c r="U2102" s="15">
        <f t="shared" si="4"/>
        <v>0.04794651847</v>
      </c>
      <c r="V2102" s="16">
        <f>IF(AND(L2102="Among all respondents",NOT(OR(K2102="Online poll in Telegram channel",K2102="Website online poll",K2102="CAWI (Computer Assisted Web Interviewing)"))),1/(1-MIN(MAX(Formula!$C$33+(YEAR(D2102)-Formula!$C$34)/(Formula!$C$35-Formula!$C$34)*(Formula!$C$32-Formula!$C$33),Formula!$C$33),Formula!$C$32)),1)</f>
        <v>1</v>
      </c>
      <c r="W2102" s="17">
        <f t="shared" si="5"/>
        <v>4.7</v>
      </c>
    </row>
    <row r="2103" ht="15.75" customHeight="1">
      <c r="A2103" s="8" t="s">
        <v>3005</v>
      </c>
      <c r="B2103" s="7" t="s">
        <v>2998</v>
      </c>
      <c r="C2103" s="13" t="s">
        <v>2999</v>
      </c>
      <c r="D2103" s="7" t="s">
        <v>262</v>
      </c>
      <c r="E2103" s="8" t="s">
        <v>40</v>
      </c>
      <c r="F2103" s="8" t="s">
        <v>318</v>
      </c>
      <c r="G2103" s="7" t="s">
        <v>263</v>
      </c>
      <c r="H2103" s="7" t="s">
        <v>3000</v>
      </c>
      <c r="I2103" s="8">
        <v>2000.0</v>
      </c>
      <c r="J2103" s="8">
        <v>2.2</v>
      </c>
      <c r="K2103" s="8" t="s">
        <v>583</v>
      </c>
      <c r="M2103" s="8" t="s">
        <v>388</v>
      </c>
      <c r="N2103" s="8">
        <v>3.6</v>
      </c>
      <c r="O2103" s="14">
        <f t="shared" si="1"/>
        <v>44013</v>
      </c>
      <c r="P2103" s="15">
        <f>IFERROR(VLOOKUP(K2103,Formula!$A$11:$B$20,2,FALSE),Formula!$C$26)</f>
        <v>0.95</v>
      </c>
      <c r="Q2103" s="15">
        <f>IF(AND(ISNUMBER(J2103),J2103&gt;0),1/J2103,IF(AND(ISNUMBER(I2103),I2103&gt;0),SQRT(MIN(I2103,Formula!$C$27))/Formula!$C$24,1/Formula!$C$25))</f>
        <v>0.4545454545</v>
      </c>
      <c r="R2103" s="15">
        <f t="shared" si="2"/>
        <v>0.4318181818</v>
      </c>
      <c r="S2103" s="15">
        <f>IF(H2103&lt;&gt;"",EXP(-Formula!$C$28*(EOMONTH(H2103,0)-H2103)),EXP(-Formula!$C$28*(EOMONTH(D2103,0)-D2103)))</f>
        <v>0.5769498104</v>
      </c>
      <c r="T2103" s="15">
        <f t="shared" si="3"/>
        <v>0.1924500897</v>
      </c>
      <c r="U2103" s="15">
        <f t="shared" si="4"/>
        <v>0.04794651847</v>
      </c>
      <c r="V2103" s="16">
        <f>IF(AND(L2103="Among all respondents",NOT(OR(K2103="Online poll in Telegram channel",K2103="Website online poll",K2103="CAWI (Computer Assisted Web Interviewing)"))),1/(1-MIN(MAX(Formula!$C$33+(YEAR(D2103)-Formula!$C$34)/(Formula!$C$35-Formula!$C$34)*(Formula!$C$32-Formula!$C$33),Formula!$C$33),Formula!$C$32)),1)</f>
        <v>1</v>
      </c>
      <c r="W2103" s="17">
        <f t="shared" si="5"/>
        <v>3.6</v>
      </c>
    </row>
    <row r="2104" ht="15.75" customHeight="1">
      <c r="A2104" s="8" t="s">
        <v>3006</v>
      </c>
      <c r="B2104" s="7" t="s">
        <v>2998</v>
      </c>
      <c r="C2104" s="13" t="s">
        <v>2999</v>
      </c>
      <c r="D2104" s="7" t="s">
        <v>262</v>
      </c>
      <c r="E2104" s="8" t="s">
        <v>40</v>
      </c>
      <c r="F2104" s="8" t="s">
        <v>318</v>
      </c>
      <c r="G2104" s="7" t="s">
        <v>263</v>
      </c>
      <c r="H2104" s="7" t="s">
        <v>3000</v>
      </c>
      <c r="I2104" s="8">
        <v>2000.0</v>
      </c>
      <c r="J2104" s="8">
        <v>2.2</v>
      </c>
      <c r="K2104" s="8" t="s">
        <v>583</v>
      </c>
      <c r="M2104" s="8" t="s">
        <v>386</v>
      </c>
      <c r="N2104" s="8">
        <v>2.7</v>
      </c>
      <c r="O2104" s="14">
        <f t="shared" si="1"/>
        <v>44013</v>
      </c>
      <c r="P2104" s="15">
        <f>IFERROR(VLOOKUP(K2104,Formula!$A$11:$B$20,2,FALSE),Formula!$C$26)</f>
        <v>0.95</v>
      </c>
      <c r="Q2104" s="15">
        <f>IF(AND(ISNUMBER(J2104),J2104&gt;0),1/J2104,IF(AND(ISNUMBER(I2104),I2104&gt;0),SQRT(MIN(I2104,Formula!$C$27))/Formula!$C$24,1/Formula!$C$25))</f>
        <v>0.4545454545</v>
      </c>
      <c r="R2104" s="15">
        <f t="shared" si="2"/>
        <v>0.4318181818</v>
      </c>
      <c r="S2104" s="15">
        <f>IF(H2104&lt;&gt;"",EXP(-Formula!$C$28*(EOMONTH(H2104,0)-H2104)),EXP(-Formula!$C$28*(EOMONTH(D2104,0)-D2104)))</f>
        <v>0.5769498104</v>
      </c>
      <c r="T2104" s="15">
        <f t="shared" si="3"/>
        <v>0.1924500897</v>
      </c>
      <c r="U2104" s="15">
        <f t="shared" si="4"/>
        <v>0.04794651847</v>
      </c>
      <c r="V2104" s="16">
        <f>IF(AND(L2104="Among all respondents",NOT(OR(K2104="Online poll in Telegram channel",K2104="Website online poll",K2104="CAWI (Computer Assisted Web Interviewing)"))),1/(1-MIN(MAX(Formula!$C$33+(YEAR(D2104)-Formula!$C$34)/(Formula!$C$35-Formula!$C$34)*(Formula!$C$32-Formula!$C$33),Formula!$C$33),Formula!$C$32)),1)</f>
        <v>1</v>
      </c>
      <c r="W2104" s="17">
        <f t="shared" si="5"/>
        <v>2.7</v>
      </c>
    </row>
    <row r="2105" ht="15.75" customHeight="1">
      <c r="A2105" s="8" t="s">
        <v>3007</v>
      </c>
      <c r="B2105" s="7" t="s">
        <v>2998</v>
      </c>
      <c r="C2105" s="13" t="s">
        <v>2999</v>
      </c>
      <c r="D2105" s="7" t="s">
        <v>262</v>
      </c>
      <c r="E2105" s="8" t="s">
        <v>40</v>
      </c>
      <c r="F2105" s="8" t="s">
        <v>318</v>
      </c>
      <c r="G2105" s="7" t="s">
        <v>263</v>
      </c>
      <c r="H2105" s="7" t="s">
        <v>3000</v>
      </c>
      <c r="I2105" s="8">
        <v>2000.0</v>
      </c>
      <c r="J2105" s="8">
        <v>2.2</v>
      </c>
      <c r="K2105" s="8" t="s">
        <v>583</v>
      </c>
      <c r="M2105" s="8" t="s">
        <v>838</v>
      </c>
      <c r="N2105" s="8">
        <v>2.3</v>
      </c>
      <c r="O2105" s="14">
        <f t="shared" si="1"/>
        <v>44013</v>
      </c>
      <c r="P2105" s="15">
        <f>IFERROR(VLOOKUP(K2105,Formula!$A$11:$B$20,2,FALSE),Formula!$C$26)</f>
        <v>0.95</v>
      </c>
      <c r="Q2105" s="15">
        <f>IF(AND(ISNUMBER(J2105),J2105&gt;0),1/J2105,IF(AND(ISNUMBER(I2105),I2105&gt;0),SQRT(MIN(I2105,Formula!$C$27))/Formula!$C$24,1/Formula!$C$25))</f>
        <v>0.4545454545</v>
      </c>
      <c r="R2105" s="15">
        <f t="shared" si="2"/>
        <v>0.4318181818</v>
      </c>
      <c r="S2105" s="15">
        <f>IF(H2105&lt;&gt;"",EXP(-Formula!$C$28*(EOMONTH(H2105,0)-H2105)),EXP(-Formula!$C$28*(EOMONTH(D2105,0)-D2105)))</f>
        <v>0.5769498104</v>
      </c>
      <c r="T2105" s="15">
        <f t="shared" si="3"/>
        <v>0.1924500897</v>
      </c>
      <c r="U2105" s="15">
        <f t="shared" si="4"/>
        <v>0.04794651847</v>
      </c>
      <c r="V2105" s="16">
        <f>IF(AND(L2105="Among all respondents",NOT(OR(K2105="Online poll in Telegram channel",K2105="Website online poll",K2105="CAWI (Computer Assisted Web Interviewing)"))),1/(1-MIN(MAX(Formula!$C$33+(YEAR(D2105)-Formula!$C$34)/(Formula!$C$35-Formula!$C$34)*(Formula!$C$32-Formula!$C$33),Formula!$C$33),Formula!$C$32)),1)</f>
        <v>1</v>
      </c>
      <c r="W2105" s="17">
        <f t="shared" si="5"/>
        <v>2.3</v>
      </c>
    </row>
    <row r="2106" ht="15.75" customHeight="1">
      <c r="A2106" s="8" t="s">
        <v>3008</v>
      </c>
      <c r="B2106" s="7" t="s">
        <v>2998</v>
      </c>
      <c r="C2106" s="13" t="s">
        <v>2999</v>
      </c>
      <c r="D2106" s="7" t="s">
        <v>262</v>
      </c>
      <c r="E2106" s="8" t="s">
        <v>40</v>
      </c>
      <c r="F2106" s="8" t="s">
        <v>318</v>
      </c>
      <c r="G2106" s="7" t="s">
        <v>263</v>
      </c>
      <c r="H2106" s="7" t="s">
        <v>3000</v>
      </c>
      <c r="I2106" s="8">
        <v>2000.0</v>
      </c>
      <c r="J2106" s="8">
        <v>2.2</v>
      </c>
      <c r="K2106" s="8" t="s">
        <v>583</v>
      </c>
      <c r="M2106" s="8" t="s">
        <v>3009</v>
      </c>
      <c r="N2106" s="8">
        <v>1.9</v>
      </c>
      <c r="O2106" s="14">
        <f t="shared" si="1"/>
        <v>44013</v>
      </c>
      <c r="P2106" s="15">
        <f>IFERROR(VLOOKUP(K2106,Formula!$A$11:$B$20,2,FALSE),Formula!$C$26)</f>
        <v>0.95</v>
      </c>
      <c r="Q2106" s="15">
        <f>IF(AND(ISNUMBER(J2106),J2106&gt;0),1/J2106,IF(AND(ISNUMBER(I2106),I2106&gt;0),SQRT(MIN(I2106,Formula!$C$27))/Formula!$C$24,1/Formula!$C$25))</f>
        <v>0.4545454545</v>
      </c>
      <c r="R2106" s="15">
        <f t="shared" si="2"/>
        <v>0.4318181818</v>
      </c>
      <c r="S2106" s="15">
        <f>IF(H2106&lt;&gt;"",EXP(-Formula!$C$28*(EOMONTH(H2106,0)-H2106)),EXP(-Formula!$C$28*(EOMONTH(D2106,0)-D2106)))</f>
        <v>0.5769498104</v>
      </c>
      <c r="T2106" s="15">
        <f t="shared" si="3"/>
        <v>0.1924500897</v>
      </c>
      <c r="U2106" s="15">
        <f t="shared" si="4"/>
        <v>0.04794651847</v>
      </c>
      <c r="V2106" s="16">
        <f>IF(AND(L2106="Among all respondents",NOT(OR(K2106="Online poll in Telegram channel",K2106="Website online poll",K2106="CAWI (Computer Assisted Web Interviewing)"))),1/(1-MIN(MAX(Formula!$C$33+(YEAR(D2106)-Formula!$C$34)/(Formula!$C$35-Formula!$C$34)*(Formula!$C$32-Formula!$C$33),Formula!$C$33),Formula!$C$32)),1)</f>
        <v>1</v>
      </c>
      <c r="W2106" s="17">
        <f t="shared" si="5"/>
        <v>1.9</v>
      </c>
    </row>
    <row r="2107" ht="15.75" customHeight="1">
      <c r="A2107" s="8" t="s">
        <v>3010</v>
      </c>
      <c r="B2107" s="7" t="s">
        <v>2998</v>
      </c>
      <c r="C2107" s="13" t="s">
        <v>2999</v>
      </c>
      <c r="D2107" s="7" t="s">
        <v>262</v>
      </c>
      <c r="E2107" s="8" t="s">
        <v>40</v>
      </c>
      <c r="F2107" s="8" t="s">
        <v>318</v>
      </c>
      <c r="G2107" s="7" t="s">
        <v>263</v>
      </c>
      <c r="H2107" s="7" t="s">
        <v>3000</v>
      </c>
      <c r="I2107" s="8">
        <v>2000.0</v>
      </c>
      <c r="J2107" s="8">
        <v>2.2</v>
      </c>
      <c r="K2107" s="8" t="s">
        <v>583</v>
      </c>
      <c r="M2107" s="8" t="s">
        <v>333</v>
      </c>
      <c r="N2107" s="8">
        <v>1.8</v>
      </c>
      <c r="O2107" s="14">
        <f t="shared" si="1"/>
        <v>44013</v>
      </c>
      <c r="P2107" s="15">
        <f>IFERROR(VLOOKUP(K2107,Formula!$A$11:$B$20,2,FALSE),Formula!$C$26)</f>
        <v>0.95</v>
      </c>
      <c r="Q2107" s="15">
        <f>IF(AND(ISNUMBER(J2107),J2107&gt;0),1/J2107,IF(AND(ISNUMBER(I2107),I2107&gt;0),SQRT(MIN(I2107,Formula!$C$27))/Formula!$C$24,1/Formula!$C$25))</f>
        <v>0.4545454545</v>
      </c>
      <c r="R2107" s="15">
        <f t="shared" si="2"/>
        <v>0.4318181818</v>
      </c>
      <c r="S2107" s="15">
        <f>IF(H2107&lt;&gt;"",EXP(-Formula!$C$28*(EOMONTH(H2107,0)-H2107)),EXP(-Formula!$C$28*(EOMONTH(D2107,0)-D2107)))</f>
        <v>0.5769498104</v>
      </c>
      <c r="T2107" s="15">
        <f t="shared" si="3"/>
        <v>0.1924500897</v>
      </c>
      <c r="U2107" s="15">
        <f t="shared" si="4"/>
        <v>0.04794651847</v>
      </c>
      <c r="V2107" s="16">
        <f>IF(AND(L2107="Among all respondents",NOT(OR(K2107="Online poll in Telegram channel",K2107="Website online poll",K2107="CAWI (Computer Assisted Web Interviewing)"))),1/(1-MIN(MAX(Formula!$C$33+(YEAR(D2107)-Formula!$C$34)/(Formula!$C$35-Formula!$C$34)*(Formula!$C$32-Formula!$C$33),Formula!$C$33),Formula!$C$32)),1)</f>
        <v>1</v>
      </c>
      <c r="W2107" s="17">
        <f t="shared" si="5"/>
        <v>1.8</v>
      </c>
    </row>
    <row r="2108" ht="15.75" customHeight="1">
      <c r="A2108" s="8" t="s">
        <v>3011</v>
      </c>
      <c r="B2108" s="7" t="s">
        <v>2998</v>
      </c>
      <c r="C2108" s="13" t="s">
        <v>2999</v>
      </c>
      <c r="D2108" s="7" t="s">
        <v>262</v>
      </c>
      <c r="E2108" s="8" t="s">
        <v>40</v>
      </c>
      <c r="F2108" s="8" t="s">
        <v>318</v>
      </c>
      <c r="G2108" s="7" t="s">
        <v>263</v>
      </c>
      <c r="H2108" s="7" t="s">
        <v>3000</v>
      </c>
      <c r="I2108" s="8">
        <v>2000.0</v>
      </c>
      <c r="J2108" s="8">
        <v>2.2</v>
      </c>
      <c r="K2108" s="8" t="s">
        <v>583</v>
      </c>
      <c r="M2108" s="8" t="s">
        <v>740</v>
      </c>
      <c r="N2108" s="8">
        <v>1.7</v>
      </c>
      <c r="O2108" s="14">
        <f t="shared" si="1"/>
        <v>44013</v>
      </c>
      <c r="P2108" s="15">
        <f>IFERROR(VLOOKUP(K2108,Formula!$A$11:$B$20,2,FALSE),Formula!$C$26)</f>
        <v>0.95</v>
      </c>
      <c r="Q2108" s="15">
        <f>IF(AND(ISNUMBER(J2108),J2108&gt;0),1/J2108,IF(AND(ISNUMBER(I2108),I2108&gt;0),SQRT(MIN(I2108,Formula!$C$27))/Formula!$C$24,1/Formula!$C$25))</f>
        <v>0.4545454545</v>
      </c>
      <c r="R2108" s="15">
        <f t="shared" si="2"/>
        <v>0.4318181818</v>
      </c>
      <c r="S2108" s="15">
        <f>IF(H2108&lt;&gt;"",EXP(-Formula!$C$28*(EOMONTH(H2108,0)-H2108)),EXP(-Formula!$C$28*(EOMONTH(D2108,0)-D2108)))</f>
        <v>0.5769498104</v>
      </c>
      <c r="T2108" s="15">
        <f t="shared" si="3"/>
        <v>0.1924500897</v>
      </c>
      <c r="U2108" s="15">
        <f t="shared" si="4"/>
        <v>0.04794651847</v>
      </c>
      <c r="V2108" s="16">
        <f>IF(AND(L2108="Among all respondents",NOT(OR(K2108="Online poll in Telegram channel",K2108="Website online poll",K2108="CAWI (Computer Assisted Web Interviewing)"))),1/(1-MIN(MAX(Formula!$C$33+(YEAR(D2108)-Formula!$C$34)/(Formula!$C$35-Formula!$C$34)*(Formula!$C$32-Formula!$C$33),Formula!$C$33),Formula!$C$32)),1)</f>
        <v>1</v>
      </c>
      <c r="W2108" s="17">
        <f t="shared" si="5"/>
        <v>1.7</v>
      </c>
    </row>
    <row r="2109" ht="15.75" customHeight="1">
      <c r="A2109" s="8" t="s">
        <v>3012</v>
      </c>
      <c r="B2109" s="7" t="s">
        <v>2998</v>
      </c>
      <c r="C2109" s="13" t="s">
        <v>2999</v>
      </c>
      <c r="D2109" s="7" t="s">
        <v>262</v>
      </c>
      <c r="E2109" s="8" t="s">
        <v>40</v>
      </c>
      <c r="F2109" s="8" t="s">
        <v>318</v>
      </c>
      <c r="G2109" s="7" t="s">
        <v>263</v>
      </c>
      <c r="H2109" s="7" t="s">
        <v>3000</v>
      </c>
      <c r="I2109" s="8">
        <v>2000.0</v>
      </c>
      <c r="J2109" s="8">
        <v>2.2</v>
      </c>
      <c r="K2109" s="8" t="s">
        <v>583</v>
      </c>
      <c r="M2109" s="8" t="s">
        <v>3013</v>
      </c>
      <c r="N2109" s="8">
        <v>1.2</v>
      </c>
      <c r="O2109" s="14">
        <f t="shared" si="1"/>
        <v>44013</v>
      </c>
      <c r="P2109" s="15">
        <f>IFERROR(VLOOKUP(K2109,Formula!$A$11:$B$20,2,FALSE),Formula!$C$26)</f>
        <v>0.95</v>
      </c>
      <c r="Q2109" s="15">
        <f>IF(AND(ISNUMBER(J2109),J2109&gt;0),1/J2109,IF(AND(ISNUMBER(I2109),I2109&gt;0),SQRT(MIN(I2109,Formula!$C$27))/Formula!$C$24,1/Formula!$C$25))</f>
        <v>0.4545454545</v>
      </c>
      <c r="R2109" s="15">
        <f t="shared" si="2"/>
        <v>0.4318181818</v>
      </c>
      <c r="S2109" s="15">
        <f>IF(H2109&lt;&gt;"",EXP(-Formula!$C$28*(EOMONTH(H2109,0)-H2109)),EXP(-Formula!$C$28*(EOMONTH(D2109,0)-D2109)))</f>
        <v>0.5769498104</v>
      </c>
      <c r="T2109" s="15">
        <f t="shared" si="3"/>
        <v>0.1924500897</v>
      </c>
      <c r="U2109" s="15">
        <f t="shared" si="4"/>
        <v>0.04794651847</v>
      </c>
      <c r="V2109" s="16">
        <f>IF(AND(L2109="Among all respondents",NOT(OR(K2109="Online poll in Telegram channel",K2109="Website online poll",K2109="CAWI (Computer Assisted Web Interviewing)"))),1/(1-MIN(MAX(Formula!$C$33+(YEAR(D2109)-Formula!$C$34)/(Formula!$C$35-Formula!$C$34)*(Formula!$C$32-Formula!$C$33),Formula!$C$33),Formula!$C$32)),1)</f>
        <v>1</v>
      </c>
      <c r="W2109" s="17">
        <f t="shared" si="5"/>
        <v>1.2</v>
      </c>
    </row>
    <row r="2110" ht="15.75" customHeight="1">
      <c r="A2110" s="8" t="s">
        <v>3014</v>
      </c>
      <c r="B2110" s="7" t="s">
        <v>2998</v>
      </c>
      <c r="C2110" s="13" t="s">
        <v>2999</v>
      </c>
      <c r="D2110" s="7" t="s">
        <v>262</v>
      </c>
      <c r="E2110" s="8" t="s">
        <v>40</v>
      </c>
      <c r="F2110" s="8" t="s">
        <v>318</v>
      </c>
      <c r="G2110" s="7" t="s">
        <v>263</v>
      </c>
      <c r="H2110" s="7" t="s">
        <v>3000</v>
      </c>
      <c r="I2110" s="8">
        <v>2000.0</v>
      </c>
      <c r="J2110" s="8">
        <v>2.2</v>
      </c>
      <c r="K2110" s="8" t="s">
        <v>583</v>
      </c>
      <c r="M2110" s="8" t="s">
        <v>343</v>
      </c>
      <c r="N2110" s="8">
        <v>0.8</v>
      </c>
      <c r="O2110" s="14">
        <f t="shared" si="1"/>
        <v>44013</v>
      </c>
      <c r="P2110" s="15">
        <f>IFERROR(VLOOKUP(K2110,Formula!$A$11:$B$20,2,FALSE),Formula!$C$26)</f>
        <v>0.95</v>
      </c>
      <c r="Q2110" s="15">
        <f>IF(AND(ISNUMBER(J2110),J2110&gt;0),1/J2110,IF(AND(ISNUMBER(I2110),I2110&gt;0),SQRT(MIN(I2110,Formula!$C$27))/Formula!$C$24,1/Formula!$C$25))</f>
        <v>0.4545454545</v>
      </c>
      <c r="R2110" s="15">
        <f t="shared" si="2"/>
        <v>0.4318181818</v>
      </c>
      <c r="S2110" s="15">
        <f>IF(H2110&lt;&gt;"",EXP(-Formula!$C$28*(EOMONTH(H2110,0)-H2110)),EXP(-Formula!$C$28*(EOMONTH(D2110,0)-D2110)))</f>
        <v>0.5769498104</v>
      </c>
      <c r="T2110" s="15">
        <f t="shared" si="3"/>
        <v>0.1924500897</v>
      </c>
      <c r="U2110" s="15">
        <f t="shared" si="4"/>
        <v>0.04794651847</v>
      </c>
      <c r="V2110" s="16">
        <f>IF(AND(L2110="Among all respondents",NOT(OR(K2110="Online poll in Telegram channel",K2110="Website online poll",K2110="CAWI (Computer Assisted Web Interviewing)"))),1/(1-MIN(MAX(Formula!$C$33+(YEAR(D2110)-Formula!$C$34)/(Formula!$C$35-Formula!$C$34)*(Formula!$C$32-Formula!$C$33),Formula!$C$33),Formula!$C$32)),1)</f>
        <v>1</v>
      </c>
      <c r="W2110" s="17">
        <f t="shared" si="5"/>
        <v>0.8</v>
      </c>
    </row>
    <row r="2111" ht="15.75" customHeight="1">
      <c r="A2111" s="8" t="s">
        <v>3015</v>
      </c>
      <c r="B2111" s="7" t="s">
        <v>2998</v>
      </c>
      <c r="C2111" s="13" t="s">
        <v>2999</v>
      </c>
      <c r="D2111" s="7" t="s">
        <v>262</v>
      </c>
      <c r="E2111" s="8" t="s">
        <v>40</v>
      </c>
      <c r="F2111" s="8" t="s">
        <v>318</v>
      </c>
      <c r="G2111" s="7" t="s">
        <v>263</v>
      </c>
      <c r="H2111" s="7" t="s">
        <v>3000</v>
      </c>
      <c r="I2111" s="8">
        <v>2000.0</v>
      </c>
      <c r="J2111" s="8">
        <v>2.2</v>
      </c>
      <c r="K2111" s="8" t="s">
        <v>583</v>
      </c>
      <c r="M2111" s="8" t="s">
        <v>3016</v>
      </c>
      <c r="N2111" s="8">
        <v>0.7</v>
      </c>
      <c r="O2111" s="14">
        <f t="shared" si="1"/>
        <v>44013</v>
      </c>
      <c r="P2111" s="15">
        <f>IFERROR(VLOOKUP(K2111,Formula!$A$11:$B$20,2,FALSE),Formula!$C$26)</f>
        <v>0.95</v>
      </c>
      <c r="Q2111" s="15">
        <f>IF(AND(ISNUMBER(J2111),J2111&gt;0),1/J2111,IF(AND(ISNUMBER(I2111),I2111&gt;0),SQRT(MIN(I2111,Formula!$C$27))/Formula!$C$24,1/Formula!$C$25))</f>
        <v>0.4545454545</v>
      </c>
      <c r="R2111" s="15">
        <f t="shared" si="2"/>
        <v>0.4318181818</v>
      </c>
      <c r="S2111" s="15">
        <f>IF(H2111&lt;&gt;"",EXP(-Formula!$C$28*(EOMONTH(H2111,0)-H2111)),EXP(-Formula!$C$28*(EOMONTH(D2111,0)-D2111)))</f>
        <v>0.5769498104</v>
      </c>
      <c r="T2111" s="15">
        <f t="shared" si="3"/>
        <v>0.1924500897</v>
      </c>
      <c r="U2111" s="15">
        <f t="shared" si="4"/>
        <v>0.04794651847</v>
      </c>
      <c r="V2111" s="16">
        <f>IF(AND(L2111="Among all respondents",NOT(OR(K2111="Online poll in Telegram channel",K2111="Website online poll",K2111="CAWI (Computer Assisted Web Interviewing)"))),1/(1-MIN(MAX(Formula!$C$33+(YEAR(D2111)-Formula!$C$34)/(Formula!$C$35-Formula!$C$34)*(Formula!$C$32-Formula!$C$33),Formula!$C$33),Formula!$C$32)),1)</f>
        <v>1</v>
      </c>
      <c r="W2111" s="17">
        <f t="shared" si="5"/>
        <v>0.7</v>
      </c>
    </row>
    <row r="2112" ht="15.75" customHeight="1">
      <c r="A2112" s="8" t="s">
        <v>3017</v>
      </c>
      <c r="B2112" s="7" t="s">
        <v>3018</v>
      </c>
      <c r="C2112" s="13" t="s">
        <v>3019</v>
      </c>
      <c r="D2112" s="7" t="s">
        <v>263</v>
      </c>
      <c r="E2112" s="8" t="s">
        <v>145</v>
      </c>
      <c r="F2112" s="8" t="s">
        <v>318</v>
      </c>
      <c r="G2112" s="7" t="s">
        <v>3020</v>
      </c>
      <c r="H2112" s="7" t="s">
        <v>3021</v>
      </c>
      <c r="I2112" s="8">
        <v>2022.0</v>
      </c>
      <c r="J2112" s="8">
        <v>2.3</v>
      </c>
      <c r="K2112" s="8" t="s">
        <v>583</v>
      </c>
      <c r="M2112" s="8" t="s">
        <v>323</v>
      </c>
      <c r="N2112" s="8">
        <v>26.9</v>
      </c>
      <c r="O2112" s="14">
        <f t="shared" si="1"/>
        <v>44013</v>
      </c>
      <c r="P2112" s="15">
        <f>IFERROR(VLOOKUP(K2112,Formula!$A$11:$B$20,2,FALSE),Formula!$C$26)</f>
        <v>0.95</v>
      </c>
      <c r="Q2112" s="15">
        <f>IF(AND(ISNUMBER(J2112),J2112&gt;0),1/J2112,IF(AND(ISNUMBER(I2112),I2112&gt;0),SQRT(MIN(I2112,Formula!$C$27))/Formula!$C$24,1/Formula!$C$25))</f>
        <v>0.4347826087</v>
      </c>
      <c r="R2112" s="15">
        <f t="shared" si="2"/>
        <v>0.4130434783</v>
      </c>
      <c r="S2112" s="15">
        <f>IF(H2112&lt;&gt;"",EXP(-Formula!$C$28*(EOMONTH(H2112,0)-H2112)),EXP(-Formula!$C$28*(EOMONTH(D2112,0)-D2112)))</f>
        <v>0.3328710837</v>
      </c>
      <c r="T2112" s="15">
        <f t="shared" si="3"/>
        <v>0.3333333333</v>
      </c>
      <c r="U2112" s="15">
        <f t="shared" si="4"/>
        <v>0.04583007674</v>
      </c>
      <c r="V2112" s="16">
        <f>IF(AND(L2112="Among all respondents",NOT(OR(K2112="Online poll in Telegram channel",K2112="Website online poll",K2112="CAWI (Computer Assisted Web Interviewing)"))),1/(1-MIN(MAX(Formula!$C$33+(YEAR(D2112)-Formula!$C$34)/(Formula!$C$35-Formula!$C$34)*(Formula!$C$32-Formula!$C$33),Formula!$C$33),Formula!$C$32)),1)</f>
        <v>1</v>
      </c>
      <c r="W2112" s="17">
        <f t="shared" si="5"/>
        <v>26.9</v>
      </c>
    </row>
    <row r="2113" ht="15.75" customHeight="1">
      <c r="A2113" s="8" t="s">
        <v>3022</v>
      </c>
      <c r="B2113" s="7" t="s">
        <v>3018</v>
      </c>
      <c r="C2113" s="13" t="s">
        <v>3019</v>
      </c>
      <c r="D2113" s="7" t="s">
        <v>263</v>
      </c>
      <c r="E2113" s="8" t="s">
        <v>145</v>
      </c>
      <c r="F2113" s="8" t="s">
        <v>318</v>
      </c>
      <c r="G2113" s="7" t="s">
        <v>3020</v>
      </c>
      <c r="H2113" s="7" t="s">
        <v>3021</v>
      </c>
      <c r="I2113" s="8">
        <v>2022.0</v>
      </c>
      <c r="J2113" s="8">
        <v>2.3</v>
      </c>
      <c r="K2113" s="8" t="s">
        <v>583</v>
      </c>
      <c r="M2113" s="8" t="s">
        <v>365</v>
      </c>
      <c r="N2113" s="8">
        <v>13.3</v>
      </c>
      <c r="O2113" s="14">
        <f t="shared" si="1"/>
        <v>44013</v>
      </c>
      <c r="P2113" s="15">
        <f>IFERROR(VLOOKUP(K2113,Formula!$A$11:$B$20,2,FALSE),Formula!$C$26)</f>
        <v>0.95</v>
      </c>
      <c r="Q2113" s="15">
        <f>IF(AND(ISNUMBER(J2113),J2113&gt;0),1/J2113,IF(AND(ISNUMBER(I2113),I2113&gt;0),SQRT(MIN(I2113,Formula!$C$27))/Formula!$C$24,1/Formula!$C$25))</f>
        <v>0.4347826087</v>
      </c>
      <c r="R2113" s="15">
        <f t="shared" si="2"/>
        <v>0.4130434783</v>
      </c>
      <c r="S2113" s="15">
        <f>IF(H2113&lt;&gt;"",EXP(-Formula!$C$28*(EOMONTH(H2113,0)-H2113)),EXP(-Formula!$C$28*(EOMONTH(D2113,0)-D2113)))</f>
        <v>0.3328710837</v>
      </c>
      <c r="T2113" s="15">
        <f t="shared" si="3"/>
        <v>0.3333333333</v>
      </c>
      <c r="U2113" s="15">
        <f t="shared" si="4"/>
        <v>0.04583007674</v>
      </c>
      <c r="V2113" s="16">
        <f>IF(AND(L2113="Among all respondents",NOT(OR(K2113="Online poll in Telegram channel",K2113="Website online poll",K2113="CAWI (Computer Assisted Web Interviewing)"))),1/(1-MIN(MAX(Formula!$C$33+(YEAR(D2113)-Formula!$C$34)/(Formula!$C$35-Formula!$C$34)*(Formula!$C$32-Formula!$C$33),Formula!$C$33),Formula!$C$32)),1)</f>
        <v>1</v>
      </c>
      <c r="W2113" s="17">
        <f t="shared" si="5"/>
        <v>13.3</v>
      </c>
    </row>
    <row r="2114" ht="15.75" customHeight="1">
      <c r="A2114" s="8" t="s">
        <v>3023</v>
      </c>
      <c r="B2114" s="7" t="s">
        <v>3018</v>
      </c>
      <c r="C2114" s="13" t="s">
        <v>3019</v>
      </c>
      <c r="D2114" s="7" t="s">
        <v>263</v>
      </c>
      <c r="E2114" s="8" t="s">
        <v>145</v>
      </c>
      <c r="F2114" s="8" t="s">
        <v>318</v>
      </c>
      <c r="G2114" s="7" t="s">
        <v>3020</v>
      </c>
      <c r="H2114" s="7" t="s">
        <v>3021</v>
      </c>
      <c r="I2114" s="8">
        <v>2022.0</v>
      </c>
      <c r="J2114" s="8">
        <v>2.3</v>
      </c>
      <c r="K2114" s="8" t="s">
        <v>583</v>
      </c>
      <c r="M2114" s="8" t="s">
        <v>329</v>
      </c>
      <c r="N2114" s="8">
        <v>11.3</v>
      </c>
      <c r="O2114" s="14">
        <f t="shared" si="1"/>
        <v>44013</v>
      </c>
      <c r="P2114" s="15">
        <f>IFERROR(VLOOKUP(K2114,Formula!$A$11:$B$20,2,FALSE),Formula!$C$26)</f>
        <v>0.95</v>
      </c>
      <c r="Q2114" s="15">
        <f>IF(AND(ISNUMBER(J2114),J2114&gt;0),1/J2114,IF(AND(ISNUMBER(I2114),I2114&gt;0),SQRT(MIN(I2114,Formula!$C$27))/Formula!$C$24,1/Formula!$C$25))</f>
        <v>0.4347826087</v>
      </c>
      <c r="R2114" s="15">
        <f t="shared" si="2"/>
        <v>0.4130434783</v>
      </c>
      <c r="S2114" s="15">
        <f>IF(H2114&lt;&gt;"",EXP(-Formula!$C$28*(EOMONTH(H2114,0)-H2114)),EXP(-Formula!$C$28*(EOMONTH(D2114,0)-D2114)))</f>
        <v>0.3328710837</v>
      </c>
      <c r="T2114" s="15">
        <f t="shared" si="3"/>
        <v>0.3333333333</v>
      </c>
      <c r="U2114" s="15">
        <f t="shared" si="4"/>
        <v>0.04583007674</v>
      </c>
      <c r="V2114" s="16">
        <f>IF(AND(L2114="Among all respondents",NOT(OR(K2114="Online poll in Telegram channel",K2114="Website online poll",K2114="CAWI (Computer Assisted Web Interviewing)"))),1/(1-MIN(MAX(Formula!$C$33+(YEAR(D2114)-Formula!$C$34)/(Formula!$C$35-Formula!$C$34)*(Formula!$C$32-Formula!$C$33),Formula!$C$33),Formula!$C$32)),1)</f>
        <v>1</v>
      </c>
      <c r="W2114" s="17">
        <f t="shared" si="5"/>
        <v>11.3</v>
      </c>
    </row>
    <row r="2115" ht="15.75" customHeight="1">
      <c r="A2115" s="8" t="s">
        <v>3024</v>
      </c>
      <c r="B2115" s="7" t="s">
        <v>3018</v>
      </c>
      <c r="C2115" s="13" t="s">
        <v>3019</v>
      </c>
      <c r="D2115" s="7" t="s">
        <v>263</v>
      </c>
      <c r="E2115" s="8" t="s">
        <v>145</v>
      </c>
      <c r="F2115" s="8" t="s">
        <v>318</v>
      </c>
      <c r="G2115" s="7" t="s">
        <v>3020</v>
      </c>
      <c r="H2115" s="7" t="s">
        <v>3021</v>
      </c>
      <c r="I2115" s="8">
        <v>2022.0</v>
      </c>
      <c r="J2115" s="8">
        <v>2.3</v>
      </c>
      <c r="K2115" s="8" t="s">
        <v>583</v>
      </c>
      <c r="M2115" s="8" t="s">
        <v>337</v>
      </c>
      <c r="N2115" s="8">
        <v>5.7</v>
      </c>
      <c r="O2115" s="14">
        <f t="shared" si="1"/>
        <v>44013</v>
      </c>
      <c r="P2115" s="15">
        <f>IFERROR(VLOOKUP(K2115,Formula!$A$11:$B$20,2,FALSE),Formula!$C$26)</f>
        <v>0.95</v>
      </c>
      <c r="Q2115" s="15">
        <f>IF(AND(ISNUMBER(J2115),J2115&gt;0),1/J2115,IF(AND(ISNUMBER(I2115),I2115&gt;0),SQRT(MIN(I2115,Formula!$C$27))/Formula!$C$24,1/Formula!$C$25))</f>
        <v>0.4347826087</v>
      </c>
      <c r="R2115" s="15">
        <f t="shared" si="2"/>
        <v>0.4130434783</v>
      </c>
      <c r="S2115" s="15">
        <f>IF(H2115&lt;&gt;"",EXP(-Formula!$C$28*(EOMONTH(H2115,0)-H2115)),EXP(-Formula!$C$28*(EOMONTH(D2115,0)-D2115)))</f>
        <v>0.3328710837</v>
      </c>
      <c r="T2115" s="15">
        <f t="shared" si="3"/>
        <v>0.3333333333</v>
      </c>
      <c r="U2115" s="15">
        <f t="shared" si="4"/>
        <v>0.04583007674</v>
      </c>
      <c r="V2115" s="16">
        <f>IF(AND(L2115="Among all respondents",NOT(OR(K2115="Online poll in Telegram channel",K2115="Website online poll",K2115="CAWI (Computer Assisted Web Interviewing)"))),1/(1-MIN(MAX(Formula!$C$33+(YEAR(D2115)-Formula!$C$34)/(Formula!$C$35-Formula!$C$34)*(Formula!$C$32-Formula!$C$33),Formula!$C$33),Formula!$C$32)),1)</f>
        <v>1</v>
      </c>
      <c r="W2115" s="17">
        <f t="shared" si="5"/>
        <v>5.7</v>
      </c>
    </row>
    <row r="2116" ht="15.75" customHeight="1">
      <c r="A2116" s="8" t="s">
        <v>3025</v>
      </c>
      <c r="B2116" s="7" t="s">
        <v>3018</v>
      </c>
      <c r="C2116" s="13" t="s">
        <v>3019</v>
      </c>
      <c r="D2116" s="7" t="s">
        <v>263</v>
      </c>
      <c r="E2116" s="8" t="s">
        <v>145</v>
      </c>
      <c r="F2116" s="8" t="s">
        <v>318</v>
      </c>
      <c r="G2116" s="7" t="s">
        <v>3020</v>
      </c>
      <c r="H2116" s="7" t="s">
        <v>3021</v>
      </c>
      <c r="I2116" s="8">
        <v>2022.0</v>
      </c>
      <c r="J2116" s="8">
        <v>2.3</v>
      </c>
      <c r="K2116" s="8" t="s">
        <v>583</v>
      </c>
      <c r="M2116" s="8" t="s">
        <v>828</v>
      </c>
      <c r="N2116" s="8">
        <v>3.4</v>
      </c>
      <c r="O2116" s="14">
        <f t="shared" si="1"/>
        <v>44013</v>
      </c>
      <c r="P2116" s="15">
        <f>IFERROR(VLOOKUP(K2116,Formula!$A$11:$B$20,2,FALSE),Formula!$C$26)</f>
        <v>0.95</v>
      </c>
      <c r="Q2116" s="15">
        <f>IF(AND(ISNUMBER(J2116),J2116&gt;0),1/J2116,IF(AND(ISNUMBER(I2116),I2116&gt;0),SQRT(MIN(I2116,Formula!$C$27))/Formula!$C$24,1/Formula!$C$25))</f>
        <v>0.4347826087</v>
      </c>
      <c r="R2116" s="15">
        <f t="shared" si="2"/>
        <v>0.4130434783</v>
      </c>
      <c r="S2116" s="15">
        <f>IF(H2116&lt;&gt;"",EXP(-Formula!$C$28*(EOMONTH(H2116,0)-H2116)),EXP(-Formula!$C$28*(EOMONTH(D2116,0)-D2116)))</f>
        <v>0.3328710837</v>
      </c>
      <c r="T2116" s="15">
        <f t="shared" si="3"/>
        <v>0.3333333333</v>
      </c>
      <c r="U2116" s="15">
        <f t="shared" si="4"/>
        <v>0.04583007674</v>
      </c>
      <c r="V2116" s="16">
        <f>IF(AND(L2116="Among all respondents",NOT(OR(K2116="Online poll in Telegram channel",K2116="Website online poll",K2116="CAWI (Computer Assisted Web Interviewing)"))),1/(1-MIN(MAX(Formula!$C$33+(YEAR(D2116)-Formula!$C$34)/(Formula!$C$35-Formula!$C$34)*(Formula!$C$32-Formula!$C$33),Formula!$C$33),Formula!$C$32)),1)</f>
        <v>1</v>
      </c>
      <c r="W2116" s="17">
        <f t="shared" si="5"/>
        <v>3.4</v>
      </c>
    </row>
    <row r="2117" ht="15.75" customHeight="1">
      <c r="A2117" s="8" t="s">
        <v>3026</v>
      </c>
      <c r="B2117" s="7" t="s">
        <v>3018</v>
      </c>
      <c r="C2117" s="13" t="s">
        <v>3019</v>
      </c>
      <c r="D2117" s="7" t="s">
        <v>263</v>
      </c>
      <c r="E2117" s="8" t="s">
        <v>145</v>
      </c>
      <c r="F2117" s="8" t="s">
        <v>318</v>
      </c>
      <c r="G2117" s="7" t="s">
        <v>3020</v>
      </c>
      <c r="H2117" s="7" t="s">
        <v>3021</v>
      </c>
      <c r="I2117" s="8">
        <v>2022.0</v>
      </c>
      <c r="J2117" s="8">
        <v>2.3</v>
      </c>
      <c r="K2117" s="8" t="s">
        <v>583</v>
      </c>
      <c r="M2117" s="8" t="s">
        <v>838</v>
      </c>
      <c r="N2117" s="8">
        <v>2.7</v>
      </c>
      <c r="O2117" s="14">
        <f t="shared" si="1"/>
        <v>44013</v>
      </c>
      <c r="P2117" s="15">
        <f>IFERROR(VLOOKUP(K2117,Formula!$A$11:$B$20,2,FALSE),Formula!$C$26)</f>
        <v>0.95</v>
      </c>
      <c r="Q2117" s="15">
        <f>IF(AND(ISNUMBER(J2117),J2117&gt;0),1/J2117,IF(AND(ISNUMBER(I2117),I2117&gt;0),SQRT(MIN(I2117,Formula!$C$27))/Formula!$C$24,1/Formula!$C$25))</f>
        <v>0.4347826087</v>
      </c>
      <c r="R2117" s="15">
        <f t="shared" si="2"/>
        <v>0.4130434783</v>
      </c>
      <c r="S2117" s="15">
        <f>IF(H2117&lt;&gt;"",EXP(-Formula!$C$28*(EOMONTH(H2117,0)-H2117)),EXP(-Formula!$C$28*(EOMONTH(D2117,0)-D2117)))</f>
        <v>0.3328710837</v>
      </c>
      <c r="T2117" s="15">
        <f t="shared" si="3"/>
        <v>0.3333333333</v>
      </c>
      <c r="U2117" s="15">
        <f t="shared" si="4"/>
        <v>0.04583007674</v>
      </c>
      <c r="V2117" s="16">
        <f>IF(AND(L2117="Among all respondents",NOT(OR(K2117="Online poll in Telegram channel",K2117="Website online poll",K2117="CAWI (Computer Assisted Web Interviewing)"))),1/(1-MIN(MAX(Formula!$C$33+(YEAR(D2117)-Formula!$C$34)/(Formula!$C$35-Formula!$C$34)*(Formula!$C$32-Formula!$C$33),Formula!$C$33),Formula!$C$32)),1)</f>
        <v>1</v>
      </c>
      <c r="W2117" s="17">
        <f t="shared" si="5"/>
        <v>2.7</v>
      </c>
    </row>
    <row r="2118" ht="15.75" customHeight="1">
      <c r="A2118" s="8" t="s">
        <v>3027</v>
      </c>
      <c r="B2118" s="7" t="s">
        <v>3018</v>
      </c>
      <c r="C2118" s="13" t="s">
        <v>3019</v>
      </c>
      <c r="D2118" s="7" t="s">
        <v>263</v>
      </c>
      <c r="E2118" s="8" t="s">
        <v>145</v>
      </c>
      <c r="F2118" s="8" t="s">
        <v>318</v>
      </c>
      <c r="G2118" s="7" t="s">
        <v>3020</v>
      </c>
      <c r="H2118" s="7" t="s">
        <v>3021</v>
      </c>
      <c r="I2118" s="8">
        <v>2022.0</v>
      </c>
      <c r="J2118" s="8">
        <v>2.3</v>
      </c>
      <c r="K2118" s="8" t="s">
        <v>583</v>
      </c>
      <c r="M2118" s="8" t="s">
        <v>388</v>
      </c>
      <c r="N2118" s="8">
        <v>1.5</v>
      </c>
      <c r="O2118" s="14">
        <f t="shared" si="1"/>
        <v>44013</v>
      </c>
      <c r="P2118" s="15">
        <f>IFERROR(VLOOKUP(K2118,Formula!$A$11:$B$20,2,FALSE),Formula!$C$26)</f>
        <v>0.95</v>
      </c>
      <c r="Q2118" s="15">
        <f>IF(AND(ISNUMBER(J2118),J2118&gt;0),1/J2118,IF(AND(ISNUMBER(I2118),I2118&gt;0),SQRT(MIN(I2118,Formula!$C$27))/Formula!$C$24,1/Formula!$C$25))</f>
        <v>0.4347826087</v>
      </c>
      <c r="R2118" s="15">
        <f t="shared" si="2"/>
        <v>0.4130434783</v>
      </c>
      <c r="S2118" s="15">
        <f>IF(H2118&lt;&gt;"",EXP(-Formula!$C$28*(EOMONTH(H2118,0)-H2118)),EXP(-Formula!$C$28*(EOMONTH(D2118,0)-D2118)))</f>
        <v>0.3328710837</v>
      </c>
      <c r="T2118" s="15">
        <f t="shared" si="3"/>
        <v>0.3333333333</v>
      </c>
      <c r="U2118" s="15">
        <f t="shared" si="4"/>
        <v>0.04583007674</v>
      </c>
      <c r="V2118" s="16">
        <f>IF(AND(L2118="Among all respondents",NOT(OR(K2118="Online poll in Telegram channel",K2118="Website online poll",K2118="CAWI (Computer Assisted Web Interviewing)"))),1/(1-MIN(MAX(Formula!$C$33+(YEAR(D2118)-Formula!$C$34)/(Formula!$C$35-Formula!$C$34)*(Formula!$C$32-Formula!$C$33),Formula!$C$33),Formula!$C$32)),1)</f>
        <v>1</v>
      </c>
      <c r="W2118" s="17">
        <f t="shared" si="5"/>
        <v>1.5</v>
      </c>
    </row>
    <row r="2119" ht="15.75" customHeight="1">
      <c r="A2119" s="8" t="s">
        <v>3028</v>
      </c>
      <c r="B2119" s="7" t="s">
        <v>3018</v>
      </c>
      <c r="C2119" s="13" t="s">
        <v>3019</v>
      </c>
      <c r="D2119" s="7" t="s">
        <v>263</v>
      </c>
      <c r="E2119" s="8" t="s">
        <v>145</v>
      </c>
      <c r="F2119" s="8" t="s">
        <v>318</v>
      </c>
      <c r="G2119" s="7" t="s">
        <v>3020</v>
      </c>
      <c r="H2119" s="7" t="s">
        <v>3021</v>
      </c>
      <c r="I2119" s="8">
        <v>2022.0</v>
      </c>
      <c r="J2119" s="8">
        <v>2.3</v>
      </c>
      <c r="K2119" s="8" t="s">
        <v>583</v>
      </c>
      <c r="M2119" s="8" t="s">
        <v>345</v>
      </c>
      <c r="N2119" s="8">
        <v>1.3</v>
      </c>
      <c r="O2119" s="14">
        <f t="shared" si="1"/>
        <v>44013</v>
      </c>
      <c r="P2119" s="15">
        <f>IFERROR(VLOOKUP(K2119,Formula!$A$11:$B$20,2,FALSE),Formula!$C$26)</f>
        <v>0.95</v>
      </c>
      <c r="Q2119" s="15">
        <f>IF(AND(ISNUMBER(J2119),J2119&gt;0),1/J2119,IF(AND(ISNUMBER(I2119),I2119&gt;0),SQRT(MIN(I2119,Formula!$C$27))/Formula!$C$24,1/Formula!$C$25))</f>
        <v>0.4347826087</v>
      </c>
      <c r="R2119" s="15">
        <f t="shared" si="2"/>
        <v>0.4130434783</v>
      </c>
      <c r="S2119" s="15">
        <f>IF(H2119&lt;&gt;"",EXP(-Formula!$C$28*(EOMONTH(H2119,0)-H2119)),EXP(-Formula!$C$28*(EOMONTH(D2119,0)-D2119)))</f>
        <v>0.3328710837</v>
      </c>
      <c r="T2119" s="15">
        <f t="shared" si="3"/>
        <v>0.3333333333</v>
      </c>
      <c r="U2119" s="15">
        <f t="shared" si="4"/>
        <v>0.04583007674</v>
      </c>
      <c r="V2119" s="16">
        <f>IF(AND(L2119="Among all respondents",NOT(OR(K2119="Online poll in Telegram channel",K2119="Website online poll",K2119="CAWI (Computer Assisted Web Interviewing)"))),1/(1-MIN(MAX(Formula!$C$33+(YEAR(D2119)-Formula!$C$34)/(Formula!$C$35-Formula!$C$34)*(Formula!$C$32-Formula!$C$33),Formula!$C$33),Formula!$C$32)),1)</f>
        <v>1</v>
      </c>
      <c r="W2119" s="17">
        <f t="shared" si="5"/>
        <v>1.3</v>
      </c>
    </row>
    <row r="2120" ht="15.75" customHeight="1">
      <c r="A2120" s="8" t="s">
        <v>3029</v>
      </c>
      <c r="B2120" s="7" t="s">
        <v>3018</v>
      </c>
      <c r="C2120" s="13" t="s">
        <v>3019</v>
      </c>
      <c r="D2120" s="7" t="s">
        <v>263</v>
      </c>
      <c r="E2120" s="8" t="s">
        <v>145</v>
      </c>
      <c r="F2120" s="8" t="s">
        <v>318</v>
      </c>
      <c r="G2120" s="7" t="s">
        <v>3020</v>
      </c>
      <c r="H2120" s="7" t="s">
        <v>3021</v>
      </c>
      <c r="I2120" s="8">
        <v>2022.0</v>
      </c>
      <c r="J2120" s="8">
        <v>2.3</v>
      </c>
      <c r="K2120" s="8" t="s">
        <v>583</v>
      </c>
      <c r="M2120" s="8" t="s">
        <v>1398</v>
      </c>
      <c r="N2120" s="8">
        <v>1.2</v>
      </c>
      <c r="O2120" s="14">
        <f t="shared" si="1"/>
        <v>44013</v>
      </c>
      <c r="P2120" s="15">
        <f>IFERROR(VLOOKUP(K2120,Formula!$A$11:$B$20,2,FALSE),Formula!$C$26)</f>
        <v>0.95</v>
      </c>
      <c r="Q2120" s="15">
        <f>IF(AND(ISNUMBER(J2120),J2120&gt;0),1/J2120,IF(AND(ISNUMBER(I2120),I2120&gt;0),SQRT(MIN(I2120,Formula!$C$27))/Formula!$C$24,1/Formula!$C$25))</f>
        <v>0.4347826087</v>
      </c>
      <c r="R2120" s="15">
        <f t="shared" si="2"/>
        <v>0.4130434783</v>
      </c>
      <c r="S2120" s="15">
        <f>IF(H2120&lt;&gt;"",EXP(-Formula!$C$28*(EOMONTH(H2120,0)-H2120)),EXP(-Formula!$C$28*(EOMONTH(D2120,0)-D2120)))</f>
        <v>0.3328710837</v>
      </c>
      <c r="T2120" s="15">
        <f t="shared" si="3"/>
        <v>0.3333333333</v>
      </c>
      <c r="U2120" s="15">
        <f t="shared" si="4"/>
        <v>0.04583007674</v>
      </c>
      <c r="V2120" s="16">
        <f>IF(AND(L2120="Among all respondents",NOT(OR(K2120="Online poll in Telegram channel",K2120="Website online poll",K2120="CAWI (Computer Assisted Web Interviewing)"))),1/(1-MIN(MAX(Formula!$C$33+(YEAR(D2120)-Formula!$C$34)/(Formula!$C$35-Formula!$C$34)*(Formula!$C$32-Formula!$C$33),Formula!$C$33),Formula!$C$32)),1)</f>
        <v>1</v>
      </c>
      <c r="W2120" s="17">
        <f t="shared" si="5"/>
        <v>1.2</v>
      </c>
    </row>
    <row r="2121" ht="15.75" customHeight="1">
      <c r="A2121" s="8" t="s">
        <v>3030</v>
      </c>
      <c r="B2121" s="7" t="s">
        <v>3031</v>
      </c>
      <c r="C2121" s="13" t="s">
        <v>3032</v>
      </c>
      <c r="D2121" s="7" t="s">
        <v>264</v>
      </c>
      <c r="E2121" s="8" t="s">
        <v>17</v>
      </c>
      <c r="F2121" s="8" t="s">
        <v>318</v>
      </c>
      <c r="G2121" s="7" t="s">
        <v>3033</v>
      </c>
      <c r="H2121" s="7" t="s">
        <v>3034</v>
      </c>
      <c r="I2121" s="8">
        <v>2000.0</v>
      </c>
      <c r="K2121" s="8" t="s">
        <v>321</v>
      </c>
      <c r="M2121" s="8" t="s">
        <v>323</v>
      </c>
      <c r="N2121" s="8">
        <v>25.6</v>
      </c>
      <c r="O2121" s="14">
        <f t="shared" si="1"/>
        <v>44013</v>
      </c>
      <c r="P2121" s="15">
        <f>IFERROR(VLOOKUP(K2121,Formula!$A$11:$B$20,2,FALSE),Formula!$C$26)</f>
        <v>0.9</v>
      </c>
      <c r="Q2121" s="15">
        <f>IF(AND(ISNUMBER(J2121),J2121&gt;0),1/J2121,IF(AND(ISNUMBER(I2121),I2121&gt;0),SQRT(MIN(I2121,Formula!$C$27))/Formula!$C$24,1/Formula!$C$25))</f>
        <v>0.4563404036</v>
      </c>
      <c r="R2121" s="15">
        <f t="shared" si="2"/>
        <v>0.4107063632</v>
      </c>
      <c r="S2121" s="15">
        <f>IF(H2121&lt;&gt;"",EXP(-Formula!$C$28*(EOMONTH(H2121,0)-H2121)),EXP(-Formula!$C$28*(EOMONTH(D2121,0)-D2121)))</f>
        <v>1</v>
      </c>
      <c r="T2121" s="15">
        <f t="shared" si="3"/>
        <v>0.3333333333</v>
      </c>
      <c r="U2121" s="15">
        <f t="shared" si="4"/>
        <v>0.1369021211</v>
      </c>
      <c r="V2121" s="16">
        <f>IF(AND(L2121="Among all respondents",NOT(OR(K2121="Online poll in Telegram channel",K2121="Website online poll",K2121="CAWI (Computer Assisted Web Interviewing)"))),1/(1-MIN(MAX(Formula!$C$33+(YEAR(D2121)-Formula!$C$34)/(Formula!$C$35-Formula!$C$34)*(Formula!$C$32-Formula!$C$33),Formula!$C$33),Formula!$C$32)),1)</f>
        <v>1</v>
      </c>
      <c r="W2121" s="17">
        <f t="shared" si="5"/>
        <v>25.6</v>
      </c>
    </row>
    <row r="2122" ht="15.75" customHeight="1">
      <c r="A2122" s="8" t="s">
        <v>3035</v>
      </c>
      <c r="B2122" s="7" t="s">
        <v>3031</v>
      </c>
      <c r="C2122" s="13" t="s">
        <v>3032</v>
      </c>
      <c r="D2122" s="7" t="s">
        <v>264</v>
      </c>
      <c r="E2122" s="8" t="s">
        <v>17</v>
      </c>
      <c r="F2122" s="8" t="s">
        <v>318</v>
      </c>
      <c r="G2122" s="7" t="s">
        <v>3033</v>
      </c>
      <c r="H2122" s="7" t="s">
        <v>3034</v>
      </c>
      <c r="I2122" s="8">
        <v>2000.0</v>
      </c>
      <c r="K2122" s="8" t="s">
        <v>321</v>
      </c>
      <c r="M2122" s="8" t="s">
        <v>329</v>
      </c>
      <c r="N2122" s="8">
        <v>14.7</v>
      </c>
      <c r="O2122" s="14">
        <f t="shared" si="1"/>
        <v>44013</v>
      </c>
      <c r="P2122" s="15">
        <f>IFERROR(VLOOKUP(K2122,Formula!$A$11:$B$20,2,FALSE),Formula!$C$26)</f>
        <v>0.9</v>
      </c>
      <c r="Q2122" s="15">
        <f>IF(AND(ISNUMBER(J2122),J2122&gt;0),1/J2122,IF(AND(ISNUMBER(I2122),I2122&gt;0),SQRT(MIN(I2122,Formula!$C$27))/Formula!$C$24,1/Formula!$C$25))</f>
        <v>0.4563404036</v>
      </c>
      <c r="R2122" s="15">
        <f t="shared" si="2"/>
        <v>0.4107063632</v>
      </c>
      <c r="S2122" s="15">
        <f>IF(H2122&lt;&gt;"",EXP(-Formula!$C$28*(EOMONTH(H2122,0)-H2122)),EXP(-Formula!$C$28*(EOMONTH(D2122,0)-D2122)))</f>
        <v>1</v>
      </c>
      <c r="T2122" s="15">
        <f t="shared" si="3"/>
        <v>0.3333333333</v>
      </c>
      <c r="U2122" s="15">
        <f t="shared" si="4"/>
        <v>0.1369021211</v>
      </c>
      <c r="V2122" s="16">
        <f>IF(AND(L2122="Among all respondents",NOT(OR(K2122="Online poll in Telegram channel",K2122="Website online poll",K2122="CAWI (Computer Assisted Web Interviewing)"))),1/(1-MIN(MAX(Formula!$C$33+(YEAR(D2122)-Formula!$C$34)/(Formula!$C$35-Formula!$C$34)*(Formula!$C$32-Formula!$C$33),Formula!$C$33),Formula!$C$32)),1)</f>
        <v>1</v>
      </c>
      <c r="W2122" s="17">
        <f t="shared" si="5"/>
        <v>14.7</v>
      </c>
    </row>
    <row r="2123" ht="15.75" customHeight="1">
      <c r="A2123" s="8" t="s">
        <v>3036</v>
      </c>
      <c r="B2123" s="7" t="s">
        <v>3031</v>
      </c>
      <c r="C2123" s="13" t="s">
        <v>3032</v>
      </c>
      <c r="D2123" s="7" t="s">
        <v>264</v>
      </c>
      <c r="E2123" s="8" t="s">
        <v>17</v>
      </c>
      <c r="F2123" s="8" t="s">
        <v>318</v>
      </c>
      <c r="G2123" s="7" t="s">
        <v>3033</v>
      </c>
      <c r="H2123" s="7" t="s">
        <v>3034</v>
      </c>
      <c r="I2123" s="8">
        <v>2000.0</v>
      </c>
      <c r="K2123" s="8" t="s">
        <v>321</v>
      </c>
      <c r="M2123" s="8" t="s">
        <v>365</v>
      </c>
      <c r="N2123" s="8">
        <v>11.2</v>
      </c>
      <c r="O2123" s="14">
        <f t="shared" si="1"/>
        <v>44013</v>
      </c>
      <c r="P2123" s="15">
        <f>IFERROR(VLOOKUP(K2123,Formula!$A$11:$B$20,2,FALSE),Formula!$C$26)</f>
        <v>0.9</v>
      </c>
      <c r="Q2123" s="15">
        <f>IF(AND(ISNUMBER(J2123),J2123&gt;0),1/J2123,IF(AND(ISNUMBER(I2123),I2123&gt;0),SQRT(MIN(I2123,Formula!$C$27))/Formula!$C$24,1/Formula!$C$25))</f>
        <v>0.4563404036</v>
      </c>
      <c r="R2123" s="15">
        <f t="shared" si="2"/>
        <v>0.4107063632</v>
      </c>
      <c r="S2123" s="15">
        <f>IF(H2123&lt;&gt;"",EXP(-Formula!$C$28*(EOMONTH(H2123,0)-H2123)),EXP(-Formula!$C$28*(EOMONTH(D2123,0)-D2123)))</f>
        <v>1</v>
      </c>
      <c r="T2123" s="15">
        <f t="shared" si="3"/>
        <v>0.3333333333</v>
      </c>
      <c r="U2123" s="15">
        <f t="shared" si="4"/>
        <v>0.1369021211</v>
      </c>
      <c r="V2123" s="16">
        <f>IF(AND(L2123="Among all respondents",NOT(OR(K2123="Online poll in Telegram channel",K2123="Website online poll",K2123="CAWI (Computer Assisted Web Interviewing)"))),1/(1-MIN(MAX(Formula!$C$33+(YEAR(D2123)-Formula!$C$34)/(Formula!$C$35-Formula!$C$34)*(Formula!$C$32-Formula!$C$33),Formula!$C$33),Formula!$C$32)),1)</f>
        <v>1</v>
      </c>
      <c r="W2123" s="17">
        <f t="shared" si="5"/>
        <v>11.2</v>
      </c>
    </row>
    <row r="2124" ht="15.75" customHeight="1">
      <c r="A2124" s="8" t="s">
        <v>3037</v>
      </c>
      <c r="B2124" s="7" t="s">
        <v>3031</v>
      </c>
      <c r="C2124" s="13" t="s">
        <v>3032</v>
      </c>
      <c r="D2124" s="7" t="s">
        <v>264</v>
      </c>
      <c r="E2124" s="8" t="s">
        <v>17</v>
      </c>
      <c r="F2124" s="8" t="s">
        <v>318</v>
      </c>
      <c r="G2124" s="7" t="s">
        <v>3033</v>
      </c>
      <c r="H2124" s="7" t="s">
        <v>3034</v>
      </c>
      <c r="I2124" s="8">
        <v>2000.0</v>
      </c>
      <c r="K2124" s="8" t="s">
        <v>321</v>
      </c>
      <c r="M2124" s="8" t="s">
        <v>828</v>
      </c>
      <c r="N2124" s="8">
        <v>4.9</v>
      </c>
      <c r="O2124" s="14">
        <f t="shared" si="1"/>
        <v>44013</v>
      </c>
      <c r="P2124" s="15">
        <f>IFERROR(VLOOKUP(K2124,Formula!$A$11:$B$20,2,FALSE),Formula!$C$26)</f>
        <v>0.9</v>
      </c>
      <c r="Q2124" s="15">
        <f>IF(AND(ISNUMBER(J2124),J2124&gt;0),1/J2124,IF(AND(ISNUMBER(I2124),I2124&gt;0),SQRT(MIN(I2124,Formula!$C$27))/Formula!$C$24,1/Formula!$C$25))</f>
        <v>0.4563404036</v>
      </c>
      <c r="R2124" s="15">
        <f t="shared" si="2"/>
        <v>0.4107063632</v>
      </c>
      <c r="S2124" s="15">
        <f>IF(H2124&lt;&gt;"",EXP(-Formula!$C$28*(EOMONTH(H2124,0)-H2124)),EXP(-Formula!$C$28*(EOMONTH(D2124,0)-D2124)))</f>
        <v>1</v>
      </c>
      <c r="T2124" s="15">
        <f t="shared" si="3"/>
        <v>0.3333333333</v>
      </c>
      <c r="U2124" s="15">
        <f t="shared" si="4"/>
        <v>0.1369021211</v>
      </c>
      <c r="V2124" s="16">
        <f>IF(AND(L2124="Among all respondents",NOT(OR(K2124="Online poll in Telegram channel",K2124="Website online poll",K2124="CAWI (Computer Assisted Web Interviewing)"))),1/(1-MIN(MAX(Formula!$C$33+(YEAR(D2124)-Formula!$C$34)/(Formula!$C$35-Formula!$C$34)*(Formula!$C$32-Formula!$C$33),Formula!$C$33),Formula!$C$32)),1)</f>
        <v>1</v>
      </c>
      <c r="W2124" s="17">
        <f t="shared" si="5"/>
        <v>4.9</v>
      </c>
    </row>
    <row r="2125" ht="15.75" customHeight="1">
      <c r="A2125" s="8" t="s">
        <v>3038</v>
      </c>
      <c r="B2125" s="7" t="s">
        <v>3031</v>
      </c>
      <c r="C2125" s="13" t="s">
        <v>3032</v>
      </c>
      <c r="D2125" s="7" t="s">
        <v>264</v>
      </c>
      <c r="E2125" s="8" t="s">
        <v>17</v>
      </c>
      <c r="F2125" s="8" t="s">
        <v>318</v>
      </c>
      <c r="G2125" s="7" t="s">
        <v>3033</v>
      </c>
      <c r="H2125" s="7" t="s">
        <v>3034</v>
      </c>
      <c r="I2125" s="8">
        <v>2000.0</v>
      </c>
      <c r="K2125" s="8" t="s">
        <v>321</v>
      </c>
      <c r="M2125" s="8" t="s">
        <v>337</v>
      </c>
      <c r="N2125" s="8">
        <v>4.9</v>
      </c>
      <c r="O2125" s="14">
        <f t="shared" si="1"/>
        <v>44013</v>
      </c>
      <c r="P2125" s="15">
        <f>IFERROR(VLOOKUP(K2125,Formula!$A$11:$B$20,2,FALSE),Formula!$C$26)</f>
        <v>0.9</v>
      </c>
      <c r="Q2125" s="15">
        <f>IF(AND(ISNUMBER(J2125),J2125&gt;0),1/J2125,IF(AND(ISNUMBER(I2125),I2125&gt;0),SQRT(MIN(I2125,Formula!$C$27))/Formula!$C$24,1/Formula!$C$25))</f>
        <v>0.4563404036</v>
      </c>
      <c r="R2125" s="15">
        <f t="shared" si="2"/>
        <v>0.4107063632</v>
      </c>
      <c r="S2125" s="15">
        <f>IF(H2125&lt;&gt;"",EXP(-Formula!$C$28*(EOMONTH(H2125,0)-H2125)),EXP(-Formula!$C$28*(EOMONTH(D2125,0)-D2125)))</f>
        <v>1</v>
      </c>
      <c r="T2125" s="15">
        <f t="shared" si="3"/>
        <v>0.3333333333</v>
      </c>
      <c r="U2125" s="15">
        <f t="shared" si="4"/>
        <v>0.1369021211</v>
      </c>
      <c r="V2125" s="16">
        <f>IF(AND(L2125="Among all respondents",NOT(OR(K2125="Online poll in Telegram channel",K2125="Website online poll",K2125="CAWI (Computer Assisted Web Interviewing)"))),1/(1-MIN(MAX(Formula!$C$33+(YEAR(D2125)-Formula!$C$34)/(Formula!$C$35-Formula!$C$34)*(Formula!$C$32-Formula!$C$33),Formula!$C$33),Formula!$C$32)),1)</f>
        <v>1</v>
      </c>
      <c r="W2125" s="17">
        <f t="shared" si="5"/>
        <v>4.9</v>
      </c>
    </row>
    <row r="2126" ht="15.75" customHeight="1">
      <c r="A2126" s="8" t="s">
        <v>3039</v>
      </c>
      <c r="B2126" s="7" t="s">
        <v>3031</v>
      </c>
      <c r="C2126" s="13" t="s">
        <v>3032</v>
      </c>
      <c r="D2126" s="7" t="s">
        <v>264</v>
      </c>
      <c r="E2126" s="8" t="s">
        <v>17</v>
      </c>
      <c r="F2126" s="8" t="s">
        <v>318</v>
      </c>
      <c r="G2126" s="7" t="s">
        <v>3033</v>
      </c>
      <c r="H2126" s="7" t="s">
        <v>3034</v>
      </c>
      <c r="I2126" s="8">
        <v>2000.0</v>
      </c>
      <c r="K2126" s="8" t="s">
        <v>321</v>
      </c>
      <c r="M2126" s="8" t="s">
        <v>3040</v>
      </c>
      <c r="N2126" s="8">
        <v>2.2</v>
      </c>
      <c r="O2126" s="14">
        <f t="shared" si="1"/>
        <v>44013</v>
      </c>
      <c r="P2126" s="15">
        <f>IFERROR(VLOOKUP(K2126,Formula!$A$11:$B$20,2,FALSE),Formula!$C$26)</f>
        <v>0.9</v>
      </c>
      <c r="Q2126" s="15">
        <f>IF(AND(ISNUMBER(J2126),J2126&gt;0),1/J2126,IF(AND(ISNUMBER(I2126),I2126&gt;0),SQRT(MIN(I2126,Formula!$C$27))/Formula!$C$24,1/Formula!$C$25))</f>
        <v>0.4563404036</v>
      </c>
      <c r="R2126" s="15">
        <f t="shared" si="2"/>
        <v>0.4107063632</v>
      </c>
      <c r="S2126" s="15">
        <f>IF(H2126&lt;&gt;"",EXP(-Formula!$C$28*(EOMONTH(H2126,0)-H2126)),EXP(-Formula!$C$28*(EOMONTH(D2126,0)-D2126)))</f>
        <v>1</v>
      </c>
      <c r="T2126" s="15">
        <f t="shared" si="3"/>
        <v>0.3333333333</v>
      </c>
      <c r="U2126" s="15">
        <f t="shared" si="4"/>
        <v>0.1369021211</v>
      </c>
      <c r="V2126" s="16">
        <f>IF(AND(L2126="Among all respondents",NOT(OR(K2126="Online poll in Telegram channel",K2126="Website online poll",K2126="CAWI (Computer Assisted Web Interviewing)"))),1/(1-MIN(MAX(Formula!$C$33+(YEAR(D2126)-Formula!$C$34)/(Formula!$C$35-Formula!$C$34)*(Formula!$C$32-Formula!$C$33),Formula!$C$33),Formula!$C$32)),1)</f>
        <v>1</v>
      </c>
      <c r="W2126" s="17">
        <f t="shared" si="5"/>
        <v>2.2</v>
      </c>
    </row>
    <row r="2127" ht="15.75" customHeight="1">
      <c r="A2127" s="8" t="s">
        <v>3041</v>
      </c>
      <c r="B2127" s="7" t="s">
        <v>3031</v>
      </c>
      <c r="C2127" s="13" t="s">
        <v>3032</v>
      </c>
      <c r="D2127" s="7" t="s">
        <v>264</v>
      </c>
      <c r="E2127" s="8" t="s">
        <v>17</v>
      </c>
      <c r="F2127" s="8" t="s">
        <v>318</v>
      </c>
      <c r="G2127" s="7" t="s">
        <v>3033</v>
      </c>
      <c r="H2127" s="7" t="s">
        <v>3034</v>
      </c>
      <c r="I2127" s="8">
        <v>2000.0</v>
      </c>
      <c r="K2127" s="8" t="s">
        <v>321</v>
      </c>
      <c r="M2127" s="8" t="s">
        <v>388</v>
      </c>
      <c r="N2127" s="8">
        <v>2.0</v>
      </c>
      <c r="O2127" s="14">
        <f t="shared" si="1"/>
        <v>44013</v>
      </c>
      <c r="P2127" s="15">
        <f>IFERROR(VLOOKUP(K2127,Formula!$A$11:$B$20,2,FALSE),Formula!$C$26)</f>
        <v>0.9</v>
      </c>
      <c r="Q2127" s="15">
        <f>IF(AND(ISNUMBER(J2127),J2127&gt;0),1/J2127,IF(AND(ISNUMBER(I2127),I2127&gt;0),SQRT(MIN(I2127,Formula!$C$27))/Formula!$C$24,1/Formula!$C$25))</f>
        <v>0.4563404036</v>
      </c>
      <c r="R2127" s="15">
        <f t="shared" si="2"/>
        <v>0.4107063632</v>
      </c>
      <c r="S2127" s="15">
        <f>IF(H2127&lt;&gt;"",EXP(-Formula!$C$28*(EOMONTH(H2127,0)-H2127)),EXP(-Formula!$C$28*(EOMONTH(D2127,0)-D2127)))</f>
        <v>1</v>
      </c>
      <c r="T2127" s="15">
        <f t="shared" si="3"/>
        <v>0.3333333333</v>
      </c>
      <c r="U2127" s="15">
        <f t="shared" si="4"/>
        <v>0.1369021211</v>
      </c>
      <c r="V2127" s="16">
        <f>IF(AND(L2127="Among all respondents",NOT(OR(K2127="Online poll in Telegram channel",K2127="Website online poll",K2127="CAWI (Computer Assisted Web Interviewing)"))),1/(1-MIN(MAX(Formula!$C$33+(YEAR(D2127)-Formula!$C$34)/(Formula!$C$35-Formula!$C$34)*(Formula!$C$32-Formula!$C$33),Formula!$C$33),Formula!$C$32)),1)</f>
        <v>1</v>
      </c>
      <c r="W2127" s="17">
        <f t="shared" si="5"/>
        <v>2</v>
      </c>
    </row>
    <row r="2128" ht="15.75" customHeight="1">
      <c r="A2128" s="8" t="s">
        <v>3042</v>
      </c>
      <c r="B2128" s="7" t="s">
        <v>3031</v>
      </c>
      <c r="C2128" s="13" t="s">
        <v>3032</v>
      </c>
      <c r="D2128" s="7" t="s">
        <v>264</v>
      </c>
      <c r="E2128" s="8" t="s">
        <v>17</v>
      </c>
      <c r="F2128" s="8" t="s">
        <v>318</v>
      </c>
      <c r="G2128" s="7" t="s">
        <v>3033</v>
      </c>
      <c r="H2128" s="7" t="s">
        <v>3034</v>
      </c>
      <c r="I2128" s="8">
        <v>2000.0</v>
      </c>
      <c r="K2128" s="8" t="s">
        <v>321</v>
      </c>
      <c r="M2128" s="8" t="s">
        <v>3043</v>
      </c>
      <c r="N2128" s="8">
        <v>1.6</v>
      </c>
      <c r="O2128" s="14">
        <f t="shared" si="1"/>
        <v>44013</v>
      </c>
      <c r="P2128" s="15">
        <f>IFERROR(VLOOKUP(K2128,Formula!$A$11:$B$20,2,FALSE),Formula!$C$26)</f>
        <v>0.9</v>
      </c>
      <c r="Q2128" s="15">
        <f>IF(AND(ISNUMBER(J2128),J2128&gt;0),1/J2128,IF(AND(ISNUMBER(I2128),I2128&gt;0),SQRT(MIN(I2128,Formula!$C$27))/Formula!$C$24,1/Formula!$C$25))</f>
        <v>0.4563404036</v>
      </c>
      <c r="R2128" s="15">
        <f t="shared" si="2"/>
        <v>0.4107063632</v>
      </c>
      <c r="S2128" s="15">
        <f>IF(H2128&lt;&gt;"",EXP(-Formula!$C$28*(EOMONTH(H2128,0)-H2128)),EXP(-Formula!$C$28*(EOMONTH(D2128,0)-D2128)))</f>
        <v>1</v>
      </c>
      <c r="T2128" s="15">
        <f t="shared" si="3"/>
        <v>0.3333333333</v>
      </c>
      <c r="U2128" s="15">
        <f t="shared" si="4"/>
        <v>0.1369021211</v>
      </c>
      <c r="V2128" s="16">
        <f>IF(AND(L2128="Among all respondents",NOT(OR(K2128="Online poll in Telegram channel",K2128="Website online poll",K2128="CAWI (Computer Assisted Web Interviewing)"))),1/(1-MIN(MAX(Formula!$C$33+(YEAR(D2128)-Formula!$C$34)/(Formula!$C$35-Formula!$C$34)*(Formula!$C$32-Formula!$C$33),Formula!$C$33),Formula!$C$32)),1)</f>
        <v>1</v>
      </c>
      <c r="W2128" s="17">
        <f t="shared" si="5"/>
        <v>1.6</v>
      </c>
    </row>
    <row r="2129" ht="15.75" customHeight="1">
      <c r="A2129" s="8" t="s">
        <v>3044</v>
      </c>
      <c r="B2129" s="7" t="s">
        <v>3031</v>
      </c>
      <c r="C2129" s="13" t="s">
        <v>3032</v>
      </c>
      <c r="D2129" s="7" t="s">
        <v>264</v>
      </c>
      <c r="E2129" s="8" t="s">
        <v>17</v>
      </c>
      <c r="F2129" s="8" t="s">
        <v>318</v>
      </c>
      <c r="G2129" s="7" t="s">
        <v>3033</v>
      </c>
      <c r="H2129" s="7" t="s">
        <v>3034</v>
      </c>
      <c r="I2129" s="8">
        <v>2000.0</v>
      </c>
      <c r="K2129" s="8" t="s">
        <v>321</v>
      </c>
      <c r="M2129" s="8" t="s">
        <v>335</v>
      </c>
      <c r="N2129" s="8">
        <v>0.6</v>
      </c>
      <c r="O2129" s="14">
        <f t="shared" si="1"/>
        <v>44013</v>
      </c>
      <c r="P2129" s="15">
        <f>IFERROR(VLOOKUP(K2129,Formula!$A$11:$B$20,2,FALSE),Formula!$C$26)</f>
        <v>0.9</v>
      </c>
      <c r="Q2129" s="15">
        <f>IF(AND(ISNUMBER(J2129),J2129&gt;0),1/J2129,IF(AND(ISNUMBER(I2129),I2129&gt;0),SQRT(MIN(I2129,Formula!$C$27))/Formula!$C$24,1/Formula!$C$25))</f>
        <v>0.4563404036</v>
      </c>
      <c r="R2129" s="15">
        <f t="shared" si="2"/>
        <v>0.4107063632</v>
      </c>
      <c r="S2129" s="15">
        <f>IF(H2129&lt;&gt;"",EXP(-Formula!$C$28*(EOMONTH(H2129,0)-H2129)),EXP(-Formula!$C$28*(EOMONTH(D2129,0)-D2129)))</f>
        <v>1</v>
      </c>
      <c r="T2129" s="15">
        <f t="shared" si="3"/>
        <v>0.3333333333</v>
      </c>
      <c r="U2129" s="15">
        <f t="shared" si="4"/>
        <v>0.1369021211</v>
      </c>
      <c r="V2129" s="16">
        <f>IF(AND(L2129="Among all respondents",NOT(OR(K2129="Online poll in Telegram channel",K2129="Website online poll",K2129="CAWI (Computer Assisted Web Interviewing)"))),1/(1-MIN(MAX(Formula!$C$33+(YEAR(D2129)-Formula!$C$34)/(Formula!$C$35-Formula!$C$34)*(Formula!$C$32-Formula!$C$33),Formula!$C$33),Formula!$C$32)),1)</f>
        <v>1</v>
      </c>
      <c r="W2129" s="17">
        <f t="shared" si="5"/>
        <v>0.6</v>
      </c>
    </row>
    <row r="2130" ht="15.75" customHeight="1">
      <c r="A2130" s="8" t="s">
        <v>3045</v>
      </c>
      <c r="B2130" s="7" t="s">
        <v>3046</v>
      </c>
      <c r="C2130" s="13" t="s">
        <v>3047</v>
      </c>
      <c r="D2130" s="7" t="s">
        <v>266</v>
      </c>
      <c r="E2130" s="8" t="s">
        <v>40</v>
      </c>
      <c r="F2130" s="8" t="s">
        <v>318</v>
      </c>
      <c r="G2130" s="7" t="s">
        <v>3033</v>
      </c>
      <c r="H2130" s="7" t="s">
        <v>267</v>
      </c>
      <c r="I2130" s="8">
        <v>2000.0</v>
      </c>
      <c r="J2130" s="8">
        <v>2.2</v>
      </c>
      <c r="K2130" s="8" t="s">
        <v>583</v>
      </c>
      <c r="M2130" s="8" t="s">
        <v>323</v>
      </c>
      <c r="N2130" s="8">
        <v>25.2</v>
      </c>
      <c r="O2130" s="14">
        <f t="shared" si="1"/>
        <v>44013</v>
      </c>
      <c r="P2130" s="15">
        <f>IFERROR(VLOOKUP(K2130,Formula!$A$11:$B$20,2,FALSE),Formula!$C$26)</f>
        <v>0.95</v>
      </c>
      <c r="Q2130" s="15">
        <f>IF(AND(ISNUMBER(J2130),J2130&gt;0),1/J2130,IF(AND(ISNUMBER(I2130),I2130&gt;0),SQRT(MIN(I2130,Formula!$C$27))/Formula!$C$24,1/Formula!$C$25))</f>
        <v>0.4545454545</v>
      </c>
      <c r="R2130" s="15">
        <f t="shared" si="2"/>
        <v>0.4318181818</v>
      </c>
      <c r="S2130" s="15">
        <f>IF(H2130&lt;&gt;"",EXP(-Formula!$C$28*(EOMONTH(H2130,0)-H2130)),EXP(-Formula!$C$28*(EOMONTH(D2130,0)-D2130)))</f>
        <v>0.904837418</v>
      </c>
      <c r="T2130" s="15">
        <f t="shared" si="3"/>
        <v>0.1924500897</v>
      </c>
      <c r="U2130" s="15">
        <f t="shared" si="4"/>
        <v>0.07519510917</v>
      </c>
      <c r="V2130" s="16">
        <f>IF(AND(L2130="Among all respondents",NOT(OR(K2130="Online poll in Telegram channel",K2130="Website online poll",K2130="CAWI (Computer Assisted Web Interviewing)"))),1/(1-MIN(MAX(Formula!$C$33+(YEAR(D2130)-Formula!$C$34)/(Formula!$C$35-Formula!$C$34)*(Formula!$C$32-Formula!$C$33),Formula!$C$33),Formula!$C$32)),1)</f>
        <v>1</v>
      </c>
      <c r="W2130" s="17">
        <f t="shared" si="5"/>
        <v>25.2</v>
      </c>
    </row>
    <row r="2131" ht="15.75" customHeight="1">
      <c r="A2131" s="8" t="s">
        <v>3048</v>
      </c>
      <c r="B2131" s="7" t="s">
        <v>3046</v>
      </c>
      <c r="C2131" s="13" t="s">
        <v>3047</v>
      </c>
      <c r="D2131" s="7" t="s">
        <v>266</v>
      </c>
      <c r="E2131" s="8" t="s">
        <v>40</v>
      </c>
      <c r="F2131" s="8" t="s">
        <v>318</v>
      </c>
      <c r="G2131" s="7" t="s">
        <v>3033</v>
      </c>
      <c r="H2131" s="7" t="s">
        <v>267</v>
      </c>
      <c r="I2131" s="8">
        <v>2000.0</v>
      </c>
      <c r="J2131" s="8">
        <v>2.2</v>
      </c>
      <c r="K2131" s="8" t="s">
        <v>583</v>
      </c>
      <c r="M2131" s="8" t="s">
        <v>365</v>
      </c>
      <c r="N2131" s="8">
        <v>8.7</v>
      </c>
      <c r="O2131" s="14">
        <f t="shared" si="1"/>
        <v>44013</v>
      </c>
      <c r="P2131" s="15">
        <f>IFERROR(VLOOKUP(K2131,Formula!$A$11:$B$20,2,FALSE),Formula!$C$26)</f>
        <v>0.95</v>
      </c>
      <c r="Q2131" s="15">
        <f>IF(AND(ISNUMBER(J2131),J2131&gt;0),1/J2131,IF(AND(ISNUMBER(I2131),I2131&gt;0),SQRT(MIN(I2131,Formula!$C$27))/Formula!$C$24,1/Formula!$C$25))</f>
        <v>0.4545454545</v>
      </c>
      <c r="R2131" s="15">
        <f t="shared" si="2"/>
        <v>0.4318181818</v>
      </c>
      <c r="S2131" s="15">
        <f>IF(H2131&lt;&gt;"",EXP(-Formula!$C$28*(EOMONTH(H2131,0)-H2131)),EXP(-Formula!$C$28*(EOMONTH(D2131,0)-D2131)))</f>
        <v>0.904837418</v>
      </c>
      <c r="T2131" s="15">
        <f t="shared" si="3"/>
        <v>0.1924500897</v>
      </c>
      <c r="U2131" s="15">
        <f t="shared" si="4"/>
        <v>0.07519510917</v>
      </c>
      <c r="V2131" s="16">
        <f>IF(AND(L2131="Among all respondents",NOT(OR(K2131="Online poll in Telegram channel",K2131="Website online poll",K2131="CAWI (Computer Assisted Web Interviewing)"))),1/(1-MIN(MAX(Formula!$C$33+(YEAR(D2131)-Formula!$C$34)/(Formula!$C$35-Formula!$C$34)*(Formula!$C$32-Formula!$C$33),Formula!$C$33),Formula!$C$32)),1)</f>
        <v>1</v>
      </c>
      <c r="W2131" s="17">
        <f t="shared" si="5"/>
        <v>8.7</v>
      </c>
    </row>
    <row r="2132" ht="15.75" customHeight="1">
      <c r="A2132" s="8" t="s">
        <v>3049</v>
      </c>
      <c r="B2132" s="7" t="s">
        <v>3046</v>
      </c>
      <c r="C2132" s="13" t="s">
        <v>3047</v>
      </c>
      <c r="D2132" s="7" t="s">
        <v>266</v>
      </c>
      <c r="E2132" s="8" t="s">
        <v>40</v>
      </c>
      <c r="F2132" s="8" t="s">
        <v>318</v>
      </c>
      <c r="G2132" s="7" t="s">
        <v>3033</v>
      </c>
      <c r="H2132" s="7" t="s">
        <v>267</v>
      </c>
      <c r="I2132" s="8">
        <v>2000.0</v>
      </c>
      <c r="J2132" s="8">
        <v>2.2</v>
      </c>
      <c r="K2132" s="8" t="s">
        <v>583</v>
      </c>
      <c r="M2132" s="8" t="s">
        <v>329</v>
      </c>
      <c r="N2132" s="8">
        <v>8.5</v>
      </c>
      <c r="O2132" s="14">
        <f t="shared" si="1"/>
        <v>44013</v>
      </c>
      <c r="P2132" s="15">
        <f>IFERROR(VLOOKUP(K2132,Formula!$A$11:$B$20,2,FALSE),Formula!$C$26)</f>
        <v>0.95</v>
      </c>
      <c r="Q2132" s="15">
        <f>IF(AND(ISNUMBER(J2132),J2132&gt;0),1/J2132,IF(AND(ISNUMBER(I2132),I2132&gt;0),SQRT(MIN(I2132,Formula!$C$27))/Formula!$C$24,1/Formula!$C$25))</f>
        <v>0.4545454545</v>
      </c>
      <c r="R2132" s="15">
        <f t="shared" si="2"/>
        <v>0.4318181818</v>
      </c>
      <c r="S2132" s="15">
        <f>IF(H2132&lt;&gt;"",EXP(-Formula!$C$28*(EOMONTH(H2132,0)-H2132)),EXP(-Formula!$C$28*(EOMONTH(D2132,0)-D2132)))</f>
        <v>0.904837418</v>
      </c>
      <c r="T2132" s="15">
        <f t="shared" si="3"/>
        <v>0.1924500897</v>
      </c>
      <c r="U2132" s="15">
        <f t="shared" si="4"/>
        <v>0.07519510917</v>
      </c>
      <c r="V2132" s="16">
        <f>IF(AND(L2132="Among all respondents",NOT(OR(K2132="Online poll in Telegram channel",K2132="Website online poll",K2132="CAWI (Computer Assisted Web Interviewing)"))),1/(1-MIN(MAX(Formula!$C$33+(YEAR(D2132)-Formula!$C$34)/(Formula!$C$35-Formula!$C$34)*(Formula!$C$32-Formula!$C$33),Formula!$C$33),Formula!$C$32)),1)</f>
        <v>1</v>
      </c>
      <c r="W2132" s="17">
        <f t="shared" si="5"/>
        <v>8.5</v>
      </c>
    </row>
    <row r="2133" ht="15.75" customHeight="1">
      <c r="A2133" s="8" t="s">
        <v>3050</v>
      </c>
      <c r="B2133" s="7" t="s">
        <v>3046</v>
      </c>
      <c r="C2133" s="13" t="s">
        <v>3047</v>
      </c>
      <c r="D2133" s="7" t="s">
        <v>266</v>
      </c>
      <c r="E2133" s="8" t="s">
        <v>40</v>
      </c>
      <c r="F2133" s="8" t="s">
        <v>318</v>
      </c>
      <c r="G2133" s="7" t="s">
        <v>3033</v>
      </c>
      <c r="H2133" s="7" t="s">
        <v>267</v>
      </c>
      <c r="I2133" s="8">
        <v>2000.0</v>
      </c>
      <c r="J2133" s="8">
        <v>2.2</v>
      </c>
      <c r="K2133" s="8" t="s">
        <v>583</v>
      </c>
      <c r="M2133" s="8" t="s">
        <v>337</v>
      </c>
      <c r="N2133" s="8">
        <v>5.6</v>
      </c>
      <c r="O2133" s="14">
        <f t="shared" si="1"/>
        <v>44013</v>
      </c>
      <c r="P2133" s="15">
        <f>IFERROR(VLOOKUP(K2133,Formula!$A$11:$B$20,2,FALSE),Formula!$C$26)</f>
        <v>0.95</v>
      </c>
      <c r="Q2133" s="15">
        <f>IF(AND(ISNUMBER(J2133),J2133&gt;0),1/J2133,IF(AND(ISNUMBER(I2133),I2133&gt;0),SQRT(MIN(I2133,Formula!$C$27))/Formula!$C$24,1/Formula!$C$25))</f>
        <v>0.4545454545</v>
      </c>
      <c r="R2133" s="15">
        <f t="shared" si="2"/>
        <v>0.4318181818</v>
      </c>
      <c r="S2133" s="15">
        <f>IF(H2133&lt;&gt;"",EXP(-Formula!$C$28*(EOMONTH(H2133,0)-H2133)),EXP(-Formula!$C$28*(EOMONTH(D2133,0)-D2133)))</f>
        <v>0.904837418</v>
      </c>
      <c r="T2133" s="15">
        <f t="shared" si="3"/>
        <v>0.1924500897</v>
      </c>
      <c r="U2133" s="15">
        <f t="shared" si="4"/>
        <v>0.07519510917</v>
      </c>
      <c r="V2133" s="16">
        <f>IF(AND(L2133="Among all respondents",NOT(OR(K2133="Online poll in Telegram channel",K2133="Website online poll",K2133="CAWI (Computer Assisted Web Interviewing)"))),1/(1-MIN(MAX(Formula!$C$33+(YEAR(D2133)-Formula!$C$34)/(Formula!$C$35-Formula!$C$34)*(Formula!$C$32-Formula!$C$33),Formula!$C$33),Formula!$C$32)),1)</f>
        <v>1</v>
      </c>
      <c r="W2133" s="17">
        <f t="shared" si="5"/>
        <v>5.6</v>
      </c>
    </row>
    <row r="2134" ht="15.75" customHeight="1">
      <c r="A2134" s="8" t="s">
        <v>3051</v>
      </c>
      <c r="B2134" s="7" t="s">
        <v>3046</v>
      </c>
      <c r="C2134" s="13" t="s">
        <v>3047</v>
      </c>
      <c r="D2134" s="7" t="s">
        <v>266</v>
      </c>
      <c r="E2134" s="8" t="s">
        <v>40</v>
      </c>
      <c r="F2134" s="8" t="s">
        <v>318</v>
      </c>
      <c r="G2134" s="7" t="s">
        <v>3033</v>
      </c>
      <c r="H2134" s="7" t="s">
        <v>267</v>
      </c>
      <c r="I2134" s="8">
        <v>2000.0</v>
      </c>
      <c r="J2134" s="8">
        <v>2.2</v>
      </c>
      <c r="K2134" s="8" t="s">
        <v>583</v>
      </c>
      <c r="M2134" s="8" t="s">
        <v>828</v>
      </c>
      <c r="N2134" s="8">
        <v>4.9</v>
      </c>
      <c r="O2134" s="14">
        <f t="shared" si="1"/>
        <v>44013</v>
      </c>
      <c r="P2134" s="15">
        <f>IFERROR(VLOOKUP(K2134,Formula!$A$11:$B$20,2,FALSE),Formula!$C$26)</f>
        <v>0.95</v>
      </c>
      <c r="Q2134" s="15">
        <f>IF(AND(ISNUMBER(J2134),J2134&gt;0),1/J2134,IF(AND(ISNUMBER(I2134),I2134&gt;0),SQRT(MIN(I2134,Formula!$C$27))/Formula!$C$24,1/Formula!$C$25))</f>
        <v>0.4545454545</v>
      </c>
      <c r="R2134" s="15">
        <f t="shared" si="2"/>
        <v>0.4318181818</v>
      </c>
      <c r="S2134" s="15">
        <f>IF(H2134&lt;&gt;"",EXP(-Formula!$C$28*(EOMONTH(H2134,0)-H2134)),EXP(-Formula!$C$28*(EOMONTH(D2134,0)-D2134)))</f>
        <v>0.904837418</v>
      </c>
      <c r="T2134" s="15">
        <f t="shared" si="3"/>
        <v>0.1924500897</v>
      </c>
      <c r="U2134" s="15">
        <f t="shared" si="4"/>
        <v>0.07519510917</v>
      </c>
      <c r="V2134" s="16">
        <f>IF(AND(L2134="Among all respondents",NOT(OR(K2134="Online poll in Telegram channel",K2134="Website online poll",K2134="CAWI (Computer Assisted Web Interviewing)"))),1/(1-MIN(MAX(Formula!$C$33+(YEAR(D2134)-Formula!$C$34)/(Formula!$C$35-Formula!$C$34)*(Formula!$C$32-Formula!$C$33),Formula!$C$33),Formula!$C$32)),1)</f>
        <v>1</v>
      </c>
      <c r="W2134" s="17">
        <f t="shared" si="5"/>
        <v>4.9</v>
      </c>
    </row>
    <row r="2135" ht="15.75" customHeight="1">
      <c r="A2135" s="8" t="s">
        <v>3052</v>
      </c>
      <c r="B2135" s="7" t="s">
        <v>3046</v>
      </c>
      <c r="C2135" s="13" t="s">
        <v>3047</v>
      </c>
      <c r="D2135" s="7" t="s">
        <v>266</v>
      </c>
      <c r="E2135" s="8" t="s">
        <v>40</v>
      </c>
      <c r="F2135" s="8" t="s">
        <v>318</v>
      </c>
      <c r="G2135" s="7" t="s">
        <v>3033</v>
      </c>
      <c r="H2135" s="7" t="s">
        <v>267</v>
      </c>
      <c r="I2135" s="8">
        <v>2000.0</v>
      </c>
      <c r="J2135" s="8">
        <v>2.2</v>
      </c>
      <c r="K2135" s="8" t="s">
        <v>583</v>
      </c>
      <c r="M2135" s="8" t="s">
        <v>388</v>
      </c>
      <c r="N2135" s="8">
        <v>2.8</v>
      </c>
      <c r="O2135" s="14">
        <f t="shared" si="1"/>
        <v>44013</v>
      </c>
      <c r="P2135" s="15">
        <f>IFERROR(VLOOKUP(K2135,Formula!$A$11:$B$20,2,FALSE),Formula!$C$26)</f>
        <v>0.95</v>
      </c>
      <c r="Q2135" s="15">
        <f>IF(AND(ISNUMBER(J2135),J2135&gt;0),1/J2135,IF(AND(ISNUMBER(I2135),I2135&gt;0),SQRT(MIN(I2135,Formula!$C$27))/Formula!$C$24,1/Formula!$C$25))</f>
        <v>0.4545454545</v>
      </c>
      <c r="R2135" s="15">
        <f t="shared" si="2"/>
        <v>0.4318181818</v>
      </c>
      <c r="S2135" s="15">
        <f>IF(H2135&lt;&gt;"",EXP(-Formula!$C$28*(EOMONTH(H2135,0)-H2135)),EXP(-Formula!$C$28*(EOMONTH(D2135,0)-D2135)))</f>
        <v>0.904837418</v>
      </c>
      <c r="T2135" s="15">
        <f t="shared" si="3"/>
        <v>0.1924500897</v>
      </c>
      <c r="U2135" s="15">
        <f t="shared" si="4"/>
        <v>0.07519510917</v>
      </c>
      <c r="V2135" s="16">
        <f>IF(AND(L2135="Among all respondents",NOT(OR(K2135="Online poll in Telegram channel",K2135="Website online poll",K2135="CAWI (Computer Assisted Web Interviewing)"))),1/(1-MIN(MAX(Formula!$C$33+(YEAR(D2135)-Formula!$C$34)/(Formula!$C$35-Formula!$C$34)*(Formula!$C$32-Formula!$C$33),Formula!$C$33),Formula!$C$32)),1)</f>
        <v>1</v>
      </c>
      <c r="W2135" s="17">
        <f t="shared" si="5"/>
        <v>2.8</v>
      </c>
    </row>
    <row r="2136" ht="15.75" customHeight="1">
      <c r="A2136" s="8" t="s">
        <v>3053</v>
      </c>
      <c r="B2136" s="7" t="s">
        <v>3046</v>
      </c>
      <c r="C2136" s="13" t="s">
        <v>3047</v>
      </c>
      <c r="D2136" s="7" t="s">
        <v>266</v>
      </c>
      <c r="E2136" s="8" t="s">
        <v>40</v>
      </c>
      <c r="F2136" s="8" t="s">
        <v>318</v>
      </c>
      <c r="G2136" s="7" t="s">
        <v>3033</v>
      </c>
      <c r="H2136" s="7" t="s">
        <v>267</v>
      </c>
      <c r="I2136" s="8">
        <v>2000.0</v>
      </c>
      <c r="J2136" s="8">
        <v>2.2</v>
      </c>
      <c r="K2136" s="8" t="s">
        <v>583</v>
      </c>
      <c r="M2136" s="8" t="s">
        <v>339</v>
      </c>
      <c r="N2136" s="8">
        <v>2.4</v>
      </c>
      <c r="O2136" s="14">
        <f t="shared" si="1"/>
        <v>44013</v>
      </c>
      <c r="P2136" s="15">
        <f>IFERROR(VLOOKUP(K2136,Formula!$A$11:$B$20,2,FALSE),Formula!$C$26)</f>
        <v>0.95</v>
      </c>
      <c r="Q2136" s="15">
        <f>IF(AND(ISNUMBER(J2136),J2136&gt;0),1/J2136,IF(AND(ISNUMBER(I2136),I2136&gt;0),SQRT(MIN(I2136,Formula!$C$27))/Formula!$C$24,1/Formula!$C$25))</f>
        <v>0.4545454545</v>
      </c>
      <c r="R2136" s="15">
        <f t="shared" si="2"/>
        <v>0.4318181818</v>
      </c>
      <c r="S2136" s="15">
        <f>IF(H2136&lt;&gt;"",EXP(-Formula!$C$28*(EOMONTH(H2136,0)-H2136)),EXP(-Formula!$C$28*(EOMONTH(D2136,0)-D2136)))</f>
        <v>0.904837418</v>
      </c>
      <c r="T2136" s="15">
        <f t="shared" si="3"/>
        <v>0.1924500897</v>
      </c>
      <c r="U2136" s="15">
        <f t="shared" si="4"/>
        <v>0.07519510917</v>
      </c>
      <c r="V2136" s="16">
        <f>IF(AND(L2136="Among all respondents",NOT(OR(K2136="Online poll in Telegram channel",K2136="Website online poll",K2136="CAWI (Computer Assisted Web Interviewing)"))),1/(1-MIN(MAX(Formula!$C$33+(YEAR(D2136)-Formula!$C$34)/(Formula!$C$35-Formula!$C$34)*(Formula!$C$32-Formula!$C$33),Formula!$C$33),Formula!$C$32)),1)</f>
        <v>1</v>
      </c>
      <c r="W2136" s="17">
        <f t="shared" si="5"/>
        <v>2.4</v>
      </c>
    </row>
    <row r="2137" ht="15.75" customHeight="1">
      <c r="A2137" s="8" t="s">
        <v>3054</v>
      </c>
      <c r="B2137" s="7" t="s">
        <v>3046</v>
      </c>
      <c r="C2137" s="13" t="s">
        <v>3047</v>
      </c>
      <c r="D2137" s="7" t="s">
        <v>266</v>
      </c>
      <c r="E2137" s="8" t="s">
        <v>40</v>
      </c>
      <c r="F2137" s="8" t="s">
        <v>318</v>
      </c>
      <c r="G2137" s="7" t="s">
        <v>3033</v>
      </c>
      <c r="H2137" s="7" t="s">
        <v>267</v>
      </c>
      <c r="I2137" s="8">
        <v>2000.0</v>
      </c>
      <c r="J2137" s="8">
        <v>2.2</v>
      </c>
      <c r="K2137" s="8" t="s">
        <v>583</v>
      </c>
      <c r="M2137" s="8" t="s">
        <v>1334</v>
      </c>
      <c r="N2137" s="8">
        <v>2.4</v>
      </c>
      <c r="O2137" s="14">
        <f t="shared" si="1"/>
        <v>44013</v>
      </c>
      <c r="P2137" s="15">
        <f>IFERROR(VLOOKUP(K2137,Formula!$A$11:$B$20,2,FALSE),Formula!$C$26)</f>
        <v>0.95</v>
      </c>
      <c r="Q2137" s="15">
        <f>IF(AND(ISNUMBER(J2137),J2137&gt;0),1/J2137,IF(AND(ISNUMBER(I2137),I2137&gt;0),SQRT(MIN(I2137,Formula!$C$27))/Formula!$C$24,1/Formula!$C$25))</f>
        <v>0.4545454545</v>
      </c>
      <c r="R2137" s="15">
        <f t="shared" si="2"/>
        <v>0.4318181818</v>
      </c>
      <c r="S2137" s="15">
        <f>IF(H2137&lt;&gt;"",EXP(-Formula!$C$28*(EOMONTH(H2137,0)-H2137)),EXP(-Formula!$C$28*(EOMONTH(D2137,0)-D2137)))</f>
        <v>0.904837418</v>
      </c>
      <c r="T2137" s="15">
        <f t="shared" si="3"/>
        <v>0.1924500897</v>
      </c>
      <c r="U2137" s="15">
        <f t="shared" si="4"/>
        <v>0.07519510917</v>
      </c>
      <c r="V2137" s="16">
        <f>IF(AND(L2137="Among all respondents",NOT(OR(K2137="Online poll in Telegram channel",K2137="Website online poll",K2137="CAWI (Computer Assisted Web Interviewing)"))),1/(1-MIN(MAX(Formula!$C$33+(YEAR(D2137)-Formula!$C$34)/(Formula!$C$35-Formula!$C$34)*(Formula!$C$32-Formula!$C$33),Formula!$C$33),Formula!$C$32)),1)</f>
        <v>1</v>
      </c>
      <c r="W2137" s="17">
        <f t="shared" si="5"/>
        <v>2.4</v>
      </c>
    </row>
    <row r="2138" ht="15.75" customHeight="1">
      <c r="A2138" s="8" t="s">
        <v>3055</v>
      </c>
      <c r="B2138" s="7" t="s">
        <v>3046</v>
      </c>
      <c r="C2138" s="13" t="s">
        <v>3047</v>
      </c>
      <c r="D2138" s="7" t="s">
        <v>266</v>
      </c>
      <c r="E2138" s="8" t="s">
        <v>40</v>
      </c>
      <c r="F2138" s="8" t="s">
        <v>318</v>
      </c>
      <c r="G2138" s="7" t="s">
        <v>3033</v>
      </c>
      <c r="H2138" s="7" t="s">
        <v>267</v>
      </c>
      <c r="I2138" s="8">
        <v>2000.0</v>
      </c>
      <c r="J2138" s="8">
        <v>2.2</v>
      </c>
      <c r="K2138" s="8" t="s">
        <v>583</v>
      </c>
      <c r="M2138" s="8" t="s">
        <v>386</v>
      </c>
      <c r="N2138" s="8">
        <v>2.3</v>
      </c>
      <c r="O2138" s="14">
        <f t="shared" si="1"/>
        <v>44013</v>
      </c>
      <c r="P2138" s="15">
        <f>IFERROR(VLOOKUP(K2138,Formula!$A$11:$B$20,2,FALSE),Formula!$C$26)</f>
        <v>0.95</v>
      </c>
      <c r="Q2138" s="15">
        <f>IF(AND(ISNUMBER(J2138),J2138&gt;0),1/J2138,IF(AND(ISNUMBER(I2138),I2138&gt;0),SQRT(MIN(I2138,Formula!$C$27))/Formula!$C$24,1/Formula!$C$25))</f>
        <v>0.4545454545</v>
      </c>
      <c r="R2138" s="15">
        <f t="shared" si="2"/>
        <v>0.4318181818</v>
      </c>
      <c r="S2138" s="15">
        <f>IF(H2138&lt;&gt;"",EXP(-Formula!$C$28*(EOMONTH(H2138,0)-H2138)),EXP(-Formula!$C$28*(EOMONTH(D2138,0)-D2138)))</f>
        <v>0.904837418</v>
      </c>
      <c r="T2138" s="15">
        <f t="shared" si="3"/>
        <v>0.1924500897</v>
      </c>
      <c r="U2138" s="15">
        <f t="shared" si="4"/>
        <v>0.07519510917</v>
      </c>
      <c r="V2138" s="16">
        <f>IF(AND(L2138="Among all respondents",NOT(OR(K2138="Online poll in Telegram channel",K2138="Website online poll",K2138="CAWI (Computer Assisted Web Interviewing)"))),1/(1-MIN(MAX(Formula!$C$33+(YEAR(D2138)-Formula!$C$34)/(Formula!$C$35-Formula!$C$34)*(Formula!$C$32-Formula!$C$33),Formula!$C$33),Formula!$C$32)),1)</f>
        <v>1</v>
      </c>
      <c r="W2138" s="17">
        <f t="shared" si="5"/>
        <v>2.3</v>
      </c>
    </row>
    <row r="2139" ht="15.75" customHeight="1">
      <c r="A2139" s="8" t="s">
        <v>3056</v>
      </c>
      <c r="B2139" s="7" t="s">
        <v>3046</v>
      </c>
      <c r="C2139" s="13" t="s">
        <v>3047</v>
      </c>
      <c r="D2139" s="7" t="s">
        <v>266</v>
      </c>
      <c r="E2139" s="8" t="s">
        <v>40</v>
      </c>
      <c r="F2139" s="8" t="s">
        <v>318</v>
      </c>
      <c r="G2139" s="7" t="s">
        <v>3033</v>
      </c>
      <c r="H2139" s="7" t="s">
        <v>267</v>
      </c>
      <c r="I2139" s="8">
        <v>2000.0</v>
      </c>
      <c r="J2139" s="8">
        <v>2.2</v>
      </c>
      <c r="K2139" s="8" t="s">
        <v>583</v>
      </c>
      <c r="M2139" s="8" t="s">
        <v>838</v>
      </c>
      <c r="N2139" s="8">
        <v>2.2</v>
      </c>
      <c r="O2139" s="14">
        <f t="shared" si="1"/>
        <v>44013</v>
      </c>
      <c r="P2139" s="15">
        <f>IFERROR(VLOOKUP(K2139,Formula!$A$11:$B$20,2,FALSE),Formula!$C$26)</f>
        <v>0.95</v>
      </c>
      <c r="Q2139" s="15">
        <f>IF(AND(ISNUMBER(J2139),J2139&gt;0),1/J2139,IF(AND(ISNUMBER(I2139),I2139&gt;0),SQRT(MIN(I2139,Formula!$C$27))/Formula!$C$24,1/Formula!$C$25))</f>
        <v>0.4545454545</v>
      </c>
      <c r="R2139" s="15">
        <f t="shared" si="2"/>
        <v>0.4318181818</v>
      </c>
      <c r="S2139" s="15">
        <f>IF(H2139&lt;&gt;"",EXP(-Formula!$C$28*(EOMONTH(H2139,0)-H2139)),EXP(-Formula!$C$28*(EOMONTH(D2139,0)-D2139)))</f>
        <v>0.904837418</v>
      </c>
      <c r="T2139" s="15">
        <f t="shared" si="3"/>
        <v>0.1924500897</v>
      </c>
      <c r="U2139" s="15">
        <f t="shared" si="4"/>
        <v>0.07519510917</v>
      </c>
      <c r="V2139" s="16">
        <f>IF(AND(L2139="Among all respondents",NOT(OR(K2139="Online poll in Telegram channel",K2139="Website online poll",K2139="CAWI (Computer Assisted Web Interviewing)"))),1/(1-MIN(MAX(Formula!$C$33+(YEAR(D2139)-Formula!$C$34)/(Formula!$C$35-Formula!$C$34)*(Formula!$C$32-Formula!$C$33),Formula!$C$33),Formula!$C$32)),1)</f>
        <v>1</v>
      </c>
      <c r="W2139" s="17">
        <f t="shared" si="5"/>
        <v>2.2</v>
      </c>
    </row>
    <row r="2140" ht="15.75" customHeight="1">
      <c r="A2140" s="8" t="s">
        <v>3057</v>
      </c>
      <c r="B2140" s="7" t="s">
        <v>3046</v>
      </c>
      <c r="C2140" s="13" t="s">
        <v>3047</v>
      </c>
      <c r="D2140" s="7" t="s">
        <v>266</v>
      </c>
      <c r="E2140" s="8" t="s">
        <v>40</v>
      </c>
      <c r="F2140" s="8" t="s">
        <v>318</v>
      </c>
      <c r="G2140" s="7" t="s">
        <v>3033</v>
      </c>
      <c r="H2140" s="7" t="s">
        <v>267</v>
      </c>
      <c r="I2140" s="8">
        <v>2000.0</v>
      </c>
      <c r="J2140" s="8">
        <v>2.2</v>
      </c>
      <c r="K2140" s="8" t="s">
        <v>583</v>
      </c>
      <c r="M2140" s="8" t="s">
        <v>1539</v>
      </c>
      <c r="N2140" s="8">
        <v>1.9</v>
      </c>
      <c r="O2140" s="14">
        <f t="shared" si="1"/>
        <v>44013</v>
      </c>
      <c r="P2140" s="15">
        <f>IFERROR(VLOOKUP(K2140,Formula!$A$11:$B$20,2,FALSE),Formula!$C$26)</f>
        <v>0.95</v>
      </c>
      <c r="Q2140" s="15">
        <f>IF(AND(ISNUMBER(J2140),J2140&gt;0),1/J2140,IF(AND(ISNUMBER(I2140),I2140&gt;0),SQRT(MIN(I2140,Formula!$C$27))/Formula!$C$24,1/Formula!$C$25))</f>
        <v>0.4545454545</v>
      </c>
      <c r="R2140" s="15">
        <f t="shared" si="2"/>
        <v>0.4318181818</v>
      </c>
      <c r="S2140" s="15">
        <f>IF(H2140&lt;&gt;"",EXP(-Formula!$C$28*(EOMONTH(H2140,0)-H2140)),EXP(-Formula!$C$28*(EOMONTH(D2140,0)-D2140)))</f>
        <v>0.904837418</v>
      </c>
      <c r="T2140" s="15">
        <f t="shared" si="3"/>
        <v>0.1924500897</v>
      </c>
      <c r="U2140" s="15">
        <f t="shared" si="4"/>
        <v>0.07519510917</v>
      </c>
      <c r="V2140" s="16">
        <f>IF(AND(L2140="Among all respondents",NOT(OR(K2140="Online poll in Telegram channel",K2140="Website online poll",K2140="CAWI (Computer Assisted Web Interviewing)"))),1/(1-MIN(MAX(Formula!$C$33+(YEAR(D2140)-Formula!$C$34)/(Formula!$C$35-Formula!$C$34)*(Formula!$C$32-Formula!$C$33),Formula!$C$33),Formula!$C$32)),1)</f>
        <v>1</v>
      </c>
      <c r="W2140" s="17">
        <f t="shared" si="5"/>
        <v>1.9</v>
      </c>
    </row>
    <row r="2141" ht="15.75" customHeight="1">
      <c r="A2141" s="8" t="s">
        <v>3058</v>
      </c>
      <c r="B2141" s="7" t="s">
        <v>3046</v>
      </c>
      <c r="C2141" s="13" t="s">
        <v>3047</v>
      </c>
      <c r="D2141" s="7" t="s">
        <v>266</v>
      </c>
      <c r="E2141" s="8" t="s">
        <v>40</v>
      </c>
      <c r="F2141" s="8" t="s">
        <v>318</v>
      </c>
      <c r="G2141" s="7" t="s">
        <v>3033</v>
      </c>
      <c r="H2141" s="7" t="s">
        <v>267</v>
      </c>
      <c r="I2141" s="8">
        <v>2000.0</v>
      </c>
      <c r="J2141" s="8">
        <v>2.2</v>
      </c>
      <c r="K2141" s="8" t="s">
        <v>583</v>
      </c>
      <c r="M2141" s="8" t="s">
        <v>740</v>
      </c>
      <c r="N2141" s="8">
        <v>0.9</v>
      </c>
      <c r="O2141" s="14">
        <f t="shared" si="1"/>
        <v>44013</v>
      </c>
      <c r="P2141" s="15">
        <f>IFERROR(VLOOKUP(K2141,Formula!$A$11:$B$20,2,FALSE),Formula!$C$26)</f>
        <v>0.95</v>
      </c>
      <c r="Q2141" s="15">
        <f>IF(AND(ISNUMBER(J2141),J2141&gt;0),1/J2141,IF(AND(ISNUMBER(I2141),I2141&gt;0),SQRT(MIN(I2141,Formula!$C$27))/Formula!$C$24,1/Formula!$C$25))</f>
        <v>0.4545454545</v>
      </c>
      <c r="R2141" s="15">
        <f t="shared" si="2"/>
        <v>0.4318181818</v>
      </c>
      <c r="S2141" s="15">
        <f>IF(H2141&lt;&gt;"",EXP(-Formula!$C$28*(EOMONTH(H2141,0)-H2141)),EXP(-Formula!$C$28*(EOMONTH(D2141,0)-D2141)))</f>
        <v>0.904837418</v>
      </c>
      <c r="T2141" s="15">
        <f t="shared" si="3"/>
        <v>0.1924500897</v>
      </c>
      <c r="U2141" s="15">
        <f t="shared" si="4"/>
        <v>0.07519510917</v>
      </c>
      <c r="V2141" s="16">
        <f>IF(AND(L2141="Among all respondents",NOT(OR(K2141="Online poll in Telegram channel",K2141="Website online poll",K2141="CAWI (Computer Assisted Web Interviewing)"))),1/(1-MIN(MAX(Formula!$C$33+(YEAR(D2141)-Formula!$C$34)/(Formula!$C$35-Formula!$C$34)*(Formula!$C$32-Formula!$C$33),Formula!$C$33),Formula!$C$32)),1)</f>
        <v>1</v>
      </c>
      <c r="W2141" s="17">
        <f t="shared" si="5"/>
        <v>0.9</v>
      </c>
    </row>
    <row r="2142" ht="15.75" customHeight="1">
      <c r="A2142" s="8" t="s">
        <v>3059</v>
      </c>
      <c r="B2142" s="7" t="s">
        <v>3046</v>
      </c>
      <c r="C2142" s="13" t="s">
        <v>3047</v>
      </c>
      <c r="D2142" s="7" t="s">
        <v>266</v>
      </c>
      <c r="E2142" s="8" t="s">
        <v>40</v>
      </c>
      <c r="F2142" s="8" t="s">
        <v>318</v>
      </c>
      <c r="G2142" s="7" t="s">
        <v>3033</v>
      </c>
      <c r="H2142" s="7" t="s">
        <v>267</v>
      </c>
      <c r="I2142" s="8">
        <v>2000.0</v>
      </c>
      <c r="J2142" s="8">
        <v>2.2</v>
      </c>
      <c r="K2142" s="8" t="s">
        <v>583</v>
      </c>
      <c r="M2142" s="8" t="s">
        <v>498</v>
      </c>
      <c r="N2142" s="8">
        <v>0.7</v>
      </c>
      <c r="O2142" s="14">
        <f t="shared" si="1"/>
        <v>44013</v>
      </c>
      <c r="P2142" s="15">
        <f>IFERROR(VLOOKUP(K2142,Formula!$A$11:$B$20,2,FALSE),Formula!$C$26)</f>
        <v>0.95</v>
      </c>
      <c r="Q2142" s="15">
        <f>IF(AND(ISNUMBER(J2142),J2142&gt;0),1/J2142,IF(AND(ISNUMBER(I2142),I2142&gt;0),SQRT(MIN(I2142,Formula!$C$27))/Formula!$C$24,1/Formula!$C$25))</f>
        <v>0.4545454545</v>
      </c>
      <c r="R2142" s="15">
        <f t="shared" si="2"/>
        <v>0.4318181818</v>
      </c>
      <c r="S2142" s="15">
        <f>IF(H2142&lt;&gt;"",EXP(-Formula!$C$28*(EOMONTH(H2142,0)-H2142)),EXP(-Formula!$C$28*(EOMONTH(D2142,0)-D2142)))</f>
        <v>0.904837418</v>
      </c>
      <c r="T2142" s="15">
        <f t="shared" si="3"/>
        <v>0.1924500897</v>
      </c>
      <c r="U2142" s="15">
        <f t="shared" si="4"/>
        <v>0.07519510917</v>
      </c>
      <c r="V2142" s="16">
        <f>IF(AND(L2142="Among all respondents",NOT(OR(K2142="Online poll in Telegram channel",K2142="Website online poll",K2142="CAWI (Computer Assisted Web Interviewing)"))),1/(1-MIN(MAX(Formula!$C$33+(YEAR(D2142)-Formula!$C$34)/(Formula!$C$35-Formula!$C$34)*(Formula!$C$32-Formula!$C$33),Formula!$C$33),Formula!$C$32)),1)</f>
        <v>1</v>
      </c>
      <c r="W2142" s="17">
        <f t="shared" si="5"/>
        <v>0.7</v>
      </c>
    </row>
    <row r="2143" ht="15.75" customHeight="1">
      <c r="A2143" s="8" t="s">
        <v>3060</v>
      </c>
      <c r="B2143" s="7" t="s">
        <v>3061</v>
      </c>
      <c r="C2143" s="13" t="s">
        <v>3062</v>
      </c>
      <c r="D2143" s="7" t="s">
        <v>267</v>
      </c>
      <c r="E2143" s="8" t="s">
        <v>106</v>
      </c>
      <c r="F2143" s="8" t="s">
        <v>318</v>
      </c>
      <c r="G2143" s="7" t="s">
        <v>3063</v>
      </c>
      <c r="H2143" s="7" t="s">
        <v>3033</v>
      </c>
      <c r="I2143" s="8">
        <v>2017.0</v>
      </c>
      <c r="J2143" s="8">
        <v>2.3</v>
      </c>
      <c r="K2143" s="8" t="s">
        <v>583</v>
      </c>
      <c r="M2143" s="8" t="s">
        <v>323</v>
      </c>
      <c r="N2143" s="8">
        <v>25.3</v>
      </c>
      <c r="O2143" s="14">
        <f t="shared" si="1"/>
        <v>43983</v>
      </c>
      <c r="P2143" s="15">
        <f>IFERROR(VLOOKUP(K2143,Formula!$A$11:$B$20,2,FALSE),Formula!$C$26)</f>
        <v>0.95</v>
      </c>
      <c r="Q2143" s="15">
        <f>IF(AND(ISNUMBER(J2143),J2143&gt;0),1/J2143,IF(AND(ISNUMBER(I2143),I2143&gt;0),SQRT(MIN(I2143,Formula!$C$27))/Formula!$C$24,1/Formula!$C$25))</f>
        <v>0.4347826087</v>
      </c>
      <c r="R2143" s="15">
        <f t="shared" si="2"/>
        <v>0.4130434783</v>
      </c>
      <c r="S2143" s="15">
        <f>IF(H2143&lt;&gt;"",EXP(-Formula!$C$28*(EOMONTH(H2143,0)-H2143)),EXP(-Formula!$C$28*(EOMONTH(D2143,0)-D2143)))</f>
        <v>0.7408182207</v>
      </c>
      <c r="T2143" s="15">
        <f t="shared" si="3"/>
        <v>0.3333333333</v>
      </c>
      <c r="U2143" s="15">
        <f t="shared" si="4"/>
        <v>0.1019967115</v>
      </c>
      <c r="V2143" s="16">
        <f>IF(AND(L2143="Among all respondents",NOT(OR(K2143="Online poll in Telegram channel",K2143="Website online poll",K2143="CAWI (Computer Assisted Web Interviewing)"))),1/(1-MIN(MAX(Formula!$C$33+(YEAR(D2143)-Formula!$C$34)/(Formula!$C$35-Formula!$C$34)*(Formula!$C$32-Formula!$C$33),Formula!$C$33),Formula!$C$32)),1)</f>
        <v>1</v>
      </c>
      <c r="W2143" s="17">
        <f t="shared" si="5"/>
        <v>25.3</v>
      </c>
    </row>
    <row r="2144" ht="15.75" customHeight="1">
      <c r="A2144" s="8" t="s">
        <v>3064</v>
      </c>
      <c r="B2144" s="7" t="s">
        <v>3061</v>
      </c>
      <c r="C2144" s="13" t="s">
        <v>3062</v>
      </c>
      <c r="D2144" s="7" t="s">
        <v>267</v>
      </c>
      <c r="E2144" s="8" t="s">
        <v>106</v>
      </c>
      <c r="F2144" s="8" t="s">
        <v>318</v>
      </c>
      <c r="G2144" s="7" t="s">
        <v>3063</v>
      </c>
      <c r="H2144" s="7" t="s">
        <v>3033</v>
      </c>
      <c r="I2144" s="8">
        <v>2017.0</v>
      </c>
      <c r="J2144" s="8">
        <v>2.3</v>
      </c>
      <c r="K2144" s="8" t="s">
        <v>583</v>
      </c>
      <c r="M2144" s="8" t="s">
        <v>365</v>
      </c>
      <c r="N2144" s="8">
        <v>14.6</v>
      </c>
      <c r="O2144" s="14">
        <f t="shared" si="1"/>
        <v>43983</v>
      </c>
      <c r="P2144" s="15">
        <f>IFERROR(VLOOKUP(K2144,Formula!$A$11:$B$20,2,FALSE),Formula!$C$26)</f>
        <v>0.95</v>
      </c>
      <c r="Q2144" s="15">
        <f>IF(AND(ISNUMBER(J2144),J2144&gt;0),1/J2144,IF(AND(ISNUMBER(I2144),I2144&gt;0),SQRT(MIN(I2144,Formula!$C$27))/Formula!$C$24,1/Formula!$C$25))</f>
        <v>0.4347826087</v>
      </c>
      <c r="R2144" s="15">
        <f t="shared" si="2"/>
        <v>0.4130434783</v>
      </c>
      <c r="S2144" s="15">
        <f>IF(H2144&lt;&gt;"",EXP(-Formula!$C$28*(EOMONTH(H2144,0)-H2144)),EXP(-Formula!$C$28*(EOMONTH(D2144,0)-D2144)))</f>
        <v>0.7408182207</v>
      </c>
      <c r="T2144" s="15">
        <f t="shared" si="3"/>
        <v>0.3333333333</v>
      </c>
      <c r="U2144" s="15">
        <f t="shared" si="4"/>
        <v>0.1019967115</v>
      </c>
      <c r="V2144" s="16">
        <f>IF(AND(L2144="Among all respondents",NOT(OR(K2144="Online poll in Telegram channel",K2144="Website online poll",K2144="CAWI (Computer Assisted Web Interviewing)"))),1/(1-MIN(MAX(Formula!$C$33+(YEAR(D2144)-Formula!$C$34)/(Formula!$C$35-Formula!$C$34)*(Formula!$C$32-Formula!$C$33),Formula!$C$33),Formula!$C$32)),1)</f>
        <v>1</v>
      </c>
      <c r="W2144" s="17">
        <f t="shared" si="5"/>
        <v>14.6</v>
      </c>
    </row>
    <row r="2145" ht="15.75" customHeight="1">
      <c r="A2145" s="8" t="s">
        <v>3065</v>
      </c>
      <c r="B2145" s="7" t="s">
        <v>3061</v>
      </c>
      <c r="C2145" s="13" t="s">
        <v>3062</v>
      </c>
      <c r="D2145" s="7" t="s">
        <v>267</v>
      </c>
      <c r="E2145" s="8" t="s">
        <v>106</v>
      </c>
      <c r="F2145" s="8" t="s">
        <v>318</v>
      </c>
      <c r="G2145" s="7" t="s">
        <v>3063</v>
      </c>
      <c r="H2145" s="7" t="s">
        <v>3033</v>
      </c>
      <c r="I2145" s="8">
        <v>2017.0</v>
      </c>
      <c r="J2145" s="8">
        <v>2.3</v>
      </c>
      <c r="K2145" s="8" t="s">
        <v>583</v>
      </c>
      <c r="M2145" s="8" t="s">
        <v>329</v>
      </c>
      <c r="N2145" s="8">
        <v>11.1</v>
      </c>
      <c r="O2145" s="14">
        <f t="shared" si="1"/>
        <v>43983</v>
      </c>
      <c r="P2145" s="15">
        <f>IFERROR(VLOOKUP(K2145,Formula!$A$11:$B$20,2,FALSE),Formula!$C$26)</f>
        <v>0.95</v>
      </c>
      <c r="Q2145" s="15">
        <f>IF(AND(ISNUMBER(J2145),J2145&gt;0),1/J2145,IF(AND(ISNUMBER(I2145),I2145&gt;0),SQRT(MIN(I2145,Formula!$C$27))/Formula!$C$24,1/Formula!$C$25))</f>
        <v>0.4347826087</v>
      </c>
      <c r="R2145" s="15">
        <f t="shared" si="2"/>
        <v>0.4130434783</v>
      </c>
      <c r="S2145" s="15">
        <f>IF(H2145&lt;&gt;"",EXP(-Formula!$C$28*(EOMONTH(H2145,0)-H2145)),EXP(-Formula!$C$28*(EOMONTH(D2145,0)-D2145)))</f>
        <v>0.7408182207</v>
      </c>
      <c r="T2145" s="15">
        <f t="shared" si="3"/>
        <v>0.3333333333</v>
      </c>
      <c r="U2145" s="15">
        <f t="shared" si="4"/>
        <v>0.1019967115</v>
      </c>
      <c r="V2145" s="16">
        <f>IF(AND(L2145="Among all respondents",NOT(OR(K2145="Online poll in Telegram channel",K2145="Website online poll",K2145="CAWI (Computer Assisted Web Interviewing)"))),1/(1-MIN(MAX(Formula!$C$33+(YEAR(D2145)-Formula!$C$34)/(Formula!$C$35-Formula!$C$34)*(Formula!$C$32-Formula!$C$33),Formula!$C$33),Formula!$C$32)),1)</f>
        <v>1</v>
      </c>
      <c r="W2145" s="17">
        <f t="shared" si="5"/>
        <v>11.1</v>
      </c>
    </row>
    <row r="2146" ht="15.75" customHeight="1">
      <c r="A2146" s="8" t="s">
        <v>3066</v>
      </c>
      <c r="B2146" s="7" t="s">
        <v>3061</v>
      </c>
      <c r="C2146" s="13" t="s">
        <v>3062</v>
      </c>
      <c r="D2146" s="7" t="s">
        <v>267</v>
      </c>
      <c r="E2146" s="8" t="s">
        <v>106</v>
      </c>
      <c r="F2146" s="8" t="s">
        <v>318</v>
      </c>
      <c r="G2146" s="7" t="s">
        <v>3063</v>
      </c>
      <c r="H2146" s="7" t="s">
        <v>3033</v>
      </c>
      <c r="I2146" s="8">
        <v>2017.0</v>
      </c>
      <c r="J2146" s="8">
        <v>2.3</v>
      </c>
      <c r="K2146" s="8" t="s">
        <v>583</v>
      </c>
      <c r="M2146" s="8" t="s">
        <v>337</v>
      </c>
      <c r="N2146" s="8">
        <v>5.6</v>
      </c>
      <c r="O2146" s="14">
        <f t="shared" si="1"/>
        <v>43983</v>
      </c>
      <c r="P2146" s="15">
        <f>IFERROR(VLOOKUP(K2146,Formula!$A$11:$B$20,2,FALSE),Formula!$C$26)</f>
        <v>0.95</v>
      </c>
      <c r="Q2146" s="15">
        <f>IF(AND(ISNUMBER(J2146),J2146&gt;0),1/J2146,IF(AND(ISNUMBER(I2146),I2146&gt;0),SQRT(MIN(I2146,Formula!$C$27))/Formula!$C$24,1/Formula!$C$25))</f>
        <v>0.4347826087</v>
      </c>
      <c r="R2146" s="15">
        <f t="shared" si="2"/>
        <v>0.4130434783</v>
      </c>
      <c r="S2146" s="15">
        <f>IF(H2146&lt;&gt;"",EXP(-Formula!$C$28*(EOMONTH(H2146,0)-H2146)),EXP(-Formula!$C$28*(EOMONTH(D2146,0)-D2146)))</f>
        <v>0.7408182207</v>
      </c>
      <c r="T2146" s="15">
        <f t="shared" si="3"/>
        <v>0.3333333333</v>
      </c>
      <c r="U2146" s="15">
        <f t="shared" si="4"/>
        <v>0.1019967115</v>
      </c>
      <c r="V2146" s="16">
        <f>IF(AND(L2146="Among all respondents",NOT(OR(K2146="Online poll in Telegram channel",K2146="Website online poll",K2146="CAWI (Computer Assisted Web Interviewing)"))),1/(1-MIN(MAX(Formula!$C$33+(YEAR(D2146)-Formula!$C$34)/(Formula!$C$35-Formula!$C$34)*(Formula!$C$32-Formula!$C$33),Formula!$C$33),Formula!$C$32)),1)</f>
        <v>1</v>
      </c>
      <c r="W2146" s="17">
        <f t="shared" si="5"/>
        <v>5.6</v>
      </c>
    </row>
    <row r="2147" ht="15.75" customHeight="1">
      <c r="A2147" s="8" t="s">
        <v>3067</v>
      </c>
      <c r="B2147" s="7" t="s">
        <v>3061</v>
      </c>
      <c r="C2147" s="13" t="s">
        <v>3062</v>
      </c>
      <c r="D2147" s="7" t="s">
        <v>267</v>
      </c>
      <c r="E2147" s="8" t="s">
        <v>106</v>
      </c>
      <c r="F2147" s="8" t="s">
        <v>318</v>
      </c>
      <c r="G2147" s="7" t="s">
        <v>3063</v>
      </c>
      <c r="H2147" s="7" t="s">
        <v>3033</v>
      </c>
      <c r="I2147" s="8">
        <v>2017.0</v>
      </c>
      <c r="J2147" s="8">
        <v>2.3</v>
      </c>
      <c r="K2147" s="8" t="s">
        <v>583</v>
      </c>
      <c r="M2147" s="8" t="s">
        <v>828</v>
      </c>
      <c r="N2147" s="8">
        <v>3.3</v>
      </c>
      <c r="O2147" s="14">
        <f t="shared" si="1"/>
        <v>43983</v>
      </c>
      <c r="P2147" s="15">
        <f>IFERROR(VLOOKUP(K2147,Formula!$A$11:$B$20,2,FALSE),Formula!$C$26)</f>
        <v>0.95</v>
      </c>
      <c r="Q2147" s="15">
        <f>IF(AND(ISNUMBER(J2147),J2147&gt;0),1/J2147,IF(AND(ISNUMBER(I2147),I2147&gt;0),SQRT(MIN(I2147,Formula!$C$27))/Formula!$C$24,1/Formula!$C$25))</f>
        <v>0.4347826087</v>
      </c>
      <c r="R2147" s="15">
        <f t="shared" si="2"/>
        <v>0.4130434783</v>
      </c>
      <c r="S2147" s="15">
        <f>IF(H2147&lt;&gt;"",EXP(-Formula!$C$28*(EOMONTH(H2147,0)-H2147)),EXP(-Formula!$C$28*(EOMONTH(D2147,0)-D2147)))</f>
        <v>0.7408182207</v>
      </c>
      <c r="T2147" s="15">
        <f t="shared" si="3"/>
        <v>0.3333333333</v>
      </c>
      <c r="U2147" s="15">
        <f t="shared" si="4"/>
        <v>0.1019967115</v>
      </c>
      <c r="V2147" s="16">
        <f>IF(AND(L2147="Among all respondents",NOT(OR(K2147="Online poll in Telegram channel",K2147="Website online poll",K2147="CAWI (Computer Assisted Web Interviewing)"))),1/(1-MIN(MAX(Formula!$C$33+(YEAR(D2147)-Formula!$C$34)/(Formula!$C$35-Formula!$C$34)*(Formula!$C$32-Formula!$C$33),Formula!$C$33),Formula!$C$32)),1)</f>
        <v>1</v>
      </c>
      <c r="W2147" s="17">
        <f t="shared" si="5"/>
        <v>3.3</v>
      </c>
    </row>
    <row r="2148" ht="15.75" customHeight="1">
      <c r="A2148" s="8" t="s">
        <v>3068</v>
      </c>
      <c r="B2148" s="7" t="s">
        <v>3061</v>
      </c>
      <c r="C2148" s="13" t="s">
        <v>3062</v>
      </c>
      <c r="D2148" s="7" t="s">
        <v>267</v>
      </c>
      <c r="E2148" s="8" t="s">
        <v>106</v>
      </c>
      <c r="F2148" s="8" t="s">
        <v>318</v>
      </c>
      <c r="G2148" s="7" t="s">
        <v>3063</v>
      </c>
      <c r="H2148" s="7" t="s">
        <v>3033</v>
      </c>
      <c r="I2148" s="8">
        <v>2017.0</v>
      </c>
      <c r="J2148" s="8">
        <v>2.3</v>
      </c>
      <c r="K2148" s="8" t="s">
        <v>583</v>
      </c>
      <c r="M2148" s="8" t="s">
        <v>838</v>
      </c>
      <c r="N2148" s="8">
        <v>2.4</v>
      </c>
      <c r="O2148" s="14">
        <f t="shared" si="1"/>
        <v>43983</v>
      </c>
      <c r="P2148" s="15">
        <f>IFERROR(VLOOKUP(K2148,Formula!$A$11:$B$20,2,FALSE),Formula!$C$26)</f>
        <v>0.95</v>
      </c>
      <c r="Q2148" s="15">
        <f>IF(AND(ISNUMBER(J2148),J2148&gt;0),1/J2148,IF(AND(ISNUMBER(I2148),I2148&gt;0),SQRT(MIN(I2148,Formula!$C$27))/Formula!$C$24,1/Formula!$C$25))</f>
        <v>0.4347826087</v>
      </c>
      <c r="R2148" s="15">
        <f t="shared" si="2"/>
        <v>0.4130434783</v>
      </c>
      <c r="S2148" s="15">
        <f>IF(H2148&lt;&gt;"",EXP(-Formula!$C$28*(EOMONTH(H2148,0)-H2148)),EXP(-Formula!$C$28*(EOMONTH(D2148,0)-D2148)))</f>
        <v>0.7408182207</v>
      </c>
      <c r="T2148" s="15">
        <f t="shared" si="3"/>
        <v>0.3333333333</v>
      </c>
      <c r="U2148" s="15">
        <f t="shared" si="4"/>
        <v>0.1019967115</v>
      </c>
      <c r="V2148" s="16">
        <f>IF(AND(L2148="Among all respondents",NOT(OR(K2148="Online poll in Telegram channel",K2148="Website online poll",K2148="CAWI (Computer Assisted Web Interviewing)"))),1/(1-MIN(MAX(Formula!$C$33+(YEAR(D2148)-Formula!$C$34)/(Formula!$C$35-Formula!$C$34)*(Formula!$C$32-Formula!$C$33),Formula!$C$33),Formula!$C$32)),1)</f>
        <v>1</v>
      </c>
      <c r="W2148" s="17">
        <f t="shared" si="5"/>
        <v>2.4</v>
      </c>
    </row>
    <row r="2149" ht="15.75" customHeight="1">
      <c r="A2149" s="8" t="s">
        <v>3069</v>
      </c>
      <c r="B2149" s="7" t="s">
        <v>3061</v>
      </c>
      <c r="C2149" s="13" t="s">
        <v>3062</v>
      </c>
      <c r="D2149" s="7" t="s">
        <v>267</v>
      </c>
      <c r="E2149" s="8" t="s">
        <v>106</v>
      </c>
      <c r="F2149" s="8" t="s">
        <v>318</v>
      </c>
      <c r="G2149" s="7" t="s">
        <v>3063</v>
      </c>
      <c r="H2149" s="7" t="s">
        <v>3033</v>
      </c>
      <c r="I2149" s="8">
        <v>2017.0</v>
      </c>
      <c r="J2149" s="8">
        <v>2.3</v>
      </c>
      <c r="K2149" s="8" t="s">
        <v>583</v>
      </c>
      <c r="M2149" s="8" t="s">
        <v>1398</v>
      </c>
      <c r="N2149" s="8">
        <v>1.3</v>
      </c>
      <c r="O2149" s="14">
        <f t="shared" si="1"/>
        <v>43983</v>
      </c>
      <c r="P2149" s="15">
        <f>IFERROR(VLOOKUP(K2149,Formula!$A$11:$B$20,2,FALSE),Formula!$C$26)</f>
        <v>0.95</v>
      </c>
      <c r="Q2149" s="15">
        <f>IF(AND(ISNUMBER(J2149),J2149&gt;0),1/J2149,IF(AND(ISNUMBER(I2149),I2149&gt;0),SQRT(MIN(I2149,Formula!$C$27))/Formula!$C$24,1/Formula!$C$25))</f>
        <v>0.4347826087</v>
      </c>
      <c r="R2149" s="15">
        <f t="shared" si="2"/>
        <v>0.4130434783</v>
      </c>
      <c r="S2149" s="15">
        <f>IF(H2149&lt;&gt;"",EXP(-Formula!$C$28*(EOMONTH(H2149,0)-H2149)),EXP(-Formula!$C$28*(EOMONTH(D2149,0)-D2149)))</f>
        <v>0.7408182207</v>
      </c>
      <c r="T2149" s="15">
        <f t="shared" si="3"/>
        <v>0.3333333333</v>
      </c>
      <c r="U2149" s="15">
        <f t="shared" si="4"/>
        <v>0.1019967115</v>
      </c>
      <c r="V2149" s="16">
        <f>IF(AND(L2149="Among all respondents",NOT(OR(K2149="Online poll in Telegram channel",K2149="Website online poll",K2149="CAWI (Computer Assisted Web Interviewing)"))),1/(1-MIN(MAX(Formula!$C$33+(YEAR(D2149)-Formula!$C$34)/(Formula!$C$35-Formula!$C$34)*(Formula!$C$32-Formula!$C$33),Formula!$C$33),Formula!$C$32)),1)</f>
        <v>1</v>
      </c>
      <c r="W2149" s="17">
        <f t="shared" si="5"/>
        <v>1.3</v>
      </c>
    </row>
    <row r="2150" ht="15.75" customHeight="1">
      <c r="A2150" s="8" t="s">
        <v>3070</v>
      </c>
      <c r="B2150" s="7" t="s">
        <v>3061</v>
      </c>
      <c r="C2150" s="13" t="s">
        <v>3062</v>
      </c>
      <c r="D2150" s="7" t="s">
        <v>267</v>
      </c>
      <c r="E2150" s="8" t="s">
        <v>106</v>
      </c>
      <c r="F2150" s="8" t="s">
        <v>318</v>
      </c>
      <c r="G2150" s="7" t="s">
        <v>3063</v>
      </c>
      <c r="H2150" s="7" t="s">
        <v>3033</v>
      </c>
      <c r="I2150" s="8">
        <v>2017.0</v>
      </c>
      <c r="J2150" s="8">
        <v>2.3</v>
      </c>
      <c r="K2150" s="8" t="s">
        <v>583</v>
      </c>
      <c r="M2150" s="8" t="s">
        <v>345</v>
      </c>
      <c r="N2150" s="8">
        <v>1.1</v>
      </c>
      <c r="O2150" s="14">
        <f t="shared" si="1"/>
        <v>43983</v>
      </c>
      <c r="P2150" s="15">
        <f>IFERROR(VLOOKUP(K2150,Formula!$A$11:$B$20,2,FALSE),Formula!$C$26)</f>
        <v>0.95</v>
      </c>
      <c r="Q2150" s="15">
        <f>IF(AND(ISNUMBER(J2150),J2150&gt;0),1/J2150,IF(AND(ISNUMBER(I2150),I2150&gt;0),SQRT(MIN(I2150,Formula!$C$27))/Formula!$C$24,1/Formula!$C$25))</f>
        <v>0.4347826087</v>
      </c>
      <c r="R2150" s="15">
        <f t="shared" si="2"/>
        <v>0.4130434783</v>
      </c>
      <c r="S2150" s="15">
        <f>IF(H2150&lt;&gt;"",EXP(-Formula!$C$28*(EOMONTH(H2150,0)-H2150)),EXP(-Formula!$C$28*(EOMONTH(D2150,0)-D2150)))</f>
        <v>0.7408182207</v>
      </c>
      <c r="T2150" s="15">
        <f t="shared" si="3"/>
        <v>0.3333333333</v>
      </c>
      <c r="U2150" s="15">
        <f t="shared" si="4"/>
        <v>0.1019967115</v>
      </c>
      <c r="V2150" s="16">
        <f>IF(AND(L2150="Among all respondents",NOT(OR(K2150="Online poll in Telegram channel",K2150="Website online poll",K2150="CAWI (Computer Assisted Web Interviewing)"))),1/(1-MIN(MAX(Formula!$C$33+(YEAR(D2150)-Formula!$C$34)/(Formula!$C$35-Formula!$C$34)*(Formula!$C$32-Formula!$C$33),Formula!$C$33),Formula!$C$32)),1)</f>
        <v>1</v>
      </c>
      <c r="W2150" s="17">
        <f t="shared" si="5"/>
        <v>1.1</v>
      </c>
    </row>
    <row r="2151" ht="15.75" customHeight="1">
      <c r="A2151" s="8" t="s">
        <v>3071</v>
      </c>
      <c r="B2151" s="7" t="s">
        <v>3061</v>
      </c>
      <c r="C2151" s="13" t="s">
        <v>3062</v>
      </c>
      <c r="D2151" s="7" t="s">
        <v>267</v>
      </c>
      <c r="E2151" s="8" t="s">
        <v>106</v>
      </c>
      <c r="F2151" s="8" t="s">
        <v>318</v>
      </c>
      <c r="G2151" s="7" t="s">
        <v>3063</v>
      </c>
      <c r="H2151" s="7" t="s">
        <v>3033</v>
      </c>
      <c r="I2151" s="8">
        <v>2017.0</v>
      </c>
      <c r="J2151" s="8">
        <v>2.3</v>
      </c>
      <c r="K2151" s="8" t="s">
        <v>583</v>
      </c>
      <c r="M2151" s="8" t="s">
        <v>388</v>
      </c>
      <c r="N2151" s="8">
        <v>0.9</v>
      </c>
      <c r="O2151" s="14">
        <f t="shared" si="1"/>
        <v>43983</v>
      </c>
      <c r="P2151" s="15">
        <f>IFERROR(VLOOKUP(K2151,Formula!$A$11:$B$20,2,FALSE),Formula!$C$26)</f>
        <v>0.95</v>
      </c>
      <c r="Q2151" s="15">
        <f>IF(AND(ISNUMBER(J2151),J2151&gt;0),1/J2151,IF(AND(ISNUMBER(I2151),I2151&gt;0),SQRT(MIN(I2151,Formula!$C$27))/Formula!$C$24,1/Formula!$C$25))</f>
        <v>0.4347826087</v>
      </c>
      <c r="R2151" s="15">
        <f t="shared" si="2"/>
        <v>0.4130434783</v>
      </c>
      <c r="S2151" s="15">
        <f>IF(H2151&lt;&gt;"",EXP(-Formula!$C$28*(EOMONTH(H2151,0)-H2151)),EXP(-Formula!$C$28*(EOMONTH(D2151,0)-D2151)))</f>
        <v>0.7408182207</v>
      </c>
      <c r="T2151" s="15">
        <f t="shared" si="3"/>
        <v>0.3333333333</v>
      </c>
      <c r="U2151" s="15">
        <f t="shared" si="4"/>
        <v>0.1019967115</v>
      </c>
      <c r="V2151" s="16">
        <f>IF(AND(L2151="Among all respondents",NOT(OR(K2151="Online poll in Telegram channel",K2151="Website online poll",K2151="CAWI (Computer Assisted Web Interviewing)"))),1/(1-MIN(MAX(Formula!$C$33+(YEAR(D2151)-Formula!$C$34)/(Formula!$C$35-Formula!$C$34)*(Formula!$C$32-Formula!$C$33),Formula!$C$33),Formula!$C$32)),1)</f>
        <v>1</v>
      </c>
      <c r="W2151" s="17">
        <f t="shared" si="5"/>
        <v>0.9</v>
      </c>
    </row>
    <row r="2152" ht="15.75" customHeight="1">
      <c r="A2152" s="8" t="s">
        <v>3072</v>
      </c>
      <c r="B2152" s="7" t="s">
        <v>3073</v>
      </c>
      <c r="C2152" s="13" t="s">
        <v>3074</v>
      </c>
      <c r="D2152" s="7" t="s">
        <v>268</v>
      </c>
      <c r="E2152" s="8" t="s">
        <v>72</v>
      </c>
      <c r="F2152" s="8" t="s">
        <v>318</v>
      </c>
      <c r="G2152" s="7" t="s">
        <v>3075</v>
      </c>
      <c r="H2152" s="7" t="s">
        <v>272</v>
      </c>
      <c r="I2152" s="8">
        <v>4000.0</v>
      </c>
      <c r="J2152" s="8">
        <v>1.7</v>
      </c>
      <c r="K2152" s="8" t="s">
        <v>321</v>
      </c>
      <c r="M2152" s="8" t="s">
        <v>323</v>
      </c>
      <c r="N2152" s="8">
        <v>25.7</v>
      </c>
      <c r="O2152" s="14">
        <f t="shared" si="1"/>
        <v>43983</v>
      </c>
      <c r="P2152" s="15">
        <f>IFERROR(VLOOKUP(K2152,Formula!$A$11:$B$20,2,FALSE),Formula!$C$26)</f>
        <v>0.9</v>
      </c>
      <c r="Q2152" s="15">
        <f>IF(AND(ISNUMBER(J2152),J2152&gt;0),1/J2152,IF(AND(ISNUMBER(I2152),I2152&gt;0),SQRT(MIN(I2152,Formula!$C$27))/Formula!$C$24,1/Formula!$C$25))</f>
        <v>0.5882352941</v>
      </c>
      <c r="R2152" s="15">
        <f t="shared" si="2"/>
        <v>0.5294117647</v>
      </c>
      <c r="S2152" s="15">
        <f>IF(H2152&lt;&gt;"",EXP(-Formula!$C$28*(EOMONTH(H2152,0)-H2152)),EXP(-Formula!$C$28*(EOMONTH(D2152,0)-D2152)))</f>
        <v>0.272531793</v>
      </c>
      <c r="T2152" s="15">
        <f t="shared" si="3"/>
        <v>0.242535625</v>
      </c>
      <c r="U2152" s="15">
        <f t="shared" si="4"/>
        <v>0.03499341288</v>
      </c>
      <c r="V2152" s="16">
        <f>IF(AND(L2152="Among all respondents",NOT(OR(K2152="Online poll in Telegram channel",K2152="Website online poll",K2152="CAWI (Computer Assisted Web Interviewing)"))),1/(1-MIN(MAX(Formula!$C$33+(YEAR(D2152)-Formula!$C$34)/(Formula!$C$35-Formula!$C$34)*(Formula!$C$32-Formula!$C$33),Formula!$C$33),Formula!$C$32)),1)</f>
        <v>1</v>
      </c>
      <c r="W2152" s="17">
        <f t="shared" si="5"/>
        <v>25.7</v>
      </c>
    </row>
    <row r="2153" ht="15.75" customHeight="1">
      <c r="A2153" s="8" t="s">
        <v>3076</v>
      </c>
      <c r="B2153" s="7" t="s">
        <v>3073</v>
      </c>
      <c r="C2153" s="13" t="s">
        <v>3074</v>
      </c>
      <c r="D2153" s="7" t="s">
        <v>268</v>
      </c>
      <c r="E2153" s="8" t="s">
        <v>72</v>
      </c>
      <c r="F2153" s="8" t="s">
        <v>318</v>
      </c>
      <c r="G2153" s="7" t="s">
        <v>3075</v>
      </c>
      <c r="H2153" s="7" t="s">
        <v>272</v>
      </c>
      <c r="I2153" s="8">
        <v>4000.0</v>
      </c>
      <c r="J2153" s="8">
        <v>1.7</v>
      </c>
      <c r="K2153" s="8" t="s">
        <v>321</v>
      </c>
      <c r="M2153" s="8" t="s">
        <v>329</v>
      </c>
      <c r="N2153" s="8">
        <v>11.1</v>
      </c>
      <c r="O2153" s="14">
        <f t="shared" si="1"/>
        <v>43983</v>
      </c>
      <c r="P2153" s="15">
        <f>IFERROR(VLOOKUP(K2153,Formula!$A$11:$B$20,2,FALSE),Formula!$C$26)</f>
        <v>0.9</v>
      </c>
      <c r="Q2153" s="15">
        <f>IF(AND(ISNUMBER(J2153),J2153&gt;0),1/J2153,IF(AND(ISNUMBER(I2153),I2153&gt;0),SQRT(MIN(I2153,Formula!$C$27))/Formula!$C$24,1/Formula!$C$25))</f>
        <v>0.5882352941</v>
      </c>
      <c r="R2153" s="15">
        <f t="shared" si="2"/>
        <v>0.5294117647</v>
      </c>
      <c r="S2153" s="15">
        <f>IF(H2153&lt;&gt;"",EXP(-Formula!$C$28*(EOMONTH(H2153,0)-H2153)),EXP(-Formula!$C$28*(EOMONTH(D2153,0)-D2153)))</f>
        <v>0.272531793</v>
      </c>
      <c r="T2153" s="15">
        <f t="shared" si="3"/>
        <v>0.242535625</v>
      </c>
      <c r="U2153" s="15">
        <f t="shared" si="4"/>
        <v>0.03499341288</v>
      </c>
      <c r="V2153" s="16">
        <f>IF(AND(L2153="Among all respondents",NOT(OR(K2153="Online poll in Telegram channel",K2153="Website online poll",K2153="CAWI (Computer Assisted Web Interviewing)"))),1/(1-MIN(MAX(Formula!$C$33+(YEAR(D2153)-Formula!$C$34)/(Formula!$C$35-Formula!$C$34)*(Formula!$C$32-Formula!$C$33),Formula!$C$33),Formula!$C$32)),1)</f>
        <v>1</v>
      </c>
      <c r="W2153" s="17">
        <f t="shared" si="5"/>
        <v>11.1</v>
      </c>
    </row>
    <row r="2154" ht="15.75" customHeight="1">
      <c r="A2154" s="8" t="s">
        <v>3077</v>
      </c>
      <c r="B2154" s="7" t="s">
        <v>3073</v>
      </c>
      <c r="C2154" s="13" t="s">
        <v>3074</v>
      </c>
      <c r="D2154" s="7" t="s">
        <v>268</v>
      </c>
      <c r="E2154" s="8" t="s">
        <v>72</v>
      </c>
      <c r="F2154" s="8" t="s">
        <v>318</v>
      </c>
      <c r="G2154" s="7" t="s">
        <v>3075</v>
      </c>
      <c r="H2154" s="7" t="s">
        <v>272</v>
      </c>
      <c r="I2154" s="8">
        <v>4000.0</v>
      </c>
      <c r="J2154" s="8">
        <v>1.7</v>
      </c>
      <c r="K2154" s="8" t="s">
        <v>321</v>
      </c>
      <c r="M2154" s="8" t="s">
        <v>365</v>
      </c>
      <c r="N2154" s="8">
        <v>9.0</v>
      </c>
      <c r="O2154" s="14">
        <f t="shared" si="1"/>
        <v>43983</v>
      </c>
      <c r="P2154" s="15">
        <f>IFERROR(VLOOKUP(K2154,Formula!$A$11:$B$20,2,FALSE),Formula!$C$26)</f>
        <v>0.9</v>
      </c>
      <c r="Q2154" s="15">
        <f>IF(AND(ISNUMBER(J2154),J2154&gt;0),1/J2154,IF(AND(ISNUMBER(I2154),I2154&gt;0),SQRT(MIN(I2154,Formula!$C$27))/Formula!$C$24,1/Formula!$C$25))</f>
        <v>0.5882352941</v>
      </c>
      <c r="R2154" s="15">
        <f t="shared" si="2"/>
        <v>0.5294117647</v>
      </c>
      <c r="S2154" s="15">
        <f>IF(H2154&lt;&gt;"",EXP(-Formula!$C$28*(EOMONTH(H2154,0)-H2154)),EXP(-Formula!$C$28*(EOMONTH(D2154,0)-D2154)))</f>
        <v>0.272531793</v>
      </c>
      <c r="T2154" s="15">
        <f t="shared" si="3"/>
        <v>0.242535625</v>
      </c>
      <c r="U2154" s="15">
        <f t="shared" si="4"/>
        <v>0.03499341288</v>
      </c>
      <c r="V2154" s="16">
        <f>IF(AND(L2154="Among all respondents",NOT(OR(K2154="Online poll in Telegram channel",K2154="Website online poll",K2154="CAWI (Computer Assisted Web Interviewing)"))),1/(1-MIN(MAX(Formula!$C$33+(YEAR(D2154)-Formula!$C$34)/(Formula!$C$35-Formula!$C$34)*(Formula!$C$32-Formula!$C$33),Formula!$C$33),Formula!$C$32)),1)</f>
        <v>1</v>
      </c>
      <c r="W2154" s="17">
        <f t="shared" si="5"/>
        <v>9</v>
      </c>
    </row>
    <row r="2155" ht="15.75" customHeight="1">
      <c r="A2155" s="8" t="s">
        <v>3078</v>
      </c>
      <c r="B2155" s="7" t="s">
        <v>3073</v>
      </c>
      <c r="C2155" s="13" t="s">
        <v>3074</v>
      </c>
      <c r="D2155" s="7" t="s">
        <v>268</v>
      </c>
      <c r="E2155" s="8" t="s">
        <v>72</v>
      </c>
      <c r="F2155" s="8" t="s">
        <v>318</v>
      </c>
      <c r="G2155" s="7" t="s">
        <v>3075</v>
      </c>
      <c r="H2155" s="7" t="s">
        <v>272</v>
      </c>
      <c r="I2155" s="8">
        <v>4000.0</v>
      </c>
      <c r="J2155" s="8">
        <v>1.7</v>
      </c>
      <c r="K2155" s="8" t="s">
        <v>321</v>
      </c>
      <c r="M2155" s="8" t="s">
        <v>337</v>
      </c>
      <c r="N2155" s="8">
        <v>6.0</v>
      </c>
      <c r="O2155" s="14">
        <f t="shared" si="1"/>
        <v>43983</v>
      </c>
      <c r="P2155" s="15">
        <f>IFERROR(VLOOKUP(K2155,Formula!$A$11:$B$20,2,FALSE),Formula!$C$26)</f>
        <v>0.9</v>
      </c>
      <c r="Q2155" s="15">
        <f>IF(AND(ISNUMBER(J2155),J2155&gt;0),1/J2155,IF(AND(ISNUMBER(I2155),I2155&gt;0),SQRT(MIN(I2155,Formula!$C$27))/Formula!$C$24,1/Formula!$C$25))</f>
        <v>0.5882352941</v>
      </c>
      <c r="R2155" s="15">
        <f t="shared" si="2"/>
        <v>0.5294117647</v>
      </c>
      <c r="S2155" s="15">
        <f>IF(H2155&lt;&gt;"",EXP(-Formula!$C$28*(EOMONTH(H2155,0)-H2155)),EXP(-Formula!$C$28*(EOMONTH(D2155,0)-D2155)))</f>
        <v>0.272531793</v>
      </c>
      <c r="T2155" s="15">
        <f t="shared" si="3"/>
        <v>0.242535625</v>
      </c>
      <c r="U2155" s="15">
        <f t="shared" si="4"/>
        <v>0.03499341288</v>
      </c>
      <c r="V2155" s="16">
        <f>IF(AND(L2155="Among all respondents",NOT(OR(K2155="Online poll in Telegram channel",K2155="Website online poll",K2155="CAWI (Computer Assisted Web Interviewing)"))),1/(1-MIN(MAX(Formula!$C$33+(YEAR(D2155)-Formula!$C$34)/(Formula!$C$35-Formula!$C$34)*(Formula!$C$32-Formula!$C$33),Formula!$C$33),Formula!$C$32)),1)</f>
        <v>1</v>
      </c>
      <c r="W2155" s="17">
        <f t="shared" si="5"/>
        <v>6</v>
      </c>
    </row>
    <row r="2156" ht="15.75" customHeight="1">
      <c r="A2156" s="8" t="s">
        <v>3079</v>
      </c>
      <c r="B2156" s="7" t="s">
        <v>3073</v>
      </c>
      <c r="C2156" s="13" t="s">
        <v>3074</v>
      </c>
      <c r="D2156" s="7" t="s">
        <v>268</v>
      </c>
      <c r="E2156" s="8" t="s">
        <v>72</v>
      </c>
      <c r="F2156" s="8" t="s">
        <v>318</v>
      </c>
      <c r="G2156" s="7" t="s">
        <v>3075</v>
      </c>
      <c r="H2156" s="7" t="s">
        <v>272</v>
      </c>
      <c r="I2156" s="8">
        <v>4000.0</v>
      </c>
      <c r="J2156" s="8">
        <v>1.7</v>
      </c>
      <c r="K2156" s="8" t="s">
        <v>321</v>
      </c>
      <c r="M2156" s="8" t="s">
        <v>828</v>
      </c>
      <c r="N2156" s="8">
        <v>4.6</v>
      </c>
      <c r="O2156" s="14">
        <f t="shared" si="1"/>
        <v>43983</v>
      </c>
      <c r="P2156" s="15">
        <f>IFERROR(VLOOKUP(K2156,Formula!$A$11:$B$20,2,FALSE),Formula!$C$26)</f>
        <v>0.9</v>
      </c>
      <c r="Q2156" s="15">
        <f>IF(AND(ISNUMBER(J2156),J2156&gt;0),1/J2156,IF(AND(ISNUMBER(I2156),I2156&gt;0),SQRT(MIN(I2156,Formula!$C$27))/Formula!$C$24,1/Formula!$C$25))</f>
        <v>0.5882352941</v>
      </c>
      <c r="R2156" s="15">
        <f t="shared" si="2"/>
        <v>0.5294117647</v>
      </c>
      <c r="S2156" s="15">
        <f>IF(H2156&lt;&gt;"",EXP(-Formula!$C$28*(EOMONTH(H2156,0)-H2156)),EXP(-Formula!$C$28*(EOMONTH(D2156,0)-D2156)))</f>
        <v>0.272531793</v>
      </c>
      <c r="T2156" s="15">
        <f t="shared" si="3"/>
        <v>0.242535625</v>
      </c>
      <c r="U2156" s="15">
        <f t="shared" si="4"/>
        <v>0.03499341288</v>
      </c>
      <c r="V2156" s="16">
        <f>IF(AND(L2156="Among all respondents",NOT(OR(K2156="Online poll in Telegram channel",K2156="Website online poll",K2156="CAWI (Computer Assisted Web Interviewing)"))),1/(1-MIN(MAX(Formula!$C$33+(YEAR(D2156)-Formula!$C$34)/(Formula!$C$35-Formula!$C$34)*(Formula!$C$32-Formula!$C$33),Formula!$C$33),Formula!$C$32)),1)</f>
        <v>1</v>
      </c>
      <c r="W2156" s="17">
        <f t="shared" si="5"/>
        <v>4.6</v>
      </c>
    </row>
    <row r="2157" ht="15.75" customHeight="1">
      <c r="A2157" s="8" t="s">
        <v>3080</v>
      </c>
      <c r="B2157" s="7" t="s">
        <v>3073</v>
      </c>
      <c r="C2157" s="13" t="s">
        <v>3074</v>
      </c>
      <c r="D2157" s="7" t="s">
        <v>268</v>
      </c>
      <c r="E2157" s="8" t="s">
        <v>72</v>
      </c>
      <c r="F2157" s="8" t="s">
        <v>318</v>
      </c>
      <c r="G2157" s="7" t="s">
        <v>3075</v>
      </c>
      <c r="H2157" s="7" t="s">
        <v>272</v>
      </c>
      <c r="I2157" s="8">
        <v>4000.0</v>
      </c>
      <c r="J2157" s="8">
        <v>1.7</v>
      </c>
      <c r="K2157" s="8" t="s">
        <v>321</v>
      </c>
      <c r="M2157" s="8" t="s">
        <v>838</v>
      </c>
      <c r="N2157" s="8">
        <v>3.0</v>
      </c>
      <c r="O2157" s="14">
        <f t="shared" si="1"/>
        <v>43983</v>
      </c>
      <c r="P2157" s="15">
        <f>IFERROR(VLOOKUP(K2157,Formula!$A$11:$B$20,2,FALSE),Formula!$C$26)</f>
        <v>0.9</v>
      </c>
      <c r="Q2157" s="15">
        <f>IF(AND(ISNUMBER(J2157),J2157&gt;0),1/J2157,IF(AND(ISNUMBER(I2157),I2157&gt;0),SQRT(MIN(I2157,Formula!$C$27))/Formula!$C$24,1/Formula!$C$25))</f>
        <v>0.5882352941</v>
      </c>
      <c r="R2157" s="15">
        <f t="shared" si="2"/>
        <v>0.5294117647</v>
      </c>
      <c r="S2157" s="15">
        <f>IF(H2157&lt;&gt;"",EXP(-Formula!$C$28*(EOMONTH(H2157,0)-H2157)),EXP(-Formula!$C$28*(EOMONTH(D2157,0)-D2157)))</f>
        <v>0.272531793</v>
      </c>
      <c r="T2157" s="15">
        <f t="shared" si="3"/>
        <v>0.242535625</v>
      </c>
      <c r="U2157" s="15">
        <f t="shared" si="4"/>
        <v>0.03499341288</v>
      </c>
      <c r="V2157" s="16">
        <f>IF(AND(L2157="Among all respondents",NOT(OR(K2157="Online poll in Telegram channel",K2157="Website online poll",K2157="CAWI (Computer Assisted Web Interviewing)"))),1/(1-MIN(MAX(Formula!$C$33+(YEAR(D2157)-Formula!$C$34)/(Formula!$C$35-Formula!$C$34)*(Formula!$C$32-Formula!$C$33),Formula!$C$33),Formula!$C$32)),1)</f>
        <v>1</v>
      </c>
      <c r="W2157" s="17">
        <f t="shared" si="5"/>
        <v>3</v>
      </c>
    </row>
    <row r="2158" ht="15.75" customHeight="1">
      <c r="A2158" s="8" t="s">
        <v>3081</v>
      </c>
      <c r="B2158" s="7" t="s">
        <v>3073</v>
      </c>
      <c r="C2158" s="13" t="s">
        <v>3074</v>
      </c>
      <c r="D2158" s="7" t="s">
        <v>268</v>
      </c>
      <c r="E2158" s="8" t="s">
        <v>72</v>
      </c>
      <c r="F2158" s="8" t="s">
        <v>318</v>
      </c>
      <c r="G2158" s="7" t="s">
        <v>3075</v>
      </c>
      <c r="H2158" s="7" t="s">
        <v>272</v>
      </c>
      <c r="I2158" s="8">
        <v>4000.0</v>
      </c>
      <c r="J2158" s="8">
        <v>1.7</v>
      </c>
      <c r="K2158" s="8" t="s">
        <v>321</v>
      </c>
      <c r="M2158" s="8" t="s">
        <v>388</v>
      </c>
      <c r="N2158" s="8">
        <v>3.0</v>
      </c>
      <c r="O2158" s="14">
        <f t="shared" si="1"/>
        <v>43983</v>
      </c>
      <c r="P2158" s="15">
        <f>IFERROR(VLOOKUP(K2158,Formula!$A$11:$B$20,2,FALSE),Formula!$C$26)</f>
        <v>0.9</v>
      </c>
      <c r="Q2158" s="15">
        <f>IF(AND(ISNUMBER(J2158),J2158&gt;0),1/J2158,IF(AND(ISNUMBER(I2158),I2158&gt;0),SQRT(MIN(I2158,Formula!$C$27))/Formula!$C$24,1/Formula!$C$25))</f>
        <v>0.5882352941</v>
      </c>
      <c r="R2158" s="15">
        <f t="shared" si="2"/>
        <v>0.5294117647</v>
      </c>
      <c r="S2158" s="15">
        <f>IF(H2158&lt;&gt;"",EXP(-Formula!$C$28*(EOMONTH(H2158,0)-H2158)),EXP(-Formula!$C$28*(EOMONTH(D2158,0)-D2158)))</f>
        <v>0.272531793</v>
      </c>
      <c r="T2158" s="15">
        <f t="shared" si="3"/>
        <v>0.242535625</v>
      </c>
      <c r="U2158" s="15">
        <f t="shared" si="4"/>
        <v>0.03499341288</v>
      </c>
      <c r="V2158" s="16">
        <f>IF(AND(L2158="Among all respondents",NOT(OR(K2158="Online poll in Telegram channel",K2158="Website online poll",K2158="CAWI (Computer Assisted Web Interviewing)"))),1/(1-MIN(MAX(Formula!$C$33+(YEAR(D2158)-Formula!$C$34)/(Formula!$C$35-Formula!$C$34)*(Formula!$C$32-Formula!$C$33),Formula!$C$33),Formula!$C$32)),1)</f>
        <v>1</v>
      </c>
      <c r="W2158" s="17">
        <f t="shared" si="5"/>
        <v>3</v>
      </c>
    </row>
    <row r="2159" ht="15.75" customHeight="1">
      <c r="A2159" s="8" t="s">
        <v>3082</v>
      </c>
      <c r="B2159" s="7" t="s">
        <v>3073</v>
      </c>
      <c r="C2159" s="13" t="s">
        <v>3074</v>
      </c>
      <c r="D2159" s="7" t="s">
        <v>268</v>
      </c>
      <c r="E2159" s="8" t="s">
        <v>72</v>
      </c>
      <c r="F2159" s="8" t="s">
        <v>318</v>
      </c>
      <c r="G2159" s="7" t="s">
        <v>3075</v>
      </c>
      <c r="H2159" s="7" t="s">
        <v>272</v>
      </c>
      <c r="I2159" s="8">
        <v>4000.0</v>
      </c>
      <c r="J2159" s="8">
        <v>1.7</v>
      </c>
      <c r="K2159" s="8" t="s">
        <v>321</v>
      </c>
      <c r="M2159" s="8" t="s">
        <v>3013</v>
      </c>
      <c r="N2159" s="8">
        <v>2.1</v>
      </c>
      <c r="O2159" s="14">
        <f t="shared" si="1"/>
        <v>43983</v>
      </c>
      <c r="P2159" s="15">
        <f>IFERROR(VLOOKUP(K2159,Formula!$A$11:$B$20,2,FALSE),Formula!$C$26)</f>
        <v>0.9</v>
      </c>
      <c r="Q2159" s="15">
        <f>IF(AND(ISNUMBER(J2159),J2159&gt;0),1/J2159,IF(AND(ISNUMBER(I2159),I2159&gt;0),SQRT(MIN(I2159,Formula!$C$27))/Formula!$C$24,1/Formula!$C$25))</f>
        <v>0.5882352941</v>
      </c>
      <c r="R2159" s="15">
        <f t="shared" si="2"/>
        <v>0.5294117647</v>
      </c>
      <c r="S2159" s="15">
        <f>IF(H2159&lt;&gt;"",EXP(-Formula!$C$28*(EOMONTH(H2159,0)-H2159)),EXP(-Formula!$C$28*(EOMONTH(D2159,0)-D2159)))</f>
        <v>0.272531793</v>
      </c>
      <c r="T2159" s="15">
        <f t="shared" si="3"/>
        <v>0.242535625</v>
      </c>
      <c r="U2159" s="15">
        <f t="shared" si="4"/>
        <v>0.03499341288</v>
      </c>
      <c r="V2159" s="16">
        <f>IF(AND(L2159="Among all respondents",NOT(OR(K2159="Online poll in Telegram channel",K2159="Website online poll",K2159="CAWI (Computer Assisted Web Interviewing)"))),1/(1-MIN(MAX(Formula!$C$33+(YEAR(D2159)-Formula!$C$34)/(Formula!$C$35-Formula!$C$34)*(Formula!$C$32-Formula!$C$33),Formula!$C$33),Formula!$C$32)),1)</f>
        <v>1</v>
      </c>
      <c r="W2159" s="17">
        <f t="shared" si="5"/>
        <v>2.1</v>
      </c>
    </row>
    <row r="2160" ht="15.75" customHeight="1">
      <c r="A2160" s="8" t="s">
        <v>3083</v>
      </c>
      <c r="B2160" s="7" t="s">
        <v>3073</v>
      </c>
      <c r="C2160" s="13" t="s">
        <v>3074</v>
      </c>
      <c r="D2160" s="7" t="s">
        <v>268</v>
      </c>
      <c r="E2160" s="8" t="s">
        <v>72</v>
      </c>
      <c r="F2160" s="8" t="s">
        <v>318</v>
      </c>
      <c r="G2160" s="7" t="s">
        <v>3075</v>
      </c>
      <c r="H2160" s="7" t="s">
        <v>272</v>
      </c>
      <c r="I2160" s="8">
        <v>4000.0</v>
      </c>
      <c r="J2160" s="8">
        <v>1.7</v>
      </c>
      <c r="K2160" s="8" t="s">
        <v>321</v>
      </c>
      <c r="M2160" s="8" t="s">
        <v>345</v>
      </c>
      <c r="N2160" s="8">
        <v>1.4</v>
      </c>
      <c r="O2160" s="14">
        <f t="shared" si="1"/>
        <v>43983</v>
      </c>
      <c r="P2160" s="15">
        <f>IFERROR(VLOOKUP(K2160,Formula!$A$11:$B$20,2,FALSE),Formula!$C$26)</f>
        <v>0.9</v>
      </c>
      <c r="Q2160" s="15">
        <f>IF(AND(ISNUMBER(J2160),J2160&gt;0),1/J2160,IF(AND(ISNUMBER(I2160),I2160&gt;0),SQRT(MIN(I2160,Formula!$C$27))/Formula!$C$24,1/Formula!$C$25))</f>
        <v>0.5882352941</v>
      </c>
      <c r="R2160" s="15">
        <f t="shared" si="2"/>
        <v>0.5294117647</v>
      </c>
      <c r="S2160" s="15">
        <f>IF(H2160&lt;&gt;"",EXP(-Formula!$C$28*(EOMONTH(H2160,0)-H2160)),EXP(-Formula!$C$28*(EOMONTH(D2160,0)-D2160)))</f>
        <v>0.272531793</v>
      </c>
      <c r="T2160" s="15">
        <f t="shared" si="3"/>
        <v>0.242535625</v>
      </c>
      <c r="U2160" s="15">
        <f t="shared" si="4"/>
        <v>0.03499341288</v>
      </c>
      <c r="V2160" s="16">
        <f>IF(AND(L2160="Among all respondents",NOT(OR(K2160="Online poll in Telegram channel",K2160="Website online poll",K2160="CAWI (Computer Assisted Web Interviewing)"))),1/(1-MIN(MAX(Formula!$C$33+(YEAR(D2160)-Formula!$C$34)/(Formula!$C$35-Formula!$C$34)*(Formula!$C$32-Formula!$C$33),Formula!$C$33),Formula!$C$32)),1)</f>
        <v>1</v>
      </c>
      <c r="W2160" s="17">
        <f t="shared" si="5"/>
        <v>1.4</v>
      </c>
    </row>
    <row r="2161" ht="15.75" customHeight="1">
      <c r="A2161" s="8" t="s">
        <v>3084</v>
      </c>
      <c r="B2161" s="7" t="s">
        <v>3085</v>
      </c>
      <c r="C2161" s="13" t="s">
        <v>3086</v>
      </c>
      <c r="D2161" s="7" t="s">
        <v>270</v>
      </c>
      <c r="E2161" s="8" t="s">
        <v>17</v>
      </c>
      <c r="F2161" s="8" t="s">
        <v>318</v>
      </c>
      <c r="G2161" s="7" t="s">
        <v>3087</v>
      </c>
      <c r="H2161" s="7" t="s">
        <v>3088</v>
      </c>
      <c r="I2161" s="8">
        <v>2000.0</v>
      </c>
      <c r="K2161" s="8" t="s">
        <v>321</v>
      </c>
      <c r="M2161" s="8" t="s">
        <v>323</v>
      </c>
      <c r="N2161" s="8">
        <v>41.1</v>
      </c>
      <c r="O2161" s="14">
        <f t="shared" si="1"/>
        <v>43983</v>
      </c>
      <c r="P2161" s="15">
        <f>IFERROR(VLOOKUP(K2161,Formula!$A$11:$B$20,2,FALSE),Formula!$C$26)</f>
        <v>0.9</v>
      </c>
      <c r="Q2161" s="15">
        <f>IF(AND(ISNUMBER(J2161),J2161&gt;0),1/J2161,IF(AND(ISNUMBER(I2161),I2161&gt;0),SQRT(MIN(I2161,Formula!$C$27))/Formula!$C$24,1/Formula!$C$25))</f>
        <v>0.4563404036</v>
      </c>
      <c r="R2161" s="15">
        <f t="shared" si="2"/>
        <v>0.4107063632</v>
      </c>
      <c r="S2161" s="15">
        <f>IF(H2161&lt;&gt;"",EXP(-Formula!$C$28*(EOMONTH(H2161,0)-H2161)),EXP(-Formula!$C$28*(EOMONTH(D2161,0)-D2161)))</f>
        <v>0.904837418</v>
      </c>
      <c r="T2161" s="15">
        <f t="shared" si="3"/>
        <v>0.316227766</v>
      </c>
      <c r="U2161" s="15">
        <f t="shared" si="4"/>
        <v>0.1175173483</v>
      </c>
      <c r="V2161" s="16">
        <f>IF(AND(L2161="Among all respondents",NOT(OR(K2161="Online poll in Telegram channel",K2161="Website online poll",K2161="CAWI (Computer Assisted Web Interviewing)"))),1/(1-MIN(MAX(Formula!$C$33+(YEAR(D2161)-Formula!$C$34)/(Formula!$C$35-Formula!$C$34)*(Formula!$C$32-Formula!$C$33),Formula!$C$33),Formula!$C$32)),1)</f>
        <v>1</v>
      </c>
      <c r="W2161" s="17">
        <f t="shared" si="5"/>
        <v>41.1</v>
      </c>
    </row>
    <row r="2162" ht="15.75" customHeight="1">
      <c r="A2162" s="8" t="s">
        <v>3089</v>
      </c>
      <c r="B2162" s="7" t="s">
        <v>3085</v>
      </c>
      <c r="C2162" s="13" t="s">
        <v>3086</v>
      </c>
      <c r="D2162" s="7" t="s">
        <v>270</v>
      </c>
      <c r="E2162" s="8" t="s">
        <v>17</v>
      </c>
      <c r="F2162" s="8" t="s">
        <v>318</v>
      </c>
      <c r="G2162" s="7" t="s">
        <v>3087</v>
      </c>
      <c r="H2162" s="7" t="s">
        <v>3088</v>
      </c>
      <c r="I2162" s="8">
        <v>2000.0</v>
      </c>
      <c r="K2162" s="8" t="s">
        <v>321</v>
      </c>
      <c r="M2162" s="8" t="s">
        <v>329</v>
      </c>
      <c r="N2162" s="8">
        <v>15.2</v>
      </c>
      <c r="O2162" s="14">
        <f t="shared" si="1"/>
        <v>43983</v>
      </c>
      <c r="P2162" s="15">
        <f>IFERROR(VLOOKUP(K2162,Formula!$A$11:$B$20,2,FALSE),Formula!$C$26)</f>
        <v>0.9</v>
      </c>
      <c r="Q2162" s="15">
        <f>IF(AND(ISNUMBER(J2162),J2162&gt;0),1/J2162,IF(AND(ISNUMBER(I2162),I2162&gt;0),SQRT(MIN(I2162,Formula!$C$27))/Formula!$C$24,1/Formula!$C$25))</f>
        <v>0.4563404036</v>
      </c>
      <c r="R2162" s="15">
        <f t="shared" si="2"/>
        <v>0.4107063632</v>
      </c>
      <c r="S2162" s="15">
        <f>IF(H2162&lt;&gt;"",EXP(-Formula!$C$28*(EOMONTH(H2162,0)-H2162)),EXP(-Formula!$C$28*(EOMONTH(D2162,0)-D2162)))</f>
        <v>0.904837418</v>
      </c>
      <c r="T2162" s="15">
        <f t="shared" si="3"/>
        <v>0.316227766</v>
      </c>
      <c r="U2162" s="15">
        <f t="shared" si="4"/>
        <v>0.1175173483</v>
      </c>
      <c r="V2162" s="16">
        <f>IF(AND(L2162="Among all respondents",NOT(OR(K2162="Online poll in Telegram channel",K2162="Website online poll",K2162="CAWI (Computer Assisted Web Interviewing)"))),1/(1-MIN(MAX(Formula!$C$33+(YEAR(D2162)-Formula!$C$34)/(Formula!$C$35-Formula!$C$34)*(Formula!$C$32-Formula!$C$33),Formula!$C$33),Formula!$C$32)),1)</f>
        <v>1</v>
      </c>
      <c r="W2162" s="17">
        <f t="shared" si="5"/>
        <v>15.2</v>
      </c>
    </row>
    <row r="2163" ht="15.75" customHeight="1">
      <c r="A2163" s="8" t="s">
        <v>3090</v>
      </c>
      <c r="B2163" s="7" t="s">
        <v>3085</v>
      </c>
      <c r="C2163" s="13" t="s">
        <v>3086</v>
      </c>
      <c r="D2163" s="7" t="s">
        <v>270</v>
      </c>
      <c r="E2163" s="8" t="s">
        <v>17</v>
      </c>
      <c r="F2163" s="8" t="s">
        <v>318</v>
      </c>
      <c r="G2163" s="7" t="s">
        <v>3087</v>
      </c>
      <c r="H2163" s="7" t="s">
        <v>3088</v>
      </c>
      <c r="I2163" s="8">
        <v>2000.0</v>
      </c>
      <c r="K2163" s="8" t="s">
        <v>321</v>
      </c>
      <c r="M2163" s="8" t="s">
        <v>365</v>
      </c>
      <c r="N2163" s="8">
        <v>14.5</v>
      </c>
      <c r="O2163" s="14">
        <f t="shared" si="1"/>
        <v>43983</v>
      </c>
      <c r="P2163" s="15">
        <f>IFERROR(VLOOKUP(K2163,Formula!$A$11:$B$20,2,FALSE),Formula!$C$26)</f>
        <v>0.9</v>
      </c>
      <c r="Q2163" s="15">
        <f>IF(AND(ISNUMBER(J2163),J2163&gt;0),1/J2163,IF(AND(ISNUMBER(I2163),I2163&gt;0),SQRT(MIN(I2163,Formula!$C$27))/Formula!$C$24,1/Formula!$C$25))</f>
        <v>0.4563404036</v>
      </c>
      <c r="R2163" s="15">
        <f t="shared" si="2"/>
        <v>0.4107063632</v>
      </c>
      <c r="S2163" s="15">
        <f>IF(H2163&lt;&gt;"",EXP(-Formula!$C$28*(EOMONTH(H2163,0)-H2163)),EXP(-Formula!$C$28*(EOMONTH(D2163,0)-D2163)))</f>
        <v>0.904837418</v>
      </c>
      <c r="T2163" s="15">
        <f t="shared" si="3"/>
        <v>0.316227766</v>
      </c>
      <c r="U2163" s="15">
        <f t="shared" si="4"/>
        <v>0.1175173483</v>
      </c>
      <c r="V2163" s="16">
        <f>IF(AND(L2163="Among all respondents",NOT(OR(K2163="Online poll in Telegram channel",K2163="Website online poll",K2163="CAWI (Computer Assisted Web Interviewing)"))),1/(1-MIN(MAX(Formula!$C$33+(YEAR(D2163)-Formula!$C$34)/(Formula!$C$35-Formula!$C$34)*(Formula!$C$32-Formula!$C$33),Formula!$C$33),Formula!$C$32)),1)</f>
        <v>1</v>
      </c>
      <c r="W2163" s="17">
        <f t="shared" si="5"/>
        <v>14.5</v>
      </c>
    </row>
    <row r="2164" ht="15.75" customHeight="1">
      <c r="A2164" s="8" t="s">
        <v>3091</v>
      </c>
      <c r="B2164" s="7" t="s">
        <v>3085</v>
      </c>
      <c r="C2164" s="13" t="s">
        <v>3086</v>
      </c>
      <c r="D2164" s="7" t="s">
        <v>270</v>
      </c>
      <c r="E2164" s="8" t="s">
        <v>17</v>
      </c>
      <c r="F2164" s="8" t="s">
        <v>318</v>
      </c>
      <c r="G2164" s="7" t="s">
        <v>3087</v>
      </c>
      <c r="H2164" s="7" t="s">
        <v>3088</v>
      </c>
      <c r="I2164" s="8">
        <v>2000.0</v>
      </c>
      <c r="K2164" s="8" t="s">
        <v>321</v>
      </c>
      <c r="M2164" s="8" t="s">
        <v>337</v>
      </c>
      <c r="N2164" s="8">
        <v>7.4</v>
      </c>
      <c r="O2164" s="14">
        <f t="shared" si="1"/>
        <v>43983</v>
      </c>
      <c r="P2164" s="15">
        <f>IFERROR(VLOOKUP(K2164,Formula!$A$11:$B$20,2,FALSE),Formula!$C$26)</f>
        <v>0.9</v>
      </c>
      <c r="Q2164" s="15">
        <f>IF(AND(ISNUMBER(J2164),J2164&gt;0),1/J2164,IF(AND(ISNUMBER(I2164),I2164&gt;0),SQRT(MIN(I2164,Formula!$C$27))/Formula!$C$24,1/Formula!$C$25))</f>
        <v>0.4563404036</v>
      </c>
      <c r="R2164" s="15">
        <f t="shared" si="2"/>
        <v>0.4107063632</v>
      </c>
      <c r="S2164" s="15">
        <f>IF(H2164&lt;&gt;"",EXP(-Formula!$C$28*(EOMONTH(H2164,0)-H2164)),EXP(-Formula!$C$28*(EOMONTH(D2164,0)-D2164)))</f>
        <v>0.904837418</v>
      </c>
      <c r="T2164" s="15">
        <f t="shared" si="3"/>
        <v>0.316227766</v>
      </c>
      <c r="U2164" s="15">
        <f t="shared" si="4"/>
        <v>0.1175173483</v>
      </c>
      <c r="V2164" s="16">
        <f>IF(AND(L2164="Among all respondents",NOT(OR(K2164="Online poll in Telegram channel",K2164="Website online poll",K2164="CAWI (Computer Assisted Web Interviewing)"))),1/(1-MIN(MAX(Formula!$C$33+(YEAR(D2164)-Formula!$C$34)/(Formula!$C$35-Formula!$C$34)*(Formula!$C$32-Formula!$C$33),Formula!$C$33),Formula!$C$32)),1)</f>
        <v>1</v>
      </c>
      <c r="W2164" s="17">
        <f t="shared" si="5"/>
        <v>7.4</v>
      </c>
    </row>
    <row r="2165" ht="15.75" customHeight="1">
      <c r="A2165" s="8" t="s">
        <v>3092</v>
      </c>
      <c r="B2165" s="7" t="s">
        <v>3085</v>
      </c>
      <c r="C2165" s="13" t="s">
        <v>3086</v>
      </c>
      <c r="D2165" s="7" t="s">
        <v>270</v>
      </c>
      <c r="E2165" s="8" t="s">
        <v>17</v>
      </c>
      <c r="F2165" s="8" t="s">
        <v>318</v>
      </c>
      <c r="G2165" s="7" t="s">
        <v>3087</v>
      </c>
      <c r="H2165" s="7" t="s">
        <v>3088</v>
      </c>
      <c r="I2165" s="8">
        <v>2000.0</v>
      </c>
      <c r="K2165" s="8" t="s">
        <v>321</v>
      </c>
      <c r="M2165" s="8" t="s">
        <v>828</v>
      </c>
      <c r="N2165" s="8">
        <v>6.0</v>
      </c>
      <c r="O2165" s="14">
        <f t="shared" si="1"/>
        <v>43983</v>
      </c>
      <c r="P2165" s="15">
        <f>IFERROR(VLOOKUP(K2165,Formula!$A$11:$B$20,2,FALSE),Formula!$C$26)</f>
        <v>0.9</v>
      </c>
      <c r="Q2165" s="15">
        <f>IF(AND(ISNUMBER(J2165),J2165&gt;0),1/J2165,IF(AND(ISNUMBER(I2165),I2165&gt;0),SQRT(MIN(I2165,Formula!$C$27))/Formula!$C$24,1/Formula!$C$25))</f>
        <v>0.4563404036</v>
      </c>
      <c r="R2165" s="15">
        <f t="shared" si="2"/>
        <v>0.4107063632</v>
      </c>
      <c r="S2165" s="15">
        <f>IF(H2165&lt;&gt;"",EXP(-Formula!$C$28*(EOMONTH(H2165,0)-H2165)),EXP(-Formula!$C$28*(EOMONTH(D2165,0)-D2165)))</f>
        <v>0.904837418</v>
      </c>
      <c r="T2165" s="15">
        <f t="shared" si="3"/>
        <v>0.316227766</v>
      </c>
      <c r="U2165" s="15">
        <f t="shared" si="4"/>
        <v>0.1175173483</v>
      </c>
      <c r="V2165" s="16">
        <f>IF(AND(L2165="Among all respondents",NOT(OR(K2165="Online poll in Telegram channel",K2165="Website online poll",K2165="CAWI (Computer Assisted Web Interviewing)"))),1/(1-MIN(MAX(Formula!$C$33+(YEAR(D2165)-Formula!$C$34)/(Formula!$C$35-Formula!$C$34)*(Formula!$C$32-Formula!$C$33),Formula!$C$33),Formula!$C$32)),1)</f>
        <v>1</v>
      </c>
      <c r="W2165" s="17">
        <f t="shared" si="5"/>
        <v>6</v>
      </c>
    </row>
    <row r="2166" ht="15.75" customHeight="1">
      <c r="A2166" s="8" t="s">
        <v>3093</v>
      </c>
      <c r="B2166" s="7" t="s">
        <v>3085</v>
      </c>
      <c r="C2166" s="13" t="s">
        <v>3086</v>
      </c>
      <c r="D2166" s="7" t="s">
        <v>270</v>
      </c>
      <c r="E2166" s="8" t="s">
        <v>17</v>
      </c>
      <c r="F2166" s="8" t="s">
        <v>318</v>
      </c>
      <c r="G2166" s="7" t="s">
        <v>3087</v>
      </c>
      <c r="H2166" s="7" t="s">
        <v>3088</v>
      </c>
      <c r="I2166" s="8">
        <v>2000.0</v>
      </c>
      <c r="K2166" s="8" t="s">
        <v>321</v>
      </c>
      <c r="M2166" s="8" t="s">
        <v>388</v>
      </c>
      <c r="N2166" s="8">
        <v>2.3</v>
      </c>
      <c r="O2166" s="14">
        <f t="shared" si="1"/>
        <v>43983</v>
      </c>
      <c r="P2166" s="15">
        <f>IFERROR(VLOOKUP(K2166,Formula!$A$11:$B$20,2,FALSE),Formula!$C$26)</f>
        <v>0.9</v>
      </c>
      <c r="Q2166" s="15">
        <f>IF(AND(ISNUMBER(J2166),J2166&gt;0),1/J2166,IF(AND(ISNUMBER(I2166),I2166&gt;0),SQRT(MIN(I2166,Formula!$C$27))/Formula!$C$24,1/Formula!$C$25))</f>
        <v>0.4563404036</v>
      </c>
      <c r="R2166" s="15">
        <f t="shared" si="2"/>
        <v>0.4107063632</v>
      </c>
      <c r="S2166" s="15">
        <f>IF(H2166&lt;&gt;"",EXP(-Formula!$C$28*(EOMONTH(H2166,0)-H2166)),EXP(-Formula!$C$28*(EOMONTH(D2166,0)-D2166)))</f>
        <v>0.904837418</v>
      </c>
      <c r="T2166" s="15">
        <f t="shared" si="3"/>
        <v>0.316227766</v>
      </c>
      <c r="U2166" s="15">
        <f t="shared" si="4"/>
        <v>0.1175173483</v>
      </c>
      <c r="V2166" s="16">
        <f>IF(AND(L2166="Among all respondents",NOT(OR(K2166="Online poll in Telegram channel",K2166="Website online poll",K2166="CAWI (Computer Assisted Web Interviewing)"))),1/(1-MIN(MAX(Formula!$C$33+(YEAR(D2166)-Formula!$C$34)/(Formula!$C$35-Formula!$C$34)*(Formula!$C$32-Formula!$C$33),Formula!$C$33),Formula!$C$32)),1)</f>
        <v>1</v>
      </c>
      <c r="W2166" s="17">
        <f t="shared" si="5"/>
        <v>2.3</v>
      </c>
    </row>
    <row r="2167" ht="15.75" customHeight="1">
      <c r="A2167" s="8" t="s">
        <v>3094</v>
      </c>
      <c r="B2167" s="7" t="s">
        <v>3085</v>
      </c>
      <c r="C2167" s="13" t="s">
        <v>3086</v>
      </c>
      <c r="D2167" s="7" t="s">
        <v>270</v>
      </c>
      <c r="E2167" s="8" t="s">
        <v>17</v>
      </c>
      <c r="F2167" s="8" t="s">
        <v>318</v>
      </c>
      <c r="G2167" s="7" t="s">
        <v>3087</v>
      </c>
      <c r="H2167" s="7" t="s">
        <v>3088</v>
      </c>
      <c r="I2167" s="8">
        <v>2000.0</v>
      </c>
      <c r="K2167" s="8" t="s">
        <v>321</v>
      </c>
      <c r="M2167" s="8" t="s">
        <v>3013</v>
      </c>
      <c r="N2167" s="8">
        <v>2.0</v>
      </c>
      <c r="O2167" s="14">
        <f t="shared" si="1"/>
        <v>43983</v>
      </c>
      <c r="P2167" s="15">
        <f>IFERROR(VLOOKUP(K2167,Formula!$A$11:$B$20,2,FALSE),Formula!$C$26)</f>
        <v>0.9</v>
      </c>
      <c r="Q2167" s="15">
        <f>IF(AND(ISNUMBER(J2167),J2167&gt;0),1/J2167,IF(AND(ISNUMBER(I2167),I2167&gt;0),SQRT(MIN(I2167,Formula!$C$27))/Formula!$C$24,1/Formula!$C$25))</f>
        <v>0.4563404036</v>
      </c>
      <c r="R2167" s="15">
        <f t="shared" si="2"/>
        <v>0.4107063632</v>
      </c>
      <c r="S2167" s="15">
        <f>IF(H2167&lt;&gt;"",EXP(-Formula!$C$28*(EOMONTH(H2167,0)-H2167)),EXP(-Formula!$C$28*(EOMONTH(D2167,0)-D2167)))</f>
        <v>0.904837418</v>
      </c>
      <c r="T2167" s="15">
        <f t="shared" si="3"/>
        <v>0.316227766</v>
      </c>
      <c r="U2167" s="15">
        <f t="shared" si="4"/>
        <v>0.1175173483</v>
      </c>
      <c r="V2167" s="16">
        <f>IF(AND(L2167="Among all respondents",NOT(OR(K2167="Online poll in Telegram channel",K2167="Website online poll",K2167="CAWI (Computer Assisted Web Interviewing)"))),1/(1-MIN(MAX(Formula!$C$33+(YEAR(D2167)-Formula!$C$34)/(Formula!$C$35-Formula!$C$34)*(Formula!$C$32-Formula!$C$33),Formula!$C$33),Formula!$C$32)),1)</f>
        <v>1</v>
      </c>
      <c r="W2167" s="17">
        <f t="shared" si="5"/>
        <v>2</v>
      </c>
    </row>
    <row r="2168" ht="15.75" customHeight="1">
      <c r="A2168" s="8" t="s">
        <v>3095</v>
      </c>
      <c r="B2168" s="7" t="s">
        <v>3085</v>
      </c>
      <c r="C2168" s="13" t="s">
        <v>3086</v>
      </c>
      <c r="D2168" s="7" t="s">
        <v>270</v>
      </c>
      <c r="E2168" s="8" t="s">
        <v>17</v>
      </c>
      <c r="F2168" s="8" t="s">
        <v>318</v>
      </c>
      <c r="G2168" s="7" t="s">
        <v>3087</v>
      </c>
      <c r="H2168" s="7" t="s">
        <v>3088</v>
      </c>
      <c r="I2168" s="8">
        <v>2000.0</v>
      </c>
      <c r="K2168" s="8" t="s">
        <v>321</v>
      </c>
      <c r="M2168" s="8" t="s">
        <v>3040</v>
      </c>
      <c r="N2168" s="8">
        <v>2.0</v>
      </c>
      <c r="O2168" s="14">
        <f t="shared" si="1"/>
        <v>43983</v>
      </c>
      <c r="P2168" s="15">
        <f>IFERROR(VLOOKUP(K2168,Formula!$A$11:$B$20,2,FALSE),Formula!$C$26)</f>
        <v>0.9</v>
      </c>
      <c r="Q2168" s="15">
        <f>IF(AND(ISNUMBER(J2168),J2168&gt;0),1/J2168,IF(AND(ISNUMBER(I2168),I2168&gt;0),SQRT(MIN(I2168,Formula!$C$27))/Formula!$C$24,1/Formula!$C$25))</f>
        <v>0.4563404036</v>
      </c>
      <c r="R2168" s="15">
        <f t="shared" si="2"/>
        <v>0.4107063632</v>
      </c>
      <c r="S2168" s="15">
        <f>IF(H2168&lt;&gt;"",EXP(-Formula!$C$28*(EOMONTH(H2168,0)-H2168)),EXP(-Formula!$C$28*(EOMONTH(D2168,0)-D2168)))</f>
        <v>0.904837418</v>
      </c>
      <c r="T2168" s="15">
        <f t="shared" si="3"/>
        <v>0.316227766</v>
      </c>
      <c r="U2168" s="15">
        <f t="shared" si="4"/>
        <v>0.1175173483</v>
      </c>
      <c r="V2168" s="16">
        <f>IF(AND(L2168="Among all respondents",NOT(OR(K2168="Online poll in Telegram channel",K2168="Website online poll",K2168="CAWI (Computer Assisted Web Interviewing)"))),1/(1-MIN(MAX(Formula!$C$33+(YEAR(D2168)-Formula!$C$34)/(Formula!$C$35-Formula!$C$34)*(Formula!$C$32-Formula!$C$33),Formula!$C$33),Formula!$C$32)),1)</f>
        <v>1</v>
      </c>
      <c r="W2168" s="17">
        <f t="shared" si="5"/>
        <v>2</v>
      </c>
    </row>
    <row r="2169" ht="15.75" customHeight="1">
      <c r="A2169" s="8" t="s">
        <v>3096</v>
      </c>
      <c r="B2169" s="7" t="s">
        <v>3085</v>
      </c>
      <c r="C2169" s="13" t="s">
        <v>3086</v>
      </c>
      <c r="D2169" s="7" t="s">
        <v>270</v>
      </c>
      <c r="E2169" s="8" t="s">
        <v>17</v>
      </c>
      <c r="F2169" s="8" t="s">
        <v>318</v>
      </c>
      <c r="G2169" s="7" t="s">
        <v>3087</v>
      </c>
      <c r="H2169" s="7" t="s">
        <v>3088</v>
      </c>
      <c r="I2169" s="8">
        <v>2000.0</v>
      </c>
      <c r="K2169" s="8" t="s">
        <v>321</v>
      </c>
      <c r="M2169" s="8" t="s">
        <v>3043</v>
      </c>
      <c r="N2169" s="8">
        <v>1.9</v>
      </c>
      <c r="O2169" s="14">
        <f t="shared" si="1"/>
        <v>43983</v>
      </c>
      <c r="P2169" s="15">
        <f>IFERROR(VLOOKUP(K2169,Formula!$A$11:$B$20,2,FALSE),Formula!$C$26)</f>
        <v>0.9</v>
      </c>
      <c r="Q2169" s="15">
        <f>IF(AND(ISNUMBER(J2169),J2169&gt;0),1/J2169,IF(AND(ISNUMBER(I2169),I2169&gt;0),SQRT(MIN(I2169,Formula!$C$27))/Formula!$C$24,1/Formula!$C$25))</f>
        <v>0.4563404036</v>
      </c>
      <c r="R2169" s="15">
        <f t="shared" si="2"/>
        <v>0.4107063632</v>
      </c>
      <c r="S2169" s="15">
        <f>IF(H2169&lt;&gt;"",EXP(-Formula!$C$28*(EOMONTH(H2169,0)-H2169)),EXP(-Formula!$C$28*(EOMONTH(D2169,0)-D2169)))</f>
        <v>0.904837418</v>
      </c>
      <c r="T2169" s="15">
        <f t="shared" si="3"/>
        <v>0.316227766</v>
      </c>
      <c r="U2169" s="15">
        <f t="shared" si="4"/>
        <v>0.1175173483</v>
      </c>
      <c r="V2169" s="16">
        <f>IF(AND(L2169="Among all respondents",NOT(OR(K2169="Online poll in Telegram channel",K2169="Website online poll",K2169="CAWI (Computer Assisted Web Interviewing)"))),1/(1-MIN(MAX(Formula!$C$33+(YEAR(D2169)-Formula!$C$34)/(Formula!$C$35-Formula!$C$34)*(Formula!$C$32-Formula!$C$33),Formula!$C$33),Formula!$C$32)),1)</f>
        <v>1</v>
      </c>
      <c r="W2169" s="17">
        <f t="shared" si="5"/>
        <v>1.9</v>
      </c>
    </row>
    <row r="2170" ht="15.75" customHeight="1">
      <c r="A2170" s="8" t="s">
        <v>3097</v>
      </c>
      <c r="B2170" s="7" t="s">
        <v>3085</v>
      </c>
      <c r="C2170" s="13" t="s">
        <v>3086</v>
      </c>
      <c r="D2170" s="7" t="s">
        <v>270</v>
      </c>
      <c r="E2170" s="8" t="s">
        <v>17</v>
      </c>
      <c r="F2170" s="8" t="s">
        <v>318</v>
      </c>
      <c r="G2170" s="7" t="s">
        <v>3087</v>
      </c>
      <c r="H2170" s="7" t="s">
        <v>3088</v>
      </c>
      <c r="I2170" s="8">
        <v>2000.0</v>
      </c>
      <c r="K2170" s="8" t="s">
        <v>321</v>
      </c>
      <c r="M2170" s="8" t="s">
        <v>335</v>
      </c>
      <c r="N2170" s="8">
        <v>0.8</v>
      </c>
      <c r="O2170" s="14">
        <f t="shared" si="1"/>
        <v>43983</v>
      </c>
      <c r="P2170" s="15">
        <f>IFERROR(VLOOKUP(K2170,Formula!$A$11:$B$20,2,FALSE),Formula!$C$26)</f>
        <v>0.9</v>
      </c>
      <c r="Q2170" s="15">
        <f>IF(AND(ISNUMBER(J2170),J2170&gt;0),1/J2170,IF(AND(ISNUMBER(I2170),I2170&gt;0),SQRT(MIN(I2170,Formula!$C$27))/Formula!$C$24,1/Formula!$C$25))</f>
        <v>0.4563404036</v>
      </c>
      <c r="R2170" s="15">
        <f t="shared" si="2"/>
        <v>0.4107063632</v>
      </c>
      <c r="S2170" s="15">
        <f>IF(H2170&lt;&gt;"",EXP(-Formula!$C$28*(EOMONTH(H2170,0)-H2170)),EXP(-Formula!$C$28*(EOMONTH(D2170,0)-D2170)))</f>
        <v>0.904837418</v>
      </c>
      <c r="T2170" s="15">
        <f t="shared" si="3"/>
        <v>0.316227766</v>
      </c>
      <c r="U2170" s="15">
        <f t="shared" si="4"/>
        <v>0.1175173483</v>
      </c>
      <c r="V2170" s="16">
        <f>IF(AND(L2170="Among all respondents",NOT(OR(K2170="Online poll in Telegram channel",K2170="Website online poll",K2170="CAWI (Computer Assisted Web Interviewing)"))),1/(1-MIN(MAX(Formula!$C$33+(YEAR(D2170)-Formula!$C$34)/(Formula!$C$35-Formula!$C$34)*(Formula!$C$32-Formula!$C$33),Formula!$C$33),Formula!$C$32)),1)</f>
        <v>1</v>
      </c>
      <c r="W2170" s="17">
        <f t="shared" si="5"/>
        <v>0.8</v>
      </c>
    </row>
    <row r="2171" ht="15.75" customHeight="1">
      <c r="A2171" s="8" t="s">
        <v>3098</v>
      </c>
      <c r="B2171" s="7" t="s">
        <v>3099</v>
      </c>
      <c r="C2171" s="13" t="s">
        <v>3100</v>
      </c>
      <c r="D2171" s="7" t="s">
        <v>272</v>
      </c>
      <c r="E2171" s="8" t="s">
        <v>72</v>
      </c>
      <c r="F2171" s="8" t="s">
        <v>318</v>
      </c>
      <c r="G2171" s="7" t="s">
        <v>3101</v>
      </c>
      <c r="H2171" s="7" t="s">
        <v>3102</v>
      </c>
      <c r="I2171" s="8">
        <v>1507.0</v>
      </c>
      <c r="J2171" s="8">
        <v>2.6</v>
      </c>
      <c r="K2171" s="8" t="s">
        <v>321</v>
      </c>
      <c r="M2171" s="8" t="s">
        <v>323</v>
      </c>
      <c r="N2171" s="8">
        <v>28.9</v>
      </c>
      <c r="O2171" s="14">
        <f t="shared" si="1"/>
        <v>43983</v>
      </c>
      <c r="P2171" s="15">
        <f>IFERROR(VLOOKUP(K2171,Formula!$A$11:$B$20,2,FALSE),Formula!$C$26)</f>
        <v>0.9</v>
      </c>
      <c r="Q2171" s="15">
        <f>IF(AND(ISNUMBER(J2171),J2171&gt;0),1/J2171,IF(AND(ISNUMBER(I2171),I2171&gt;0),SQRT(MIN(I2171,Formula!$C$27))/Formula!$C$24,1/Formula!$C$25))</f>
        <v>0.3846153846</v>
      </c>
      <c r="R2171" s="15">
        <f t="shared" si="2"/>
        <v>0.3461538462</v>
      </c>
      <c r="S2171" s="15">
        <f>IF(H2171&lt;&gt;"",EXP(-Formula!$C$28*(EOMONTH(H2171,0)-H2171)),EXP(-Formula!$C$28*(EOMONTH(D2171,0)-D2171)))</f>
        <v>1</v>
      </c>
      <c r="T2171" s="15">
        <f t="shared" si="3"/>
        <v>0.242535625</v>
      </c>
      <c r="U2171" s="15">
        <f t="shared" si="4"/>
        <v>0.08395463944</v>
      </c>
      <c r="V2171" s="16">
        <f>IF(AND(L2171="Among all respondents",NOT(OR(K2171="Online poll in Telegram channel",K2171="Website online poll",K2171="CAWI (Computer Assisted Web Interviewing)"))),1/(1-MIN(MAX(Formula!$C$33+(YEAR(D2171)-Formula!$C$34)/(Formula!$C$35-Formula!$C$34)*(Formula!$C$32-Formula!$C$33),Formula!$C$33),Formula!$C$32)),1)</f>
        <v>1</v>
      </c>
      <c r="W2171" s="17">
        <f t="shared" si="5"/>
        <v>28.9</v>
      </c>
    </row>
    <row r="2172" ht="15.75" customHeight="1">
      <c r="A2172" s="8" t="s">
        <v>3103</v>
      </c>
      <c r="B2172" s="7" t="s">
        <v>3099</v>
      </c>
      <c r="C2172" s="13" t="s">
        <v>3100</v>
      </c>
      <c r="D2172" s="7" t="s">
        <v>272</v>
      </c>
      <c r="E2172" s="8" t="s">
        <v>72</v>
      </c>
      <c r="F2172" s="8" t="s">
        <v>318</v>
      </c>
      <c r="G2172" s="7" t="s">
        <v>3101</v>
      </c>
      <c r="H2172" s="7" t="s">
        <v>3102</v>
      </c>
      <c r="I2172" s="8">
        <v>1507.0</v>
      </c>
      <c r="J2172" s="8">
        <v>2.6</v>
      </c>
      <c r="K2172" s="8" t="s">
        <v>321</v>
      </c>
      <c r="M2172" s="8" t="s">
        <v>329</v>
      </c>
      <c r="N2172" s="8">
        <v>11.1</v>
      </c>
      <c r="O2172" s="14">
        <f t="shared" si="1"/>
        <v>43983</v>
      </c>
      <c r="P2172" s="15">
        <f>IFERROR(VLOOKUP(K2172,Formula!$A$11:$B$20,2,FALSE),Formula!$C$26)</f>
        <v>0.9</v>
      </c>
      <c r="Q2172" s="15">
        <f>IF(AND(ISNUMBER(J2172),J2172&gt;0),1/J2172,IF(AND(ISNUMBER(I2172),I2172&gt;0),SQRT(MIN(I2172,Formula!$C$27))/Formula!$C$24,1/Formula!$C$25))</f>
        <v>0.3846153846</v>
      </c>
      <c r="R2172" s="15">
        <f t="shared" si="2"/>
        <v>0.3461538462</v>
      </c>
      <c r="S2172" s="15">
        <f>IF(H2172&lt;&gt;"",EXP(-Formula!$C$28*(EOMONTH(H2172,0)-H2172)),EXP(-Formula!$C$28*(EOMONTH(D2172,0)-D2172)))</f>
        <v>1</v>
      </c>
      <c r="T2172" s="15">
        <f t="shared" si="3"/>
        <v>0.242535625</v>
      </c>
      <c r="U2172" s="15">
        <f t="shared" si="4"/>
        <v>0.08395463944</v>
      </c>
      <c r="V2172" s="16">
        <f>IF(AND(L2172="Among all respondents",NOT(OR(K2172="Online poll in Telegram channel",K2172="Website online poll",K2172="CAWI (Computer Assisted Web Interviewing)"))),1/(1-MIN(MAX(Formula!$C$33+(YEAR(D2172)-Formula!$C$34)/(Formula!$C$35-Formula!$C$34)*(Formula!$C$32-Formula!$C$33),Formula!$C$33),Formula!$C$32)),1)</f>
        <v>1</v>
      </c>
      <c r="W2172" s="17">
        <f t="shared" si="5"/>
        <v>11.1</v>
      </c>
    </row>
    <row r="2173" ht="15.75" customHeight="1">
      <c r="A2173" s="8" t="s">
        <v>3104</v>
      </c>
      <c r="B2173" s="7" t="s">
        <v>3099</v>
      </c>
      <c r="C2173" s="13" t="s">
        <v>3100</v>
      </c>
      <c r="D2173" s="7" t="s">
        <v>272</v>
      </c>
      <c r="E2173" s="8" t="s">
        <v>72</v>
      </c>
      <c r="F2173" s="8" t="s">
        <v>318</v>
      </c>
      <c r="G2173" s="7" t="s">
        <v>3101</v>
      </c>
      <c r="H2173" s="7" t="s">
        <v>3102</v>
      </c>
      <c r="I2173" s="8">
        <v>1507.0</v>
      </c>
      <c r="J2173" s="8">
        <v>2.6</v>
      </c>
      <c r="K2173" s="8" t="s">
        <v>321</v>
      </c>
      <c r="M2173" s="8" t="s">
        <v>828</v>
      </c>
      <c r="N2173" s="8">
        <v>6.5</v>
      </c>
      <c r="O2173" s="14">
        <f t="shared" si="1"/>
        <v>43983</v>
      </c>
      <c r="P2173" s="15">
        <f>IFERROR(VLOOKUP(K2173,Formula!$A$11:$B$20,2,FALSE),Formula!$C$26)</f>
        <v>0.9</v>
      </c>
      <c r="Q2173" s="15">
        <f>IF(AND(ISNUMBER(J2173),J2173&gt;0),1/J2173,IF(AND(ISNUMBER(I2173),I2173&gt;0),SQRT(MIN(I2173,Formula!$C$27))/Formula!$C$24,1/Formula!$C$25))</f>
        <v>0.3846153846</v>
      </c>
      <c r="R2173" s="15">
        <f t="shared" si="2"/>
        <v>0.3461538462</v>
      </c>
      <c r="S2173" s="15">
        <f>IF(H2173&lt;&gt;"",EXP(-Formula!$C$28*(EOMONTH(H2173,0)-H2173)),EXP(-Formula!$C$28*(EOMONTH(D2173,0)-D2173)))</f>
        <v>1</v>
      </c>
      <c r="T2173" s="15">
        <f t="shared" si="3"/>
        <v>0.242535625</v>
      </c>
      <c r="U2173" s="15">
        <f t="shared" si="4"/>
        <v>0.08395463944</v>
      </c>
      <c r="V2173" s="16">
        <f>IF(AND(L2173="Among all respondents",NOT(OR(K2173="Online poll in Telegram channel",K2173="Website online poll",K2173="CAWI (Computer Assisted Web Interviewing)"))),1/(1-MIN(MAX(Formula!$C$33+(YEAR(D2173)-Formula!$C$34)/(Formula!$C$35-Formula!$C$34)*(Formula!$C$32-Formula!$C$33),Formula!$C$33),Formula!$C$32)),1)</f>
        <v>1</v>
      </c>
      <c r="W2173" s="17">
        <f t="shared" si="5"/>
        <v>6.5</v>
      </c>
    </row>
    <row r="2174" ht="15.75" customHeight="1">
      <c r="A2174" s="8" t="s">
        <v>3105</v>
      </c>
      <c r="B2174" s="7" t="s">
        <v>3099</v>
      </c>
      <c r="C2174" s="13" t="s">
        <v>3100</v>
      </c>
      <c r="D2174" s="7" t="s">
        <v>272</v>
      </c>
      <c r="E2174" s="8" t="s">
        <v>72</v>
      </c>
      <c r="F2174" s="8" t="s">
        <v>318</v>
      </c>
      <c r="G2174" s="7" t="s">
        <v>3101</v>
      </c>
      <c r="H2174" s="7" t="s">
        <v>3102</v>
      </c>
      <c r="I2174" s="8">
        <v>1507.0</v>
      </c>
      <c r="J2174" s="8">
        <v>2.6</v>
      </c>
      <c r="K2174" s="8" t="s">
        <v>321</v>
      </c>
      <c r="M2174" s="8" t="s">
        <v>365</v>
      </c>
      <c r="N2174" s="8">
        <v>6.3</v>
      </c>
      <c r="O2174" s="14">
        <f t="shared" si="1"/>
        <v>43983</v>
      </c>
      <c r="P2174" s="15">
        <f>IFERROR(VLOOKUP(K2174,Formula!$A$11:$B$20,2,FALSE),Formula!$C$26)</f>
        <v>0.9</v>
      </c>
      <c r="Q2174" s="15">
        <f>IF(AND(ISNUMBER(J2174),J2174&gt;0),1/J2174,IF(AND(ISNUMBER(I2174),I2174&gt;0),SQRT(MIN(I2174,Formula!$C$27))/Formula!$C$24,1/Formula!$C$25))</f>
        <v>0.3846153846</v>
      </c>
      <c r="R2174" s="15">
        <f t="shared" si="2"/>
        <v>0.3461538462</v>
      </c>
      <c r="S2174" s="15">
        <f>IF(H2174&lt;&gt;"",EXP(-Formula!$C$28*(EOMONTH(H2174,0)-H2174)),EXP(-Formula!$C$28*(EOMONTH(D2174,0)-D2174)))</f>
        <v>1</v>
      </c>
      <c r="T2174" s="15">
        <f t="shared" si="3"/>
        <v>0.242535625</v>
      </c>
      <c r="U2174" s="15">
        <f t="shared" si="4"/>
        <v>0.08395463944</v>
      </c>
      <c r="V2174" s="16">
        <f>IF(AND(L2174="Among all respondents",NOT(OR(K2174="Online poll in Telegram channel",K2174="Website online poll",K2174="CAWI (Computer Assisted Web Interviewing)"))),1/(1-MIN(MAX(Formula!$C$33+(YEAR(D2174)-Formula!$C$34)/(Formula!$C$35-Formula!$C$34)*(Formula!$C$32-Formula!$C$33),Formula!$C$33),Formula!$C$32)),1)</f>
        <v>1</v>
      </c>
      <c r="W2174" s="17">
        <f t="shared" si="5"/>
        <v>6.3</v>
      </c>
    </row>
    <row r="2175" ht="15.75" customHeight="1">
      <c r="A2175" s="8" t="s">
        <v>3106</v>
      </c>
      <c r="B2175" s="7" t="s">
        <v>3099</v>
      </c>
      <c r="C2175" s="13" t="s">
        <v>3100</v>
      </c>
      <c r="D2175" s="7" t="s">
        <v>272</v>
      </c>
      <c r="E2175" s="8" t="s">
        <v>72</v>
      </c>
      <c r="F2175" s="8" t="s">
        <v>318</v>
      </c>
      <c r="G2175" s="7" t="s">
        <v>3101</v>
      </c>
      <c r="H2175" s="7" t="s">
        <v>3102</v>
      </c>
      <c r="I2175" s="8">
        <v>1507.0</v>
      </c>
      <c r="J2175" s="8">
        <v>2.6</v>
      </c>
      <c r="K2175" s="8" t="s">
        <v>321</v>
      </c>
      <c r="M2175" s="8" t="s">
        <v>337</v>
      </c>
      <c r="N2175" s="8">
        <v>6.2</v>
      </c>
      <c r="O2175" s="14">
        <f t="shared" si="1"/>
        <v>43983</v>
      </c>
      <c r="P2175" s="15">
        <f>IFERROR(VLOOKUP(K2175,Formula!$A$11:$B$20,2,FALSE),Formula!$C$26)</f>
        <v>0.9</v>
      </c>
      <c r="Q2175" s="15">
        <f>IF(AND(ISNUMBER(J2175),J2175&gt;0),1/J2175,IF(AND(ISNUMBER(I2175),I2175&gt;0),SQRT(MIN(I2175,Formula!$C$27))/Formula!$C$24,1/Formula!$C$25))</f>
        <v>0.3846153846</v>
      </c>
      <c r="R2175" s="15">
        <f t="shared" si="2"/>
        <v>0.3461538462</v>
      </c>
      <c r="S2175" s="15">
        <f>IF(H2175&lt;&gt;"",EXP(-Formula!$C$28*(EOMONTH(H2175,0)-H2175)),EXP(-Formula!$C$28*(EOMONTH(D2175,0)-D2175)))</f>
        <v>1</v>
      </c>
      <c r="T2175" s="15">
        <f t="shared" si="3"/>
        <v>0.242535625</v>
      </c>
      <c r="U2175" s="15">
        <f t="shared" si="4"/>
        <v>0.08395463944</v>
      </c>
      <c r="V2175" s="16">
        <f>IF(AND(L2175="Among all respondents",NOT(OR(K2175="Online poll in Telegram channel",K2175="Website online poll",K2175="CAWI (Computer Assisted Web Interviewing)"))),1/(1-MIN(MAX(Formula!$C$33+(YEAR(D2175)-Formula!$C$34)/(Formula!$C$35-Formula!$C$34)*(Formula!$C$32-Formula!$C$33),Formula!$C$33),Formula!$C$32)),1)</f>
        <v>1</v>
      </c>
      <c r="W2175" s="17">
        <f t="shared" si="5"/>
        <v>6.2</v>
      </c>
    </row>
    <row r="2176" ht="15.75" customHeight="1">
      <c r="A2176" s="8" t="s">
        <v>3107</v>
      </c>
      <c r="B2176" s="7" t="s">
        <v>3099</v>
      </c>
      <c r="C2176" s="13" t="s">
        <v>3100</v>
      </c>
      <c r="D2176" s="7" t="s">
        <v>272</v>
      </c>
      <c r="E2176" s="8" t="s">
        <v>72</v>
      </c>
      <c r="F2176" s="8" t="s">
        <v>318</v>
      </c>
      <c r="G2176" s="7" t="s">
        <v>3101</v>
      </c>
      <c r="H2176" s="7" t="s">
        <v>3102</v>
      </c>
      <c r="I2176" s="8">
        <v>1507.0</v>
      </c>
      <c r="J2176" s="8">
        <v>2.6</v>
      </c>
      <c r="K2176" s="8" t="s">
        <v>321</v>
      </c>
      <c r="M2176" s="8" t="s">
        <v>1334</v>
      </c>
      <c r="N2176" s="8">
        <v>4.5</v>
      </c>
      <c r="O2176" s="14">
        <f t="shared" si="1"/>
        <v>43983</v>
      </c>
      <c r="P2176" s="15">
        <f>IFERROR(VLOOKUP(K2176,Formula!$A$11:$B$20,2,FALSE),Formula!$C$26)</f>
        <v>0.9</v>
      </c>
      <c r="Q2176" s="15">
        <f>IF(AND(ISNUMBER(J2176),J2176&gt;0),1/J2176,IF(AND(ISNUMBER(I2176),I2176&gt;0),SQRT(MIN(I2176,Formula!$C$27))/Formula!$C$24,1/Formula!$C$25))</f>
        <v>0.3846153846</v>
      </c>
      <c r="R2176" s="15">
        <f t="shared" si="2"/>
        <v>0.3461538462</v>
      </c>
      <c r="S2176" s="15">
        <f>IF(H2176&lt;&gt;"",EXP(-Formula!$C$28*(EOMONTH(H2176,0)-H2176)),EXP(-Formula!$C$28*(EOMONTH(D2176,0)-D2176)))</f>
        <v>1</v>
      </c>
      <c r="T2176" s="15">
        <f t="shared" si="3"/>
        <v>0.242535625</v>
      </c>
      <c r="U2176" s="15">
        <f t="shared" si="4"/>
        <v>0.08395463944</v>
      </c>
      <c r="V2176" s="16">
        <f>IF(AND(L2176="Among all respondents",NOT(OR(K2176="Online poll in Telegram channel",K2176="Website online poll",K2176="CAWI (Computer Assisted Web Interviewing)"))),1/(1-MIN(MAX(Formula!$C$33+(YEAR(D2176)-Formula!$C$34)/(Formula!$C$35-Formula!$C$34)*(Formula!$C$32-Formula!$C$33),Formula!$C$33),Formula!$C$32)),1)</f>
        <v>1</v>
      </c>
      <c r="W2176" s="17">
        <f t="shared" si="5"/>
        <v>4.5</v>
      </c>
    </row>
    <row r="2177" ht="15.75" customHeight="1">
      <c r="A2177" s="8" t="s">
        <v>3108</v>
      </c>
      <c r="B2177" s="7" t="s">
        <v>3099</v>
      </c>
      <c r="C2177" s="13" t="s">
        <v>3100</v>
      </c>
      <c r="D2177" s="7" t="s">
        <v>272</v>
      </c>
      <c r="E2177" s="8" t="s">
        <v>72</v>
      </c>
      <c r="F2177" s="8" t="s">
        <v>318</v>
      </c>
      <c r="G2177" s="7" t="s">
        <v>3101</v>
      </c>
      <c r="H2177" s="7" t="s">
        <v>3102</v>
      </c>
      <c r="I2177" s="8">
        <v>1507.0</v>
      </c>
      <c r="J2177" s="8">
        <v>2.6</v>
      </c>
      <c r="K2177" s="8" t="s">
        <v>321</v>
      </c>
      <c r="M2177" s="8" t="s">
        <v>388</v>
      </c>
      <c r="N2177" s="8">
        <v>2.8</v>
      </c>
      <c r="O2177" s="14">
        <f t="shared" si="1"/>
        <v>43983</v>
      </c>
      <c r="P2177" s="15">
        <f>IFERROR(VLOOKUP(K2177,Formula!$A$11:$B$20,2,FALSE),Formula!$C$26)</f>
        <v>0.9</v>
      </c>
      <c r="Q2177" s="15">
        <f>IF(AND(ISNUMBER(J2177),J2177&gt;0),1/J2177,IF(AND(ISNUMBER(I2177),I2177&gt;0),SQRT(MIN(I2177,Formula!$C$27))/Formula!$C$24,1/Formula!$C$25))</f>
        <v>0.3846153846</v>
      </c>
      <c r="R2177" s="15">
        <f t="shared" si="2"/>
        <v>0.3461538462</v>
      </c>
      <c r="S2177" s="15">
        <f>IF(H2177&lt;&gt;"",EXP(-Formula!$C$28*(EOMONTH(H2177,0)-H2177)),EXP(-Formula!$C$28*(EOMONTH(D2177,0)-D2177)))</f>
        <v>1</v>
      </c>
      <c r="T2177" s="15">
        <f t="shared" si="3"/>
        <v>0.242535625</v>
      </c>
      <c r="U2177" s="15">
        <f t="shared" si="4"/>
        <v>0.08395463944</v>
      </c>
      <c r="V2177" s="16">
        <f>IF(AND(L2177="Among all respondents",NOT(OR(K2177="Online poll in Telegram channel",K2177="Website online poll",K2177="CAWI (Computer Assisted Web Interviewing)"))),1/(1-MIN(MAX(Formula!$C$33+(YEAR(D2177)-Formula!$C$34)/(Formula!$C$35-Formula!$C$34)*(Formula!$C$32-Formula!$C$33),Formula!$C$33),Formula!$C$32)),1)</f>
        <v>1</v>
      </c>
      <c r="W2177" s="17">
        <f t="shared" si="5"/>
        <v>2.8</v>
      </c>
    </row>
    <row r="2178" ht="15.75" customHeight="1">
      <c r="A2178" s="8" t="s">
        <v>3109</v>
      </c>
      <c r="B2178" s="7" t="s">
        <v>3099</v>
      </c>
      <c r="C2178" s="13" t="s">
        <v>3100</v>
      </c>
      <c r="D2178" s="7" t="s">
        <v>272</v>
      </c>
      <c r="E2178" s="8" t="s">
        <v>72</v>
      </c>
      <c r="F2178" s="8" t="s">
        <v>318</v>
      </c>
      <c r="G2178" s="7" t="s">
        <v>3101</v>
      </c>
      <c r="H2178" s="7" t="s">
        <v>3102</v>
      </c>
      <c r="I2178" s="8">
        <v>1507.0</v>
      </c>
      <c r="J2178" s="8">
        <v>2.6</v>
      </c>
      <c r="K2178" s="8" t="s">
        <v>321</v>
      </c>
      <c r="M2178" s="8" t="s">
        <v>3013</v>
      </c>
      <c r="N2178" s="8">
        <v>1.0</v>
      </c>
      <c r="O2178" s="14">
        <f t="shared" si="1"/>
        <v>43983</v>
      </c>
      <c r="P2178" s="15">
        <f>IFERROR(VLOOKUP(K2178,Formula!$A$11:$B$20,2,FALSE),Formula!$C$26)</f>
        <v>0.9</v>
      </c>
      <c r="Q2178" s="15">
        <f>IF(AND(ISNUMBER(J2178),J2178&gt;0),1/J2178,IF(AND(ISNUMBER(I2178),I2178&gt;0),SQRT(MIN(I2178,Formula!$C$27))/Formula!$C$24,1/Formula!$C$25))</f>
        <v>0.3846153846</v>
      </c>
      <c r="R2178" s="15">
        <f t="shared" si="2"/>
        <v>0.3461538462</v>
      </c>
      <c r="S2178" s="15">
        <f>IF(H2178&lt;&gt;"",EXP(-Formula!$C$28*(EOMONTH(H2178,0)-H2178)),EXP(-Formula!$C$28*(EOMONTH(D2178,0)-D2178)))</f>
        <v>1</v>
      </c>
      <c r="T2178" s="15">
        <f t="shared" si="3"/>
        <v>0.242535625</v>
      </c>
      <c r="U2178" s="15">
        <f t="shared" si="4"/>
        <v>0.08395463944</v>
      </c>
      <c r="V2178" s="16">
        <f>IF(AND(L2178="Among all respondents",NOT(OR(K2178="Online poll in Telegram channel",K2178="Website online poll",K2178="CAWI (Computer Assisted Web Interviewing)"))),1/(1-MIN(MAX(Formula!$C$33+(YEAR(D2178)-Formula!$C$34)/(Formula!$C$35-Formula!$C$34)*(Formula!$C$32-Formula!$C$33),Formula!$C$33),Formula!$C$32)),1)</f>
        <v>1</v>
      </c>
      <c r="W2178" s="17">
        <f t="shared" si="5"/>
        <v>1</v>
      </c>
    </row>
    <row r="2179" ht="15.75" customHeight="1">
      <c r="A2179" s="8" t="s">
        <v>3110</v>
      </c>
      <c r="B2179" s="7" t="s">
        <v>3111</v>
      </c>
      <c r="C2179" s="13" t="s">
        <v>3112</v>
      </c>
      <c r="D2179" s="7" t="s">
        <v>271</v>
      </c>
      <c r="E2179" s="8" t="s">
        <v>40</v>
      </c>
      <c r="F2179" s="8" t="s">
        <v>318</v>
      </c>
      <c r="G2179" s="7" t="s">
        <v>3113</v>
      </c>
      <c r="H2179" s="7" t="s">
        <v>3114</v>
      </c>
      <c r="I2179" s="8">
        <v>3000.0</v>
      </c>
      <c r="J2179" s="8">
        <v>1.8</v>
      </c>
      <c r="K2179" s="8" t="s">
        <v>321</v>
      </c>
      <c r="M2179" s="8" t="s">
        <v>323</v>
      </c>
      <c r="N2179" s="8">
        <v>33.8</v>
      </c>
      <c r="O2179" s="14">
        <f t="shared" si="1"/>
        <v>43952</v>
      </c>
      <c r="P2179" s="15">
        <f>IFERROR(VLOOKUP(K2179,Formula!$A$11:$B$20,2,FALSE),Formula!$C$26)</f>
        <v>0.9</v>
      </c>
      <c r="Q2179" s="15">
        <f>IF(AND(ISNUMBER(J2179),J2179&gt;0),1/J2179,IF(AND(ISNUMBER(I2179),I2179&gt;0),SQRT(MIN(I2179,Formula!$C$27))/Formula!$C$24,1/Formula!$C$25))</f>
        <v>0.5555555556</v>
      </c>
      <c r="R2179" s="15">
        <f t="shared" si="2"/>
        <v>0.5</v>
      </c>
      <c r="S2179" s="15">
        <f>IF(H2179&lt;&gt;"",EXP(-Formula!$C$28*(EOMONTH(H2179,0)-H2179)),EXP(-Formula!$C$28*(EOMONTH(D2179,0)-D2179)))</f>
        <v>0.4065696597</v>
      </c>
      <c r="T2179" s="15">
        <f t="shared" si="3"/>
        <v>0.3015113446</v>
      </c>
      <c r="U2179" s="15">
        <f t="shared" si="4"/>
        <v>0.06129268239</v>
      </c>
      <c r="V2179" s="16">
        <f>IF(AND(L2179="Among all respondents",NOT(OR(K2179="Online poll in Telegram channel",K2179="Website online poll",K2179="CAWI (Computer Assisted Web Interviewing)"))),1/(1-MIN(MAX(Formula!$C$33+(YEAR(D2179)-Formula!$C$34)/(Formula!$C$35-Formula!$C$34)*(Formula!$C$32-Formula!$C$33),Formula!$C$33),Formula!$C$32)),1)</f>
        <v>1</v>
      </c>
      <c r="W2179" s="17">
        <f t="shared" si="5"/>
        <v>33.8</v>
      </c>
    </row>
    <row r="2180" ht="15.75" customHeight="1">
      <c r="A2180" s="8" t="s">
        <v>3115</v>
      </c>
      <c r="B2180" s="7" t="s">
        <v>3111</v>
      </c>
      <c r="C2180" s="13" t="s">
        <v>3112</v>
      </c>
      <c r="D2180" s="7" t="s">
        <v>271</v>
      </c>
      <c r="E2180" s="8" t="s">
        <v>40</v>
      </c>
      <c r="F2180" s="8" t="s">
        <v>318</v>
      </c>
      <c r="G2180" s="7" t="s">
        <v>3113</v>
      </c>
      <c r="H2180" s="7" t="s">
        <v>3114</v>
      </c>
      <c r="I2180" s="8">
        <v>3000.0</v>
      </c>
      <c r="J2180" s="8">
        <v>1.8</v>
      </c>
      <c r="K2180" s="8" t="s">
        <v>321</v>
      </c>
      <c r="M2180" s="8" t="s">
        <v>365</v>
      </c>
      <c r="N2180" s="8">
        <v>12.0</v>
      </c>
      <c r="O2180" s="14">
        <f t="shared" si="1"/>
        <v>43952</v>
      </c>
      <c r="P2180" s="15">
        <f>IFERROR(VLOOKUP(K2180,Formula!$A$11:$B$20,2,FALSE),Formula!$C$26)</f>
        <v>0.9</v>
      </c>
      <c r="Q2180" s="15">
        <f>IF(AND(ISNUMBER(J2180),J2180&gt;0),1/J2180,IF(AND(ISNUMBER(I2180),I2180&gt;0),SQRT(MIN(I2180,Formula!$C$27))/Formula!$C$24,1/Formula!$C$25))</f>
        <v>0.5555555556</v>
      </c>
      <c r="R2180" s="15">
        <f t="shared" si="2"/>
        <v>0.5</v>
      </c>
      <c r="S2180" s="15">
        <f>IF(H2180&lt;&gt;"",EXP(-Formula!$C$28*(EOMONTH(H2180,0)-H2180)),EXP(-Formula!$C$28*(EOMONTH(D2180,0)-D2180)))</f>
        <v>0.4065696597</v>
      </c>
      <c r="T2180" s="15">
        <f t="shared" si="3"/>
        <v>0.3015113446</v>
      </c>
      <c r="U2180" s="15">
        <f t="shared" si="4"/>
        <v>0.06129268239</v>
      </c>
      <c r="V2180" s="16">
        <f>IF(AND(L2180="Among all respondents",NOT(OR(K2180="Online poll in Telegram channel",K2180="Website online poll",K2180="CAWI (Computer Assisted Web Interviewing)"))),1/(1-MIN(MAX(Formula!$C$33+(YEAR(D2180)-Formula!$C$34)/(Formula!$C$35-Formula!$C$34)*(Formula!$C$32-Formula!$C$33),Formula!$C$33),Formula!$C$32)),1)</f>
        <v>1</v>
      </c>
      <c r="W2180" s="17">
        <f t="shared" si="5"/>
        <v>12</v>
      </c>
    </row>
    <row r="2181" ht="15.75" customHeight="1">
      <c r="A2181" s="8" t="s">
        <v>3116</v>
      </c>
      <c r="B2181" s="7" t="s">
        <v>3111</v>
      </c>
      <c r="C2181" s="13" t="s">
        <v>3112</v>
      </c>
      <c r="D2181" s="7" t="s">
        <v>271</v>
      </c>
      <c r="E2181" s="8" t="s">
        <v>40</v>
      </c>
      <c r="F2181" s="8" t="s">
        <v>318</v>
      </c>
      <c r="G2181" s="7" t="s">
        <v>3113</v>
      </c>
      <c r="H2181" s="7" t="s">
        <v>3114</v>
      </c>
      <c r="I2181" s="8">
        <v>3000.0</v>
      </c>
      <c r="J2181" s="8">
        <v>1.8</v>
      </c>
      <c r="K2181" s="8" t="s">
        <v>321</v>
      </c>
      <c r="M2181" s="8" t="s">
        <v>329</v>
      </c>
      <c r="N2181" s="8">
        <v>11.5</v>
      </c>
      <c r="O2181" s="14">
        <f t="shared" si="1"/>
        <v>43952</v>
      </c>
      <c r="P2181" s="15">
        <f>IFERROR(VLOOKUP(K2181,Formula!$A$11:$B$20,2,FALSE),Formula!$C$26)</f>
        <v>0.9</v>
      </c>
      <c r="Q2181" s="15">
        <f>IF(AND(ISNUMBER(J2181),J2181&gt;0),1/J2181,IF(AND(ISNUMBER(I2181),I2181&gt;0),SQRT(MIN(I2181,Formula!$C$27))/Formula!$C$24,1/Formula!$C$25))</f>
        <v>0.5555555556</v>
      </c>
      <c r="R2181" s="15">
        <f t="shared" si="2"/>
        <v>0.5</v>
      </c>
      <c r="S2181" s="15">
        <f>IF(H2181&lt;&gt;"",EXP(-Formula!$C$28*(EOMONTH(H2181,0)-H2181)),EXP(-Formula!$C$28*(EOMONTH(D2181,0)-D2181)))</f>
        <v>0.4065696597</v>
      </c>
      <c r="T2181" s="15">
        <f t="shared" si="3"/>
        <v>0.3015113446</v>
      </c>
      <c r="U2181" s="15">
        <f t="shared" si="4"/>
        <v>0.06129268239</v>
      </c>
      <c r="V2181" s="16">
        <f>IF(AND(L2181="Among all respondents",NOT(OR(K2181="Online poll in Telegram channel",K2181="Website online poll",K2181="CAWI (Computer Assisted Web Interviewing)"))),1/(1-MIN(MAX(Formula!$C$33+(YEAR(D2181)-Formula!$C$34)/(Formula!$C$35-Formula!$C$34)*(Formula!$C$32-Formula!$C$33),Formula!$C$33),Formula!$C$32)),1)</f>
        <v>1</v>
      </c>
      <c r="W2181" s="17">
        <f t="shared" si="5"/>
        <v>11.5</v>
      </c>
    </row>
    <row r="2182" ht="15.75" customHeight="1">
      <c r="A2182" s="8" t="s">
        <v>3117</v>
      </c>
      <c r="B2182" s="7" t="s">
        <v>3111</v>
      </c>
      <c r="C2182" s="13" t="s">
        <v>3112</v>
      </c>
      <c r="D2182" s="7" t="s">
        <v>271</v>
      </c>
      <c r="E2182" s="8" t="s">
        <v>40</v>
      </c>
      <c r="F2182" s="8" t="s">
        <v>318</v>
      </c>
      <c r="G2182" s="7" t="s">
        <v>3113</v>
      </c>
      <c r="H2182" s="7" t="s">
        <v>3114</v>
      </c>
      <c r="I2182" s="8">
        <v>3000.0</v>
      </c>
      <c r="J2182" s="8">
        <v>1.8</v>
      </c>
      <c r="K2182" s="8" t="s">
        <v>321</v>
      </c>
      <c r="M2182" s="8" t="s">
        <v>337</v>
      </c>
      <c r="N2182" s="8">
        <v>7.4</v>
      </c>
      <c r="O2182" s="14">
        <f t="shared" si="1"/>
        <v>43952</v>
      </c>
      <c r="P2182" s="15">
        <f>IFERROR(VLOOKUP(K2182,Formula!$A$11:$B$20,2,FALSE),Formula!$C$26)</f>
        <v>0.9</v>
      </c>
      <c r="Q2182" s="15">
        <f>IF(AND(ISNUMBER(J2182),J2182&gt;0),1/J2182,IF(AND(ISNUMBER(I2182),I2182&gt;0),SQRT(MIN(I2182,Formula!$C$27))/Formula!$C$24,1/Formula!$C$25))</f>
        <v>0.5555555556</v>
      </c>
      <c r="R2182" s="15">
        <f t="shared" si="2"/>
        <v>0.5</v>
      </c>
      <c r="S2182" s="15">
        <f>IF(H2182&lt;&gt;"",EXP(-Formula!$C$28*(EOMONTH(H2182,0)-H2182)),EXP(-Formula!$C$28*(EOMONTH(D2182,0)-D2182)))</f>
        <v>0.4065696597</v>
      </c>
      <c r="T2182" s="15">
        <f t="shared" si="3"/>
        <v>0.3015113446</v>
      </c>
      <c r="U2182" s="15">
        <f t="shared" si="4"/>
        <v>0.06129268239</v>
      </c>
      <c r="V2182" s="16">
        <f>IF(AND(L2182="Among all respondents",NOT(OR(K2182="Online poll in Telegram channel",K2182="Website online poll",K2182="CAWI (Computer Assisted Web Interviewing)"))),1/(1-MIN(MAX(Formula!$C$33+(YEAR(D2182)-Formula!$C$34)/(Formula!$C$35-Formula!$C$34)*(Formula!$C$32-Formula!$C$33),Formula!$C$33),Formula!$C$32)),1)</f>
        <v>1</v>
      </c>
      <c r="W2182" s="17">
        <f t="shared" si="5"/>
        <v>7.4</v>
      </c>
    </row>
    <row r="2183" ht="15.75" customHeight="1">
      <c r="A2183" s="8" t="s">
        <v>3118</v>
      </c>
      <c r="B2183" s="7" t="s">
        <v>3111</v>
      </c>
      <c r="C2183" s="13" t="s">
        <v>3112</v>
      </c>
      <c r="D2183" s="7" t="s">
        <v>271</v>
      </c>
      <c r="E2183" s="8" t="s">
        <v>40</v>
      </c>
      <c r="F2183" s="8" t="s">
        <v>318</v>
      </c>
      <c r="G2183" s="7" t="s">
        <v>3113</v>
      </c>
      <c r="H2183" s="7" t="s">
        <v>3114</v>
      </c>
      <c r="I2183" s="8">
        <v>3000.0</v>
      </c>
      <c r="J2183" s="8">
        <v>1.8</v>
      </c>
      <c r="K2183" s="8" t="s">
        <v>321</v>
      </c>
      <c r="M2183" s="8" t="s">
        <v>828</v>
      </c>
      <c r="N2183" s="8">
        <v>5.1</v>
      </c>
      <c r="O2183" s="14">
        <f t="shared" si="1"/>
        <v>43952</v>
      </c>
      <c r="P2183" s="15">
        <f>IFERROR(VLOOKUP(K2183,Formula!$A$11:$B$20,2,FALSE),Formula!$C$26)</f>
        <v>0.9</v>
      </c>
      <c r="Q2183" s="15">
        <f>IF(AND(ISNUMBER(J2183),J2183&gt;0),1/J2183,IF(AND(ISNUMBER(I2183),I2183&gt;0),SQRT(MIN(I2183,Formula!$C$27))/Formula!$C$24,1/Formula!$C$25))</f>
        <v>0.5555555556</v>
      </c>
      <c r="R2183" s="15">
        <f t="shared" si="2"/>
        <v>0.5</v>
      </c>
      <c r="S2183" s="15">
        <f>IF(H2183&lt;&gt;"",EXP(-Formula!$C$28*(EOMONTH(H2183,0)-H2183)),EXP(-Formula!$C$28*(EOMONTH(D2183,0)-D2183)))</f>
        <v>0.4065696597</v>
      </c>
      <c r="T2183" s="15">
        <f t="shared" si="3"/>
        <v>0.3015113446</v>
      </c>
      <c r="U2183" s="15">
        <f t="shared" si="4"/>
        <v>0.06129268239</v>
      </c>
      <c r="V2183" s="16">
        <f>IF(AND(L2183="Among all respondents",NOT(OR(K2183="Online poll in Telegram channel",K2183="Website online poll",K2183="CAWI (Computer Assisted Web Interviewing)"))),1/(1-MIN(MAX(Formula!$C$33+(YEAR(D2183)-Formula!$C$34)/(Formula!$C$35-Formula!$C$34)*(Formula!$C$32-Formula!$C$33),Formula!$C$33),Formula!$C$32)),1)</f>
        <v>1</v>
      </c>
      <c r="W2183" s="17">
        <f t="shared" si="5"/>
        <v>5.1</v>
      </c>
    </row>
    <row r="2184" ht="15.75" customHeight="1">
      <c r="A2184" s="8" t="s">
        <v>3119</v>
      </c>
      <c r="B2184" s="7" t="s">
        <v>3111</v>
      </c>
      <c r="C2184" s="13" t="s">
        <v>3112</v>
      </c>
      <c r="D2184" s="7" t="s">
        <v>271</v>
      </c>
      <c r="E2184" s="8" t="s">
        <v>40</v>
      </c>
      <c r="F2184" s="8" t="s">
        <v>318</v>
      </c>
      <c r="G2184" s="7" t="s">
        <v>3113</v>
      </c>
      <c r="H2184" s="7" t="s">
        <v>3114</v>
      </c>
      <c r="I2184" s="8">
        <v>3000.0</v>
      </c>
      <c r="J2184" s="8">
        <v>1.8</v>
      </c>
      <c r="K2184" s="8" t="s">
        <v>321</v>
      </c>
      <c r="M2184" s="8" t="s">
        <v>838</v>
      </c>
      <c r="N2184" s="8">
        <v>3.1</v>
      </c>
      <c r="O2184" s="14">
        <f t="shared" si="1"/>
        <v>43952</v>
      </c>
      <c r="P2184" s="15">
        <f>IFERROR(VLOOKUP(K2184,Formula!$A$11:$B$20,2,FALSE),Formula!$C$26)</f>
        <v>0.9</v>
      </c>
      <c r="Q2184" s="15">
        <f>IF(AND(ISNUMBER(J2184),J2184&gt;0),1/J2184,IF(AND(ISNUMBER(I2184),I2184&gt;0),SQRT(MIN(I2184,Formula!$C$27))/Formula!$C$24,1/Formula!$C$25))</f>
        <v>0.5555555556</v>
      </c>
      <c r="R2184" s="15">
        <f t="shared" si="2"/>
        <v>0.5</v>
      </c>
      <c r="S2184" s="15">
        <f>IF(H2184&lt;&gt;"",EXP(-Formula!$C$28*(EOMONTH(H2184,0)-H2184)),EXP(-Formula!$C$28*(EOMONTH(D2184,0)-D2184)))</f>
        <v>0.4065696597</v>
      </c>
      <c r="T2184" s="15">
        <f t="shared" si="3"/>
        <v>0.3015113446</v>
      </c>
      <c r="U2184" s="15">
        <f t="shared" si="4"/>
        <v>0.06129268239</v>
      </c>
      <c r="V2184" s="16">
        <f>IF(AND(L2184="Among all respondents",NOT(OR(K2184="Online poll in Telegram channel",K2184="Website online poll",K2184="CAWI (Computer Assisted Web Interviewing)"))),1/(1-MIN(MAX(Formula!$C$33+(YEAR(D2184)-Formula!$C$34)/(Formula!$C$35-Formula!$C$34)*(Formula!$C$32-Formula!$C$33),Formula!$C$33),Formula!$C$32)),1)</f>
        <v>1</v>
      </c>
      <c r="W2184" s="17">
        <f t="shared" si="5"/>
        <v>3.1</v>
      </c>
    </row>
    <row r="2185" ht="15.75" customHeight="1">
      <c r="A2185" s="8" t="s">
        <v>3120</v>
      </c>
      <c r="B2185" s="7" t="s">
        <v>3111</v>
      </c>
      <c r="C2185" s="13" t="s">
        <v>3112</v>
      </c>
      <c r="D2185" s="7" t="s">
        <v>271</v>
      </c>
      <c r="E2185" s="8" t="s">
        <v>40</v>
      </c>
      <c r="F2185" s="8" t="s">
        <v>318</v>
      </c>
      <c r="G2185" s="7" t="s">
        <v>3113</v>
      </c>
      <c r="H2185" s="7" t="s">
        <v>3114</v>
      </c>
      <c r="I2185" s="8">
        <v>3000.0</v>
      </c>
      <c r="J2185" s="8">
        <v>1.8</v>
      </c>
      <c r="K2185" s="8" t="s">
        <v>321</v>
      </c>
      <c r="M2185" s="8" t="s">
        <v>836</v>
      </c>
      <c r="N2185" s="8">
        <v>2.2</v>
      </c>
      <c r="O2185" s="14">
        <f t="shared" si="1"/>
        <v>43952</v>
      </c>
      <c r="P2185" s="15">
        <f>IFERROR(VLOOKUP(K2185,Formula!$A$11:$B$20,2,FALSE),Formula!$C$26)</f>
        <v>0.9</v>
      </c>
      <c r="Q2185" s="15">
        <f>IF(AND(ISNUMBER(J2185),J2185&gt;0),1/J2185,IF(AND(ISNUMBER(I2185),I2185&gt;0),SQRT(MIN(I2185,Formula!$C$27))/Formula!$C$24,1/Formula!$C$25))</f>
        <v>0.5555555556</v>
      </c>
      <c r="R2185" s="15">
        <f t="shared" si="2"/>
        <v>0.5</v>
      </c>
      <c r="S2185" s="15">
        <f>IF(H2185&lt;&gt;"",EXP(-Formula!$C$28*(EOMONTH(H2185,0)-H2185)),EXP(-Formula!$C$28*(EOMONTH(D2185,0)-D2185)))</f>
        <v>0.4065696597</v>
      </c>
      <c r="T2185" s="15">
        <f t="shared" si="3"/>
        <v>0.3015113446</v>
      </c>
      <c r="U2185" s="15">
        <f t="shared" si="4"/>
        <v>0.06129268239</v>
      </c>
      <c r="V2185" s="16">
        <f>IF(AND(L2185="Among all respondents",NOT(OR(K2185="Online poll in Telegram channel",K2185="Website online poll",K2185="CAWI (Computer Assisted Web Interviewing)"))),1/(1-MIN(MAX(Formula!$C$33+(YEAR(D2185)-Formula!$C$34)/(Formula!$C$35-Formula!$C$34)*(Formula!$C$32-Formula!$C$33),Formula!$C$33),Formula!$C$32)),1)</f>
        <v>1</v>
      </c>
      <c r="W2185" s="17">
        <f t="shared" si="5"/>
        <v>2.2</v>
      </c>
    </row>
    <row r="2186" ht="15.75" customHeight="1">
      <c r="A2186" s="8" t="s">
        <v>3121</v>
      </c>
      <c r="B2186" s="7" t="s">
        <v>3111</v>
      </c>
      <c r="C2186" s="13" t="s">
        <v>3112</v>
      </c>
      <c r="D2186" s="7" t="s">
        <v>271</v>
      </c>
      <c r="E2186" s="8" t="s">
        <v>40</v>
      </c>
      <c r="F2186" s="8" t="s">
        <v>318</v>
      </c>
      <c r="G2186" s="7" t="s">
        <v>3113</v>
      </c>
      <c r="H2186" s="7" t="s">
        <v>3114</v>
      </c>
      <c r="I2186" s="8">
        <v>3000.0</v>
      </c>
      <c r="J2186" s="8">
        <v>1.8</v>
      </c>
      <c r="K2186" s="8" t="s">
        <v>321</v>
      </c>
      <c r="M2186" s="8" t="s">
        <v>388</v>
      </c>
      <c r="N2186" s="8">
        <v>2.1</v>
      </c>
      <c r="O2186" s="14">
        <f t="shared" si="1"/>
        <v>43952</v>
      </c>
      <c r="P2186" s="15">
        <f>IFERROR(VLOOKUP(K2186,Formula!$A$11:$B$20,2,FALSE),Formula!$C$26)</f>
        <v>0.9</v>
      </c>
      <c r="Q2186" s="15">
        <f>IF(AND(ISNUMBER(J2186),J2186&gt;0),1/J2186,IF(AND(ISNUMBER(I2186),I2186&gt;0),SQRT(MIN(I2186,Formula!$C$27))/Formula!$C$24,1/Formula!$C$25))</f>
        <v>0.5555555556</v>
      </c>
      <c r="R2186" s="15">
        <f t="shared" si="2"/>
        <v>0.5</v>
      </c>
      <c r="S2186" s="15">
        <f>IF(H2186&lt;&gt;"",EXP(-Formula!$C$28*(EOMONTH(H2186,0)-H2186)),EXP(-Formula!$C$28*(EOMONTH(D2186,0)-D2186)))</f>
        <v>0.4065696597</v>
      </c>
      <c r="T2186" s="15">
        <f t="shared" si="3"/>
        <v>0.3015113446</v>
      </c>
      <c r="U2186" s="15">
        <f t="shared" si="4"/>
        <v>0.06129268239</v>
      </c>
      <c r="V2186" s="16">
        <f>IF(AND(L2186="Among all respondents",NOT(OR(K2186="Online poll in Telegram channel",K2186="Website online poll",K2186="CAWI (Computer Assisted Web Interviewing)"))),1/(1-MIN(MAX(Formula!$C$33+(YEAR(D2186)-Formula!$C$34)/(Formula!$C$35-Formula!$C$34)*(Formula!$C$32-Formula!$C$33),Formula!$C$33),Formula!$C$32)),1)</f>
        <v>1</v>
      </c>
      <c r="W2186" s="17">
        <f t="shared" si="5"/>
        <v>2.1</v>
      </c>
    </row>
    <row r="2187" ht="15.75" customHeight="1">
      <c r="A2187" s="8" t="s">
        <v>3122</v>
      </c>
      <c r="B2187" s="7" t="s">
        <v>3111</v>
      </c>
      <c r="C2187" s="13" t="s">
        <v>3112</v>
      </c>
      <c r="D2187" s="7" t="s">
        <v>271</v>
      </c>
      <c r="E2187" s="8" t="s">
        <v>40</v>
      </c>
      <c r="F2187" s="8" t="s">
        <v>318</v>
      </c>
      <c r="G2187" s="7" t="s">
        <v>3113</v>
      </c>
      <c r="H2187" s="7" t="s">
        <v>3114</v>
      </c>
      <c r="I2187" s="8">
        <v>3000.0</v>
      </c>
      <c r="J2187" s="8">
        <v>1.8</v>
      </c>
      <c r="K2187" s="8" t="s">
        <v>321</v>
      </c>
      <c r="M2187" s="8" t="s">
        <v>3013</v>
      </c>
      <c r="N2187" s="8">
        <v>1.8</v>
      </c>
      <c r="O2187" s="14">
        <f t="shared" si="1"/>
        <v>43952</v>
      </c>
      <c r="P2187" s="15">
        <f>IFERROR(VLOOKUP(K2187,Formula!$A$11:$B$20,2,FALSE),Formula!$C$26)</f>
        <v>0.9</v>
      </c>
      <c r="Q2187" s="15">
        <f>IF(AND(ISNUMBER(J2187),J2187&gt;0),1/J2187,IF(AND(ISNUMBER(I2187),I2187&gt;0),SQRT(MIN(I2187,Formula!$C$27))/Formula!$C$24,1/Formula!$C$25))</f>
        <v>0.5555555556</v>
      </c>
      <c r="R2187" s="15">
        <f t="shared" si="2"/>
        <v>0.5</v>
      </c>
      <c r="S2187" s="15">
        <f>IF(H2187&lt;&gt;"",EXP(-Formula!$C$28*(EOMONTH(H2187,0)-H2187)),EXP(-Formula!$C$28*(EOMONTH(D2187,0)-D2187)))</f>
        <v>0.4065696597</v>
      </c>
      <c r="T2187" s="15">
        <f t="shared" si="3"/>
        <v>0.3015113446</v>
      </c>
      <c r="U2187" s="15">
        <f t="shared" si="4"/>
        <v>0.06129268239</v>
      </c>
      <c r="V2187" s="16">
        <f>IF(AND(L2187="Among all respondents",NOT(OR(K2187="Online poll in Telegram channel",K2187="Website online poll",K2187="CAWI (Computer Assisted Web Interviewing)"))),1/(1-MIN(MAX(Formula!$C$33+(YEAR(D2187)-Formula!$C$34)/(Formula!$C$35-Formula!$C$34)*(Formula!$C$32-Formula!$C$33),Formula!$C$33),Formula!$C$32)),1)</f>
        <v>1</v>
      </c>
      <c r="W2187" s="17">
        <f t="shared" si="5"/>
        <v>1.8</v>
      </c>
    </row>
    <row r="2188" ht="15.75" customHeight="1">
      <c r="A2188" s="8" t="s">
        <v>3123</v>
      </c>
      <c r="B2188" s="7" t="s">
        <v>3111</v>
      </c>
      <c r="C2188" s="13" t="s">
        <v>3112</v>
      </c>
      <c r="D2188" s="7" t="s">
        <v>271</v>
      </c>
      <c r="E2188" s="8" t="s">
        <v>40</v>
      </c>
      <c r="F2188" s="8" t="s">
        <v>318</v>
      </c>
      <c r="G2188" s="7" t="s">
        <v>3113</v>
      </c>
      <c r="H2188" s="7" t="s">
        <v>3114</v>
      </c>
      <c r="I2188" s="8">
        <v>3000.0</v>
      </c>
      <c r="J2188" s="8">
        <v>1.8</v>
      </c>
      <c r="K2188" s="8" t="s">
        <v>321</v>
      </c>
      <c r="M2188" s="8" t="s">
        <v>740</v>
      </c>
      <c r="N2188" s="8">
        <v>1.5</v>
      </c>
      <c r="O2188" s="14">
        <f t="shared" si="1"/>
        <v>43952</v>
      </c>
      <c r="P2188" s="15">
        <f>IFERROR(VLOOKUP(K2188,Formula!$A$11:$B$20,2,FALSE),Formula!$C$26)</f>
        <v>0.9</v>
      </c>
      <c r="Q2188" s="15">
        <f>IF(AND(ISNUMBER(J2188),J2188&gt;0),1/J2188,IF(AND(ISNUMBER(I2188),I2188&gt;0),SQRT(MIN(I2188,Formula!$C$27))/Formula!$C$24,1/Formula!$C$25))</f>
        <v>0.5555555556</v>
      </c>
      <c r="R2188" s="15">
        <f t="shared" si="2"/>
        <v>0.5</v>
      </c>
      <c r="S2188" s="15">
        <f>IF(H2188&lt;&gt;"",EXP(-Formula!$C$28*(EOMONTH(H2188,0)-H2188)),EXP(-Formula!$C$28*(EOMONTH(D2188,0)-D2188)))</f>
        <v>0.4065696597</v>
      </c>
      <c r="T2188" s="15">
        <f t="shared" si="3"/>
        <v>0.3015113446</v>
      </c>
      <c r="U2188" s="15">
        <f t="shared" si="4"/>
        <v>0.06129268239</v>
      </c>
      <c r="V2188" s="16">
        <f>IF(AND(L2188="Among all respondents",NOT(OR(K2188="Online poll in Telegram channel",K2188="Website online poll",K2188="CAWI (Computer Assisted Web Interviewing)"))),1/(1-MIN(MAX(Formula!$C$33+(YEAR(D2188)-Formula!$C$34)/(Formula!$C$35-Formula!$C$34)*(Formula!$C$32-Formula!$C$33),Formula!$C$33),Formula!$C$32)),1)</f>
        <v>1</v>
      </c>
      <c r="W2188" s="17">
        <f t="shared" si="5"/>
        <v>1.5</v>
      </c>
    </row>
    <row r="2189" ht="15.75" customHeight="1">
      <c r="A2189" s="8" t="s">
        <v>3124</v>
      </c>
      <c r="B2189" s="7" t="s">
        <v>3111</v>
      </c>
      <c r="C2189" s="13" t="s">
        <v>3112</v>
      </c>
      <c r="D2189" s="7" t="s">
        <v>271</v>
      </c>
      <c r="E2189" s="8" t="s">
        <v>40</v>
      </c>
      <c r="F2189" s="8" t="s">
        <v>318</v>
      </c>
      <c r="G2189" s="7" t="s">
        <v>3113</v>
      </c>
      <c r="H2189" s="7" t="s">
        <v>3114</v>
      </c>
      <c r="I2189" s="8">
        <v>3000.0</v>
      </c>
      <c r="J2189" s="8">
        <v>1.8</v>
      </c>
      <c r="K2189" s="8" t="s">
        <v>321</v>
      </c>
      <c r="M2189" s="8" t="s">
        <v>343</v>
      </c>
      <c r="N2189" s="8">
        <v>0.4</v>
      </c>
      <c r="O2189" s="14">
        <f t="shared" si="1"/>
        <v>43952</v>
      </c>
      <c r="P2189" s="15">
        <f>IFERROR(VLOOKUP(K2189,Formula!$A$11:$B$20,2,FALSE),Formula!$C$26)</f>
        <v>0.9</v>
      </c>
      <c r="Q2189" s="15">
        <f>IF(AND(ISNUMBER(J2189),J2189&gt;0),1/J2189,IF(AND(ISNUMBER(I2189),I2189&gt;0),SQRT(MIN(I2189,Formula!$C$27))/Formula!$C$24,1/Formula!$C$25))</f>
        <v>0.5555555556</v>
      </c>
      <c r="R2189" s="15">
        <f t="shared" si="2"/>
        <v>0.5</v>
      </c>
      <c r="S2189" s="15">
        <f>IF(H2189&lt;&gt;"",EXP(-Formula!$C$28*(EOMONTH(H2189,0)-H2189)),EXP(-Formula!$C$28*(EOMONTH(D2189,0)-D2189)))</f>
        <v>0.4065696597</v>
      </c>
      <c r="T2189" s="15">
        <f t="shared" si="3"/>
        <v>0.3015113446</v>
      </c>
      <c r="U2189" s="15">
        <f t="shared" si="4"/>
        <v>0.06129268239</v>
      </c>
      <c r="V2189" s="16">
        <f>IF(AND(L2189="Among all respondents",NOT(OR(K2189="Online poll in Telegram channel",K2189="Website online poll",K2189="CAWI (Computer Assisted Web Interviewing)"))),1/(1-MIN(MAX(Formula!$C$33+(YEAR(D2189)-Formula!$C$34)/(Formula!$C$35-Formula!$C$34)*(Formula!$C$32-Formula!$C$33),Formula!$C$33),Formula!$C$32)),1)</f>
        <v>1</v>
      </c>
      <c r="W2189" s="17">
        <f t="shared" si="5"/>
        <v>0.4</v>
      </c>
    </row>
    <row r="2190" ht="15.75" customHeight="1">
      <c r="A2190" s="8" t="s">
        <v>3125</v>
      </c>
      <c r="B2190" s="7" t="s">
        <v>3126</v>
      </c>
      <c r="C2190" s="13" t="s">
        <v>3127</v>
      </c>
      <c r="D2190" s="7" t="s">
        <v>274</v>
      </c>
      <c r="E2190" s="8" t="s">
        <v>106</v>
      </c>
      <c r="F2190" s="8" t="s">
        <v>318</v>
      </c>
      <c r="G2190" s="7" t="s">
        <v>3128</v>
      </c>
      <c r="H2190" s="7" t="s">
        <v>3129</v>
      </c>
      <c r="I2190" s="8">
        <v>2056.0</v>
      </c>
      <c r="J2190" s="8">
        <v>2.3</v>
      </c>
      <c r="K2190" s="8" t="s">
        <v>715</v>
      </c>
      <c r="M2190" s="8" t="s">
        <v>323</v>
      </c>
      <c r="N2190" s="8">
        <v>45.1</v>
      </c>
      <c r="O2190" s="14">
        <f t="shared" si="1"/>
        <v>43952</v>
      </c>
      <c r="P2190" s="15">
        <f>IFERROR(VLOOKUP(K2190,Formula!$A$11:$B$20,2,FALSE),Formula!$C$26)</f>
        <v>0.85</v>
      </c>
      <c r="Q2190" s="15">
        <f>IF(AND(ISNUMBER(J2190),J2190&gt;0),1/J2190,IF(AND(ISNUMBER(I2190),I2190&gt;0),SQRT(MIN(I2190,Formula!$C$27))/Formula!$C$24,1/Formula!$C$25))</f>
        <v>0.4347826087</v>
      </c>
      <c r="R2190" s="15">
        <f t="shared" si="2"/>
        <v>0.3695652174</v>
      </c>
      <c r="S2190" s="15">
        <f>IF(H2190&lt;&gt;"",EXP(-Formula!$C$28*(EOMONTH(H2190,0)-H2190)),EXP(-Formula!$C$28*(EOMONTH(D2190,0)-D2190)))</f>
        <v>0.9512294245</v>
      </c>
      <c r="T2190" s="15">
        <f t="shared" si="3"/>
        <v>0.377964473</v>
      </c>
      <c r="U2190" s="15">
        <f t="shared" si="4"/>
        <v>0.1328701256</v>
      </c>
      <c r="V2190" s="16">
        <f>IF(AND(L2190="Among all respondents",NOT(OR(K2190="Online poll in Telegram channel",K2190="Website online poll",K2190="CAWI (Computer Assisted Web Interviewing)"))),1/(1-MIN(MAX(Formula!$C$33+(YEAR(D2190)-Formula!$C$34)/(Formula!$C$35-Formula!$C$34)*(Formula!$C$32-Formula!$C$33),Formula!$C$33),Formula!$C$32)),1)</f>
        <v>1</v>
      </c>
      <c r="W2190" s="17">
        <f t="shared" si="5"/>
        <v>45.1</v>
      </c>
    </row>
    <row r="2191" ht="15.75" customHeight="1">
      <c r="A2191" s="8" t="s">
        <v>3130</v>
      </c>
      <c r="B2191" s="7" t="s">
        <v>3126</v>
      </c>
      <c r="C2191" s="13" t="s">
        <v>3127</v>
      </c>
      <c r="D2191" s="7" t="s">
        <v>274</v>
      </c>
      <c r="E2191" s="8" t="s">
        <v>106</v>
      </c>
      <c r="F2191" s="8" t="s">
        <v>318</v>
      </c>
      <c r="G2191" s="7" t="s">
        <v>3128</v>
      </c>
      <c r="H2191" s="7" t="s">
        <v>3129</v>
      </c>
      <c r="I2191" s="8">
        <v>2056.0</v>
      </c>
      <c r="J2191" s="8">
        <v>2.3</v>
      </c>
      <c r="K2191" s="8" t="s">
        <v>715</v>
      </c>
      <c r="M2191" s="8" t="s">
        <v>329</v>
      </c>
      <c r="N2191" s="8">
        <v>12.8</v>
      </c>
      <c r="O2191" s="14">
        <f t="shared" si="1"/>
        <v>43952</v>
      </c>
      <c r="P2191" s="15">
        <f>IFERROR(VLOOKUP(K2191,Formula!$A$11:$B$20,2,FALSE),Formula!$C$26)</f>
        <v>0.85</v>
      </c>
      <c r="Q2191" s="15">
        <f>IF(AND(ISNUMBER(J2191),J2191&gt;0),1/J2191,IF(AND(ISNUMBER(I2191),I2191&gt;0),SQRT(MIN(I2191,Formula!$C$27))/Formula!$C$24,1/Formula!$C$25))</f>
        <v>0.4347826087</v>
      </c>
      <c r="R2191" s="15">
        <f t="shared" si="2"/>
        <v>0.3695652174</v>
      </c>
      <c r="S2191" s="15">
        <f>IF(H2191&lt;&gt;"",EXP(-Formula!$C$28*(EOMONTH(H2191,0)-H2191)),EXP(-Formula!$C$28*(EOMONTH(D2191,0)-D2191)))</f>
        <v>0.9512294245</v>
      </c>
      <c r="T2191" s="15">
        <f t="shared" si="3"/>
        <v>0.377964473</v>
      </c>
      <c r="U2191" s="15">
        <f t="shared" si="4"/>
        <v>0.1328701256</v>
      </c>
      <c r="V2191" s="16">
        <f>IF(AND(L2191="Among all respondents",NOT(OR(K2191="Online poll in Telegram channel",K2191="Website online poll",K2191="CAWI (Computer Assisted Web Interviewing)"))),1/(1-MIN(MAX(Formula!$C$33+(YEAR(D2191)-Formula!$C$34)/(Formula!$C$35-Formula!$C$34)*(Formula!$C$32-Formula!$C$33),Formula!$C$33),Formula!$C$32)),1)</f>
        <v>1</v>
      </c>
      <c r="W2191" s="17">
        <f t="shared" si="5"/>
        <v>12.8</v>
      </c>
    </row>
    <row r="2192" ht="15.75" customHeight="1">
      <c r="A2192" s="8" t="s">
        <v>3131</v>
      </c>
      <c r="B2192" s="7" t="s">
        <v>3126</v>
      </c>
      <c r="C2192" s="13" t="s">
        <v>3127</v>
      </c>
      <c r="D2192" s="7" t="s">
        <v>274</v>
      </c>
      <c r="E2192" s="8" t="s">
        <v>106</v>
      </c>
      <c r="F2192" s="8" t="s">
        <v>318</v>
      </c>
      <c r="G2192" s="7" t="s">
        <v>3128</v>
      </c>
      <c r="H2192" s="7" t="s">
        <v>3129</v>
      </c>
      <c r="I2192" s="8">
        <v>2056.0</v>
      </c>
      <c r="J2192" s="8">
        <v>2.3</v>
      </c>
      <c r="K2192" s="8" t="s">
        <v>715</v>
      </c>
      <c r="M2192" s="8" t="s">
        <v>365</v>
      </c>
      <c r="N2192" s="8">
        <v>10.8</v>
      </c>
      <c r="O2192" s="14">
        <f t="shared" si="1"/>
        <v>43952</v>
      </c>
      <c r="P2192" s="15">
        <f>IFERROR(VLOOKUP(K2192,Formula!$A$11:$B$20,2,FALSE),Formula!$C$26)</f>
        <v>0.85</v>
      </c>
      <c r="Q2192" s="15">
        <f>IF(AND(ISNUMBER(J2192),J2192&gt;0),1/J2192,IF(AND(ISNUMBER(I2192),I2192&gt;0),SQRT(MIN(I2192,Formula!$C$27))/Formula!$C$24,1/Formula!$C$25))</f>
        <v>0.4347826087</v>
      </c>
      <c r="R2192" s="15">
        <f t="shared" si="2"/>
        <v>0.3695652174</v>
      </c>
      <c r="S2192" s="15">
        <f>IF(H2192&lt;&gt;"",EXP(-Formula!$C$28*(EOMONTH(H2192,0)-H2192)),EXP(-Formula!$C$28*(EOMONTH(D2192,0)-D2192)))</f>
        <v>0.9512294245</v>
      </c>
      <c r="T2192" s="15">
        <f t="shared" si="3"/>
        <v>0.377964473</v>
      </c>
      <c r="U2192" s="15">
        <f t="shared" si="4"/>
        <v>0.1328701256</v>
      </c>
      <c r="V2192" s="16">
        <f>IF(AND(L2192="Among all respondents",NOT(OR(K2192="Online poll in Telegram channel",K2192="Website online poll",K2192="CAWI (Computer Assisted Web Interviewing)"))),1/(1-MIN(MAX(Formula!$C$33+(YEAR(D2192)-Formula!$C$34)/(Formula!$C$35-Formula!$C$34)*(Formula!$C$32-Formula!$C$33),Formula!$C$33),Formula!$C$32)),1)</f>
        <v>1</v>
      </c>
      <c r="W2192" s="17">
        <f t="shared" si="5"/>
        <v>10.8</v>
      </c>
    </row>
    <row r="2193" ht="15.75" customHeight="1">
      <c r="A2193" s="8" t="s">
        <v>3132</v>
      </c>
      <c r="B2193" s="7" t="s">
        <v>3126</v>
      </c>
      <c r="C2193" s="13" t="s">
        <v>3127</v>
      </c>
      <c r="D2193" s="7" t="s">
        <v>274</v>
      </c>
      <c r="E2193" s="8" t="s">
        <v>106</v>
      </c>
      <c r="F2193" s="8" t="s">
        <v>318</v>
      </c>
      <c r="G2193" s="7" t="s">
        <v>3128</v>
      </c>
      <c r="H2193" s="7" t="s">
        <v>3129</v>
      </c>
      <c r="I2193" s="8">
        <v>2056.0</v>
      </c>
      <c r="J2193" s="8">
        <v>2.3</v>
      </c>
      <c r="K2193" s="8" t="s">
        <v>715</v>
      </c>
      <c r="M2193" s="8" t="s">
        <v>828</v>
      </c>
      <c r="N2193" s="8">
        <v>6.0</v>
      </c>
      <c r="O2193" s="14">
        <f t="shared" si="1"/>
        <v>43952</v>
      </c>
      <c r="P2193" s="15">
        <f>IFERROR(VLOOKUP(K2193,Formula!$A$11:$B$20,2,FALSE),Formula!$C$26)</f>
        <v>0.85</v>
      </c>
      <c r="Q2193" s="15">
        <f>IF(AND(ISNUMBER(J2193),J2193&gt;0),1/J2193,IF(AND(ISNUMBER(I2193),I2193&gt;0),SQRT(MIN(I2193,Formula!$C$27))/Formula!$C$24,1/Formula!$C$25))</f>
        <v>0.4347826087</v>
      </c>
      <c r="R2193" s="15">
        <f t="shared" si="2"/>
        <v>0.3695652174</v>
      </c>
      <c r="S2193" s="15">
        <f>IF(H2193&lt;&gt;"",EXP(-Formula!$C$28*(EOMONTH(H2193,0)-H2193)),EXP(-Formula!$C$28*(EOMONTH(D2193,0)-D2193)))</f>
        <v>0.9512294245</v>
      </c>
      <c r="T2193" s="15">
        <f t="shared" si="3"/>
        <v>0.377964473</v>
      </c>
      <c r="U2193" s="15">
        <f t="shared" si="4"/>
        <v>0.1328701256</v>
      </c>
      <c r="V2193" s="16">
        <f>IF(AND(L2193="Among all respondents",NOT(OR(K2193="Online poll in Telegram channel",K2193="Website online poll",K2193="CAWI (Computer Assisted Web Interviewing)"))),1/(1-MIN(MAX(Formula!$C$33+(YEAR(D2193)-Formula!$C$34)/(Formula!$C$35-Formula!$C$34)*(Formula!$C$32-Formula!$C$33),Formula!$C$33),Formula!$C$32)),1)</f>
        <v>1</v>
      </c>
      <c r="W2193" s="17">
        <f t="shared" si="5"/>
        <v>6</v>
      </c>
    </row>
    <row r="2194" ht="15.75" customHeight="1">
      <c r="A2194" s="8" t="s">
        <v>3133</v>
      </c>
      <c r="B2194" s="7" t="s">
        <v>3126</v>
      </c>
      <c r="C2194" s="13" t="s">
        <v>3127</v>
      </c>
      <c r="D2194" s="7" t="s">
        <v>274</v>
      </c>
      <c r="E2194" s="8" t="s">
        <v>106</v>
      </c>
      <c r="F2194" s="8" t="s">
        <v>318</v>
      </c>
      <c r="G2194" s="7" t="s">
        <v>3128</v>
      </c>
      <c r="H2194" s="7" t="s">
        <v>3129</v>
      </c>
      <c r="I2194" s="8">
        <v>2056.0</v>
      </c>
      <c r="J2194" s="8">
        <v>2.3</v>
      </c>
      <c r="K2194" s="8" t="s">
        <v>715</v>
      </c>
      <c r="M2194" s="8" t="s">
        <v>337</v>
      </c>
      <c r="N2194" s="8">
        <v>5.4</v>
      </c>
      <c r="O2194" s="14">
        <f t="shared" si="1"/>
        <v>43952</v>
      </c>
      <c r="P2194" s="15">
        <f>IFERROR(VLOOKUP(K2194,Formula!$A$11:$B$20,2,FALSE),Formula!$C$26)</f>
        <v>0.85</v>
      </c>
      <c r="Q2194" s="15">
        <f>IF(AND(ISNUMBER(J2194),J2194&gt;0),1/J2194,IF(AND(ISNUMBER(I2194),I2194&gt;0),SQRT(MIN(I2194,Formula!$C$27))/Formula!$C$24,1/Formula!$C$25))</f>
        <v>0.4347826087</v>
      </c>
      <c r="R2194" s="15">
        <f t="shared" si="2"/>
        <v>0.3695652174</v>
      </c>
      <c r="S2194" s="15">
        <f>IF(H2194&lt;&gt;"",EXP(-Formula!$C$28*(EOMONTH(H2194,0)-H2194)),EXP(-Formula!$C$28*(EOMONTH(D2194,0)-D2194)))</f>
        <v>0.9512294245</v>
      </c>
      <c r="T2194" s="15">
        <f t="shared" si="3"/>
        <v>0.377964473</v>
      </c>
      <c r="U2194" s="15">
        <f t="shared" si="4"/>
        <v>0.1328701256</v>
      </c>
      <c r="V2194" s="16">
        <f>IF(AND(L2194="Among all respondents",NOT(OR(K2194="Online poll in Telegram channel",K2194="Website online poll",K2194="CAWI (Computer Assisted Web Interviewing)"))),1/(1-MIN(MAX(Formula!$C$33+(YEAR(D2194)-Formula!$C$34)/(Formula!$C$35-Formula!$C$34)*(Formula!$C$32-Formula!$C$33),Formula!$C$33),Formula!$C$32)),1)</f>
        <v>1</v>
      </c>
      <c r="W2194" s="17">
        <f t="shared" si="5"/>
        <v>5.4</v>
      </c>
    </row>
    <row r="2195" ht="15.75" customHeight="1">
      <c r="A2195" s="8" t="s">
        <v>3134</v>
      </c>
      <c r="B2195" s="7" t="s">
        <v>3126</v>
      </c>
      <c r="C2195" s="13" t="s">
        <v>3127</v>
      </c>
      <c r="D2195" s="7" t="s">
        <v>274</v>
      </c>
      <c r="E2195" s="8" t="s">
        <v>106</v>
      </c>
      <c r="F2195" s="8" t="s">
        <v>318</v>
      </c>
      <c r="G2195" s="7" t="s">
        <v>3128</v>
      </c>
      <c r="H2195" s="7" t="s">
        <v>3129</v>
      </c>
      <c r="I2195" s="8">
        <v>2056.0</v>
      </c>
      <c r="J2195" s="8">
        <v>2.3</v>
      </c>
      <c r="K2195" s="8" t="s">
        <v>715</v>
      </c>
      <c r="M2195" s="8" t="s">
        <v>838</v>
      </c>
      <c r="N2195" s="8">
        <v>3.5</v>
      </c>
      <c r="O2195" s="14">
        <f t="shared" si="1"/>
        <v>43952</v>
      </c>
      <c r="P2195" s="15">
        <f>IFERROR(VLOOKUP(K2195,Formula!$A$11:$B$20,2,FALSE),Formula!$C$26)</f>
        <v>0.85</v>
      </c>
      <c r="Q2195" s="15">
        <f>IF(AND(ISNUMBER(J2195),J2195&gt;0),1/J2195,IF(AND(ISNUMBER(I2195),I2195&gt;0),SQRT(MIN(I2195,Formula!$C$27))/Formula!$C$24,1/Formula!$C$25))</f>
        <v>0.4347826087</v>
      </c>
      <c r="R2195" s="15">
        <f t="shared" si="2"/>
        <v>0.3695652174</v>
      </c>
      <c r="S2195" s="15">
        <f>IF(H2195&lt;&gt;"",EXP(-Formula!$C$28*(EOMONTH(H2195,0)-H2195)),EXP(-Formula!$C$28*(EOMONTH(D2195,0)-D2195)))</f>
        <v>0.9512294245</v>
      </c>
      <c r="T2195" s="15">
        <f t="shared" si="3"/>
        <v>0.377964473</v>
      </c>
      <c r="U2195" s="15">
        <f t="shared" si="4"/>
        <v>0.1328701256</v>
      </c>
      <c r="V2195" s="16">
        <f>IF(AND(L2195="Among all respondents",NOT(OR(K2195="Online poll in Telegram channel",K2195="Website online poll",K2195="CAWI (Computer Assisted Web Interviewing)"))),1/(1-MIN(MAX(Formula!$C$33+(YEAR(D2195)-Formula!$C$34)/(Formula!$C$35-Formula!$C$34)*(Formula!$C$32-Formula!$C$33),Formula!$C$33),Formula!$C$32)),1)</f>
        <v>1</v>
      </c>
      <c r="W2195" s="17">
        <f t="shared" si="5"/>
        <v>3.5</v>
      </c>
    </row>
    <row r="2196" ht="15.75" customHeight="1">
      <c r="A2196" s="8" t="s">
        <v>3135</v>
      </c>
      <c r="B2196" s="7" t="s">
        <v>3126</v>
      </c>
      <c r="C2196" s="13" t="s">
        <v>3127</v>
      </c>
      <c r="D2196" s="7" t="s">
        <v>274</v>
      </c>
      <c r="E2196" s="8" t="s">
        <v>106</v>
      </c>
      <c r="F2196" s="8" t="s">
        <v>318</v>
      </c>
      <c r="G2196" s="7" t="s">
        <v>3128</v>
      </c>
      <c r="H2196" s="7" t="s">
        <v>3129</v>
      </c>
      <c r="I2196" s="8">
        <v>2056.0</v>
      </c>
      <c r="J2196" s="8">
        <v>2.3</v>
      </c>
      <c r="K2196" s="8" t="s">
        <v>715</v>
      </c>
      <c r="M2196" s="8" t="s">
        <v>388</v>
      </c>
      <c r="N2196" s="8">
        <v>2.3</v>
      </c>
      <c r="O2196" s="14">
        <f t="shared" si="1"/>
        <v>43952</v>
      </c>
      <c r="P2196" s="15">
        <f>IFERROR(VLOOKUP(K2196,Formula!$A$11:$B$20,2,FALSE),Formula!$C$26)</f>
        <v>0.85</v>
      </c>
      <c r="Q2196" s="15">
        <f>IF(AND(ISNUMBER(J2196),J2196&gt;0),1/J2196,IF(AND(ISNUMBER(I2196),I2196&gt;0),SQRT(MIN(I2196,Formula!$C$27))/Formula!$C$24,1/Formula!$C$25))</f>
        <v>0.4347826087</v>
      </c>
      <c r="R2196" s="15">
        <f t="shared" si="2"/>
        <v>0.3695652174</v>
      </c>
      <c r="S2196" s="15">
        <f>IF(H2196&lt;&gt;"",EXP(-Formula!$C$28*(EOMONTH(H2196,0)-H2196)),EXP(-Formula!$C$28*(EOMONTH(D2196,0)-D2196)))</f>
        <v>0.9512294245</v>
      </c>
      <c r="T2196" s="15">
        <f t="shared" si="3"/>
        <v>0.377964473</v>
      </c>
      <c r="U2196" s="15">
        <f t="shared" si="4"/>
        <v>0.1328701256</v>
      </c>
      <c r="V2196" s="16">
        <f>IF(AND(L2196="Among all respondents",NOT(OR(K2196="Online poll in Telegram channel",K2196="Website online poll",K2196="CAWI (Computer Assisted Web Interviewing)"))),1/(1-MIN(MAX(Formula!$C$33+(YEAR(D2196)-Formula!$C$34)/(Formula!$C$35-Formula!$C$34)*(Formula!$C$32-Formula!$C$33),Formula!$C$33),Formula!$C$32)),1)</f>
        <v>1</v>
      </c>
      <c r="W2196" s="17">
        <f t="shared" si="5"/>
        <v>2.3</v>
      </c>
    </row>
    <row r="2197" ht="15.75" customHeight="1">
      <c r="A2197" s="8" t="s">
        <v>3136</v>
      </c>
      <c r="B2197" s="7" t="s">
        <v>3137</v>
      </c>
      <c r="C2197" s="13" t="s">
        <v>3138</v>
      </c>
      <c r="D2197" s="7" t="s">
        <v>274</v>
      </c>
      <c r="E2197" s="8" t="s">
        <v>72</v>
      </c>
      <c r="F2197" s="8" t="s">
        <v>318</v>
      </c>
      <c r="G2197" s="7" t="s">
        <v>3139</v>
      </c>
      <c r="H2197" s="7" t="s">
        <v>3140</v>
      </c>
      <c r="I2197" s="8">
        <v>4024.0</v>
      </c>
      <c r="J2197" s="8">
        <v>1.7</v>
      </c>
      <c r="K2197" s="8" t="s">
        <v>321</v>
      </c>
      <c r="M2197" s="8" t="s">
        <v>323</v>
      </c>
      <c r="N2197" s="8">
        <v>27.7</v>
      </c>
      <c r="O2197" s="14">
        <f t="shared" si="1"/>
        <v>43952</v>
      </c>
      <c r="P2197" s="15">
        <f>IFERROR(VLOOKUP(K2197,Formula!$A$11:$B$20,2,FALSE),Formula!$C$26)</f>
        <v>0.9</v>
      </c>
      <c r="Q2197" s="15">
        <f>IF(AND(ISNUMBER(J2197),J2197&gt;0),1/J2197,IF(AND(ISNUMBER(I2197),I2197&gt;0),SQRT(MIN(I2197,Formula!$C$27))/Formula!$C$24,1/Formula!$C$25))</f>
        <v>0.5882352941</v>
      </c>
      <c r="R2197" s="15">
        <f t="shared" si="2"/>
        <v>0.5294117647</v>
      </c>
      <c r="S2197" s="15">
        <f>IF(H2197&lt;&gt;"",EXP(-Formula!$C$28*(EOMONTH(H2197,0)-H2197)),EXP(-Formula!$C$28*(EOMONTH(D2197,0)-D2197)))</f>
        <v>0.7788007831</v>
      </c>
      <c r="T2197" s="15">
        <f t="shared" si="3"/>
        <v>0.3333333333</v>
      </c>
      <c r="U2197" s="15">
        <f t="shared" si="4"/>
        <v>0.1374354323</v>
      </c>
      <c r="V2197" s="16">
        <f>IF(AND(L2197="Among all respondents",NOT(OR(K2197="Online poll in Telegram channel",K2197="Website online poll",K2197="CAWI (Computer Assisted Web Interviewing)"))),1/(1-MIN(MAX(Formula!$C$33+(YEAR(D2197)-Formula!$C$34)/(Formula!$C$35-Formula!$C$34)*(Formula!$C$32-Formula!$C$33),Formula!$C$33),Formula!$C$32)),1)</f>
        <v>1</v>
      </c>
      <c r="W2197" s="17">
        <f t="shared" si="5"/>
        <v>27.7</v>
      </c>
    </row>
    <row r="2198" ht="15.75" customHeight="1">
      <c r="A2198" s="8" t="s">
        <v>3141</v>
      </c>
      <c r="B2198" s="7" t="s">
        <v>3137</v>
      </c>
      <c r="C2198" s="13" t="s">
        <v>3138</v>
      </c>
      <c r="D2198" s="7" t="s">
        <v>274</v>
      </c>
      <c r="E2198" s="8" t="s">
        <v>72</v>
      </c>
      <c r="F2198" s="8" t="s">
        <v>318</v>
      </c>
      <c r="G2198" s="7" t="s">
        <v>3139</v>
      </c>
      <c r="H2198" s="7" t="s">
        <v>3140</v>
      </c>
      <c r="I2198" s="8">
        <v>4024.0</v>
      </c>
      <c r="J2198" s="8">
        <v>1.7</v>
      </c>
      <c r="K2198" s="8" t="s">
        <v>321</v>
      </c>
      <c r="M2198" s="8" t="s">
        <v>329</v>
      </c>
      <c r="N2198" s="8">
        <v>9.7</v>
      </c>
      <c r="O2198" s="14">
        <f t="shared" si="1"/>
        <v>43952</v>
      </c>
      <c r="P2198" s="15">
        <f>IFERROR(VLOOKUP(K2198,Formula!$A$11:$B$20,2,FALSE),Formula!$C$26)</f>
        <v>0.9</v>
      </c>
      <c r="Q2198" s="15">
        <f>IF(AND(ISNUMBER(J2198),J2198&gt;0),1/J2198,IF(AND(ISNUMBER(I2198),I2198&gt;0),SQRT(MIN(I2198,Formula!$C$27))/Formula!$C$24,1/Formula!$C$25))</f>
        <v>0.5882352941</v>
      </c>
      <c r="R2198" s="15">
        <f t="shared" si="2"/>
        <v>0.5294117647</v>
      </c>
      <c r="S2198" s="15">
        <f>IF(H2198&lt;&gt;"",EXP(-Formula!$C$28*(EOMONTH(H2198,0)-H2198)),EXP(-Formula!$C$28*(EOMONTH(D2198,0)-D2198)))</f>
        <v>0.7788007831</v>
      </c>
      <c r="T2198" s="15">
        <f t="shared" si="3"/>
        <v>0.3333333333</v>
      </c>
      <c r="U2198" s="15">
        <f t="shared" si="4"/>
        <v>0.1374354323</v>
      </c>
      <c r="V2198" s="16">
        <f>IF(AND(L2198="Among all respondents",NOT(OR(K2198="Online poll in Telegram channel",K2198="Website online poll",K2198="CAWI (Computer Assisted Web Interviewing)"))),1/(1-MIN(MAX(Formula!$C$33+(YEAR(D2198)-Formula!$C$34)/(Formula!$C$35-Formula!$C$34)*(Formula!$C$32-Formula!$C$33),Formula!$C$33),Formula!$C$32)),1)</f>
        <v>1</v>
      </c>
      <c r="W2198" s="17">
        <f t="shared" si="5"/>
        <v>9.7</v>
      </c>
    </row>
    <row r="2199" ht="15.75" customHeight="1">
      <c r="A2199" s="8" t="s">
        <v>3142</v>
      </c>
      <c r="B2199" s="7" t="s">
        <v>3137</v>
      </c>
      <c r="C2199" s="13" t="s">
        <v>3138</v>
      </c>
      <c r="D2199" s="7" t="s">
        <v>274</v>
      </c>
      <c r="E2199" s="8" t="s">
        <v>72</v>
      </c>
      <c r="F2199" s="8" t="s">
        <v>318</v>
      </c>
      <c r="G2199" s="7" t="s">
        <v>3139</v>
      </c>
      <c r="H2199" s="7" t="s">
        <v>3140</v>
      </c>
      <c r="I2199" s="8">
        <v>4024.0</v>
      </c>
      <c r="J2199" s="8">
        <v>1.7</v>
      </c>
      <c r="K2199" s="8" t="s">
        <v>321</v>
      </c>
      <c r="M2199" s="8" t="s">
        <v>365</v>
      </c>
      <c r="N2199" s="8">
        <v>8.0</v>
      </c>
      <c r="O2199" s="14">
        <f t="shared" si="1"/>
        <v>43952</v>
      </c>
      <c r="P2199" s="15">
        <f>IFERROR(VLOOKUP(K2199,Formula!$A$11:$B$20,2,FALSE),Formula!$C$26)</f>
        <v>0.9</v>
      </c>
      <c r="Q2199" s="15">
        <f>IF(AND(ISNUMBER(J2199),J2199&gt;0),1/J2199,IF(AND(ISNUMBER(I2199),I2199&gt;0),SQRT(MIN(I2199,Formula!$C$27))/Formula!$C$24,1/Formula!$C$25))</f>
        <v>0.5882352941</v>
      </c>
      <c r="R2199" s="15">
        <f t="shared" si="2"/>
        <v>0.5294117647</v>
      </c>
      <c r="S2199" s="15">
        <f>IF(H2199&lt;&gt;"",EXP(-Formula!$C$28*(EOMONTH(H2199,0)-H2199)),EXP(-Formula!$C$28*(EOMONTH(D2199,0)-D2199)))</f>
        <v>0.7788007831</v>
      </c>
      <c r="T2199" s="15">
        <f t="shared" si="3"/>
        <v>0.3333333333</v>
      </c>
      <c r="U2199" s="15">
        <f t="shared" si="4"/>
        <v>0.1374354323</v>
      </c>
      <c r="V2199" s="16">
        <f>IF(AND(L2199="Among all respondents",NOT(OR(K2199="Online poll in Telegram channel",K2199="Website online poll",K2199="CAWI (Computer Assisted Web Interviewing)"))),1/(1-MIN(MAX(Formula!$C$33+(YEAR(D2199)-Formula!$C$34)/(Formula!$C$35-Formula!$C$34)*(Formula!$C$32-Formula!$C$33),Formula!$C$33),Formula!$C$32)),1)</f>
        <v>1</v>
      </c>
      <c r="W2199" s="17">
        <f t="shared" si="5"/>
        <v>8</v>
      </c>
    </row>
    <row r="2200" ht="15.75" customHeight="1">
      <c r="A2200" s="8" t="s">
        <v>3143</v>
      </c>
      <c r="B2200" s="7" t="s">
        <v>3137</v>
      </c>
      <c r="C2200" s="13" t="s">
        <v>3138</v>
      </c>
      <c r="D2200" s="7" t="s">
        <v>274</v>
      </c>
      <c r="E2200" s="8" t="s">
        <v>72</v>
      </c>
      <c r="F2200" s="8" t="s">
        <v>318</v>
      </c>
      <c r="G2200" s="7" t="s">
        <v>3139</v>
      </c>
      <c r="H2200" s="7" t="s">
        <v>3140</v>
      </c>
      <c r="I2200" s="8">
        <v>4024.0</v>
      </c>
      <c r="J2200" s="8">
        <v>1.7</v>
      </c>
      <c r="K2200" s="8" t="s">
        <v>321</v>
      </c>
      <c r="M2200" s="8" t="s">
        <v>337</v>
      </c>
      <c r="N2200" s="8">
        <v>6.3</v>
      </c>
      <c r="O2200" s="14">
        <f t="shared" si="1"/>
        <v>43952</v>
      </c>
      <c r="P2200" s="15">
        <f>IFERROR(VLOOKUP(K2200,Formula!$A$11:$B$20,2,FALSE),Formula!$C$26)</f>
        <v>0.9</v>
      </c>
      <c r="Q2200" s="15">
        <f>IF(AND(ISNUMBER(J2200),J2200&gt;0),1/J2200,IF(AND(ISNUMBER(I2200),I2200&gt;0),SQRT(MIN(I2200,Formula!$C$27))/Formula!$C$24,1/Formula!$C$25))</f>
        <v>0.5882352941</v>
      </c>
      <c r="R2200" s="15">
        <f t="shared" si="2"/>
        <v>0.5294117647</v>
      </c>
      <c r="S2200" s="15">
        <f>IF(H2200&lt;&gt;"",EXP(-Formula!$C$28*(EOMONTH(H2200,0)-H2200)),EXP(-Formula!$C$28*(EOMONTH(D2200,0)-D2200)))</f>
        <v>0.7788007831</v>
      </c>
      <c r="T2200" s="15">
        <f t="shared" si="3"/>
        <v>0.3333333333</v>
      </c>
      <c r="U2200" s="15">
        <f t="shared" si="4"/>
        <v>0.1374354323</v>
      </c>
      <c r="V2200" s="16">
        <f>IF(AND(L2200="Among all respondents",NOT(OR(K2200="Online poll in Telegram channel",K2200="Website online poll",K2200="CAWI (Computer Assisted Web Interviewing)"))),1/(1-MIN(MAX(Formula!$C$33+(YEAR(D2200)-Formula!$C$34)/(Formula!$C$35-Formula!$C$34)*(Formula!$C$32-Formula!$C$33),Formula!$C$33),Formula!$C$32)),1)</f>
        <v>1</v>
      </c>
      <c r="W2200" s="17">
        <f t="shared" si="5"/>
        <v>6.3</v>
      </c>
    </row>
    <row r="2201" ht="15.75" customHeight="1">
      <c r="A2201" s="8" t="s">
        <v>3144</v>
      </c>
      <c r="B2201" s="7" t="s">
        <v>3137</v>
      </c>
      <c r="C2201" s="13" t="s">
        <v>3138</v>
      </c>
      <c r="D2201" s="7" t="s">
        <v>274</v>
      </c>
      <c r="E2201" s="8" t="s">
        <v>72</v>
      </c>
      <c r="F2201" s="8" t="s">
        <v>318</v>
      </c>
      <c r="G2201" s="7" t="s">
        <v>3139</v>
      </c>
      <c r="H2201" s="7" t="s">
        <v>3140</v>
      </c>
      <c r="I2201" s="8">
        <v>4024.0</v>
      </c>
      <c r="J2201" s="8">
        <v>1.7</v>
      </c>
      <c r="K2201" s="8" t="s">
        <v>321</v>
      </c>
      <c r="M2201" s="8" t="s">
        <v>828</v>
      </c>
      <c r="N2201" s="8">
        <v>4.1</v>
      </c>
      <c r="O2201" s="14">
        <f t="shared" si="1"/>
        <v>43952</v>
      </c>
      <c r="P2201" s="15">
        <f>IFERROR(VLOOKUP(K2201,Formula!$A$11:$B$20,2,FALSE),Formula!$C$26)</f>
        <v>0.9</v>
      </c>
      <c r="Q2201" s="15">
        <f>IF(AND(ISNUMBER(J2201),J2201&gt;0),1/J2201,IF(AND(ISNUMBER(I2201),I2201&gt;0),SQRT(MIN(I2201,Formula!$C$27))/Formula!$C$24,1/Formula!$C$25))</f>
        <v>0.5882352941</v>
      </c>
      <c r="R2201" s="15">
        <f t="shared" si="2"/>
        <v>0.5294117647</v>
      </c>
      <c r="S2201" s="15">
        <f>IF(H2201&lt;&gt;"",EXP(-Formula!$C$28*(EOMONTH(H2201,0)-H2201)),EXP(-Formula!$C$28*(EOMONTH(D2201,0)-D2201)))</f>
        <v>0.7788007831</v>
      </c>
      <c r="T2201" s="15">
        <f t="shared" si="3"/>
        <v>0.3333333333</v>
      </c>
      <c r="U2201" s="15">
        <f t="shared" si="4"/>
        <v>0.1374354323</v>
      </c>
      <c r="V2201" s="16">
        <f>IF(AND(L2201="Among all respondents",NOT(OR(K2201="Online poll in Telegram channel",K2201="Website online poll",K2201="CAWI (Computer Assisted Web Interviewing)"))),1/(1-MIN(MAX(Formula!$C$33+(YEAR(D2201)-Formula!$C$34)/(Formula!$C$35-Formula!$C$34)*(Formula!$C$32-Formula!$C$33),Formula!$C$33),Formula!$C$32)),1)</f>
        <v>1</v>
      </c>
      <c r="W2201" s="17">
        <f t="shared" si="5"/>
        <v>4.1</v>
      </c>
    </row>
    <row r="2202" ht="15.75" customHeight="1">
      <c r="A2202" s="8" t="s">
        <v>3145</v>
      </c>
      <c r="B2202" s="7" t="s">
        <v>3137</v>
      </c>
      <c r="C2202" s="13" t="s">
        <v>3138</v>
      </c>
      <c r="D2202" s="7" t="s">
        <v>274</v>
      </c>
      <c r="E2202" s="8" t="s">
        <v>72</v>
      </c>
      <c r="F2202" s="8" t="s">
        <v>318</v>
      </c>
      <c r="G2202" s="7" t="s">
        <v>3139</v>
      </c>
      <c r="H2202" s="7" t="s">
        <v>3140</v>
      </c>
      <c r="I2202" s="8">
        <v>4024.0</v>
      </c>
      <c r="J2202" s="8">
        <v>1.7</v>
      </c>
      <c r="K2202" s="8" t="s">
        <v>321</v>
      </c>
      <c r="M2202" s="8" t="s">
        <v>838</v>
      </c>
      <c r="N2202" s="8">
        <v>2.8</v>
      </c>
      <c r="O2202" s="14">
        <f t="shared" si="1"/>
        <v>43952</v>
      </c>
      <c r="P2202" s="15">
        <f>IFERROR(VLOOKUP(K2202,Formula!$A$11:$B$20,2,FALSE),Formula!$C$26)</f>
        <v>0.9</v>
      </c>
      <c r="Q2202" s="15">
        <f>IF(AND(ISNUMBER(J2202),J2202&gt;0),1/J2202,IF(AND(ISNUMBER(I2202),I2202&gt;0),SQRT(MIN(I2202,Formula!$C$27))/Formula!$C$24,1/Formula!$C$25))</f>
        <v>0.5882352941</v>
      </c>
      <c r="R2202" s="15">
        <f t="shared" si="2"/>
        <v>0.5294117647</v>
      </c>
      <c r="S2202" s="15">
        <f>IF(H2202&lt;&gt;"",EXP(-Formula!$C$28*(EOMONTH(H2202,0)-H2202)),EXP(-Formula!$C$28*(EOMONTH(D2202,0)-D2202)))</f>
        <v>0.7788007831</v>
      </c>
      <c r="T2202" s="15">
        <f t="shared" si="3"/>
        <v>0.3333333333</v>
      </c>
      <c r="U2202" s="15">
        <f t="shared" si="4"/>
        <v>0.1374354323</v>
      </c>
      <c r="V2202" s="16">
        <f>IF(AND(L2202="Among all respondents",NOT(OR(K2202="Online poll in Telegram channel",K2202="Website online poll",K2202="CAWI (Computer Assisted Web Interviewing)"))),1/(1-MIN(MAX(Formula!$C$33+(YEAR(D2202)-Formula!$C$34)/(Formula!$C$35-Formula!$C$34)*(Formula!$C$32-Formula!$C$33),Formula!$C$33),Formula!$C$32)),1)</f>
        <v>1</v>
      </c>
      <c r="W2202" s="17">
        <f t="shared" si="5"/>
        <v>2.8</v>
      </c>
    </row>
    <row r="2203" ht="15.75" customHeight="1">
      <c r="A2203" s="8" t="s">
        <v>3146</v>
      </c>
      <c r="B2203" s="7" t="s">
        <v>3137</v>
      </c>
      <c r="C2203" s="13" t="s">
        <v>3138</v>
      </c>
      <c r="D2203" s="7" t="s">
        <v>274</v>
      </c>
      <c r="E2203" s="8" t="s">
        <v>72</v>
      </c>
      <c r="F2203" s="8" t="s">
        <v>318</v>
      </c>
      <c r="G2203" s="7" t="s">
        <v>3139</v>
      </c>
      <c r="H2203" s="7" t="s">
        <v>3140</v>
      </c>
      <c r="I2203" s="8">
        <v>4024.0</v>
      </c>
      <c r="J2203" s="8">
        <v>1.7</v>
      </c>
      <c r="K2203" s="8" t="s">
        <v>321</v>
      </c>
      <c r="M2203" s="8" t="s">
        <v>388</v>
      </c>
      <c r="N2203" s="8">
        <v>2.3</v>
      </c>
      <c r="O2203" s="14">
        <f t="shared" si="1"/>
        <v>43952</v>
      </c>
      <c r="P2203" s="15">
        <f>IFERROR(VLOOKUP(K2203,Formula!$A$11:$B$20,2,FALSE),Formula!$C$26)</f>
        <v>0.9</v>
      </c>
      <c r="Q2203" s="15">
        <f>IF(AND(ISNUMBER(J2203),J2203&gt;0),1/J2203,IF(AND(ISNUMBER(I2203),I2203&gt;0),SQRT(MIN(I2203,Formula!$C$27))/Formula!$C$24,1/Formula!$C$25))</f>
        <v>0.5882352941</v>
      </c>
      <c r="R2203" s="15">
        <f t="shared" si="2"/>
        <v>0.5294117647</v>
      </c>
      <c r="S2203" s="15">
        <f>IF(H2203&lt;&gt;"",EXP(-Formula!$C$28*(EOMONTH(H2203,0)-H2203)),EXP(-Formula!$C$28*(EOMONTH(D2203,0)-D2203)))</f>
        <v>0.7788007831</v>
      </c>
      <c r="T2203" s="15">
        <f t="shared" si="3"/>
        <v>0.3333333333</v>
      </c>
      <c r="U2203" s="15">
        <f t="shared" si="4"/>
        <v>0.1374354323</v>
      </c>
      <c r="V2203" s="16">
        <f>IF(AND(L2203="Among all respondents",NOT(OR(K2203="Online poll in Telegram channel",K2203="Website online poll",K2203="CAWI (Computer Assisted Web Interviewing)"))),1/(1-MIN(MAX(Formula!$C$33+(YEAR(D2203)-Formula!$C$34)/(Formula!$C$35-Formula!$C$34)*(Formula!$C$32-Formula!$C$33),Formula!$C$33),Formula!$C$32)),1)</f>
        <v>1</v>
      </c>
      <c r="W2203" s="17">
        <f t="shared" si="5"/>
        <v>2.3</v>
      </c>
    </row>
    <row r="2204" ht="15.75" customHeight="1">
      <c r="A2204" s="8" t="s">
        <v>3147</v>
      </c>
      <c r="B2204" s="7" t="s">
        <v>3137</v>
      </c>
      <c r="C2204" s="13" t="s">
        <v>3138</v>
      </c>
      <c r="D2204" s="7" t="s">
        <v>274</v>
      </c>
      <c r="E2204" s="8" t="s">
        <v>72</v>
      </c>
      <c r="F2204" s="8" t="s">
        <v>318</v>
      </c>
      <c r="G2204" s="7" t="s">
        <v>3139</v>
      </c>
      <c r="H2204" s="7" t="s">
        <v>3140</v>
      </c>
      <c r="I2204" s="8">
        <v>4024.0</v>
      </c>
      <c r="J2204" s="8">
        <v>1.7</v>
      </c>
      <c r="K2204" s="8" t="s">
        <v>321</v>
      </c>
      <c r="M2204" s="8" t="s">
        <v>3013</v>
      </c>
      <c r="N2204" s="8">
        <v>1.2</v>
      </c>
      <c r="O2204" s="14">
        <f t="shared" si="1"/>
        <v>43952</v>
      </c>
      <c r="P2204" s="15">
        <f>IFERROR(VLOOKUP(K2204,Formula!$A$11:$B$20,2,FALSE),Formula!$C$26)</f>
        <v>0.9</v>
      </c>
      <c r="Q2204" s="15">
        <f>IF(AND(ISNUMBER(J2204),J2204&gt;0),1/J2204,IF(AND(ISNUMBER(I2204),I2204&gt;0),SQRT(MIN(I2204,Formula!$C$27))/Formula!$C$24,1/Formula!$C$25))</f>
        <v>0.5882352941</v>
      </c>
      <c r="R2204" s="15">
        <f t="shared" si="2"/>
        <v>0.5294117647</v>
      </c>
      <c r="S2204" s="15">
        <f>IF(H2204&lt;&gt;"",EXP(-Formula!$C$28*(EOMONTH(H2204,0)-H2204)),EXP(-Formula!$C$28*(EOMONTH(D2204,0)-D2204)))</f>
        <v>0.7788007831</v>
      </c>
      <c r="T2204" s="15">
        <f t="shared" si="3"/>
        <v>0.3333333333</v>
      </c>
      <c r="U2204" s="15">
        <f t="shared" si="4"/>
        <v>0.1374354323</v>
      </c>
      <c r="V2204" s="16">
        <f>IF(AND(L2204="Among all respondents",NOT(OR(K2204="Online poll in Telegram channel",K2204="Website online poll",K2204="CAWI (Computer Assisted Web Interviewing)"))),1/(1-MIN(MAX(Formula!$C$33+(YEAR(D2204)-Formula!$C$34)/(Formula!$C$35-Formula!$C$34)*(Formula!$C$32-Formula!$C$33),Formula!$C$33),Formula!$C$32)),1)</f>
        <v>1</v>
      </c>
      <c r="W2204" s="17">
        <f t="shared" si="5"/>
        <v>1.2</v>
      </c>
    </row>
    <row r="2205" ht="15.75" customHeight="1">
      <c r="A2205" s="8" t="s">
        <v>3148</v>
      </c>
      <c r="B2205" s="7" t="s">
        <v>3137</v>
      </c>
      <c r="C2205" s="13" t="s">
        <v>3138</v>
      </c>
      <c r="D2205" s="7" t="s">
        <v>274</v>
      </c>
      <c r="E2205" s="8" t="s">
        <v>72</v>
      </c>
      <c r="F2205" s="8" t="s">
        <v>318</v>
      </c>
      <c r="G2205" s="7" t="s">
        <v>3139</v>
      </c>
      <c r="H2205" s="7" t="s">
        <v>3140</v>
      </c>
      <c r="I2205" s="8">
        <v>4024.0</v>
      </c>
      <c r="J2205" s="8">
        <v>1.7</v>
      </c>
      <c r="K2205" s="8" t="s">
        <v>321</v>
      </c>
      <c r="M2205" s="8" t="s">
        <v>345</v>
      </c>
      <c r="N2205" s="8">
        <v>0.5</v>
      </c>
      <c r="O2205" s="14">
        <f t="shared" si="1"/>
        <v>43952</v>
      </c>
      <c r="P2205" s="15">
        <f>IFERROR(VLOOKUP(K2205,Formula!$A$11:$B$20,2,FALSE),Formula!$C$26)</f>
        <v>0.9</v>
      </c>
      <c r="Q2205" s="15">
        <f>IF(AND(ISNUMBER(J2205),J2205&gt;0),1/J2205,IF(AND(ISNUMBER(I2205),I2205&gt;0),SQRT(MIN(I2205,Formula!$C$27))/Formula!$C$24,1/Formula!$C$25))</f>
        <v>0.5882352941</v>
      </c>
      <c r="R2205" s="15">
        <f t="shared" si="2"/>
        <v>0.5294117647</v>
      </c>
      <c r="S2205" s="15">
        <f>IF(H2205&lt;&gt;"",EXP(-Formula!$C$28*(EOMONTH(H2205,0)-H2205)),EXP(-Formula!$C$28*(EOMONTH(D2205,0)-D2205)))</f>
        <v>0.7788007831</v>
      </c>
      <c r="T2205" s="15">
        <f t="shared" si="3"/>
        <v>0.3333333333</v>
      </c>
      <c r="U2205" s="15">
        <f t="shared" si="4"/>
        <v>0.1374354323</v>
      </c>
      <c r="V2205" s="16">
        <f>IF(AND(L2205="Among all respondents",NOT(OR(K2205="Online poll in Telegram channel",K2205="Website online poll",K2205="CAWI (Computer Assisted Web Interviewing)"))),1/(1-MIN(MAX(Formula!$C$33+(YEAR(D2205)-Formula!$C$34)/(Formula!$C$35-Formula!$C$34)*(Formula!$C$32-Formula!$C$33),Formula!$C$33),Formula!$C$32)),1)</f>
        <v>1</v>
      </c>
      <c r="W2205" s="17">
        <f t="shared" si="5"/>
        <v>0.5</v>
      </c>
    </row>
    <row r="2206" ht="15.75" customHeight="1">
      <c r="A2206" s="8" t="s">
        <v>3149</v>
      </c>
      <c r="B2206" s="7" t="s">
        <v>3150</v>
      </c>
      <c r="C2206" s="13" t="s">
        <v>3151</v>
      </c>
      <c r="D2206" s="7" t="s">
        <v>275</v>
      </c>
      <c r="E2206" s="8" t="s">
        <v>17</v>
      </c>
      <c r="F2206" s="8" t="s">
        <v>318</v>
      </c>
      <c r="G2206" s="7" t="s">
        <v>3152</v>
      </c>
      <c r="H2206" s="7" t="s">
        <v>3153</v>
      </c>
      <c r="I2206" s="8">
        <v>2000.0</v>
      </c>
      <c r="J2206" s="8">
        <v>2.1</v>
      </c>
      <c r="K2206" s="8" t="s">
        <v>436</v>
      </c>
      <c r="M2206" s="8" t="s">
        <v>323</v>
      </c>
      <c r="N2206" s="8">
        <v>40.4</v>
      </c>
      <c r="O2206" s="14">
        <f t="shared" si="1"/>
        <v>43922</v>
      </c>
      <c r="P2206" s="15">
        <f>IFERROR(VLOOKUP(K2206,Formula!$A$11:$B$20,2,FALSE),Formula!$C$26)</f>
        <v>0.95</v>
      </c>
      <c r="Q2206" s="15">
        <f>IF(AND(ISNUMBER(J2206),J2206&gt;0),1/J2206,IF(AND(ISNUMBER(I2206),I2206&gt;0),SQRT(MIN(I2206,Formula!$C$27))/Formula!$C$24,1/Formula!$C$25))</f>
        <v>0.4761904762</v>
      </c>
      <c r="R2206" s="15">
        <f t="shared" si="2"/>
        <v>0.4523809524</v>
      </c>
      <c r="S2206" s="15">
        <f>IF(H2206&lt;&gt;"",EXP(-Formula!$C$28*(EOMONTH(H2206,0)-H2206)),EXP(-Formula!$C$28*(EOMONTH(D2206,0)-D2206)))</f>
        <v>0.670320046</v>
      </c>
      <c r="T2206" s="15">
        <f t="shared" si="3"/>
        <v>0.316227766</v>
      </c>
      <c r="U2206" s="15">
        <f t="shared" si="4"/>
        <v>0.09589291435</v>
      </c>
      <c r="V2206" s="16">
        <f>IF(AND(L2206="Among all respondents",NOT(OR(K2206="Online poll in Telegram channel",K2206="Website online poll",K2206="CAWI (Computer Assisted Web Interviewing)"))),1/(1-MIN(MAX(Formula!$C$33+(YEAR(D2206)-Formula!$C$34)/(Formula!$C$35-Formula!$C$34)*(Formula!$C$32-Formula!$C$33),Formula!$C$33),Formula!$C$32)),1)</f>
        <v>1</v>
      </c>
      <c r="W2206" s="17">
        <f t="shared" si="5"/>
        <v>40.4</v>
      </c>
    </row>
    <row r="2207" ht="15.75" customHeight="1">
      <c r="A2207" s="8" t="s">
        <v>3154</v>
      </c>
      <c r="B2207" s="7" t="s">
        <v>3150</v>
      </c>
      <c r="C2207" s="13" t="s">
        <v>3151</v>
      </c>
      <c r="D2207" s="7" t="s">
        <v>275</v>
      </c>
      <c r="E2207" s="8" t="s">
        <v>17</v>
      </c>
      <c r="F2207" s="8" t="s">
        <v>318</v>
      </c>
      <c r="G2207" s="7" t="s">
        <v>3152</v>
      </c>
      <c r="H2207" s="7" t="s">
        <v>3153</v>
      </c>
      <c r="I2207" s="8">
        <v>2000.0</v>
      </c>
      <c r="J2207" s="8">
        <v>2.1</v>
      </c>
      <c r="K2207" s="8" t="s">
        <v>436</v>
      </c>
      <c r="M2207" s="8" t="s">
        <v>329</v>
      </c>
      <c r="N2207" s="8">
        <v>11.8</v>
      </c>
      <c r="O2207" s="14">
        <f t="shared" si="1"/>
        <v>43922</v>
      </c>
      <c r="P2207" s="15">
        <f>IFERROR(VLOOKUP(K2207,Formula!$A$11:$B$20,2,FALSE),Formula!$C$26)</f>
        <v>0.95</v>
      </c>
      <c r="Q2207" s="15">
        <f>IF(AND(ISNUMBER(J2207),J2207&gt;0),1/J2207,IF(AND(ISNUMBER(I2207),I2207&gt;0),SQRT(MIN(I2207,Formula!$C$27))/Formula!$C$24,1/Formula!$C$25))</f>
        <v>0.4761904762</v>
      </c>
      <c r="R2207" s="15">
        <f t="shared" si="2"/>
        <v>0.4523809524</v>
      </c>
      <c r="S2207" s="15">
        <f>IF(H2207&lt;&gt;"",EXP(-Formula!$C$28*(EOMONTH(H2207,0)-H2207)),EXP(-Formula!$C$28*(EOMONTH(D2207,0)-D2207)))</f>
        <v>0.670320046</v>
      </c>
      <c r="T2207" s="15">
        <f t="shared" si="3"/>
        <v>0.316227766</v>
      </c>
      <c r="U2207" s="15">
        <f t="shared" si="4"/>
        <v>0.09589291435</v>
      </c>
      <c r="V2207" s="16">
        <f>IF(AND(L2207="Among all respondents",NOT(OR(K2207="Online poll in Telegram channel",K2207="Website online poll",K2207="CAWI (Computer Assisted Web Interviewing)"))),1/(1-MIN(MAX(Formula!$C$33+(YEAR(D2207)-Formula!$C$34)/(Formula!$C$35-Formula!$C$34)*(Formula!$C$32-Formula!$C$33),Formula!$C$33),Formula!$C$32)),1)</f>
        <v>1</v>
      </c>
      <c r="W2207" s="17">
        <f t="shared" si="5"/>
        <v>11.8</v>
      </c>
    </row>
    <row r="2208" ht="15.75" customHeight="1">
      <c r="A2208" s="8" t="s">
        <v>3155</v>
      </c>
      <c r="B2208" s="7" t="s">
        <v>3150</v>
      </c>
      <c r="C2208" s="13" t="s">
        <v>3151</v>
      </c>
      <c r="D2208" s="7" t="s">
        <v>275</v>
      </c>
      <c r="E2208" s="8" t="s">
        <v>17</v>
      </c>
      <c r="F2208" s="8" t="s">
        <v>318</v>
      </c>
      <c r="G2208" s="7" t="s">
        <v>3152</v>
      </c>
      <c r="H2208" s="7" t="s">
        <v>3153</v>
      </c>
      <c r="I2208" s="8">
        <v>2000.0</v>
      </c>
      <c r="J2208" s="8">
        <v>2.1</v>
      </c>
      <c r="K2208" s="8" t="s">
        <v>436</v>
      </c>
      <c r="M2208" s="8" t="s">
        <v>365</v>
      </c>
      <c r="N2208" s="8">
        <v>8.8</v>
      </c>
      <c r="O2208" s="14">
        <f t="shared" si="1"/>
        <v>43922</v>
      </c>
      <c r="P2208" s="15">
        <f>IFERROR(VLOOKUP(K2208,Formula!$A$11:$B$20,2,FALSE),Formula!$C$26)</f>
        <v>0.95</v>
      </c>
      <c r="Q2208" s="15">
        <f>IF(AND(ISNUMBER(J2208),J2208&gt;0),1/J2208,IF(AND(ISNUMBER(I2208),I2208&gt;0),SQRT(MIN(I2208,Formula!$C$27))/Formula!$C$24,1/Formula!$C$25))</f>
        <v>0.4761904762</v>
      </c>
      <c r="R2208" s="15">
        <f t="shared" si="2"/>
        <v>0.4523809524</v>
      </c>
      <c r="S2208" s="15">
        <f>IF(H2208&lt;&gt;"",EXP(-Formula!$C$28*(EOMONTH(H2208,0)-H2208)),EXP(-Formula!$C$28*(EOMONTH(D2208,0)-D2208)))</f>
        <v>0.670320046</v>
      </c>
      <c r="T2208" s="15">
        <f t="shared" si="3"/>
        <v>0.316227766</v>
      </c>
      <c r="U2208" s="15">
        <f t="shared" si="4"/>
        <v>0.09589291435</v>
      </c>
      <c r="V2208" s="16">
        <f>IF(AND(L2208="Among all respondents",NOT(OR(K2208="Online poll in Telegram channel",K2208="Website online poll",K2208="CAWI (Computer Assisted Web Interviewing)"))),1/(1-MIN(MAX(Formula!$C$33+(YEAR(D2208)-Formula!$C$34)/(Formula!$C$35-Formula!$C$34)*(Formula!$C$32-Formula!$C$33),Formula!$C$33),Formula!$C$32)),1)</f>
        <v>1</v>
      </c>
      <c r="W2208" s="17">
        <f t="shared" si="5"/>
        <v>8.8</v>
      </c>
    </row>
    <row r="2209" ht="15.75" customHeight="1">
      <c r="A2209" s="8" t="s">
        <v>3156</v>
      </c>
      <c r="B2209" s="7" t="s">
        <v>3150</v>
      </c>
      <c r="C2209" s="13" t="s">
        <v>3151</v>
      </c>
      <c r="D2209" s="7" t="s">
        <v>275</v>
      </c>
      <c r="E2209" s="8" t="s">
        <v>17</v>
      </c>
      <c r="F2209" s="8" t="s">
        <v>318</v>
      </c>
      <c r="G2209" s="7" t="s">
        <v>3152</v>
      </c>
      <c r="H2209" s="7" t="s">
        <v>3153</v>
      </c>
      <c r="I2209" s="8">
        <v>2000.0</v>
      </c>
      <c r="J2209" s="8">
        <v>2.1</v>
      </c>
      <c r="K2209" s="8" t="s">
        <v>436</v>
      </c>
      <c r="M2209" s="8" t="s">
        <v>337</v>
      </c>
      <c r="N2209" s="8">
        <v>5.1</v>
      </c>
      <c r="O2209" s="14">
        <f t="shared" si="1"/>
        <v>43922</v>
      </c>
      <c r="P2209" s="15">
        <f>IFERROR(VLOOKUP(K2209,Formula!$A$11:$B$20,2,FALSE),Formula!$C$26)</f>
        <v>0.95</v>
      </c>
      <c r="Q2209" s="15">
        <f>IF(AND(ISNUMBER(J2209),J2209&gt;0),1/J2209,IF(AND(ISNUMBER(I2209),I2209&gt;0),SQRT(MIN(I2209,Formula!$C$27))/Formula!$C$24,1/Formula!$C$25))</f>
        <v>0.4761904762</v>
      </c>
      <c r="R2209" s="15">
        <f t="shared" si="2"/>
        <v>0.4523809524</v>
      </c>
      <c r="S2209" s="15">
        <f>IF(H2209&lt;&gt;"",EXP(-Formula!$C$28*(EOMONTH(H2209,0)-H2209)),EXP(-Formula!$C$28*(EOMONTH(D2209,0)-D2209)))</f>
        <v>0.670320046</v>
      </c>
      <c r="T2209" s="15">
        <f t="shared" si="3"/>
        <v>0.316227766</v>
      </c>
      <c r="U2209" s="15">
        <f t="shared" si="4"/>
        <v>0.09589291435</v>
      </c>
      <c r="V2209" s="16">
        <f>IF(AND(L2209="Among all respondents",NOT(OR(K2209="Online poll in Telegram channel",K2209="Website online poll",K2209="CAWI (Computer Assisted Web Interviewing)"))),1/(1-MIN(MAX(Formula!$C$33+(YEAR(D2209)-Formula!$C$34)/(Formula!$C$35-Formula!$C$34)*(Formula!$C$32-Formula!$C$33),Formula!$C$33),Formula!$C$32)),1)</f>
        <v>1</v>
      </c>
      <c r="W2209" s="17">
        <f t="shared" si="5"/>
        <v>5.1</v>
      </c>
    </row>
    <row r="2210" ht="15.75" customHeight="1">
      <c r="A2210" s="8" t="s">
        <v>3157</v>
      </c>
      <c r="B2210" s="7" t="s">
        <v>3150</v>
      </c>
      <c r="C2210" s="13" t="s">
        <v>3151</v>
      </c>
      <c r="D2210" s="7" t="s">
        <v>275</v>
      </c>
      <c r="E2210" s="8" t="s">
        <v>17</v>
      </c>
      <c r="F2210" s="8" t="s">
        <v>318</v>
      </c>
      <c r="G2210" s="7" t="s">
        <v>3152</v>
      </c>
      <c r="H2210" s="7" t="s">
        <v>3153</v>
      </c>
      <c r="I2210" s="8">
        <v>2000.0</v>
      </c>
      <c r="J2210" s="8">
        <v>2.1</v>
      </c>
      <c r="K2210" s="8" t="s">
        <v>436</v>
      </c>
      <c r="M2210" s="8" t="s">
        <v>828</v>
      </c>
      <c r="N2210" s="8">
        <v>4.3</v>
      </c>
      <c r="O2210" s="14">
        <f t="shared" si="1"/>
        <v>43922</v>
      </c>
      <c r="P2210" s="15">
        <f>IFERROR(VLOOKUP(K2210,Formula!$A$11:$B$20,2,FALSE),Formula!$C$26)</f>
        <v>0.95</v>
      </c>
      <c r="Q2210" s="15">
        <f>IF(AND(ISNUMBER(J2210),J2210&gt;0),1/J2210,IF(AND(ISNUMBER(I2210),I2210&gt;0),SQRT(MIN(I2210,Formula!$C$27))/Formula!$C$24,1/Formula!$C$25))</f>
        <v>0.4761904762</v>
      </c>
      <c r="R2210" s="15">
        <f t="shared" si="2"/>
        <v>0.4523809524</v>
      </c>
      <c r="S2210" s="15">
        <f>IF(H2210&lt;&gt;"",EXP(-Formula!$C$28*(EOMONTH(H2210,0)-H2210)),EXP(-Formula!$C$28*(EOMONTH(D2210,0)-D2210)))</f>
        <v>0.670320046</v>
      </c>
      <c r="T2210" s="15">
        <f t="shared" si="3"/>
        <v>0.316227766</v>
      </c>
      <c r="U2210" s="15">
        <f t="shared" si="4"/>
        <v>0.09589291435</v>
      </c>
      <c r="V2210" s="16">
        <f>IF(AND(L2210="Among all respondents",NOT(OR(K2210="Online poll in Telegram channel",K2210="Website online poll",K2210="CAWI (Computer Assisted Web Interviewing)"))),1/(1-MIN(MAX(Formula!$C$33+(YEAR(D2210)-Formula!$C$34)/(Formula!$C$35-Formula!$C$34)*(Formula!$C$32-Formula!$C$33),Formula!$C$33),Formula!$C$32)),1)</f>
        <v>1</v>
      </c>
      <c r="W2210" s="17">
        <f t="shared" si="5"/>
        <v>4.3</v>
      </c>
    </row>
    <row r="2211" ht="15.75" customHeight="1">
      <c r="A2211" s="8" t="s">
        <v>3158</v>
      </c>
      <c r="B2211" s="7" t="s">
        <v>3150</v>
      </c>
      <c r="C2211" s="13" t="s">
        <v>3151</v>
      </c>
      <c r="D2211" s="7" t="s">
        <v>275</v>
      </c>
      <c r="E2211" s="8" t="s">
        <v>17</v>
      </c>
      <c r="F2211" s="8" t="s">
        <v>318</v>
      </c>
      <c r="G2211" s="7" t="s">
        <v>3152</v>
      </c>
      <c r="H2211" s="7" t="s">
        <v>3153</v>
      </c>
      <c r="I2211" s="8">
        <v>2000.0</v>
      </c>
      <c r="J2211" s="8">
        <v>2.1</v>
      </c>
      <c r="K2211" s="8" t="s">
        <v>436</v>
      </c>
      <c r="M2211" s="8" t="s">
        <v>740</v>
      </c>
      <c r="N2211" s="8">
        <v>2.3</v>
      </c>
      <c r="O2211" s="14">
        <f t="shared" si="1"/>
        <v>43922</v>
      </c>
      <c r="P2211" s="15">
        <f>IFERROR(VLOOKUP(K2211,Formula!$A$11:$B$20,2,FALSE),Formula!$C$26)</f>
        <v>0.95</v>
      </c>
      <c r="Q2211" s="15">
        <f>IF(AND(ISNUMBER(J2211),J2211&gt;0),1/J2211,IF(AND(ISNUMBER(I2211),I2211&gt;0),SQRT(MIN(I2211,Formula!$C$27))/Formula!$C$24,1/Formula!$C$25))</f>
        <v>0.4761904762</v>
      </c>
      <c r="R2211" s="15">
        <f t="shared" si="2"/>
        <v>0.4523809524</v>
      </c>
      <c r="S2211" s="15">
        <f>IF(H2211&lt;&gt;"",EXP(-Formula!$C$28*(EOMONTH(H2211,0)-H2211)),EXP(-Formula!$C$28*(EOMONTH(D2211,0)-D2211)))</f>
        <v>0.670320046</v>
      </c>
      <c r="T2211" s="15">
        <f t="shared" si="3"/>
        <v>0.316227766</v>
      </c>
      <c r="U2211" s="15">
        <f t="shared" si="4"/>
        <v>0.09589291435</v>
      </c>
      <c r="V2211" s="16">
        <f>IF(AND(L2211="Among all respondents",NOT(OR(K2211="Online poll in Telegram channel",K2211="Website online poll",K2211="CAWI (Computer Assisted Web Interviewing)"))),1/(1-MIN(MAX(Formula!$C$33+(YEAR(D2211)-Formula!$C$34)/(Formula!$C$35-Formula!$C$34)*(Formula!$C$32-Formula!$C$33),Formula!$C$33),Formula!$C$32)),1)</f>
        <v>1</v>
      </c>
      <c r="W2211" s="17">
        <f t="shared" si="5"/>
        <v>2.3</v>
      </c>
    </row>
    <row r="2212" ht="15.75" customHeight="1">
      <c r="A2212" s="8" t="s">
        <v>3159</v>
      </c>
      <c r="B2212" s="7" t="s">
        <v>3150</v>
      </c>
      <c r="C2212" s="13" t="s">
        <v>3151</v>
      </c>
      <c r="D2212" s="7" t="s">
        <v>275</v>
      </c>
      <c r="E2212" s="8" t="s">
        <v>17</v>
      </c>
      <c r="F2212" s="8" t="s">
        <v>318</v>
      </c>
      <c r="G2212" s="7" t="s">
        <v>3152</v>
      </c>
      <c r="H2212" s="7" t="s">
        <v>3153</v>
      </c>
      <c r="I2212" s="8">
        <v>2000.0</v>
      </c>
      <c r="J2212" s="8">
        <v>2.1</v>
      </c>
      <c r="K2212" s="8" t="s">
        <v>436</v>
      </c>
      <c r="M2212" s="8" t="s">
        <v>3040</v>
      </c>
      <c r="N2212" s="8">
        <v>1.8</v>
      </c>
      <c r="O2212" s="14">
        <f t="shared" si="1"/>
        <v>43922</v>
      </c>
      <c r="P2212" s="15">
        <f>IFERROR(VLOOKUP(K2212,Formula!$A$11:$B$20,2,FALSE),Formula!$C$26)</f>
        <v>0.95</v>
      </c>
      <c r="Q2212" s="15">
        <f>IF(AND(ISNUMBER(J2212),J2212&gt;0),1/J2212,IF(AND(ISNUMBER(I2212),I2212&gt;0),SQRT(MIN(I2212,Formula!$C$27))/Formula!$C$24,1/Formula!$C$25))</f>
        <v>0.4761904762</v>
      </c>
      <c r="R2212" s="15">
        <f t="shared" si="2"/>
        <v>0.4523809524</v>
      </c>
      <c r="S2212" s="15">
        <f>IF(H2212&lt;&gt;"",EXP(-Formula!$C$28*(EOMONTH(H2212,0)-H2212)),EXP(-Formula!$C$28*(EOMONTH(D2212,0)-D2212)))</f>
        <v>0.670320046</v>
      </c>
      <c r="T2212" s="15">
        <f t="shared" si="3"/>
        <v>0.316227766</v>
      </c>
      <c r="U2212" s="15">
        <f t="shared" si="4"/>
        <v>0.09589291435</v>
      </c>
      <c r="V2212" s="16">
        <f>IF(AND(L2212="Among all respondents",NOT(OR(K2212="Online poll in Telegram channel",K2212="Website online poll",K2212="CAWI (Computer Assisted Web Interviewing)"))),1/(1-MIN(MAX(Formula!$C$33+(YEAR(D2212)-Formula!$C$34)/(Formula!$C$35-Formula!$C$34)*(Formula!$C$32-Formula!$C$33),Formula!$C$33),Formula!$C$32)),1)</f>
        <v>1</v>
      </c>
      <c r="W2212" s="17">
        <f t="shared" si="5"/>
        <v>1.8</v>
      </c>
    </row>
    <row r="2213" ht="15.75" customHeight="1">
      <c r="A2213" s="8" t="s">
        <v>3160</v>
      </c>
      <c r="B2213" s="7" t="s">
        <v>3150</v>
      </c>
      <c r="C2213" s="13" t="s">
        <v>3151</v>
      </c>
      <c r="D2213" s="7" t="s">
        <v>275</v>
      </c>
      <c r="E2213" s="8" t="s">
        <v>17</v>
      </c>
      <c r="F2213" s="8" t="s">
        <v>318</v>
      </c>
      <c r="G2213" s="7" t="s">
        <v>3152</v>
      </c>
      <c r="H2213" s="7" t="s">
        <v>3153</v>
      </c>
      <c r="I2213" s="8">
        <v>2000.0</v>
      </c>
      <c r="J2213" s="8">
        <v>2.1</v>
      </c>
      <c r="K2213" s="8" t="s">
        <v>436</v>
      </c>
      <c r="M2213" s="8" t="s">
        <v>3043</v>
      </c>
      <c r="N2213" s="8">
        <v>1.1</v>
      </c>
      <c r="O2213" s="14">
        <f t="shared" si="1"/>
        <v>43922</v>
      </c>
      <c r="P2213" s="15">
        <f>IFERROR(VLOOKUP(K2213,Formula!$A$11:$B$20,2,FALSE),Formula!$C$26)</f>
        <v>0.95</v>
      </c>
      <c r="Q2213" s="15">
        <f>IF(AND(ISNUMBER(J2213),J2213&gt;0),1/J2213,IF(AND(ISNUMBER(I2213),I2213&gt;0),SQRT(MIN(I2213,Formula!$C$27))/Formula!$C$24,1/Formula!$C$25))</f>
        <v>0.4761904762</v>
      </c>
      <c r="R2213" s="15">
        <f t="shared" si="2"/>
        <v>0.4523809524</v>
      </c>
      <c r="S2213" s="15">
        <f>IF(H2213&lt;&gt;"",EXP(-Formula!$C$28*(EOMONTH(H2213,0)-H2213)),EXP(-Formula!$C$28*(EOMONTH(D2213,0)-D2213)))</f>
        <v>0.670320046</v>
      </c>
      <c r="T2213" s="15">
        <f t="shared" si="3"/>
        <v>0.316227766</v>
      </c>
      <c r="U2213" s="15">
        <f t="shared" si="4"/>
        <v>0.09589291435</v>
      </c>
      <c r="V2213" s="16">
        <f>IF(AND(L2213="Among all respondents",NOT(OR(K2213="Online poll in Telegram channel",K2213="Website online poll",K2213="CAWI (Computer Assisted Web Interviewing)"))),1/(1-MIN(MAX(Formula!$C$33+(YEAR(D2213)-Formula!$C$34)/(Formula!$C$35-Formula!$C$34)*(Formula!$C$32-Formula!$C$33),Formula!$C$33),Formula!$C$32)),1)</f>
        <v>1</v>
      </c>
      <c r="W2213" s="17">
        <f t="shared" si="5"/>
        <v>1.1</v>
      </c>
    </row>
    <row r="2214" ht="15.75" customHeight="1">
      <c r="A2214" s="8" t="s">
        <v>3161</v>
      </c>
      <c r="B2214" s="7" t="s">
        <v>3150</v>
      </c>
      <c r="C2214" s="13" t="s">
        <v>3151</v>
      </c>
      <c r="D2214" s="7" t="s">
        <v>275</v>
      </c>
      <c r="E2214" s="8" t="s">
        <v>17</v>
      </c>
      <c r="F2214" s="8" t="s">
        <v>318</v>
      </c>
      <c r="G2214" s="7" t="s">
        <v>3152</v>
      </c>
      <c r="H2214" s="7" t="s">
        <v>3153</v>
      </c>
      <c r="I2214" s="8">
        <v>2000.0</v>
      </c>
      <c r="J2214" s="8">
        <v>2.1</v>
      </c>
      <c r="K2214" s="8" t="s">
        <v>436</v>
      </c>
      <c r="M2214" s="8" t="s">
        <v>3013</v>
      </c>
      <c r="N2214" s="8">
        <v>0.8</v>
      </c>
      <c r="O2214" s="14">
        <f t="shared" si="1"/>
        <v>43922</v>
      </c>
      <c r="P2214" s="15">
        <f>IFERROR(VLOOKUP(K2214,Formula!$A$11:$B$20,2,FALSE),Formula!$C$26)</f>
        <v>0.95</v>
      </c>
      <c r="Q2214" s="15">
        <f>IF(AND(ISNUMBER(J2214),J2214&gt;0),1/J2214,IF(AND(ISNUMBER(I2214),I2214&gt;0),SQRT(MIN(I2214,Formula!$C$27))/Formula!$C$24,1/Formula!$C$25))</f>
        <v>0.4761904762</v>
      </c>
      <c r="R2214" s="15">
        <f t="shared" si="2"/>
        <v>0.4523809524</v>
      </c>
      <c r="S2214" s="15">
        <f>IF(H2214&lt;&gt;"",EXP(-Formula!$C$28*(EOMONTH(H2214,0)-H2214)),EXP(-Formula!$C$28*(EOMONTH(D2214,0)-D2214)))</f>
        <v>0.670320046</v>
      </c>
      <c r="T2214" s="15">
        <f t="shared" si="3"/>
        <v>0.316227766</v>
      </c>
      <c r="U2214" s="15">
        <f t="shared" si="4"/>
        <v>0.09589291435</v>
      </c>
      <c r="V2214" s="16">
        <f>IF(AND(L2214="Among all respondents",NOT(OR(K2214="Online poll in Telegram channel",K2214="Website online poll",K2214="CAWI (Computer Assisted Web Interviewing)"))),1/(1-MIN(MAX(Formula!$C$33+(YEAR(D2214)-Formula!$C$34)/(Formula!$C$35-Formula!$C$34)*(Formula!$C$32-Formula!$C$33),Formula!$C$33),Formula!$C$32)),1)</f>
        <v>1</v>
      </c>
      <c r="W2214" s="17">
        <f t="shared" si="5"/>
        <v>0.8</v>
      </c>
    </row>
    <row r="2215" ht="15.75" customHeight="1">
      <c r="A2215" s="8" t="s">
        <v>3162</v>
      </c>
      <c r="B2215" s="7" t="s">
        <v>3150</v>
      </c>
      <c r="C2215" s="13" t="s">
        <v>3151</v>
      </c>
      <c r="D2215" s="7" t="s">
        <v>275</v>
      </c>
      <c r="E2215" s="8" t="s">
        <v>17</v>
      </c>
      <c r="F2215" s="8" t="s">
        <v>318</v>
      </c>
      <c r="G2215" s="7" t="s">
        <v>3152</v>
      </c>
      <c r="H2215" s="7" t="s">
        <v>3153</v>
      </c>
      <c r="I2215" s="8">
        <v>2000.0</v>
      </c>
      <c r="J2215" s="8">
        <v>2.1</v>
      </c>
      <c r="K2215" s="8" t="s">
        <v>436</v>
      </c>
      <c r="M2215" s="8" t="s">
        <v>335</v>
      </c>
      <c r="N2215" s="8">
        <v>0.3</v>
      </c>
      <c r="O2215" s="14">
        <f t="shared" si="1"/>
        <v>43922</v>
      </c>
      <c r="P2215" s="15">
        <f>IFERROR(VLOOKUP(K2215,Formula!$A$11:$B$20,2,FALSE),Formula!$C$26)</f>
        <v>0.95</v>
      </c>
      <c r="Q2215" s="15">
        <f>IF(AND(ISNUMBER(J2215),J2215&gt;0),1/J2215,IF(AND(ISNUMBER(I2215),I2215&gt;0),SQRT(MIN(I2215,Formula!$C$27))/Formula!$C$24,1/Formula!$C$25))</f>
        <v>0.4761904762</v>
      </c>
      <c r="R2215" s="15">
        <f t="shared" si="2"/>
        <v>0.4523809524</v>
      </c>
      <c r="S2215" s="15">
        <f>IF(H2215&lt;&gt;"",EXP(-Formula!$C$28*(EOMONTH(H2215,0)-H2215)),EXP(-Formula!$C$28*(EOMONTH(D2215,0)-D2215)))</f>
        <v>0.670320046</v>
      </c>
      <c r="T2215" s="15">
        <f t="shared" si="3"/>
        <v>0.316227766</v>
      </c>
      <c r="U2215" s="15">
        <f t="shared" si="4"/>
        <v>0.09589291435</v>
      </c>
      <c r="V2215" s="16">
        <f>IF(AND(L2215="Among all respondents",NOT(OR(K2215="Online poll in Telegram channel",K2215="Website online poll",K2215="CAWI (Computer Assisted Web Interviewing)"))),1/(1-MIN(MAX(Formula!$C$33+(YEAR(D2215)-Formula!$C$34)/(Formula!$C$35-Formula!$C$34)*(Formula!$C$32-Formula!$C$33),Formula!$C$33),Formula!$C$32)),1)</f>
        <v>1</v>
      </c>
      <c r="W2215" s="17">
        <f t="shared" si="5"/>
        <v>0.3</v>
      </c>
    </row>
    <row r="2216" ht="15.75" customHeight="1">
      <c r="A2216" s="8" t="s">
        <v>3163</v>
      </c>
      <c r="B2216" s="7" t="s">
        <v>3164</v>
      </c>
      <c r="C2216" s="13" t="s">
        <v>3165</v>
      </c>
      <c r="D2216" s="7" t="s">
        <v>277</v>
      </c>
      <c r="E2216" s="8" t="s">
        <v>156</v>
      </c>
      <c r="F2216" s="8" t="s">
        <v>318</v>
      </c>
      <c r="G2216" s="7" t="s">
        <v>3166</v>
      </c>
      <c r="H2216" s="7" t="s">
        <v>3167</v>
      </c>
      <c r="I2216" s="8">
        <v>2410.0</v>
      </c>
      <c r="J2216" s="8">
        <v>2.1</v>
      </c>
      <c r="K2216" s="8" t="s">
        <v>583</v>
      </c>
      <c r="M2216" s="8" t="s">
        <v>323</v>
      </c>
      <c r="N2216" s="8">
        <v>42.0</v>
      </c>
      <c r="O2216" s="14">
        <f t="shared" si="1"/>
        <v>43891</v>
      </c>
      <c r="P2216" s="15">
        <f>IFERROR(VLOOKUP(K2216,Formula!$A$11:$B$20,2,FALSE),Formula!$C$26)</f>
        <v>0.95</v>
      </c>
      <c r="Q2216" s="15">
        <f>IF(AND(ISNUMBER(J2216),J2216&gt;0),1/J2216,IF(AND(ISNUMBER(I2216),I2216&gt;0),SQRT(MIN(I2216,Formula!$C$27))/Formula!$C$24,1/Formula!$C$25))</f>
        <v>0.4761904762</v>
      </c>
      <c r="R2216" s="15">
        <f t="shared" si="2"/>
        <v>0.4523809524</v>
      </c>
      <c r="S2216" s="15">
        <f>IF(H2216&lt;&gt;"",EXP(-Formula!$C$28*(EOMONTH(H2216,0)-H2216)),EXP(-Formula!$C$28*(EOMONTH(D2216,0)-D2216)))</f>
        <v>0.7408182207</v>
      </c>
      <c r="T2216" s="15">
        <f t="shared" si="3"/>
        <v>0.377964473</v>
      </c>
      <c r="U2216" s="15">
        <f t="shared" si="4"/>
        <v>0.1266680095</v>
      </c>
      <c r="V2216" s="16">
        <f>IF(AND(L2216="Among all respondents",NOT(OR(K2216="Online poll in Telegram channel",K2216="Website online poll",K2216="CAWI (Computer Assisted Web Interviewing)"))),1/(1-MIN(MAX(Formula!$C$33+(YEAR(D2216)-Formula!$C$34)/(Formula!$C$35-Formula!$C$34)*(Formula!$C$32-Formula!$C$33),Formula!$C$33),Formula!$C$32)),1)</f>
        <v>1</v>
      </c>
      <c r="W2216" s="17">
        <f t="shared" si="5"/>
        <v>42</v>
      </c>
    </row>
    <row r="2217" ht="15.75" customHeight="1">
      <c r="A2217" s="8" t="s">
        <v>3168</v>
      </c>
      <c r="B2217" s="7" t="s">
        <v>3164</v>
      </c>
      <c r="C2217" s="13" t="s">
        <v>3165</v>
      </c>
      <c r="D2217" s="7" t="s">
        <v>277</v>
      </c>
      <c r="E2217" s="8" t="s">
        <v>156</v>
      </c>
      <c r="F2217" s="8" t="s">
        <v>318</v>
      </c>
      <c r="G2217" s="7" t="s">
        <v>3166</v>
      </c>
      <c r="H2217" s="7" t="s">
        <v>3167</v>
      </c>
      <c r="I2217" s="8">
        <v>2410.0</v>
      </c>
      <c r="J2217" s="8">
        <v>2.1</v>
      </c>
      <c r="K2217" s="8" t="s">
        <v>583</v>
      </c>
      <c r="M2217" s="8" t="s">
        <v>365</v>
      </c>
      <c r="N2217" s="8">
        <v>15.0</v>
      </c>
      <c r="O2217" s="14">
        <f t="shared" si="1"/>
        <v>43891</v>
      </c>
      <c r="P2217" s="15">
        <f>IFERROR(VLOOKUP(K2217,Formula!$A$11:$B$20,2,FALSE),Formula!$C$26)</f>
        <v>0.95</v>
      </c>
      <c r="Q2217" s="15">
        <f>IF(AND(ISNUMBER(J2217),J2217&gt;0),1/J2217,IF(AND(ISNUMBER(I2217),I2217&gt;0),SQRT(MIN(I2217,Formula!$C$27))/Formula!$C$24,1/Formula!$C$25))</f>
        <v>0.4761904762</v>
      </c>
      <c r="R2217" s="15">
        <f t="shared" si="2"/>
        <v>0.4523809524</v>
      </c>
      <c r="S2217" s="15">
        <f>IF(H2217&lt;&gt;"",EXP(-Formula!$C$28*(EOMONTH(H2217,0)-H2217)),EXP(-Formula!$C$28*(EOMONTH(D2217,0)-D2217)))</f>
        <v>0.7408182207</v>
      </c>
      <c r="T2217" s="15">
        <f t="shared" si="3"/>
        <v>0.377964473</v>
      </c>
      <c r="U2217" s="15">
        <f t="shared" si="4"/>
        <v>0.1266680095</v>
      </c>
      <c r="V2217" s="16">
        <f>IF(AND(L2217="Among all respondents",NOT(OR(K2217="Online poll in Telegram channel",K2217="Website online poll",K2217="CAWI (Computer Assisted Web Interviewing)"))),1/(1-MIN(MAX(Formula!$C$33+(YEAR(D2217)-Formula!$C$34)/(Formula!$C$35-Formula!$C$34)*(Formula!$C$32-Formula!$C$33),Formula!$C$33),Formula!$C$32)),1)</f>
        <v>1</v>
      </c>
      <c r="W2217" s="17">
        <f t="shared" si="5"/>
        <v>15</v>
      </c>
    </row>
    <row r="2218" ht="15.75" customHeight="1">
      <c r="A2218" s="8" t="s">
        <v>3169</v>
      </c>
      <c r="B2218" s="7" t="s">
        <v>3164</v>
      </c>
      <c r="C2218" s="13" t="s">
        <v>3165</v>
      </c>
      <c r="D2218" s="7" t="s">
        <v>277</v>
      </c>
      <c r="E2218" s="8" t="s">
        <v>156</v>
      </c>
      <c r="F2218" s="8" t="s">
        <v>318</v>
      </c>
      <c r="G2218" s="7" t="s">
        <v>3166</v>
      </c>
      <c r="H2218" s="7" t="s">
        <v>3167</v>
      </c>
      <c r="I2218" s="8">
        <v>2410.0</v>
      </c>
      <c r="J2218" s="8">
        <v>2.1</v>
      </c>
      <c r="K2218" s="8" t="s">
        <v>583</v>
      </c>
      <c r="M2218" s="8" t="s">
        <v>329</v>
      </c>
      <c r="N2218" s="8">
        <v>12.0</v>
      </c>
      <c r="O2218" s="14">
        <f t="shared" si="1"/>
        <v>43891</v>
      </c>
      <c r="P2218" s="15">
        <f>IFERROR(VLOOKUP(K2218,Formula!$A$11:$B$20,2,FALSE),Formula!$C$26)</f>
        <v>0.95</v>
      </c>
      <c r="Q2218" s="15">
        <f>IF(AND(ISNUMBER(J2218),J2218&gt;0),1/J2218,IF(AND(ISNUMBER(I2218),I2218&gt;0),SQRT(MIN(I2218,Formula!$C$27))/Formula!$C$24,1/Formula!$C$25))</f>
        <v>0.4761904762</v>
      </c>
      <c r="R2218" s="15">
        <f t="shared" si="2"/>
        <v>0.4523809524</v>
      </c>
      <c r="S2218" s="15">
        <f>IF(H2218&lt;&gt;"",EXP(-Formula!$C$28*(EOMONTH(H2218,0)-H2218)),EXP(-Formula!$C$28*(EOMONTH(D2218,0)-D2218)))</f>
        <v>0.7408182207</v>
      </c>
      <c r="T2218" s="15">
        <f t="shared" si="3"/>
        <v>0.377964473</v>
      </c>
      <c r="U2218" s="15">
        <f t="shared" si="4"/>
        <v>0.1266680095</v>
      </c>
      <c r="V2218" s="16">
        <f>IF(AND(L2218="Among all respondents",NOT(OR(K2218="Online poll in Telegram channel",K2218="Website online poll",K2218="CAWI (Computer Assisted Web Interviewing)"))),1/(1-MIN(MAX(Formula!$C$33+(YEAR(D2218)-Formula!$C$34)/(Formula!$C$35-Formula!$C$34)*(Formula!$C$32-Formula!$C$33),Formula!$C$33),Formula!$C$32)),1)</f>
        <v>1</v>
      </c>
      <c r="W2218" s="17">
        <f t="shared" si="5"/>
        <v>12</v>
      </c>
    </row>
    <row r="2219" ht="15.75" customHeight="1">
      <c r="A2219" s="8" t="s">
        <v>3170</v>
      </c>
      <c r="B2219" s="7" t="s">
        <v>3164</v>
      </c>
      <c r="C2219" s="13" t="s">
        <v>3165</v>
      </c>
      <c r="D2219" s="7" t="s">
        <v>277</v>
      </c>
      <c r="E2219" s="8" t="s">
        <v>156</v>
      </c>
      <c r="F2219" s="8" t="s">
        <v>318</v>
      </c>
      <c r="G2219" s="7" t="s">
        <v>3166</v>
      </c>
      <c r="H2219" s="7" t="s">
        <v>3167</v>
      </c>
      <c r="I2219" s="8">
        <v>2410.0</v>
      </c>
      <c r="J2219" s="8">
        <v>2.1</v>
      </c>
      <c r="K2219" s="8" t="s">
        <v>583</v>
      </c>
      <c r="M2219" s="8" t="s">
        <v>337</v>
      </c>
      <c r="N2219" s="8">
        <v>8.0</v>
      </c>
      <c r="O2219" s="14">
        <f t="shared" si="1"/>
        <v>43891</v>
      </c>
      <c r="P2219" s="15">
        <f>IFERROR(VLOOKUP(K2219,Formula!$A$11:$B$20,2,FALSE),Formula!$C$26)</f>
        <v>0.95</v>
      </c>
      <c r="Q2219" s="15">
        <f>IF(AND(ISNUMBER(J2219),J2219&gt;0),1/J2219,IF(AND(ISNUMBER(I2219),I2219&gt;0),SQRT(MIN(I2219,Formula!$C$27))/Formula!$C$24,1/Formula!$C$25))</f>
        <v>0.4761904762</v>
      </c>
      <c r="R2219" s="15">
        <f t="shared" si="2"/>
        <v>0.4523809524</v>
      </c>
      <c r="S2219" s="15">
        <f>IF(H2219&lt;&gt;"",EXP(-Formula!$C$28*(EOMONTH(H2219,0)-H2219)),EXP(-Formula!$C$28*(EOMONTH(D2219,0)-D2219)))</f>
        <v>0.7408182207</v>
      </c>
      <c r="T2219" s="15">
        <f t="shared" si="3"/>
        <v>0.377964473</v>
      </c>
      <c r="U2219" s="15">
        <f t="shared" si="4"/>
        <v>0.1266680095</v>
      </c>
      <c r="V2219" s="16">
        <f>IF(AND(L2219="Among all respondents",NOT(OR(K2219="Online poll in Telegram channel",K2219="Website online poll",K2219="CAWI (Computer Assisted Web Interviewing)"))),1/(1-MIN(MAX(Formula!$C$33+(YEAR(D2219)-Formula!$C$34)/(Formula!$C$35-Formula!$C$34)*(Formula!$C$32-Formula!$C$33),Formula!$C$33),Formula!$C$32)),1)</f>
        <v>1</v>
      </c>
      <c r="W2219" s="17">
        <f t="shared" si="5"/>
        <v>8</v>
      </c>
    </row>
    <row r="2220" ht="15.75" customHeight="1">
      <c r="A2220" s="8" t="s">
        <v>3171</v>
      </c>
      <c r="B2220" s="7" t="s">
        <v>3164</v>
      </c>
      <c r="C2220" s="13" t="s">
        <v>3165</v>
      </c>
      <c r="D2220" s="7" t="s">
        <v>277</v>
      </c>
      <c r="E2220" s="8" t="s">
        <v>156</v>
      </c>
      <c r="F2220" s="8" t="s">
        <v>318</v>
      </c>
      <c r="G2220" s="7" t="s">
        <v>3166</v>
      </c>
      <c r="H2220" s="7" t="s">
        <v>3167</v>
      </c>
      <c r="I2220" s="8">
        <v>2410.0</v>
      </c>
      <c r="J2220" s="8">
        <v>2.1</v>
      </c>
      <c r="K2220" s="8" t="s">
        <v>583</v>
      </c>
      <c r="M2220" s="8" t="s">
        <v>828</v>
      </c>
      <c r="N2220" s="8">
        <v>5.0</v>
      </c>
      <c r="O2220" s="14">
        <f t="shared" si="1"/>
        <v>43891</v>
      </c>
      <c r="P2220" s="15">
        <f>IFERROR(VLOOKUP(K2220,Formula!$A$11:$B$20,2,FALSE),Formula!$C$26)</f>
        <v>0.95</v>
      </c>
      <c r="Q2220" s="15">
        <f>IF(AND(ISNUMBER(J2220),J2220&gt;0),1/J2220,IF(AND(ISNUMBER(I2220),I2220&gt;0),SQRT(MIN(I2220,Formula!$C$27))/Formula!$C$24,1/Formula!$C$25))</f>
        <v>0.4761904762</v>
      </c>
      <c r="R2220" s="15">
        <f t="shared" si="2"/>
        <v>0.4523809524</v>
      </c>
      <c r="S2220" s="15">
        <f>IF(H2220&lt;&gt;"",EXP(-Formula!$C$28*(EOMONTH(H2220,0)-H2220)),EXP(-Formula!$C$28*(EOMONTH(D2220,0)-D2220)))</f>
        <v>0.7408182207</v>
      </c>
      <c r="T2220" s="15">
        <f t="shared" si="3"/>
        <v>0.377964473</v>
      </c>
      <c r="U2220" s="15">
        <f t="shared" si="4"/>
        <v>0.1266680095</v>
      </c>
      <c r="V2220" s="16">
        <f>IF(AND(L2220="Among all respondents",NOT(OR(K2220="Online poll in Telegram channel",K2220="Website online poll",K2220="CAWI (Computer Assisted Web Interviewing)"))),1/(1-MIN(MAX(Formula!$C$33+(YEAR(D2220)-Formula!$C$34)/(Formula!$C$35-Formula!$C$34)*(Formula!$C$32-Formula!$C$33),Formula!$C$33),Formula!$C$32)),1)</f>
        <v>1</v>
      </c>
      <c r="W2220" s="17">
        <f t="shared" si="5"/>
        <v>5</v>
      </c>
    </row>
    <row r="2221" ht="15.75" customHeight="1">
      <c r="A2221" s="8" t="s">
        <v>3172</v>
      </c>
      <c r="B2221" s="7" t="s">
        <v>3164</v>
      </c>
      <c r="C2221" s="13" t="s">
        <v>3165</v>
      </c>
      <c r="D2221" s="7" t="s">
        <v>277</v>
      </c>
      <c r="E2221" s="8" t="s">
        <v>156</v>
      </c>
      <c r="F2221" s="8" t="s">
        <v>318</v>
      </c>
      <c r="G2221" s="7" t="s">
        <v>3166</v>
      </c>
      <c r="H2221" s="7" t="s">
        <v>3167</v>
      </c>
      <c r="I2221" s="8">
        <v>2410.0</v>
      </c>
      <c r="J2221" s="8">
        <v>2.1</v>
      </c>
      <c r="K2221" s="8" t="s">
        <v>583</v>
      </c>
      <c r="M2221" s="8" t="s">
        <v>838</v>
      </c>
      <c r="N2221" s="8">
        <v>3.0</v>
      </c>
      <c r="O2221" s="14">
        <f t="shared" si="1"/>
        <v>43891</v>
      </c>
      <c r="P2221" s="15">
        <f>IFERROR(VLOOKUP(K2221,Formula!$A$11:$B$20,2,FALSE),Formula!$C$26)</f>
        <v>0.95</v>
      </c>
      <c r="Q2221" s="15">
        <f>IF(AND(ISNUMBER(J2221),J2221&gt;0),1/J2221,IF(AND(ISNUMBER(I2221),I2221&gt;0),SQRT(MIN(I2221,Formula!$C$27))/Formula!$C$24,1/Formula!$C$25))</f>
        <v>0.4761904762</v>
      </c>
      <c r="R2221" s="15">
        <f t="shared" si="2"/>
        <v>0.4523809524</v>
      </c>
      <c r="S2221" s="15">
        <f>IF(H2221&lt;&gt;"",EXP(-Formula!$C$28*(EOMONTH(H2221,0)-H2221)),EXP(-Formula!$C$28*(EOMONTH(D2221,0)-D2221)))</f>
        <v>0.7408182207</v>
      </c>
      <c r="T2221" s="15">
        <f t="shared" si="3"/>
        <v>0.377964473</v>
      </c>
      <c r="U2221" s="15">
        <f t="shared" si="4"/>
        <v>0.1266680095</v>
      </c>
      <c r="V2221" s="16">
        <f>IF(AND(L2221="Among all respondents",NOT(OR(K2221="Online poll in Telegram channel",K2221="Website online poll",K2221="CAWI (Computer Assisted Web Interviewing)"))),1/(1-MIN(MAX(Formula!$C$33+(YEAR(D2221)-Formula!$C$34)/(Formula!$C$35-Formula!$C$34)*(Formula!$C$32-Formula!$C$33),Formula!$C$33),Formula!$C$32)),1)</f>
        <v>1</v>
      </c>
      <c r="W2221" s="17">
        <f t="shared" si="5"/>
        <v>3</v>
      </c>
    </row>
    <row r="2222" ht="15.75" customHeight="1">
      <c r="A2222" s="8" t="s">
        <v>3173</v>
      </c>
      <c r="B2222" s="7" t="s">
        <v>3164</v>
      </c>
      <c r="C2222" s="13" t="s">
        <v>3165</v>
      </c>
      <c r="D2222" s="7" t="s">
        <v>277</v>
      </c>
      <c r="E2222" s="8" t="s">
        <v>156</v>
      </c>
      <c r="F2222" s="8" t="s">
        <v>318</v>
      </c>
      <c r="G2222" s="7" t="s">
        <v>3166</v>
      </c>
      <c r="H2222" s="7" t="s">
        <v>3167</v>
      </c>
      <c r="I2222" s="8">
        <v>2410.0</v>
      </c>
      <c r="J2222" s="8">
        <v>2.1</v>
      </c>
      <c r="K2222" s="8" t="s">
        <v>583</v>
      </c>
      <c r="M2222" s="8" t="s">
        <v>345</v>
      </c>
      <c r="N2222" s="8">
        <v>1.0</v>
      </c>
      <c r="O2222" s="14">
        <f t="shared" si="1"/>
        <v>43891</v>
      </c>
      <c r="P2222" s="15">
        <f>IFERROR(VLOOKUP(K2222,Formula!$A$11:$B$20,2,FALSE),Formula!$C$26)</f>
        <v>0.95</v>
      </c>
      <c r="Q2222" s="15">
        <f>IF(AND(ISNUMBER(J2222),J2222&gt;0),1/J2222,IF(AND(ISNUMBER(I2222),I2222&gt;0),SQRT(MIN(I2222,Formula!$C$27))/Formula!$C$24,1/Formula!$C$25))</f>
        <v>0.4761904762</v>
      </c>
      <c r="R2222" s="15">
        <f t="shared" si="2"/>
        <v>0.4523809524</v>
      </c>
      <c r="S2222" s="15">
        <f>IF(H2222&lt;&gt;"",EXP(-Formula!$C$28*(EOMONTH(H2222,0)-H2222)),EXP(-Formula!$C$28*(EOMONTH(D2222,0)-D2222)))</f>
        <v>0.7408182207</v>
      </c>
      <c r="T2222" s="15">
        <f t="shared" si="3"/>
        <v>0.377964473</v>
      </c>
      <c r="U2222" s="15">
        <f t="shared" si="4"/>
        <v>0.1266680095</v>
      </c>
      <c r="V2222" s="16">
        <f>IF(AND(L2222="Among all respondents",NOT(OR(K2222="Online poll in Telegram channel",K2222="Website online poll",K2222="CAWI (Computer Assisted Web Interviewing)"))),1/(1-MIN(MAX(Formula!$C$33+(YEAR(D2222)-Formula!$C$34)/(Formula!$C$35-Formula!$C$34)*(Formula!$C$32-Formula!$C$33),Formula!$C$33),Formula!$C$32)),1)</f>
        <v>1</v>
      </c>
      <c r="W2222" s="17">
        <f t="shared" si="5"/>
        <v>1</v>
      </c>
    </row>
    <row r="2223" ht="15.75" customHeight="1">
      <c r="A2223" s="8" t="s">
        <v>3174</v>
      </c>
      <c r="B2223" s="7" t="s">
        <v>3175</v>
      </c>
      <c r="C2223" s="13" t="s">
        <v>3176</v>
      </c>
      <c r="D2223" s="7" t="s">
        <v>279</v>
      </c>
      <c r="E2223" s="8" t="s">
        <v>72</v>
      </c>
      <c r="F2223" s="8" t="s">
        <v>318</v>
      </c>
      <c r="G2223" s="7" t="s">
        <v>3177</v>
      </c>
      <c r="H2223" s="7" t="s">
        <v>3178</v>
      </c>
      <c r="I2223" s="8">
        <v>2038.0</v>
      </c>
      <c r="J2223" s="8">
        <v>3.3</v>
      </c>
      <c r="K2223" s="8" t="s">
        <v>583</v>
      </c>
      <c r="M2223" s="8" t="s">
        <v>323</v>
      </c>
      <c r="N2223" s="8">
        <v>24.8</v>
      </c>
      <c r="O2223" s="14">
        <f t="shared" si="1"/>
        <v>43862</v>
      </c>
      <c r="P2223" s="15">
        <f>IFERROR(VLOOKUP(K2223,Formula!$A$11:$B$20,2,FALSE),Formula!$C$26)</f>
        <v>0.95</v>
      </c>
      <c r="Q2223" s="15">
        <f>IF(AND(ISNUMBER(J2223),J2223&gt;0),1/J2223,IF(AND(ISNUMBER(I2223),I2223&gt;0),SQRT(MIN(I2223,Formula!$C$27))/Formula!$C$24,1/Formula!$C$25))</f>
        <v>0.303030303</v>
      </c>
      <c r="R2223" s="15">
        <f t="shared" si="2"/>
        <v>0.2878787879</v>
      </c>
      <c r="S2223" s="15">
        <f>IF(H2223&lt;&gt;"",EXP(-Formula!$C$28*(EOMONTH(H2223,0)-H2223)),EXP(-Formula!$C$28*(EOMONTH(D2223,0)-D2223)))</f>
        <v>0.5769498104</v>
      </c>
      <c r="T2223" s="15">
        <f t="shared" si="3"/>
        <v>0.316227766</v>
      </c>
      <c r="U2223" s="15">
        <f t="shared" si="4"/>
        <v>0.05252277944</v>
      </c>
      <c r="V2223" s="16">
        <f>IF(AND(L2223="Among all respondents",NOT(OR(K2223="Online poll in Telegram channel",K2223="Website online poll",K2223="CAWI (Computer Assisted Web Interviewing)"))),1/(1-MIN(MAX(Formula!$C$33+(YEAR(D2223)-Formula!$C$34)/(Formula!$C$35-Formula!$C$34)*(Formula!$C$32-Formula!$C$33),Formula!$C$33),Formula!$C$32)),1)</f>
        <v>1</v>
      </c>
      <c r="W2223" s="17">
        <f t="shared" si="5"/>
        <v>24.8</v>
      </c>
    </row>
    <row r="2224" ht="15.75" customHeight="1">
      <c r="A2224" s="8" t="s">
        <v>3179</v>
      </c>
      <c r="B2224" s="7" t="s">
        <v>3175</v>
      </c>
      <c r="C2224" s="13" t="s">
        <v>3176</v>
      </c>
      <c r="D2224" s="7" t="s">
        <v>279</v>
      </c>
      <c r="E2224" s="8" t="s">
        <v>72</v>
      </c>
      <c r="F2224" s="8" t="s">
        <v>318</v>
      </c>
      <c r="G2224" s="7" t="s">
        <v>3177</v>
      </c>
      <c r="H2224" s="7" t="s">
        <v>3178</v>
      </c>
      <c r="I2224" s="8">
        <v>2038.0</v>
      </c>
      <c r="J2224" s="8">
        <v>3.3</v>
      </c>
      <c r="K2224" s="8" t="s">
        <v>583</v>
      </c>
      <c r="M2224" s="8" t="s">
        <v>365</v>
      </c>
      <c r="N2224" s="8">
        <v>7.3</v>
      </c>
      <c r="O2224" s="14">
        <f t="shared" si="1"/>
        <v>43862</v>
      </c>
      <c r="P2224" s="15">
        <f>IFERROR(VLOOKUP(K2224,Formula!$A$11:$B$20,2,FALSE),Formula!$C$26)</f>
        <v>0.95</v>
      </c>
      <c r="Q2224" s="15">
        <f>IF(AND(ISNUMBER(J2224),J2224&gt;0),1/J2224,IF(AND(ISNUMBER(I2224),I2224&gt;0),SQRT(MIN(I2224,Formula!$C$27))/Formula!$C$24,1/Formula!$C$25))</f>
        <v>0.303030303</v>
      </c>
      <c r="R2224" s="15">
        <f t="shared" si="2"/>
        <v>0.2878787879</v>
      </c>
      <c r="S2224" s="15">
        <f>IF(H2224&lt;&gt;"",EXP(-Formula!$C$28*(EOMONTH(H2224,0)-H2224)),EXP(-Formula!$C$28*(EOMONTH(D2224,0)-D2224)))</f>
        <v>0.5769498104</v>
      </c>
      <c r="T2224" s="15">
        <f t="shared" si="3"/>
        <v>0.316227766</v>
      </c>
      <c r="U2224" s="15">
        <f t="shared" si="4"/>
        <v>0.05252277944</v>
      </c>
      <c r="V2224" s="16">
        <f>IF(AND(L2224="Among all respondents",NOT(OR(K2224="Online poll in Telegram channel",K2224="Website online poll",K2224="CAWI (Computer Assisted Web Interviewing)"))),1/(1-MIN(MAX(Formula!$C$33+(YEAR(D2224)-Formula!$C$34)/(Formula!$C$35-Formula!$C$34)*(Formula!$C$32-Formula!$C$33),Formula!$C$33),Formula!$C$32)),1)</f>
        <v>1</v>
      </c>
      <c r="W2224" s="17">
        <f t="shared" si="5"/>
        <v>7.3</v>
      </c>
    </row>
    <row r="2225" ht="15.75" customHeight="1">
      <c r="A2225" s="8" t="s">
        <v>3180</v>
      </c>
      <c r="B2225" s="7" t="s">
        <v>3175</v>
      </c>
      <c r="C2225" s="13" t="s">
        <v>3176</v>
      </c>
      <c r="D2225" s="7" t="s">
        <v>279</v>
      </c>
      <c r="E2225" s="8" t="s">
        <v>72</v>
      </c>
      <c r="F2225" s="8" t="s">
        <v>318</v>
      </c>
      <c r="G2225" s="7" t="s">
        <v>3177</v>
      </c>
      <c r="H2225" s="7" t="s">
        <v>3178</v>
      </c>
      <c r="I2225" s="8">
        <v>2038.0</v>
      </c>
      <c r="J2225" s="8">
        <v>3.3</v>
      </c>
      <c r="K2225" s="8" t="s">
        <v>583</v>
      </c>
      <c r="M2225" s="8" t="s">
        <v>329</v>
      </c>
      <c r="N2225" s="8">
        <v>6.5</v>
      </c>
      <c r="O2225" s="14">
        <f t="shared" si="1"/>
        <v>43862</v>
      </c>
      <c r="P2225" s="15">
        <f>IFERROR(VLOOKUP(K2225,Formula!$A$11:$B$20,2,FALSE),Formula!$C$26)</f>
        <v>0.95</v>
      </c>
      <c r="Q2225" s="15">
        <f>IF(AND(ISNUMBER(J2225),J2225&gt;0),1/J2225,IF(AND(ISNUMBER(I2225),I2225&gt;0),SQRT(MIN(I2225,Formula!$C$27))/Formula!$C$24,1/Formula!$C$25))</f>
        <v>0.303030303</v>
      </c>
      <c r="R2225" s="15">
        <f t="shared" si="2"/>
        <v>0.2878787879</v>
      </c>
      <c r="S2225" s="15">
        <f>IF(H2225&lt;&gt;"",EXP(-Formula!$C$28*(EOMONTH(H2225,0)-H2225)),EXP(-Formula!$C$28*(EOMONTH(D2225,0)-D2225)))</f>
        <v>0.5769498104</v>
      </c>
      <c r="T2225" s="15">
        <f t="shared" si="3"/>
        <v>0.316227766</v>
      </c>
      <c r="U2225" s="15">
        <f t="shared" si="4"/>
        <v>0.05252277944</v>
      </c>
      <c r="V2225" s="16">
        <f>IF(AND(L2225="Among all respondents",NOT(OR(K2225="Online poll in Telegram channel",K2225="Website online poll",K2225="CAWI (Computer Assisted Web Interviewing)"))),1/(1-MIN(MAX(Formula!$C$33+(YEAR(D2225)-Formula!$C$34)/(Formula!$C$35-Formula!$C$34)*(Formula!$C$32-Formula!$C$33),Formula!$C$33),Formula!$C$32)),1)</f>
        <v>1</v>
      </c>
      <c r="W2225" s="17">
        <f t="shared" si="5"/>
        <v>6.5</v>
      </c>
    </row>
    <row r="2226" ht="15.75" customHeight="1">
      <c r="A2226" s="8" t="s">
        <v>3181</v>
      </c>
      <c r="B2226" s="7" t="s">
        <v>3175</v>
      </c>
      <c r="C2226" s="13" t="s">
        <v>3176</v>
      </c>
      <c r="D2226" s="7" t="s">
        <v>279</v>
      </c>
      <c r="E2226" s="8" t="s">
        <v>72</v>
      </c>
      <c r="F2226" s="8" t="s">
        <v>318</v>
      </c>
      <c r="G2226" s="7" t="s">
        <v>3177</v>
      </c>
      <c r="H2226" s="7" t="s">
        <v>3178</v>
      </c>
      <c r="I2226" s="8">
        <v>2038.0</v>
      </c>
      <c r="J2226" s="8">
        <v>3.3</v>
      </c>
      <c r="K2226" s="8" t="s">
        <v>583</v>
      </c>
      <c r="M2226" s="8" t="s">
        <v>337</v>
      </c>
      <c r="N2226" s="8">
        <v>3.9</v>
      </c>
      <c r="O2226" s="14">
        <f t="shared" si="1"/>
        <v>43862</v>
      </c>
      <c r="P2226" s="15">
        <f>IFERROR(VLOOKUP(K2226,Formula!$A$11:$B$20,2,FALSE),Formula!$C$26)</f>
        <v>0.95</v>
      </c>
      <c r="Q2226" s="15">
        <f>IF(AND(ISNUMBER(J2226),J2226&gt;0),1/J2226,IF(AND(ISNUMBER(I2226),I2226&gt;0),SQRT(MIN(I2226,Formula!$C$27))/Formula!$C$24,1/Formula!$C$25))</f>
        <v>0.303030303</v>
      </c>
      <c r="R2226" s="15">
        <f t="shared" si="2"/>
        <v>0.2878787879</v>
      </c>
      <c r="S2226" s="15">
        <f>IF(H2226&lt;&gt;"",EXP(-Formula!$C$28*(EOMONTH(H2226,0)-H2226)),EXP(-Formula!$C$28*(EOMONTH(D2226,0)-D2226)))</f>
        <v>0.5769498104</v>
      </c>
      <c r="T2226" s="15">
        <f t="shared" si="3"/>
        <v>0.316227766</v>
      </c>
      <c r="U2226" s="15">
        <f t="shared" si="4"/>
        <v>0.05252277944</v>
      </c>
      <c r="V2226" s="16">
        <f>IF(AND(L2226="Among all respondents",NOT(OR(K2226="Online poll in Telegram channel",K2226="Website online poll",K2226="CAWI (Computer Assisted Web Interviewing)"))),1/(1-MIN(MAX(Formula!$C$33+(YEAR(D2226)-Formula!$C$34)/(Formula!$C$35-Formula!$C$34)*(Formula!$C$32-Formula!$C$33),Formula!$C$33),Formula!$C$32)),1)</f>
        <v>1</v>
      </c>
      <c r="W2226" s="17">
        <f t="shared" si="5"/>
        <v>3.9</v>
      </c>
    </row>
    <row r="2227" ht="15.75" customHeight="1">
      <c r="A2227" s="8" t="s">
        <v>3182</v>
      </c>
      <c r="B2227" s="7" t="s">
        <v>3175</v>
      </c>
      <c r="C2227" s="13" t="s">
        <v>3176</v>
      </c>
      <c r="D2227" s="7" t="s">
        <v>279</v>
      </c>
      <c r="E2227" s="8" t="s">
        <v>72</v>
      </c>
      <c r="F2227" s="8" t="s">
        <v>318</v>
      </c>
      <c r="G2227" s="7" t="s">
        <v>3177</v>
      </c>
      <c r="H2227" s="7" t="s">
        <v>3178</v>
      </c>
      <c r="I2227" s="8">
        <v>2038.0</v>
      </c>
      <c r="J2227" s="8">
        <v>3.3</v>
      </c>
      <c r="K2227" s="8" t="s">
        <v>583</v>
      </c>
      <c r="M2227" s="8" t="s">
        <v>828</v>
      </c>
      <c r="N2227" s="8">
        <v>2.8</v>
      </c>
      <c r="O2227" s="14">
        <f t="shared" si="1"/>
        <v>43862</v>
      </c>
      <c r="P2227" s="15">
        <f>IFERROR(VLOOKUP(K2227,Formula!$A$11:$B$20,2,FALSE),Formula!$C$26)</f>
        <v>0.95</v>
      </c>
      <c r="Q2227" s="15">
        <f>IF(AND(ISNUMBER(J2227),J2227&gt;0),1/J2227,IF(AND(ISNUMBER(I2227),I2227&gt;0),SQRT(MIN(I2227,Formula!$C$27))/Formula!$C$24,1/Formula!$C$25))</f>
        <v>0.303030303</v>
      </c>
      <c r="R2227" s="15">
        <f t="shared" si="2"/>
        <v>0.2878787879</v>
      </c>
      <c r="S2227" s="15">
        <f>IF(H2227&lt;&gt;"",EXP(-Formula!$C$28*(EOMONTH(H2227,0)-H2227)),EXP(-Formula!$C$28*(EOMONTH(D2227,0)-D2227)))</f>
        <v>0.5769498104</v>
      </c>
      <c r="T2227" s="15">
        <f t="shared" si="3"/>
        <v>0.316227766</v>
      </c>
      <c r="U2227" s="15">
        <f t="shared" si="4"/>
        <v>0.05252277944</v>
      </c>
      <c r="V2227" s="16">
        <f>IF(AND(L2227="Among all respondents",NOT(OR(K2227="Online poll in Telegram channel",K2227="Website online poll",K2227="CAWI (Computer Assisted Web Interviewing)"))),1/(1-MIN(MAX(Formula!$C$33+(YEAR(D2227)-Formula!$C$34)/(Formula!$C$35-Formula!$C$34)*(Formula!$C$32-Formula!$C$33),Formula!$C$33),Formula!$C$32)),1)</f>
        <v>1</v>
      </c>
      <c r="W2227" s="17">
        <f t="shared" si="5"/>
        <v>2.8</v>
      </c>
    </row>
    <row r="2228" ht="15.75" customHeight="1">
      <c r="A2228" s="8" t="s">
        <v>3183</v>
      </c>
      <c r="B2228" s="7" t="s">
        <v>3175</v>
      </c>
      <c r="C2228" s="13" t="s">
        <v>3176</v>
      </c>
      <c r="D2228" s="7" t="s">
        <v>279</v>
      </c>
      <c r="E2228" s="8" t="s">
        <v>72</v>
      </c>
      <c r="F2228" s="8" t="s">
        <v>318</v>
      </c>
      <c r="G2228" s="7" t="s">
        <v>3177</v>
      </c>
      <c r="H2228" s="7" t="s">
        <v>3178</v>
      </c>
      <c r="I2228" s="8">
        <v>2038.0</v>
      </c>
      <c r="J2228" s="8">
        <v>3.3</v>
      </c>
      <c r="K2228" s="8" t="s">
        <v>583</v>
      </c>
      <c r="M2228" s="8" t="s">
        <v>388</v>
      </c>
      <c r="N2228" s="8">
        <v>2.2</v>
      </c>
      <c r="O2228" s="14">
        <f t="shared" si="1"/>
        <v>43862</v>
      </c>
      <c r="P2228" s="15">
        <f>IFERROR(VLOOKUP(K2228,Formula!$A$11:$B$20,2,FALSE),Formula!$C$26)</f>
        <v>0.95</v>
      </c>
      <c r="Q2228" s="15">
        <f>IF(AND(ISNUMBER(J2228),J2228&gt;0),1/J2228,IF(AND(ISNUMBER(I2228),I2228&gt;0),SQRT(MIN(I2228,Formula!$C$27))/Formula!$C$24,1/Formula!$C$25))</f>
        <v>0.303030303</v>
      </c>
      <c r="R2228" s="15">
        <f t="shared" si="2"/>
        <v>0.2878787879</v>
      </c>
      <c r="S2228" s="15">
        <f>IF(H2228&lt;&gt;"",EXP(-Formula!$C$28*(EOMONTH(H2228,0)-H2228)),EXP(-Formula!$C$28*(EOMONTH(D2228,0)-D2228)))</f>
        <v>0.5769498104</v>
      </c>
      <c r="T2228" s="15">
        <f t="shared" si="3"/>
        <v>0.316227766</v>
      </c>
      <c r="U2228" s="15">
        <f t="shared" si="4"/>
        <v>0.05252277944</v>
      </c>
      <c r="V2228" s="16">
        <f>IF(AND(L2228="Among all respondents",NOT(OR(K2228="Online poll in Telegram channel",K2228="Website online poll",K2228="CAWI (Computer Assisted Web Interviewing)"))),1/(1-MIN(MAX(Formula!$C$33+(YEAR(D2228)-Formula!$C$34)/(Formula!$C$35-Formula!$C$34)*(Formula!$C$32-Formula!$C$33),Formula!$C$33),Formula!$C$32)),1)</f>
        <v>1</v>
      </c>
      <c r="W2228" s="17">
        <f t="shared" si="5"/>
        <v>2.2</v>
      </c>
    </row>
    <row r="2229" ht="15.75" customHeight="1">
      <c r="A2229" s="8" t="s">
        <v>3184</v>
      </c>
      <c r="B2229" s="7" t="s">
        <v>3175</v>
      </c>
      <c r="C2229" s="13" t="s">
        <v>3176</v>
      </c>
      <c r="D2229" s="7" t="s">
        <v>279</v>
      </c>
      <c r="E2229" s="8" t="s">
        <v>72</v>
      </c>
      <c r="F2229" s="8" t="s">
        <v>318</v>
      </c>
      <c r="G2229" s="7" t="s">
        <v>3177</v>
      </c>
      <c r="H2229" s="7" t="s">
        <v>3178</v>
      </c>
      <c r="I2229" s="8">
        <v>2038.0</v>
      </c>
      <c r="J2229" s="8">
        <v>3.3</v>
      </c>
      <c r="K2229" s="8" t="s">
        <v>583</v>
      </c>
      <c r="M2229" s="8" t="s">
        <v>838</v>
      </c>
      <c r="N2229" s="8">
        <v>1.8</v>
      </c>
      <c r="O2229" s="14">
        <f t="shared" si="1"/>
        <v>43862</v>
      </c>
      <c r="P2229" s="15">
        <f>IFERROR(VLOOKUP(K2229,Formula!$A$11:$B$20,2,FALSE),Formula!$C$26)</f>
        <v>0.95</v>
      </c>
      <c r="Q2229" s="15">
        <f>IF(AND(ISNUMBER(J2229),J2229&gt;0),1/J2229,IF(AND(ISNUMBER(I2229),I2229&gt;0),SQRT(MIN(I2229,Formula!$C$27))/Formula!$C$24,1/Formula!$C$25))</f>
        <v>0.303030303</v>
      </c>
      <c r="R2229" s="15">
        <f t="shared" si="2"/>
        <v>0.2878787879</v>
      </c>
      <c r="S2229" s="15">
        <f>IF(H2229&lt;&gt;"",EXP(-Formula!$C$28*(EOMONTH(H2229,0)-H2229)),EXP(-Formula!$C$28*(EOMONTH(D2229,0)-D2229)))</f>
        <v>0.5769498104</v>
      </c>
      <c r="T2229" s="15">
        <f t="shared" si="3"/>
        <v>0.316227766</v>
      </c>
      <c r="U2229" s="15">
        <f t="shared" si="4"/>
        <v>0.05252277944</v>
      </c>
      <c r="V2229" s="16">
        <f>IF(AND(L2229="Among all respondents",NOT(OR(K2229="Online poll in Telegram channel",K2229="Website online poll",K2229="CAWI (Computer Assisted Web Interviewing)"))),1/(1-MIN(MAX(Formula!$C$33+(YEAR(D2229)-Formula!$C$34)/(Formula!$C$35-Formula!$C$34)*(Formula!$C$32-Formula!$C$33),Formula!$C$33),Formula!$C$32)),1)</f>
        <v>1</v>
      </c>
      <c r="W2229" s="17">
        <f t="shared" si="5"/>
        <v>1.8</v>
      </c>
    </row>
    <row r="2230" ht="15.75" customHeight="1">
      <c r="A2230" s="8" t="s">
        <v>3185</v>
      </c>
      <c r="B2230" s="7" t="s">
        <v>3175</v>
      </c>
      <c r="C2230" s="13" t="s">
        <v>3176</v>
      </c>
      <c r="D2230" s="7" t="s">
        <v>279</v>
      </c>
      <c r="E2230" s="8" t="s">
        <v>72</v>
      </c>
      <c r="F2230" s="8" t="s">
        <v>318</v>
      </c>
      <c r="G2230" s="7" t="s">
        <v>3177</v>
      </c>
      <c r="H2230" s="7" t="s">
        <v>3178</v>
      </c>
      <c r="I2230" s="8">
        <v>2038.0</v>
      </c>
      <c r="J2230" s="8">
        <v>3.3</v>
      </c>
      <c r="K2230" s="8" t="s">
        <v>583</v>
      </c>
      <c r="M2230" s="8" t="s">
        <v>1398</v>
      </c>
      <c r="N2230" s="8">
        <v>1.4</v>
      </c>
      <c r="O2230" s="14">
        <f t="shared" si="1"/>
        <v>43862</v>
      </c>
      <c r="P2230" s="15">
        <f>IFERROR(VLOOKUP(K2230,Formula!$A$11:$B$20,2,FALSE),Formula!$C$26)</f>
        <v>0.95</v>
      </c>
      <c r="Q2230" s="15">
        <f>IF(AND(ISNUMBER(J2230),J2230&gt;0),1/J2230,IF(AND(ISNUMBER(I2230),I2230&gt;0),SQRT(MIN(I2230,Formula!$C$27))/Formula!$C$24,1/Formula!$C$25))</f>
        <v>0.303030303</v>
      </c>
      <c r="R2230" s="15">
        <f t="shared" si="2"/>
        <v>0.2878787879</v>
      </c>
      <c r="S2230" s="15">
        <f>IF(H2230&lt;&gt;"",EXP(-Formula!$C$28*(EOMONTH(H2230,0)-H2230)),EXP(-Formula!$C$28*(EOMONTH(D2230,0)-D2230)))</f>
        <v>0.5769498104</v>
      </c>
      <c r="T2230" s="15">
        <f t="shared" si="3"/>
        <v>0.316227766</v>
      </c>
      <c r="U2230" s="15">
        <f t="shared" si="4"/>
        <v>0.05252277944</v>
      </c>
      <c r="V2230" s="16">
        <f>IF(AND(L2230="Among all respondents",NOT(OR(K2230="Online poll in Telegram channel",K2230="Website online poll",K2230="CAWI (Computer Assisted Web Interviewing)"))),1/(1-MIN(MAX(Formula!$C$33+(YEAR(D2230)-Formula!$C$34)/(Formula!$C$35-Formula!$C$34)*(Formula!$C$32-Formula!$C$33),Formula!$C$33),Formula!$C$32)),1)</f>
        <v>1</v>
      </c>
      <c r="W2230" s="17">
        <f t="shared" si="5"/>
        <v>1.4</v>
      </c>
    </row>
    <row r="2231" ht="15.75" customHeight="1">
      <c r="A2231" s="8" t="s">
        <v>3186</v>
      </c>
      <c r="B2231" s="7" t="s">
        <v>3175</v>
      </c>
      <c r="C2231" s="13" t="s">
        <v>3176</v>
      </c>
      <c r="D2231" s="7" t="s">
        <v>279</v>
      </c>
      <c r="E2231" s="8" t="s">
        <v>72</v>
      </c>
      <c r="F2231" s="8" t="s">
        <v>318</v>
      </c>
      <c r="G2231" s="7" t="s">
        <v>3177</v>
      </c>
      <c r="H2231" s="7" t="s">
        <v>3178</v>
      </c>
      <c r="I2231" s="8">
        <v>2038.0</v>
      </c>
      <c r="J2231" s="8">
        <v>3.3</v>
      </c>
      <c r="K2231" s="8" t="s">
        <v>583</v>
      </c>
      <c r="M2231" s="8" t="s">
        <v>345</v>
      </c>
      <c r="N2231" s="8">
        <v>1.1</v>
      </c>
      <c r="O2231" s="14">
        <f t="shared" si="1"/>
        <v>43862</v>
      </c>
      <c r="P2231" s="15">
        <f>IFERROR(VLOOKUP(K2231,Formula!$A$11:$B$20,2,FALSE),Formula!$C$26)</f>
        <v>0.95</v>
      </c>
      <c r="Q2231" s="15">
        <f>IF(AND(ISNUMBER(J2231),J2231&gt;0),1/J2231,IF(AND(ISNUMBER(I2231),I2231&gt;0),SQRT(MIN(I2231,Formula!$C$27))/Formula!$C$24,1/Formula!$C$25))</f>
        <v>0.303030303</v>
      </c>
      <c r="R2231" s="15">
        <f t="shared" si="2"/>
        <v>0.2878787879</v>
      </c>
      <c r="S2231" s="15">
        <f>IF(H2231&lt;&gt;"",EXP(-Formula!$C$28*(EOMONTH(H2231,0)-H2231)),EXP(-Formula!$C$28*(EOMONTH(D2231,0)-D2231)))</f>
        <v>0.5769498104</v>
      </c>
      <c r="T2231" s="15">
        <f t="shared" si="3"/>
        <v>0.316227766</v>
      </c>
      <c r="U2231" s="15">
        <f t="shared" si="4"/>
        <v>0.05252277944</v>
      </c>
      <c r="V2231" s="16">
        <f>IF(AND(L2231="Among all respondents",NOT(OR(K2231="Online poll in Telegram channel",K2231="Website online poll",K2231="CAWI (Computer Assisted Web Interviewing)"))),1/(1-MIN(MAX(Formula!$C$33+(YEAR(D2231)-Formula!$C$34)/(Formula!$C$35-Formula!$C$34)*(Formula!$C$32-Formula!$C$33),Formula!$C$33),Formula!$C$32)),1)</f>
        <v>1</v>
      </c>
      <c r="W2231" s="17">
        <f t="shared" si="5"/>
        <v>1.1</v>
      </c>
    </row>
    <row r="2232" ht="15.75" customHeight="1">
      <c r="A2232" s="8" t="s">
        <v>3187</v>
      </c>
      <c r="B2232" s="7" t="s">
        <v>3175</v>
      </c>
      <c r="C2232" s="13" t="s">
        <v>3176</v>
      </c>
      <c r="D2232" s="7" t="s">
        <v>279</v>
      </c>
      <c r="E2232" s="8" t="s">
        <v>72</v>
      </c>
      <c r="F2232" s="8" t="s">
        <v>318</v>
      </c>
      <c r="G2232" s="7" t="s">
        <v>3177</v>
      </c>
      <c r="H2232" s="7" t="s">
        <v>3178</v>
      </c>
      <c r="I2232" s="8">
        <v>2038.0</v>
      </c>
      <c r="J2232" s="8">
        <v>3.3</v>
      </c>
      <c r="K2232" s="8" t="s">
        <v>583</v>
      </c>
      <c r="M2232" s="8" t="s">
        <v>3188</v>
      </c>
      <c r="N2232" s="8">
        <v>0.6</v>
      </c>
      <c r="O2232" s="14">
        <f t="shared" si="1"/>
        <v>43862</v>
      </c>
      <c r="P2232" s="15">
        <f>IFERROR(VLOOKUP(K2232,Formula!$A$11:$B$20,2,FALSE),Formula!$C$26)</f>
        <v>0.95</v>
      </c>
      <c r="Q2232" s="15">
        <f>IF(AND(ISNUMBER(J2232),J2232&gt;0),1/J2232,IF(AND(ISNUMBER(I2232),I2232&gt;0),SQRT(MIN(I2232,Formula!$C$27))/Formula!$C$24,1/Formula!$C$25))</f>
        <v>0.303030303</v>
      </c>
      <c r="R2232" s="15">
        <f t="shared" si="2"/>
        <v>0.2878787879</v>
      </c>
      <c r="S2232" s="15">
        <f>IF(H2232&lt;&gt;"",EXP(-Formula!$C$28*(EOMONTH(H2232,0)-H2232)),EXP(-Formula!$C$28*(EOMONTH(D2232,0)-D2232)))</f>
        <v>0.5769498104</v>
      </c>
      <c r="T2232" s="15">
        <f t="shared" si="3"/>
        <v>0.316227766</v>
      </c>
      <c r="U2232" s="15">
        <f t="shared" si="4"/>
        <v>0.05252277944</v>
      </c>
      <c r="V2232" s="16">
        <f>IF(AND(L2232="Among all respondents",NOT(OR(K2232="Online poll in Telegram channel",K2232="Website online poll",K2232="CAWI (Computer Assisted Web Interviewing)"))),1/(1-MIN(MAX(Formula!$C$33+(YEAR(D2232)-Formula!$C$34)/(Formula!$C$35-Formula!$C$34)*(Formula!$C$32-Formula!$C$33),Formula!$C$33),Formula!$C$32)),1)</f>
        <v>1</v>
      </c>
      <c r="W2232" s="17">
        <f t="shared" si="5"/>
        <v>0.6</v>
      </c>
    </row>
    <row r="2233" ht="15.75" customHeight="1">
      <c r="A2233" s="8" t="s">
        <v>3189</v>
      </c>
      <c r="B2233" s="7" t="s">
        <v>3190</v>
      </c>
      <c r="C2233" s="13" t="s">
        <v>3191</v>
      </c>
      <c r="D2233" s="7" t="s">
        <v>279</v>
      </c>
      <c r="E2233" s="8" t="s">
        <v>106</v>
      </c>
      <c r="F2233" s="8" t="s">
        <v>318</v>
      </c>
      <c r="G2233" s="7" t="s">
        <v>3166</v>
      </c>
      <c r="H2233" s="7" t="s">
        <v>3192</v>
      </c>
      <c r="I2233" s="8">
        <v>2018.0</v>
      </c>
      <c r="J2233" s="8">
        <v>2.3</v>
      </c>
      <c r="K2233" s="8" t="s">
        <v>583</v>
      </c>
      <c r="M2233" s="8" t="s">
        <v>323</v>
      </c>
      <c r="N2233" s="8">
        <v>40.1</v>
      </c>
      <c r="O2233" s="14">
        <f t="shared" si="1"/>
        <v>43862</v>
      </c>
      <c r="P2233" s="15">
        <f>IFERROR(VLOOKUP(K2233,Formula!$A$11:$B$20,2,FALSE),Formula!$C$26)</f>
        <v>0.95</v>
      </c>
      <c r="Q2233" s="15">
        <f>IF(AND(ISNUMBER(J2233),J2233&gt;0),1/J2233,IF(AND(ISNUMBER(I2233),I2233&gt;0),SQRT(MIN(I2233,Formula!$C$27))/Formula!$C$24,1/Formula!$C$25))</f>
        <v>0.4347826087</v>
      </c>
      <c r="R2233" s="15">
        <f t="shared" si="2"/>
        <v>0.4130434783</v>
      </c>
      <c r="S2233" s="15">
        <f>IF(H2233&lt;&gt;"",EXP(-Formula!$C$28*(EOMONTH(H2233,0)-H2233)),EXP(-Formula!$C$28*(EOMONTH(D2233,0)-D2233)))</f>
        <v>0.5488116361</v>
      </c>
      <c r="T2233" s="15">
        <f t="shared" si="3"/>
        <v>0.316227766</v>
      </c>
      <c r="U2233" s="15">
        <f t="shared" si="4"/>
        <v>0.0716834799</v>
      </c>
      <c r="V2233" s="16">
        <f>IF(AND(L2233="Among all respondents",NOT(OR(K2233="Online poll in Telegram channel",K2233="Website online poll",K2233="CAWI (Computer Assisted Web Interviewing)"))),1/(1-MIN(MAX(Formula!$C$33+(YEAR(D2233)-Formula!$C$34)/(Formula!$C$35-Formula!$C$34)*(Formula!$C$32-Formula!$C$33),Formula!$C$33),Formula!$C$32)),1)</f>
        <v>1</v>
      </c>
      <c r="W2233" s="17">
        <f t="shared" si="5"/>
        <v>40.1</v>
      </c>
    </row>
    <row r="2234" ht="15.75" customHeight="1">
      <c r="A2234" s="8" t="s">
        <v>3193</v>
      </c>
      <c r="B2234" s="7" t="s">
        <v>3190</v>
      </c>
      <c r="C2234" s="13" t="s">
        <v>3191</v>
      </c>
      <c r="D2234" s="7" t="s">
        <v>279</v>
      </c>
      <c r="E2234" s="8" t="s">
        <v>106</v>
      </c>
      <c r="F2234" s="8" t="s">
        <v>318</v>
      </c>
      <c r="G2234" s="7" t="s">
        <v>3166</v>
      </c>
      <c r="H2234" s="7" t="s">
        <v>3192</v>
      </c>
      <c r="I2234" s="8">
        <v>2018.0</v>
      </c>
      <c r="J2234" s="8">
        <v>2.3</v>
      </c>
      <c r="K2234" s="8" t="s">
        <v>583</v>
      </c>
      <c r="M2234" s="8" t="s">
        <v>365</v>
      </c>
      <c r="N2234" s="8">
        <v>15.3</v>
      </c>
      <c r="O2234" s="14">
        <f t="shared" si="1"/>
        <v>43862</v>
      </c>
      <c r="P2234" s="15">
        <f>IFERROR(VLOOKUP(K2234,Formula!$A$11:$B$20,2,FALSE),Formula!$C$26)</f>
        <v>0.95</v>
      </c>
      <c r="Q2234" s="15">
        <f>IF(AND(ISNUMBER(J2234),J2234&gt;0),1/J2234,IF(AND(ISNUMBER(I2234),I2234&gt;0),SQRT(MIN(I2234,Formula!$C$27))/Formula!$C$24,1/Formula!$C$25))</f>
        <v>0.4347826087</v>
      </c>
      <c r="R2234" s="15">
        <f t="shared" si="2"/>
        <v>0.4130434783</v>
      </c>
      <c r="S2234" s="15">
        <f>IF(H2234&lt;&gt;"",EXP(-Formula!$C$28*(EOMONTH(H2234,0)-H2234)),EXP(-Formula!$C$28*(EOMONTH(D2234,0)-D2234)))</f>
        <v>0.5488116361</v>
      </c>
      <c r="T2234" s="15">
        <f t="shared" si="3"/>
        <v>0.316227766</v>
      </c>
      <c r="U2234" s="15">
        <f t="shared" si="4"/>
        <v>0.0716834799</v>
      </c>
      <c r="V2234" s="16">
        <f>IF(AND(L2234="Among all respondents",NOT(OR(K2234="Online poll in Telegram channel",K2234="Website online poll",K2234="CAWI (Computer Assisted Web Interviewing)"))),1/(1-MIN(MAX(Formula!$C$33+(YEAR(D2234)-Formula!$C$34)/(Formula!$C$35-Formula!$C$34)*(Formula!$C$32-Formula!$C$33),Formula!$C$33),Formula!$C$32)),1)</f>
        <v>1</v>
      </c>
      <c r="W2234" s="17">
        <f t="shared" si="5"/>
        <v>15.3</v>
      </c>
    </row>
    <row r="2235" ht="15.75" customHeight="1">
      <c r="A2235" s="8" t="s">
        <v>3194</v>
      </c>
      <c r="B2235" s="7" t="s">
        <v>3190</v>
      </c>
      <c r="C2235" s="13" t="s">
        <v>3191</v>
      </c>
      <c r="D2235" s="7" t="s">
        <v>279</v>
      </c>
      <c r="E2235" s="8" t="s">
        <v>106</v>
      </c>
      <c r="F2235" s="8" t="s">
        <v>318</v>
      </c>
      <c r="G2235" s="7" t="s">
        <v>3166</v>
      </c>
      <c r="H2235" s="7" t="s">
        <v>3192</v>
      </c>
      <c r="I2235" s="8">
        <v>2018.0</v>
      </c>
      <c r="J2235" s="8">
        <v>2.3</v>
      </c>
      <c r="K2235" s="8" t="s">
        <v>583</v>
      </c>
      <c r="M2235" s="8" t="s">
        <v>329</v>
      </c>
      <c r="N2235" s="8">
        <v>13.5</v>
      </c>
      <c r="O2235" s="14">
        <f t="shared" si="1"/>
        <v>43862</v>
      </c>
      <c r="P2235" s="15">
        <f>IFERROR(VLOOKUP(K2235,Formula!$A$11:$B$20,2,FALSE),Formula!$C$26)</f>
        <v>0.95</v>
      </c>
      <c r="Q2235" s="15">
        <f>IF(AND(ISNUMBER(J2235),J2235&gt;0),1/J2235,IF(AND(ISNUMBER(I2235),I2235&gt;0),SQRT(MIN(I2235,Formula!$C$27))/Formula!$C$24,1/Formula!$C$25))</f>
        <v>0.4347826087</v>
      </c>
      <c r="R2235" s="15">
        <f t="shared" si="2"/>
        <v>0.4130434783</v>
      </c>
      <c r="S2235" s="15">
        <f>IF(H2235&lt;&gt;"",EXP(-Formula!$C$28*(EOMONTH(H2235,0)-H2235)),EXP(-Formula!$C$28*(EOMONTH(D2235,0)-D2235)))</f>
        <v>0.5488116361</v>
      </c>
      <c r="T2235" s="15">
        <f t="shared" si="3"/>
        <v>0.316227766</v>
      </c>
      <c r="U2235" s="15">
        <f t="shared" si="4"/>
        <v>0.0716834799</v>
      </c>
      <c r="V2235" s="16">
        <f>IF(AND(L2235="Among all respondents",NOT(OR(K2235="Online poll in Telegram channel",K2235="Website online poll",K2235="CAWI (Computer Assisted Web Interviewing)"))),1/(1-MIN(MAX(Formula!$C$33+(YEAR(D2235)-Formula!$C$34)/(Formula!$C$35-Formula!$C$34)*(Formula!$C$32-Formula!$C$33),Formula!$C$33),Formula!$C$32)),1)</f>
        <v>1</v>
      </c>
      <c r="W2235" s="17">
        <f t="shared" si="5"/>
        <v>13.5</v>
      </c>
    </row>
    <row r="2236" ht="15.75" customHeight="1">
      <c r="A2236" s="8" t="s">
        <v>3195</v>
      </c>
      <c r="B2236" s="7" t="s">
        <v>3190</v>
      </c>
      <c r="C2236" s="13" t="s">
        <v>3191</v>
      </c>
      <c r="D2236" s="7" t="s">
        <v>279</v>
      </c>
      <c r="E2236" s="8" t="s">
        <v>106</v>
      </c>
      <c r="F2236" s="8" t="s">
        <v>318</v>
      </c>
      <c r="G2236" s="7" t="s">
        <v>3166</v>
      </c>
      <c r="H2236" s="7" t="s">
        <v>3192</v>
      </c>
      <c r="I2236" s="8">
        <v>2018.0</v>
      </c>
      <c r="J2236" s="8">
        <v>2.3</v>
      </c>
      <c r="K2236" s="8" t="s">
        <v>583</v>
      </c>
      <c r="M2236" s="8" t="s">
        <v>337</v>
      </c>
      <c r="N2236" s="8">
        <v>10.2</v>
      </c>
      <c r="O2236" s="14">
        <f t="shared" si="1"/>
        <v>43862</v>
      </c>
      <c r="P2236" s="15">
        <f>IFERROR(VLOOKUP(K2236,Formula!$A$11:$B$20,2,FALSE),Formula!$C$26)</f>
        <v>0.95</v>
      </c>
      <c r="Q2236" s="15">
        <f>IF(AND(ISNUMBER(J2236),J2236&gt;0),1/J2236,IF(AND(ISNUMBER(I2236),I2236&gt;0),SQRT(MIN(I2236,Formula!$C$27))/Formula!$C$24,1/Formula!$C$25))</f>
        <v>0.4347826087</v>
      </c>
      <c r="R2236" s="15">
        <f t="shared" si="2"/>
        <v>0.4130434783</v>
      </c>
      <c r="S2236" s="15">
        <f>IF(H2236&lt;&gt;"",EXP(-Formula!$C$28*(EOMONTH(H2236,0)-H2236)),EXP(-Formula!$C$28*(EOMONTH(D2236,0)-D2236)))</f>
        <v>0.5488116361</v>
      </c>
      <c r="T2236" s="15">
        <f t="shared" si="3"/>
        <v>0.316227766</v>
      </c>
      <c r="U2236" s="15">
        <f t="shared" si="4"/>
        <v>0.0716834799</v>
      </c>
      <c r="V2236" s="16">
        <f>IF(AND(L2236="Among all respondents",NOT(OR(K2236="Online poll in Telegram channel",K2236="Website online poll",K2236="CAWI (Computer Assisted Web Interviewing)"))),1/(1-MIN(MAX(Formula!$C$33+(YEAR(D2236)-Formula!$C$34)/(Formula!$C$35-Formula!$C$34)*(Formula!$C$32-Formula!$C$33),Formula!$C$33),Formula!$C$32)),1)</f>
        <v>1</v>
      </c>
      <c r="W2236" s="17">
        <f t="shared" si="5"/>
        <v>10.2</v>
      </c>
    </row>
    <row r="2237" ht="15.75" customHeight="1">
      <c r="A2237" s="8" t="s">
        <v>3196</v>
      </c>
      <c r="B2237" s="7" t="s">
        <v>3190</v>
      </c>
      <c r="C2237" s="13" t="s">
        <v>3191</v>
      </c>
      <c r="D2237" s="7" t="s">
        <v>279</v>
      </c>
      <c r="E2237" s="8" t="s">
        <v>106</v>
      </c>
      <c r="F2237" s="8" t="s">
        <v>318</v>
      </c>
      <c r="G2237" s="7" t="s">
        <v>3166</v>
      </c>
      <c r="H2237" s="7" t="s">
        <v>3192</v>
      </c>
      <c r="I2237" s="8">
        <v>2018.0</v>
      </c>
      <c r="J2237" s="8">
        <v>2.3</v>
      </c>
      <c r="K2237" s="8" t="s">
        <v>583</v>
      </c>
      <c r="M2237" s="8" t="s">
        <v>828</v>
      </c>
      <c r="N2237" s="8">
        <v>4.2</v>
      </c>
      <c r="O2237" s="14">
        <f t="shared" si="1"/>
        <v>43862</v>
      </c>
      <c r="P2237" s="15">
        <f>IFERROR(VLOOKUP(K2237,Formula!$A$11:$B$20,2,FALSE),Formula!$C$26)</f>
        <v>0.95</v>
      </c>
      <c r="Q2237" s="15">
        <f>IF(AND(ISNUMBER(J2237),J2237&gt;0),1/J2237,IF(AND(ISNUMBER(I2237),I2237&gt;0),SQRT(MIN(I2237,Formula!$C$27))/Formula!$C$24,1/Formula!$C$25))</f>
        <v>0.4347826087</v>
      </c>
      <c r="R2237" s="15">
        <f t="shared" si="2"/>
        <v>0.4130434783</v>
      </c>
      <c r="S2237" s="15">
        <f>IF(H2237&lt;&gt;"",EXP(-Formula!$C$28*(EOMONTH(H2237,0)-H2237)),EXP(-Formula!$C$28*(EOMONTH(D2237,0)-D2237)))</f>
        <v>0.5488116361</v>
      </c>
      <c r="T2237" s="15">
        <f t="shared" si="3"/>
        <v>0.316227766</v>
      </c>
      <c r="U2237" s="15">
        <f t="shared" si="4"/>
        <v>0.0716834799</v>
      </c>
      <c r="V2237" s="16">
        <f>IF(AND(L2237="Among all respondents",NOT(OR(K2237="Online poll in Telegram channel",K2237="Website online poll",K2237="CAWI (Computer Assisted Web Interviewing)"))),1/(1-MIN(MAX(Formula!$C$33+(YEAR(D2237)-Formula!$C$34)/(Formula!$C$35-Formula!$C$34)*(Formula!$C$32-Formula!$C$33),Formula!$C$33),Formula!$C$32)),1)</f>
        <v>1</v>
      </c>
      <c r="W2237" s="17">
        <f t="shared" si="5"/>
        <v>4.2</v>
      </c>
    </row>
    <row r="2238" ht="15.75" customHeight="1">
      <c r="A2238" s="8" t="s">
        <v>3197</v>
      </c>
      <c r="B2238" s="7" t="s">
        <v>3190</v>
      </c>
      <c r="C2238" s="13" t="s">
        <v>3191</v>
      </c>
      <c r="D2238" s="7" t="s">
        <v>279</v>
      </c>
      <c r="E2238" s="8" t="s">
        <v>106</v>
      </c>
      <c r="F2238" s="8" t="s">
        <v>318</v>
      </c>
      <c r="G2238" s="7" t="s">
        <v>3166</v>
      </c>
      <c r="H2238" s="7" t="s">
        <v>3192</v>
      </c>
      <c r="I2238" s="8">
        <v>2018.0</v>
      </c>
      <c r="J2238" s="8">
        <v>2.3</v>
      </c>
      <c r="K2238" s="8" t="s">
        <v>583</v>
      </c>
      <c r="M2238" s="8" t="s">
        <v>838</v>
      </c>
      <c r="N2238" s="8">
        <v>3.3</v>
      </c>
      <c r="O2238" s="14">
        <f t="shared" si="1"/>
        <v>43862</v>
      </c>
      <c r="P2238" s="15">
        <f>IFERROR(VLOOKUP(K2238,Formula!$A$11:$B$20,2,FALSE),Formula!$C$26)</f>
        <v>0.95</v>
      </c>
      <c r="Q2238" s="15">
        <f>IF(AND(ISNUMBER(J2238),J2238&gt;0),1/J2238,IF(AND(ISNUMBER(I2238),I2238&gt;0),SQRT(MIN(I2238,Formula!$C$27))/Formula!$C$24,1/Formula!$C$25))</f>
        <v>0.4347826087</v>
      </c>
      <c r="R2238" s="15">
        <f t="shared" si="2"/>
        <v>0.4130434783</v>
      </c>
      <c r="S2238" s="15">
        <f>IF(H2238&lt;&gt;"",EXP(-Formula!$C$28*(EOMONTH(H2238,0)-H2238)),EXP(-Formula!$C$28*(EOMONTH(D2238,0)-D2238)))</f>
        <v>0.5488116361</v>
      </c>
      <c r="T2238" s="15">
        <f t="shared" si="3"/>
        <v>0.316227766</v>
      </c>
      <c r="U2238" s="15">
        <f t="shared" si="4"/>
        <v>0.0716834799</v>
      </c>
      <c r="V2238" s="16">
        <f>IF(AND(L2238="Among all respondents",NOT(OR(K2238="Online poll in Telegram channel",K2238="Website online poll",K2238="CAWI (Computer Assisted Web Interviewing)"))),1/(1-MIN(MAX(Formula!$C$33+(YEAR(D2238)-Formula!$C$34)/(Formula!$C$35-Formula!$C$34)*(Formula!$C$32-Formula!$C$33),Formula!$C$33),Formula!$C$32)),1)</f>
        <v>1</v>
      </c>
      <c r="W2238" s="17">
        <f t="shared" si="5"/>
        <v>3.3</v>
      </c>
    </row>
    <row r="2239" ht="15.75" customHeight="1">
      <c r="A2239" s="8" t="s">
        <v>3198</v>
      </c>
      <c r="B2239" s="7" t="s">
        <v>3190</v>
      </c>
      <c r="C2239" s="13" t="s">
        <v>3191</v>
      </c>
      <c r="D2239" s="7" t="s">
        <v>279</v>
      </c>
      <c r="E2239" s="8" t="s">
        <v>106</v>
      </c>
      <c r="F2239" s="8" t="s">
        <v>318</v>
      </c>
      <c r="G2239" s="7" t="s">
        <v>3166</v>
      </c>
      <c r="H2239" s="7" t="s">
        <v>3192</v>
      </c>
      <c r="I2239" s="8">
        <v>2018.0</v>
      </c>
      <c r="J2239" s="8">
        <v>2.3</v>
      </c>
      <c r="K2239" s="8" t="s">
        <v>583</v>
      </c>
      <c r="M2239" s="8" t="s">
        <v>388</v>
      </c>
      <c r="N2239" s="8">
        <v>3.3</v>
      </c>
      <c r="O2239" s="14">
        <f t="shared" si="1"/>
        <v>43862</v>
      </c>
      <c r="P2239" s="15">
        <f>IFERROR(VLOOKUP(K2239,Formula!$A$11:$B$20,2,FALSE),Formula!$C$26)</f>
        <v>0.95</v>
      </c>
      <c r="Q2239" s="15">
        <f>IF(AND(ISNUMBER(J2239),J2239&gt;0),1/J2239,IF(AND(ISNUMBER(I2239),I2239&gt;0),SQRT(MIN(I2239,Formula!$C$27))/Formula!$C$24,1/Formula!$C$25))</f>
        <v>0.4347826087</v>
      </c>
      <c r="R2239" s="15">
        <f t="shared" si="2"/>
        <v>0.4130434783</v>
      </c>
      <c r="S2239" s="15">
        <f>IF(H2239&lt;&gt;"",EXP(-Formula!$C$28*(EOMONTH(H2239,0)-H2239)),EXP(-Formula!$C$28*(EOMONTH(D2239,0)-D2239)))</f>
        <v>0.5488116361</v>
      </c>
      <c r="T2239" s="15">
        <f t="shared" si="3"/>
        <v>0.316227766</v>
      </c>
      <c r="U2239" s="15">
        <f t="shared" si="4"/>
        <v>0.0716834799</v>
      </c>
      <c r="V2239" s="16">
        <f>IF(AND(L2239="Among all respondents",NOT(OR(K2239="Online poll in Telegram channel",K2239="Website online poll",K2239="CAWI (Computer Assisted Web Interviewing)"))),1/(1-MIN(MAX(Formula!$C$33+(YEAR(D2239)-Formula!$C$34)/(Formula!$C$35-Formula!$C$34)*(Formula!$C$32-Formula!$C$33),Formula!$C$33),Formula!$C$32)),1)</f>
        <v>1</v>
      </c>
      <c r="W2239" s="17">
        <f t="shared" si="5"/>
        <v>3.3</v>
      </c>
    </row>
    <row r="2240" ht="15.75" customHeight="1">
      <c r="A2240" s="8" t="s">
        <v>3199</v>
      </c>
      <c r="B2240" s="7" t="s">
        <v>3190</v>
      </c>
      <c r="C2240" s="13" t="s">
        <v>3191</v>
      </c>
      <c r="D2240" s="7" t="s">
        <v>279</v>
      </c>
      <c r="E2240" s="8" t="s">
        <v>106</v>
      </c>
      <c r="F2240" s="8" t="s">
        <v>318</v>
      </c>
      <c r="G2240" s="7" t="s">
        <v>3166</v>
      </c>
      <c r="H2240" s="7" t="s">
        <v>3192</v>
      </c>
      <c r="I2240" s="8">
        <v>2018.0</v>
      </c>
      <c r="J2240" s="8">
        <v>2.3</v>
      </c>
      <c r="K2240" s="8" t="s">
        <v>583</v>
      </c>
      <c r="M2240" s="8" t="s">
        <v>1398</v>
      </c>
      <c r="N2240" s="8">
        <v>2.1</v>
      </c>
      <c r="O2240" s="14">
        <f t="shared" si="1"/>
        <v>43862</v>
      </c>
      <c r="P2240" s="15">
        <f>IFERROR(VLOOKUP(K2240,Formula!$A$11:$B$20,2,FALSE),Formula!$C$26)</f>
        <v>0.95</v>
      </c>
      <c r="Q2240" s="15">
        <f>IF(AND(ISNUMBER(J2240),J2240&gt;0),1/J2240,IF(AND(ISNUMBER(I2240),I2240&gt;0),SQRT(MIN(I2240,Formula!$C$27))/Formula!$C$24,1/Formula!$C$25))</f>
        <v>0.4347826087</v>
      </c>
      <c r="R2240" s="15">
        <f t="shared" si="2"/>
        <v>0.4130434783</v>
      </c>
      <c r="S2240" s="15">
        <f>IF(H2240&lt;&gt;"",EXP(-Formula!$C$28*(EOMONTH(H2240,0)-H2240)),EXP(-Formula!$C$28*(EOMONTH(D2240,0)-D2240)))</f>
        <v>0.5488116361</v>
      </c>
      <c r="T2240" s="15">
        <f t="shared" si="3"/>
        <v>0.316227766</v>
      </c>
      <c r="U2240" s="15">
        <f t="shared" si="4"/>
        <v>0.0716834799</v>
      </c>
      <c r="V2240" s="16">
        <f>IF(AND(L2240="Among all respondents",NOT(OR(K2240="Online poll in Telegram channel",K2240="Website online poll",K2240="CAWI (Computer Assisted Web Interviewing)"))),1/(1-MIN(MAX(Formula!$C$33+(YEAR(D2240)-Formula!$C$34)/(Formula!$C$35-Formula!$C$34)*(Formula!$C$32-Formula!$C$33),Formula!$C$33),Formula!$C$32)),1)</f>
        <v>1</v>
      </c>
      <c r="W2240" s="17">
        <f t="shared" si="5"/>
        <v>2.1</v>
      </c>
    </row>
    <row r="2241" ht="15.75" customHeight="1">
      <c r="A2241" s="8" t="s">
        <v>3200</v>
      </c>
      <c r="B2241" s="7" t="s">
        <v>3190</v>
      </c>
      <c r="C2241" s="13" t="s">
        <v>3191</v>
      </c>
      <c r="D2241" s="7" t="s">
        <v>279</v>
      </c>
      <c r="E2241" s="8" t="s">
        <v>106</v>
      </c>
      <c r="F2241" s="8" t="s">
        <v>318</v>
      </c>
      <c r="G2241" s="7" t="s">
        <v>3166</v>
      </c>
      <c r="H2241" s="7" t="s">
        <v>3192</v>
      </c>
      <c r="I2241" s="8">
        <v>2018.0</v>
      </c>
      <c r="J2241" s="8">
        <v>2.3</v>
      </c>
      <c r="K2241" s="8" t="s">
        <v>583</v>
      </c>
      <c r="M2241" s="8" t="s">
        <v>345</v>
      </c>
      <c r="N2241" s="8">
        <v>1.2</v>
      </c>
      <c r="O2241" s="14">
        <f t="shared" si="1"/>
        <v>43862</v>
      </c>
      <c r="P2241" s="15">
        <f>IFERROR(VLOOKUP(K2241,Formula!$A$11:$B$20,2,FALSE),Formula!$C$26)</f>
        <v>0.95</v>
      </c>
      <c r="Q2241" s="15">
        <f>IF(AND(ISNUMBER(J2241),J2241&gt;0),1/J2241,IF(AND(ISNUMBER(I2241),I2241&gt;0),SQRT(MIN(I2241,Formula!$C$27))/Formula!$C$24,1/Formula!$C$25))</f>
        <v>0.4347826087</v>
      </c>
      <c r="R2241" s="15">
        <f t="shared" si="2"/>
        <v>0.4130434783</v>
      </c>
      <c r="S2241" s="15">
        <f>IF(H2241&lt;&gt;"",EXP(-Formula!$C$28*(EOMONTH(H2241,0)-H2241)),EXP(-Formula!$C$28*(EOMONTH(D2241,0)-D2241)))</f>
        <v>0.5488116361</v>
      </c>
      <c r="T2241" s="15">
        <f t="shared" si="3"/>
        <v>0.316227766</v>
      </c>
      <c r="U2241" s="15">
        <f t="shared" si="4"/>
        <v>0.0716834799</v>
      </c>
      <c r="V2241" s="16">
        <f>IF(AND(L2241="Among all respondents",NOT(OR(K2241="Online poll in Telegram channel",K2241="Website online poll",K2241="CAWI (Computer Assisted Web Interviewing)"))),1/(1-MIN(MAX(Formula!$C$33+(YEAR(D2241)-Formula!$C$34)/(Formula!$C$35-Formula!$C$34)*(Formula!$C$32-Formula!$C$33),Formula!$C$33),Formula!$C$32)),1)</f>
        <v>1</v>
      </c>
      <c r="W2241" s="17">
        <f t="shared" si="5"/>
        <v>1.2</v>
      </c>
    </row>
    <row r="2242" ht="15.75" customHeight="1">
      <c r="A2242" s="8" t="s">
        <v>3201</v>
      </c>
      <c r="B2242" s="7" t="s">
        <v>3190</v>
      </c>
      <c r="C2242" s="13" t="s">
        <v>3191</v>
      </c>
      <c r="D2242" s="7" t="s">
        <v>279</v>
      </c>
      <c r="E2242" s="8" t="s">
        <v>106</v>
      </c>
      <c r="F2242" s="8" t="s">
        <v>318</v>
      </c>
      <c r="G2242" s="7" t="s">
        <v>3166</v>
      </c>
      <c r="H2242" s="7" t="s">
        <v>3192</v>
      </c>
      <c r="I2242" s="8">
        <v>2018.0</v>
      </c>
      <c r="J2242" s="8">
        <v>2.3</v>
      </c>
      <c r="K2242" s="8" t="s">
        <v>583</v>
      </c>
      <c r="M2242" s="8" t="s">
        <v>3202</v>
      </c>
      <c r="N2242" s="8">
        <v>0.2</v>
      </c>
      <c r="O2242" s="14">
        <f t="shared" si="1"/>
        <v>43862</v>
      </c>
      <c r="P2242" s="15">
        <f>IFERROR(VLOOKUP(K2242,Formula!$A$11:$B$20,2,FALSE),Formula!$C$26)</f>
        <v>0.95</v>
      </c>
      <c r="Q2242" s="15">
        <f>IF(AND(ISNUMBER(J2242),J2242&gt;0),1/J2242,IF(AND(ISNUMBER(I2242),I2242&gt;0),SQRT(MIN(I2242,Formula!$C$27))/Formula!$C$24,1/Formula!$C$25))</f>
        <v>0.4347826087</v>
      </c>
      <c r="R2242" s="15">
        <f t="shared" si="2"/>
        <v>0.4130434783</v>
      </c>
      <c r="S2242" s="15">
        <f>IF(H2242&lt;&gt;"",EXP(-Formula!$C$28*(EOMONTH(H2242,0)-H2242)),EXP(-Formula!$C$28*(EOMONTH(D2242,0)-D2242)))</f>
        <v>0.5488116361</v>
      </c>
      <c r="T2242" s="15">
        <f t="shared" si="3"/>
        <v>0.316227766</v>
      </c>
      <c r="U2242" s="15">
        <f t="shared" si="4"/>
        <v>0.0716834799</v>
      </c>
      <c r="V2242" s="16">
        <f>IF(AND(L2242="Among all respondents",NOT(OR(K2242="Online poll in Telegram channel",K2242="Website online poll",K2242="CAWI (Computer Assisted Web Interviewing)"))),1/(1-MIN(MAX(Formula!$C$33+(YEAR(D2242)-Formula!$C$34)/(Formula!$C$35-Formula!$C$34)*(Formula!$C$32-Formula!$C$33),Formula!$C$33),Formula!$C$32)),1)</f>
        <v>1</v>
      </c>
      <c r="W2242" s="17">
        <f t="shared" si="5"/>
        <v>0.2</v>
      </c>
    </row>
    <row r="2243" ht="15.75" customHeight="1">
      <c r="A2243" s="8" t="s">
        <v>3203</v>
      </c>
      <c r="B2243" s="7" t="s">
        <v>3204</v>
      </c>
      <c r="C2243" s="13" t="s">
        <v>3205</v>
      </c>
      <c r="D2243" s="7" t="s">
        <v>280</v>
      </c>
      <c r="E2243" s="8" t="s">
        <v>17</v>
      </c>
      <c r="F2243" s="8" t="s">
        <v>318</v>
      </c>
      <c r="G2243" s="7" t="s">
        <v>278</v>
      </c>
      <c r="H2243" s="7" t="s">
        <v>3206</v>
      </c>
      <c r="I2243" s="8">
        <v>2000.0</v>
      </c>
      <c r="J2243" s="8">
        <v>2.1</v>
      </c>
      <c r="K2243" s="8" t="s">
        <v>583</v>
      </c>
      <c r="M2243" s="8" t="s">
        <v>323</v>
      </c>
      <c r="N2243" s="8">
        <v>38.4</v>
      </c>
      <c r="O2243" s="14">
        <f t="shared" si="1"/>
        <v>43862</v>
      </c>
      <c r="P2243" s="15">
        <f>IFERROR(VLOOKUP(K2243,Formula!$A$11:$B$20,2,FALSE),Formula!$C$26)</f>
        <v>0.95</v>
      </c>
      <c r="Q2243" s="15">
        <f>IF(AND(ISNUMBER(J2243),J2243&gt;0),1/J2243,IF(AND(ISNUMBER(I2243),I2243&gt;0),SQRT(MIN(I2243,Formula!$C$27))/Formula!$C$24,1/Formula!$C$25))</f>
        <v>0.4761904762</v>
      </c>
      <c r="R2243" s="15">
        <f t="shared" si="2"/>
        <v>0.4523809524</v>
      </c>
      <c r="S2243" s="15">
        <f>IF(H2243&lt;&gt;"",EXP(-Formula!$C$28*(EOMONTH(H2243,0)-H2243)),EXP(-Formula!$C$28*(EOMONTH(D2243,0)-D2243)))</f>
        <v>0.3867410235</v>
      </c>
      <c r="T2243" s="15">
        <f t="shared" si="3"/>
        <v>0.316227766</v>
      </c>
      <c r="U2243" s="15">
        <f t="shared" si="4"/>
        <v>0.05532539875</v>
      </c>
      <c r="V2243" s="16">
        <f>IF(AND(L2243="Among all respondents",NOT(OR(K2243="Online poll in Telegram channel",K2243="Website online poll",K2243="CAWI (Computer Assisted Web Interviewing)"))),1/(1-MIN(MAX(Formula!$C$33+(YEAR(D2243)-Formula!$C$34)/(Formula!$C$35-Formula!$C$34)*(Formula!$C$32-Formula!$C$33),Formula!$C$33),Formula!$C$32)),1)</f>
        <v>1</v>
      </c>
      <c r="W2243" s="17">
        <f t="shared" si="5"/>
        <v>38.4</v>
      </c>
    </row>
    <row r="2244" ht="15.75" customHeight="1">
      <c r="A2244" s="8" t="s">
        <v>3207</v>
      </c>
      <c r="B2244" s="7" t="s">
        <v>3204</v>
      </c>
      <c r="C2244" s="13" t="s">
        <v>3205</v>
      </c>
      <c r="D2244" s="7" t="s">
        <v>280</v>
      </c>
      <c r="E2244" s="8" t="s">
        <v>17</v>
      </c>
      <c r="F2244" s="8" t="s">
        <v>318</v>
      </c>
      <c r="G2244" s="7" t="s">
        <v>278</v>
      </c>
      <c r="H2244" s="7" t="s">
        <v>3206</v>
      </c>
      <c r="I2244" s="8">
        <v>2000.0</v>
      </c>
      <c r="J2244" s="8">
        <v>2.1</v>
      </c>
      <c r="K2244" s="8" t="s">
        <v>583</v>
      </c>
      <c r="M2244" s="8" t="s">
        <v>329</v>
      </c>
      <c r="N2244" s="8">
        <v>9.6</v>
      </c>
      <c r="O2244" s="14">
        <f t="shared" si="1"/>
        <v>43862</v>
      </c>
      <c r="P2244" s="15">
        <f>IFERROR(VLOOKUP(K2244,Formula!$A$11:$B$20,2,FALSE),Formula!$C$26)</f>
        <v>0.95</v>
      </c>
      <c r="Q2244" s="15">
        <f>IF(AND(ISNUMBER(J2244),J2244&gt;0),1/J2244,IF(AND(ISNUMBER(I2244),I2244&gt;0),SQRT(MIN(I2244,Formula!$C$27))/Formula!$C$24,1/Formula!$C$25))</f>
        <v>0.4761904762</v>
      </c>
      <c r="R2244" s="15">
        <f t="shared" si="2"/>
        <v>0.4523809524</v>
      </c>
      <c r="S2244" s="15">
        <f>IF(H2244&lt;&gt;"",EXP(-Formula!$C$28*(EOMONTH(H2244,0)-H2244)),EXP(-Formula!$C$28*(EOMONTH(D2244,0)-D2244)))</f>
        <v>0.3867410235</v>
      </c>
      <c r="T2244" s="15">
        <f t="shared" si="3"/>
        <v>0.316227766</v>
      </c>
      <c r="U2244" s="15">
        <f t="shared" si="4"/>
        <v>0.05532539875</v>
      </c>
      <c r="V2244" s="16">
        <f>IF(AND(L2244="Among all respondents",NOT(OR(K2244="Online poll in Telegram channel",K2244="Website online poll",K2244="CAWI (Computer Assisted Web Interviewing)"))),1/(1-MIN(MAX(Formula!$C$33+(YEAR(D2244)-Formula!$C$34)/(Formula!$C$35-Formula!$C$34)*(Formula!$C$32-Formula!$C$33),Formula!$C$33),Formula!$C$32)),1)</f>
        <v>1</v>
      </c>
      <c r="W2244" s="17">
        <f t="shared" si="5"/>
        <v>9.6</v>
      </c>
    </row>
    <row r="2245" ht="15.75" customHeight="1">
      <c r="A2245" s="8" t="s">
        <v>3208</v>
      </c>
      <c r="B2245" s="7" t="s">
        <v>3204</v>
      </c>
      <c r="C2245" s="13" t="s">
        <v>3205</v>
      </c>
      <c r="D2245" s="7" t="s">
        <v>280</v>
      </c>
      <c r="E2245" s="8" t="s">
        <v>17</v>
      </c>
      <c r="F2245" s="8" t="s">
        <v>318</v>
      </c>
      <c r="G2245" s="7" t="s">
        <v>278</v>
      </c>
      <c r="H2245" s="7" t="s">
        <v>3206</v>
      </c>
      <c r="I2245" s="8">
        <v>2000.0</v>
      </c>
      <c r="J2245" s="8">
        <v>2.1</v>
      </c>
      <c r="K2245" s="8" t="s">
        <v>583</v>
      </c>
      <c r="M2245" s="8" t="s">
        <v>365</v>
      </c>
      <c r="N2245" s="8">
        <v>9.3</v>
      </c>
      <c r="O2245" s="14">
        <f t="shared" si="1"/>
        <v>43862</v>
      </c>
      <c r="P2245" s="15">
        <f>IFERROR(VLOOKUP(K2245,Formula!$A$11:$B$20,2,FALSE),Formula!$C$26)</f>
        <v>0.95</v>
      </c>
      <c r="Q2245" s="15">
        <f>IF(AND(ISNUMBER(J2245),J2245&gt;0),1/J2245,IF(AND(ISNUMBER(I2245),I2245&gt;0),SQRT(MIN(I2245,Formula!$C$27))/Formula!$C$24,1/Formula!$C$25))</f>
        <v>0.4761904762</v>
      </c>
      <c r="R2245" s="15">
        <f t="shared" si="2"/>
        <v>0.4523809524</v>
      </c>
      <c r="S2245" s="15">
        <f>IF(H2245&lt;&gt;"",EXP(-Formula!$C$28*(EOMONTH(H2245,0)-H2245)),EXP(-Formula!$C$28*(EOMONTH(D2245,0)-D2245)))</f>
        <v>0.3867410235</v>
      </c>
      <c r="T2245" s="15">
        <f t="shared" si="3"/>
        <v>0.316227766</v>
      </c>
      <c r="U2245" s="15">
        <f t="shared" si="4"/>
        <v>0.05532539875</v>
      </c>
      <c r="V2245" s="16">
        <f>IF(AND(L2245="Among all respondents",NOT(OR(K2245="Online poll in Telegram channel",K2245="Website online poll",K2245="CAWI (Computer Assisted Web Interviewing)"))),1/(1-MIN(MAX(Formula!$C$33+(YEAR(D2245)-Formula!$C$34)/(Formula!$C$35-Formula!$C$34)*(Formula!$C$32-Formula!$C$33),Formula!$C$33),Formula!$C$32)),1)</f>
        <v>1</v>
      </c>
      <c r="W2245" s="17">
        <f t="shared" si="5"/>
        <v>9.3</v>
      </c>
    </row>
    <row r="2246" ht="15.75" customHeight="1">
      <c r="A2246" s="8" t="s">
        <v>3209</v>
      </c>
      <c r="B2246" s="7" t="s">
        <v>3204</v>
      </c>
      <c r="C2246" s="13" t="s">
        <v>3205</v>
      </c>
      <c r="D2246" s="7" t="s">
        <v>280</v>
      </c>
      <c r="E2246" s="8" t="s">
        <v>17</v>
      </c>
      <c r="F2246" s="8" t="s">
        <v>318</v>
      </c>
      <c r="G2246" s="7" t="s">
        <v>278</v>
      </c>
      <c r="H2246" s="7" t="s">
        <v>3206</v>
      </c>
      <c r="I2246" s="8">
        <v>2000.0</v>
      </c>
      <c r="J2246" s="8">
        <v>2.1</v>
      </c>
      <c r="K2246" s="8" t="s">
        <v>583</v>
      </c>
      <c r="M2246" s="8" t="s">
        <v>337</v>
      </c>
      <c r="N2246" s="8">
        <v>7.5</v>
      </c>
      <c r="O2246" s="14">
        <f t="shared" si="1"/>
        <v>43862</v>
      </c>
      <c r="P2246" s="15">
        <f>IFERROR(VLOOKUP(K2246,Formula!$A$11:$B$20,2,FALSE),Formula!$C$26)</f>
        <v>0.95</v>
      </c>
      <c r="Q2246" s="15">
        <f>IF(AND(ISNUMBER(J2246),J2246&gt;0),1/J2246,IF(AND(ISNUMBER(I2246),I2246&gt;0),SQRT(MIN(I2246,Formula!$C$27))/Formula!$C$24,1/Formula!$C$25))</f>
        <v>0.4761904762</v>
      </c>
      <c r="R2246" s="15">
        <f t="shared" si="2"/>
        <v>0.4523809524</v>
      </c>
      <c r="S2246" s="15">
        <f>IF(H2246&lt;&gt;"",EXP(-Formula!$C$28*(EOMONTH(H2246,0)-H2246)),EXP(-Formula!$C$28*(EOMONTH(D2246,0)-D2246)))</f>
        <v>0.3867410235</v>
      </c>
      <c r="T2246" s="15">
        <f t="shared" si="3"/>
        <v>0.316227766</v>
      </c>
      <c r="U2246" s="15">
        <f t="shared" si="4"/>
        <v>0.05532539875</v>
      </c>
      <c r="V2246" s="16">
        <f>IF(AND(L2246="Among all respondents",NOT(OR(K2246="Online poll in Telegram channel",K2246="Website online poll",K2246="CAWI (Computer Assisted Web Interviewing)"))),1/(1-MIN(MAX(Formula!$C$33+(YEAR(D2246)-Formula!$C$34)/(Formula!$C$35-Formula!$C$34)*(Formula!$C$32-Formula!$C$33),Formula!$C$33),Formula!$C$32)),1)</f>
        <v>1</v>
      </c>
      <c r="W2246" s="17">
        <f t="shared" si="5"/>
        <v>7.5</v>
      </c>
    </row>
    <row r="2247" ht="15.75" customHeight="1">
      <c r="A2247" s="8" t="s">
        <v>3210</v>
      </c>
      <c r="B2247" s="7" t="s">
        <v>3204</v>
      </c>
      <c r="C2247" s="13" t="s">
        <v>3205</v>
      </c>
      <c r="D2247" s="7" t="s">
        <v>280</v>
      </c>
      <c r="E2247" s="8" t="s">
        <v>17</v>
      </c>
      <c r="F2247" s="8" t="s">
        <v>318</v>
      </c>
      <c r="G2247" s="7" t="s">
        <v>278</v>
      </c>
      <c r="H2247" s="7" t="s">
        <v>3206</v>
      </c>
      <c r="I2247" s="8">
        <v>2000.0</v>
      </c>
      <c r="J2247" s="8">
        <v>2.1</v>
      </c>
      <c r="K2247" s="8" t="s">
        <v>583</v>
      </c>
      <c r="M2247" s="8" t="s">
        <v>828</v>
      </c>
      <c r="N2247" s="8">
        <v>3.9</v>
      </c>
      <c r="O2247" s="14">
        <f t="shared" si="1"/>
        <v>43862</v>
      </c>
      <c r="P2247" s="15">
        <f>IFERROR(VLOOKUP(K2247,Formula!$A$11:$B$20,2,FALSE),Formula!$C$26)</f>
        <v>0.95</v>
      </c>
      <c r="Q2247" s="15">
        <f>IF(AND(ISNUMBER(J2247),J2247&gt;0),1/J2247,IF(AND(ISNUMBER(I2247),I2247&gt;0),SQRT(MIN(I2247,Formula!$C$27))/Formula!$C$24,1/Formula!$C$25))</f>
        <v>0.4761904762</v>
      </c>
      <c r="R2247" s="15">
        <f t="shared" si="2"/>
        <v>0.4523809524</v>
      </c>
      <c r="S2247" s="15">
        <f>IF(H2247&lt;&gt;"",EXP(-Formula!$C$28*(EOMONTH(H2247,0)-H2247)),EXP(-Formula!$C$28*(EOMONTH(D2247,0)-D2247)))</f>
        <v>0.3867410235</v>
      </c>
      <c r="T2247" s="15">
        <f t="shared" si="3"/>
        <v>0.316227766</v>
      </c>
      <c r="U2247" s="15">
        <f t="shared" si="4"/>
        <v>0.05532539875</v>
      </c>
      <c r="V2247" s="16">
        <f>IF(AND(L2247="Among all respondents",NOT(OR(K2247="Online poll in Telegram channel",K2247="Website online poll",K2247="CAWI (Computer Assisted Web Interviewing)"))),1/(1-MIN(MAX(Formula!$C$33+(YEAR(D2247)-Formula!$C$34)/(Formula!$C$35-Formula!$C$34)*(Formula!$C$32-Formula!$C$33),Formula!$C$33),Formula!$C$32)),1)</f>
        <v>1</v>
      </c>
      <c r="W2247" s="17">
        <f t="shared" si="5"/>
        <v>3.9</v>
      </c>
    </row>
    <row r="2248" ht="15.75" customHeight="1">
      <c r="A2248" s="8" t="s">
        <v>3211</v>
      </c>
      <c r="B2248" s="7" t="s">
        <v>3204</v>
      </c>
      <c r="C2248" s="13" t="s">
        <v>3205</v>
      </c>
      <c r="D2248" s="7" t="s">
        <v>280</v>
      </c>
      <c r="E2248" s="8" t="s">
        <v>17</v>
      </c>
      <c r="F2248" s="8" t="s">
        <v>318</v>
      </c>
      <c r="G2248" s="7" t="s">
        <v>278</v>
      </c>
      <c r="H2248" s="7" t="s">
        <v>3206</v>
      </c>
      <c r="I2248" s="8">
        <v>2000.0</v>
      </c>
      <c r="J2248" s="8">
        <v>2.1</v>
      </c>
      <c r="K2248" s="8" t="s">
        <v>583</v>
      </c>
      <c r="M2248" s="8" t="s">
        <v>388</v>
      </c>
      <c r="N2248" s="8">
        <v>2.4</v>
      </c>
      <c r="O2248" s="14">
        <f t="shared" si="1"/>
        <v>43862</v>
      </c>
      <c r="P2248" s="15">
        <f>IFERROR(VLOOKUP(K2248,Formula!$A$11:$B$20,2,FALSE),Formula!$C$26)</f>
        <v>0.95</v>
      </c>
      <c r="Q2248" s="15">
        <f>IF(AND(ISNUMBER(J2248),J2248&gt;0),1/J2248,IF(AND(ISNUMBER(I2248),I2248&gt;0),SQRT(MIN(I2248,Formula!$C$27))/Formula!$C$24,1/Formula!$C$25))</f>
        <v>0.4761904762</v>
      </c>
      <c r="R2248" s="15">
        <f t="shared" si="2"/>
        <v>0.4523809524</v>
      </c>
      <c r="S2248" s="15">
        <f>IF(H2248&lt;&gt;"",EXP(-Formula!$C$28*(EOMONTH(H2248,0)-H2248)),EXP(-Formula!$C$28*(EOMONTH(D2248,0)-D2248)))</f>
        <v>0.3867410235</v>
      </c>
      <c r="T2248" s="15">
        <f t="shared" si="3"/>
        <v>0.316227766</v>
      </c>
      <c r="U2248" s="15">
        <f t="shared" si="4"/>
        <v>0.05532539875</v>
      </c>
      <c r="V2248" s="16">
        <f>IF(AND(L2248="Among all respondents",NOT(OR(K2248="Online poll in Telegram channel",K2248="Website online poll",K2248="CAWI (Computer Assisted Web Interviewing)"))),1/(1-MIN(MAX(Formula!$C$33+(YEAR(D2248)-Formula!$C$34)/(Formula!$C$35-Formula!$C$34)*(Formula!$C$32-Formula!$C$33),Formula!$C$33),Formula!$C$32)),1)</f>
        <v>1</v>
      </c>
      <c r="W2248" s="17">
        <f t="shared" si="5"/>
        <v>2.4</v>
      </c>
    </row>
    <row r="2249" ht="15.75" customHeight="1">
      <c r="A2249" s="8" t="s">
        <v>3212</v>
      </c>
      <c r="B2249" s="7" t="s">
        <v>3204</v>
      </c>
      <c r="C2249" s="13" t="s">
        <v>3205</v>
      </c>
      <c r="D2249" s="7" t="s">
        <v>280</v>
      </c>
      <c r="E2249" s="8" t="s">
        <v>17</v>
      </c>
      <c r="F2249" s="8" t="s">
        <v>318</v>
      </c>
      <c r="G2249" s="7" t="s">
        <v>278</v>
      </c>
      <c r="H2249" s="7" t="s">
        <v>3206</v>
      </c>
      <c r="I2249" s="8">
        <v>2000.0</v>
      </c>
      <c r="J2249" s="8">
        <v>2.1</v>
      </c>
      <c r="K2249" s="8" t="s">
        <v>583</v>
      </c>
      <c r="M2249" s="8" t="s">
        <v>3013</v>
      </c>
      <c r="N2249" s="8">
        <v>1.9</v>
      </c>
      <c r="O2249" s="14">
        <f t="shared" si="1"/>
        <v>43862</v>
      </c>
      <c r="P2249" s="15">
        <f>IFERROR(VLOOKUP(K2249,Formula!$A$11:$B$20,2,FALSE),Formula!$C$26)</f>
        <v>0.95</v>
      </c>
      <c r="Q2249" s="15">
        <f>IF(AND(ISNUMBER(J2249),J2249&gt;0),1/J2249,IF(AND(ISNUMBER(I2249),I2249&gt;0),SQRT(MIN(I2249,Formula!$C$27))/Formula!$C$24,1/Formula!$C$25))</f>
        <v>0.4761904762</v>
      </c>
      <c r="R2249" s="15">
        <f t="shared" si="2"/>
        <v>0.4523809524</v>
      </c>
      <c r="S2249" s="15">
        <f>IF(H2249&lt;&gt;"",EXP(-Formula!$C$28*(EOMONTH(H2249,0)-H2249)),EXP(-Formula!$C$28*(EOMONTH(D2249,0)-D2249)))</f>
        <v>0.3867410235</v>
      </c>
      <c r="T2249" s="15">
        <f t="shared" si="3"/>
        <v>0.316227766</v>
      </c>
      <c r="U2249" s="15">
        <f t="shared" si="4"/>
        <v>0.05532539875</v>
      </c>
      <c r="V2249" s="16">
        <f>IF(AND(L2249="Among all respondents",NOT(OR(K2249="Online poll in Telegram channel",K2249="Website online poll",K2249="CAWI (Computer Assisted Web Interviewing)"))),1/(1-MIN(MAX(Formula!$C$33+(YEAR(D2249)-Formula!$C$34)/(Formula!$C$35-Formula!$C$34)*(Formula!$C$32-Formula!$C$33),Formula!$C$33),Formula!$C$32)),1)</f>
        <v>1</v>
      </c>
      <c r="W2249" s="17">
        <f t="shared" si="5"/>
        <v>1.9</v>
      </c>
    </row>
    <row r="2250" ht="15.75" customHeight="1">
      <c r="A2250" s="8" t="s">
        <v>3213</v>
      </c>
      <c r="B2250" s="7" t="s">
        <v>3204</v>
      </c>
      <c r="C2250" s="13" t="s">
        <v>3205</v>
      </c>
      <c r="D2250" s="7" t="s">
        <v>280</v>
      </c>
      <c r="E2250" s="8" t="s">
        <v>17</v>
      </c>
      <c r="F2250" s="8" t="s">
        <v>318</v>
      </c>
      <c r="G2250" s="7" t="s">
        <v>278</v>
      </c>
      <c r="H2250" s="7" t="s">
        <v>3206</v>
      </c>
      <c r="I2250" s="8">
        <v>2000.0</v>
      </c>
      <c r="J2250" s="8">
        <v>2.1</v>
      </c>
      <c r="K2250" s="8" t="s">
        <v>583</v>
      </c>
      <c r="M2250" s="8" t="s">
        <v>3040</v>
      </c>
      <c r="N2250" s="8">
        <v>1.6</v>
      </c>
      <c r="O2250" s="14">
        <f t="shared" si="1"/>
        <v>43862</v>
      </c>
      <c r="P2250" s="15">
        <f>IFERROR(VLOOKUP(K2250,Formula!$A$11:$B$20,2,FALSE),Formula!$C$26)</f>
        <v>0.95</v>
      </c>
      <c r="Q2250" s="15">
        <f>IF(AND(ISNUMBER(J2250),J2250&gt;0),1/J2250,IF(AND(ISNUMBER(I2250),I2250&gt;0),SQRT(MIN(I2250,Formula!$C$27))/Formula!$C$24,1/Formula!$C$25))</f>
        <v>0.4761904762</v>
      </c>
      <c r="R2250" s="15">
        <f t="shared" si="2"/>
        <v>0.4523809524</v>
      </c>
      <c r="S2250" s="15">
        <f>IF(H2250&lt;&gt;"",EXP(-Formula!$C$28*(EOMONTH(H2250,0)-H2250)),EXP(-Formula!$C$28*(EOMONTH(D2250,0)-D2250)))</f>
        <v>0.3867410235</v>
      </c>
      <c r="T2250" s="15">
        <f t="shared" si="3"/>
        <v>0.316227766</v>
      </c>
      <c r="U2250" s="15">
        <f t="shared" si="4"/>
        <v>0.05532539875</v>
      </c>
      <c r="V2250" s="16">
        <f>IF(AND(L2250="Among all respondents",NOT(OR(K2250="Online poll in Telegram channel",K2250="Website online poll",K2250="CAWI (Computer Assisted Web Interviewing)"))),1/(1-MIN(MAX(Formula!$C$33+(YEAR(D2250)-Formula!$C$34)/(Formula!$C$35-Formula!$C$34)*(Formula!$C$32-Formula!$C$33),Formula!$C$33),Formula!$C$32)),1)</f>
        <v>1</v>
      </c>
      <c r="W2250" s="17">
        <f t="shared" si="5"/>
        <v>1.6</v>
      </c>
    </row>
    <row r="2251" ht="15.75" customHeight="1">
      <c r="A2251" s="8" t="s">
        <v>3214</v>
      </c>
      <c r="B2251" s="7" t="s">
        <v>3204</v>
      </c>
      <c r="C2251" s="13" t="s">
        <v>3205</v>
      </c>
      <c r="D2251" s="7" t="s">
        <v>280</v>
      </c>
      <c r="E2251" s="8" t="s">
        <v>17</v>
      </c>
      <c r="F2251" s="8" t="s">
        <v>318</v>
      </c>
      <c r="G2251" s="7" t="s">
        <v>278</v>
      </c>
      <c r="H2251" s="7" t="s">
        <v>3206</v>
      </c>
      <c r="I2251" s="8">
        <v>2000.0</v>
      </c>
      <c r="J2251" s="8">
        <v>2.1</v>
      </c>
      <c r="K2251" s="8" t="s">
        <v>583</v>
      </c>
      <c r="M2251" s="8" t="s">
        <v>3043</v>
      </c>
      <c r="N2251" s="8">
        <v>1.1</v>
      </c>
      <c r="O2251" s="14">
        <f t="shared" si="1"/>
        <v>43862</v>
      </c>
      <c r="P2251" s="15">
        <f>IFERROR(VLOOKUP(K2251,Formula!$A$11:$B$20,2,FALSE),Formula!$C$26)</f>
        <v>0.95</v>
      </c>
      <c r="Q2251" s="15">
        <f>IF(AND(ISNUMBER(J2251),J2251&gt;0),1/J2251,IF(AND(ISNUMBER(I2251),I2251&gt;0),SQRT(MIN(I2251,Formula!$C$27))/Formula!$C$24,1/Formula!$C$25))</f>
        <v>0.4761904762</v>
      </c>
      <c r="R2251" s="15">
        <f t="shared" si="2"/>
        <v>0.4523809524</v>
      </c>
      <c r="S2251" s="15">
        <f>IF(H2251&lt;&gt;"",EXP(-Formula!$C$28*(EOMONTH(H2251,0)-H2251)),EXP(-Formula!$C$28*(EOMONTH(D2251,0)-D2251)))</f>
        <v>0.3867410235</v>
      </c>
      <c r="T2251" s="15">
        <f t="shared" si="3"/>
        <v>0.316227766</v>
      </c>
      <c r="U2251" s="15">
        <f t="shared" si="4"/>
        <v>0.05532539875</v>
      </c>
      <c r="V2251" s="16">
        <f>IF(AND(L2251="Among all respondents",NOT(OR(K2251="Online poll in Telegram channel",K2251="Website online poll",K2251="CAWI (Computer Assisted Web Interviewing)"))),1/(1-MIN(MAX(Formula!$C$33+(YEAR(D2251)-Formula!$C$34)/(Formula!$C$35-Formula!$C$34)*(Formula!$C$32-Formula!$C$33),Formula!$C$33),Formula!$C$32)),1)</f>
        <v>1</v>
      </c>
      <c r="W2251" s="17">
        <f t="shared" si="5"/>
        <v>1.1</v>
      </c>
    </row>
    <row r="2252" ht="15.75" customHeight="1">
      <c r="A2252" s="8" t="s">
        <v>3215</v>
      </c>
      <c r="B2252" s="7" t="s">
        <v>3204</v>
      </c>
      <c r="C2252" s="13" t="s">
        <v>3205</v>
      </c>
      <c r="D2252" s="7" t="s">
        <v>280</v>
      </c>
      <c r="E2252" s="8" t="s">
        <v>17</v>
      </c>
      <c r="F2252" s="8" t="s">
        <v>318</v>
      </c>
      <c r="G2252" s="7" t="s">
        <v>278</v>
      </c>
      <c r="H2252" s="7" t="s">
        <v>3206</v>
      </c>
      <c r="I2252" s="8">
        <v>2000.0</v>
      </c>
      <c r="J2252" s="8">
        <v>2.1</v>
      </c>
      <c r="K2252" s="8" t="s">
        <v>583</v>
      </c>
      <c r="M2252" s="8" t="s">
        <v>335</v>
      </c>
      <c r="N2252" s="8">
        <v>0.9</v>
      </c>
      <c r="O2252" s="14">
        <f t="shared" si="1"/>
        <v>43862</v>
      </c>
      <c r="P2252" s="15">
        <f>IFERROR(VLOOKUP(K2252,Formula!$A$11:$B$20,2,FALSE),Formula!$C$26)</f>
        <v>0.95</v>
      </c>
      <c r="Q2252" s="15">
        <f>IF(AND(ISNUMBER(J2252),J2252&gt;0),1/J2252,IF(AND(ISNUMBER(I2252),I2252&gt;0),SQRT(MIN(I2252,Formula!$C$27))/Formula!$C$24,1/Formula!$C$25))</f>
        <v>0.4761904762</v>
      </c>
      <c r="R2252" s="15">
        <f t="shared" si="2"/>
        <v>0.4523809524</v>
      </c>
      <c r="S2252" s="15">
        <f>IF(H2252&lt;&gt;"",EXP(-Formula!$C$28*(EOMONTH(H2252,0)-H2252)),EXP(-Formula!$C$28*(EOMONTH(D2252,0)-D2252)))</f>
        <v>0.3867410235</v>
      </c>
      <c r="T2252" s="15">
        <f t="shared" si="3"/>
        <v>0.316227766</v>
      </c>
      <c r="U2252" s="15">
        <f t="shared" si="4"/>
        <v>0.05532539875</v>
      </c>
      <c r="V2252" s="16">
        <f>IF(AND(L2252="Among all respondents",NOT(OR(K2252="Online poll in Telegram channel",K2252="Website online poll",K2252="CAWI (Computer Assisted Web Interviewing)"))),1/(1-MIN(MAX(Formula!$C$33+(YEAR(D2252)-Formula!$C$34)/(Formula!$C$35-Formula!$C$34)*(Formula!$C$32-Formula!$C$33),Formula!$C$33),Formula!$C$32)),1)</f>
        <v>1</v>
      </c>
      <c r="W2252" s="17">
        <f t="shared" si="5"/>
        <v>0.9</v>
      </c>
    </row>
    <row r="2253" ht="15.75" customHeight="1">
      <c r="A2253" s="8" t="s">
        <v>3216</v>
      </c>
      <c r="B2253" s="7" t="s">
        <v>3217</v>
      </c>
      <c r="C2253" s="13" t="s">
        <v>3218</v>
      </c>
      <c r="D2253" s="7" t="s">
        <v>281</v>
      </c>
      <c r="E2253" s="8" t="s">
        <v>283</v>
      </c>
      <c r="F2253" s="8" t="s">
        <v>318</v>
      </c>
      <c r="G2253" s="7" t="s">
        <v>284</v>
      </c>
      <c r="H2253" s="7" t="s">
        <v>284</v>
      </c>
      <c r="J2253" s="8">
        <v>1.5</v>
      </c>
      <c r="K2253" s="8" t="s">
        <v>583</v>
      </c>
      <c r="M2253" s="8" t="s">
        <v>323</v>
      </c>
      <c r="N2253" s="8">
        <v>73.2</v>
      </c>
      <c r="O2253" s="14">
        <f t="shared" si="1"/>
        <v>43556</v>
      </c>
      <c r="P2253" s="15">
        <f>IFERROR(VLOOKUP(K2253,Formula!$A$11:$B$20,2,FALSE),Formula!$C$26)</f>
        <v>0.95</v>
      </c>
      <c r="Q2253" s="15">
        <f>IF(AND(ISNUMBER(J2253),J2253&gt;0),1/J2253,IF(AND(ISNUMBER(I2253),I2253&gt;0),SQRT(MIN(I2253,Formula!$C$27))/Formula!$C$24,1/Formula!$C$25))</f>
        <v>0.6666666667</v>
      </c>
      <c r="R2253" s="15">
        <f t="shared" si="2"/>
        <v>0.6333333333</v>
      </c>
      <c r="S2253" s="15">
        <f>IF(H2253&lt;&gt;"",EXP(-Formula!$C$28*(EOMONTH(H2253,0)-H2253)),EXP(-Formula!$C$28*(EOMONTH(D2253,0)-D2253)))</f>
        <v>0.6376281516</v>
      </c>
      <c r="T2253" s="15">
        <f t="shared" si="3"/>
        <v>0.3015113446</v>
      </c>
      <c r="U2253" s="15">
        <f t="shared" si="4"/>
        <v>0.1217596768</v>
      </c>
      <c r="V2253" s="16">
        <f>IF(AND(L2253="Among all respondents",NOT(OR(K2253="Online poll in Telegram channel",K2253="Website online poll",K2253="CAWI (Computer Assisted Web Interviewing)"))),1/(1-MIN(MAX(Formula!$C$33+(YEAR(D2253)-Formula!$C$34)/(Formula!$C$35-Formula!$C$34)*(Formula!$C$32-Formula!$C$33),Formula!$C$33),Formula!$C$32)),1)</f>
        <v>1</v>
      </c>
      <c r="W2253" s="17">
        <f t="shared" si="5"/>
        <v>73.2</v>
      </c>
    </row>
    <row r="2254" ht="15.75" customHeight="1">
      <c r="A2254" s="8" t="s">
        <v>3219</v>
      </c>
      <c r="B2254" s="7" t="s">
        <v>3217</v>
      </c>
      <c r="C2254" s="13" t="s">
        <v>3218</v>
      </c>
      <c r="D2254" s="7" t="s">
        <v>281</v>
      </c>
      <c r="E2254" s="8" t="s">
        <v>283</v>
      </c>
      <c r="F2254" s="8" t="s">
        <v>318</v>
      </c>
      <c r="G2254" s="7" t="s">
        <v>284</v>
      </c>
      <c r="H2254" s="7" t="s">
        <v>284</v>
      </c>
      <c r="J2254" s="8">
        <v>1.5</v>
      </c>
      <c r="K2254" s="8" t="s">
        <v>583</v>
      </c>
      <c r="M2254" s="8" t="s">
        <v>329</v>
      </c>
      <c r="N2254" s="8">
        <v>24.3</v>
      </c>
      <c r="O2254" s="14">
        <f t="shared" si="1"/>
        <v>43556</v>
      </c>
      <c r="P2254" s="15">
        <f>IFERROR(VLOOKUP(K2254,Formula!$A$11:$B$20,2,FALSE),Formula!$C$26)</f>
        <v>0.95</v>
      </c>
      <c r="Q2254" s="15">
        <f>IF(AND(ISNUMBER(J2254),J2254&gt;0),1/J2254,IF(AND(ISNUMBER(I2254),I2254&gt;0),SQRT(MIN(I2254,Formula!$C$27))/Formula!$C$24,1/Formula!$C$25))</f>
        <v>0.6666666667</v>
      </c>
      <c r="R2254" s="15">
        <f t="shared" si="2"/>
        <v>0.6333333333</v>
      </c>
      <c r="S2254" s="15">
        <f>IF(H2254&lt;&gt;"",EXP(-Formula!$C$28*(EOMONTH(H2254,0)-H2254)),EXP(-Formula!$C$28*(EOMONTH(D2254,0)-D2254)))</f>
        <v>0.6376281516</v>
      </c>
      <c r="T2254" s="15">
        <f t="shared" si="3"/>
        <v>0.3015113446</v>
      </c>
      <c r="U2254" s="15">
        <f t="shared" si="4"/>
        <v>0.1217596768</v>
      </c>
      <c r="V2254" s="16">
        <f>IF(AND(L2254="Among all respondents",NOT(OR(K2254="Online poll in Telegram channel",K2254="Website online poll",K2254="CAWI (Computer Assisted Web Interviewing)"))),1/(1-MIN(MAX(Formula!$C$33+(YEAR(D2254)-Formula!$C$34)/(Formula!$C$35-Formula!$C$34)*(Formula!$C$32-Formula!$C$33),Formula!$C$33),Formula!$C$32)),1)</f>
        <v>1</v>
      </c>
      <c r="W2254" s="17">
        <f t="shared" si="5"/>
        <v>24.3</v>
      </c>
    </row>
    <row r="2255" ht="15.75" customHeight="1">
      <c r="A2255" s="8" t="s">
        <v>3220</v>
      </c>
      <c r="B2255" s="7" t="s">
        <v>3221</v>
      </c>
      <c r="C2255" s="13" t="s">
        <v>3222</v>
      </c>
      <c r="D2255" s="7" t="s">
        <v>284</v>
      </c>
      <c r="E2255" s="8" t="s">
        <v>285</v>
      </c>
      <c r="F2255" s="8" t="s">
        <v>318</v>
      </c>
      <c r="G2255" s="7" t="s">
        <v>284</v>
      </c>
      <c r="H2255" s="7" t="s">
        <v>284</v>
      </c>
      <c r="I2255" s="8">
        <v>16000.0</v>
      </c>
      <c r="J2255" s="8">
        <v>1.7</v>
      </c>
      <c r="K2255" s="8" t="s">
        <v>3223</v>
      </c>
      <c r="M2255" s="8" t="s">
        <v>323</v>
      </c>
      <c r="N2255" s="8">
        <v>73.7</v>
      </c>
      <c r="O2255" s="14">
        <f t="shared" si="1"/>
        <v>43556</v>
      </c>
      <c r="P2255" s="15">
        <f>IFERROR(VLOOKUP(K2255,Formula!$A$11:$B$20,2,FALSE),Formula!$C$26)</f>
        <v>0.85</v>
      </c>
      <c r="Q2255" s="15">
        <f>IF(AND(ISNUMBER(J2255),J2255&gt;0),1/J2255,IF(AND(ISNUMBER(I2255),I2255&gt;0),SQRT(MIN(I2255,Formula!$C$27))/Formula!$C$24,1/Formula!$C$25))</f>
        <v>0.5882352941</v>
      </c>
      <c r="R2255" s="15">
        <f t="shared" si="2"/>
        <v>0.5</v>
      </c>
      <c r="S2255" s="15">
        <f>IF(H2255&lt;&gt;"",EXP(-Formula!$C$28*(EOMONTH(H2255,0)-H2255)),EXP(-Formula!$C$28*(EOMONTH(D2255,0)-D2255)))</f>
        <v>0.6376281516</v>
      </c>
      <c r="T2255" s="15">
        <f t="shared" si="3"/>
        <v>0.7071067812</v>
      </c>
      <c r="U2255" s="15">
        <f t="shared" si="4"/>
        <v>0.2254355949</v>
      </c>
      <c r="V2255" s="16">
        <f>IF(AND(L2255="Among all respondents",NOT(OR(K2255="Online poll in Telegram channel",K2255="Website online poll",K2255="CAWI (Computer Assisted Web Interviewing)"))),1/(1-MIN(MAX(Formula!$C$33+(YEAR(D2255)-Formula!$C$34)/(Formula!$C$35-Formula!$C$34)*(Formula!$C$32-Formula!$C$33),Formula!$C$33),Formula!$C$32)),1)</f>
        <v>1</v>
      </c>
      <c r="W2255" s="17">
        <f t="shared" si="5"/>
        <v>73.7</v>
      </c>
    </row>
    <row r="2256" ht="15.75" customHeight="1">
      <c r="A2256" s="8" t="s">
        <v>3224</v>
      </c>
      <c r="B2256" s="7" t="s">
        <v>3221</v>
      </c>
      <c r="C2256" s="13" t="s">
        <v>3222</v>
      </c>
      <c r="D2256" s="7" t="s">
        <v>284</v>
      </c>
      <c r="E2256" s="8" t="s">
        <v>285</v>
      </c>
      <c r="F2256" s="8" t="s">
        <v>318</v>
      </c>
      <c r="G2256" s="7" t="s">
        <v>284</v>
      </c>
      <c r="H2256" s="7" t="s">
        <v>284</v>
      </c>
      <c r="I2256" s="8">
        <v>16000.0</v>
      </c>
      <c r="J2256" s="8">
        <v>1.7</v>
      </c>
      <c r="K2256" s="8" t="s">
        <v>3223</v>
      </c>
      <c r="M2256" s="8" t="s">
        <v>329</v>
      </c>
      <c r="N2256" s="8">
        <v>26.3</v>
      </c>
      <c r="O2256" s="14">
        <f t="shared" si="1"/>
        <v>43556</v>
      </c>
      <c r="P2256" s="15">
        <f>IFERROR(VLOOKUP(K2256,Formula!$A$11:$B$20,2,FALSE),Formula!$C$26)</f>
        <v>0.85</v>
      </c>
      <c r="Q2256" s="15">
        <f>IF(AND(ISNUMBER(J2256),J2256&gt;0),1/J2256,IF(AND(ISNUMBER(I2256),I2256&gt;0),SQRT(MIN(I2256,Formula!$C$27))/Formula!$C$24,1/Formula!$C$25))</f>
        <v>0.5882352941</v>
      </c>
      <c r="R2256" s="15">
        <f t="shared" si="2"/>
        <v>0.5</v>
      </c>
      <c r="S2256" s="15">
        <f>IF(H2256&lt;&gt;"",EXP(-Formula!$C$28*(EOMONTH(H2256,0)-H2256)),EXP(-Formula!$C$28*(EOMONTH(D2256,0)-D2256)))</f>
        <v>0.6376281516</v>
      </c>
      <c r="T2256" s="15">
        <f t="shared" si="3"/>
        <v>0.7071067812</v>
      </c>
      <c r="U2256" s="15">
        <f t="shared" si="4"/>
        <v>0.2254355949</v>
      </c>
      <c r="V2256" s="16">
        <f>IF(AND(L2256="Among all respondents",NOT(OR(K2256="Online poll in Telegram channel",K2256="Website online poll",K2256="CAWI (Computer Assisted Web Interviewing)"))),1/(1-MIN(MAX(Formula!$C$33+(YEAR(D2256)-Formula!$C$34)/(Formula!$C$35-Formula!$C$34)*(Formula!$C$32-Formula!$C$33),Formula!$C$33),Formula!$C$32)),1)</f>
        <v>1</v>
      </c>
      <c r="W2256" s="17">
        <f t="shared" si="5"/>
        <v>26.3</v>
      </c>
    </row>
    <row r="2257" ht="15.75" customHeight="1">
      <c r="A2257" s="8" t="s">
        <v>3225</v>
      </c>
      <c r="B2257" s="7" t="s">
        <v>3226</v>
      </c>
      <c r="C2257" s="13" t="s">
        <v>3227</v>
      </c>
      <c r="D2257" s="7" t="s">
        <v>284</v>
      </c>
      <c r="E2257" s="8" t="s">
        <v>286</v>
      </c>
      <c r="F2257" s="8" t="s">
        <v>318</v>
      </c>
      <c r="G2257" s="7" t="s">
        <v>284</v>
      </c>
      <c r="H2257" s="7" t="s">
        <v>284</v>
      </c>
      <c r="I2257" s="8">
        <v>20000.0</v>
      </c>
      <c r="J2257" s="8">
        <v>0.7</v>
      </c>
      <c r="K2257" s="8" t="s">
        <v>3223</v>
      </c>
      <c r="M2257" s="8" t="s">
        <v>323</v>
      </c>
      <c r="N2257" s="8">
        <v>72.8</v>
      </c>
      <c r="O2257" s="14">
        <f t="shared" si="1"/>
        <v>43556</v>
      </c>
      <c r="P2257" s="15">
        <f>IFERROR(VLOOKUP(K2257,Formula!$A$11:$B$20,2,FALSE),Formula!$C$26)</f>
        <v>0.85</v>
      </c>
      <c r="Q2257" s="15">
        <f>IF(AND(ISNUMBER(J2257),J2257&gt;0),1/J2257,IF(AND(ISNUMBER(I2257),I2257&gt;0),SQRT(MIN(I2257,Formula!$C$27))/Formula!$C$24,1/Formula!$C$25))</f>
        <v>1.428571429</v>
      </c>
      <c r="R2257" s="15">
        <f t="shared" si="2"/>
        <v>1.214285714</v>
      </c>
      <c r="S2257" s="15">
        <f>IF(H2257&lt;&gt;"",EXP(-Formula!$C$28*(EOMONTH(H2257,0)-H2257)),EXP(-Formula!$C$28*(EOMONTH(D2257,0)-D2257)))</f>
        <v>0.6376281516</v>
      </c>
      <c r="T2257" s="15">
        <f t="shared" si="3"/>
        <v>0.7071067812</v>
      </c>
      <c r="U2257" s="15">
        <f t="shared" si="4"/>
        <v>0.5474864449</v>
      </c>
      <c r="V2257" s="16">
        <f>IF(AND(L2257="Among all respondents",NOT(OR(K2257="Online poll in Telegram channel",K2257="Website online poll",K2257="CAWI (Computer Assisted Web Interviewing)"))),1/(1-MIN(MAX(Formula!$C$33+(YEAR(D2257)-Formula!$C$34)/(Formula!$C$35-Formula!$C$34)*(Formula!$C$32-Formula!$C$33),Formula!$C$33),Formula!$C$32)),1)</f>
        <v>1</v>
      </c>
      <c r="W2257" s="17">
        <f t="shared" si="5"/>
        <v>72.8</v>
      </c>
    </row>
    <row r="2258" ht="15.75" customHeight="1">
      <c r="A2258" s="8" t="s">
        <v>3228</v>
      </c>
      <c r="B2258" s="7" t="s">
        <v>3226</v>
      </c>
      <c r="C2258" s="13" t="s">
        <v>3227</v>
      </c>
      <c r="D2258" s="7" t="s">
        <v>284</v>
      </c>
      <c r="E2258" s="8" t="s">
        <v>286</v>
      </c>
      <c r="F2258" s="8" t="s">
        <v>318</v>
      </c>
      <c r="G2258" s="7" t="s">
        <v>284</v>
      </c>
      <c r="H2258" s="7" t="s">
        <v>284</v>
      </c>
      <c r="I2258" s="8">
        <v>20000.0</v>
      </c>
      <c r="J2258" s="8">
        <v>0.7</v>
      </c>
      <c r="K2258" s="8" t="s">
        <v>3223</v>
      </c>
      <c r="M2258" s="8" t="s">
        <v>329</v>
      </c>
      <c r="N2258" s="8">
        <v>27.2</v>
      </c>
      <c r="O2258" s="14">
        <f t="shared" si="1"/>
        <v>43556</v>
      </c>
      <c r="P2258" s="15">
        <f>IFERROR(VLOOKUP(K2258,Formula!$A$11:$B$20,2,FALSE),Formula!$C$26)</f>
        <v>0.85</v>
      </c>
      <c r="Q2258" s="15">
        <f>IF(AND(ISNUMBER(J2258),J2258&gt;0),1/J2258,IF(AND(ISNUMBER(I2258),I2258&gt;0),SQRT(MIN(I2258,Formula!$C$27))/Formula!$C$24,1/Formula!$C$25))</f>
        <v>1.428571429</v>
      </c>
      <c r="R2258" s="15">
        <f t="shared" si="2"/>
        <v>1.214285714</v>
      </c>
      <c r="S2258" s="15">
        <f>IF(H2258&lt;&gt;"",EXP(-Formula!$C$28*(EOMONTH(H2258,0)-H2258)),EXP(-Formula!$C$28*(EOMONTH(D2258,0)-D2258)))</f>
        <v>0.6376281516</v>
      </c>
      <c r="T2258" s="15">
        <f t="shared" si="3"/>
        <v>0.7071067812</v>
      </c>
      <c r="U2258" s="15">
        <f t="shared" si="4"/>
        <v>0.5474864449</v>
      </c>
      <c r="V2258" s="16">
        <f>IF(AND(L2258="Among all respondents",NOT(OR(K2258="Online poll in Telegram channel",K2258="Website online poll",K2258="CAWI (Computer Assisted Web Interviewing)"))),1/(1-MIN(MAX(Formula!$C$33+(YEAR(D2258)-Formula!$C$34)/(Formula!$C$35-Formula!$C$34)*(Formula!$C$32-Formula!$C$33),Formula!$C$33),Formula!$C$32)),1)</f>
        <v>1</v>
      </c>
      <c r="W2258" s="17">
        <f t="shared" si="5"/>
        <v>27.2</v>
      </c>
    </row>
    <row r="2259" ht="15.75" customHeight="1">
      <c r="A2259" s="8" t="s">
        <v>3229</v>
      </c>
      <c r="B2259" s="7" t="s">
        <v>3230</v>
      </c>
      <c r="C2259" s="13" t="s">
        <v>3231</v>
      </c>
      <c r="D2259" s="7" t="s">
        <v>284</v>
      </c>
      <c r="E2259" s="8" t="s">
        <v>287</v>
      </c>
      <c r="F2259" s="8" t="s">
        <v>318</v>
      </c>
      <c r="G2259" s="7" t="s">
        <v>284</v>
      </c>
      <c r="H2259" s="7" t="s">
        <v>284</v>
      </c>
      <c r="I2259" s="8">
        <v>13686.0</v>
      </c>
      <c r="J2259" s="8">
        <v>3.0</v>
      </c>
      <c r="K2259" s="8" t="s">
        <v>3223</v>
      </c>
      <c r="M2259" s="8" t="s">
        <v>323</v>
      </c>
      <c r="N2259" s="8">
        <v>73.0</v>
      </c>
      <c r="O2259" s="14">
        <f t="shared" si="1"/>
        <v>43556</v>
      </c>
      <c r="P2259" s="15">
        <f>IFERROR(VLOOKUP(K2259,Formula!$A$11:$B$20,2,FALSE),Formula!$C$26)</f>
        <v>0.85</v>
      </c>
      <c r="Q2259" s="15">
        <f>IF(AND(ISNUMBER(J2259),J2259&gt;0),1/J2259,IF(AND(ISNUMBER(I2259),I2259&gt;0),SQRT(MIN(I2259,Formula!$C$27))/Formula!$C$24,1/Formula!$C$25))</f>
        <v>0.3333333333</v>
      </c>
      <c r="R2259" s="15">
        <f t="shared" si="2"/>
        <v>0.2833333333</v>
      </c>
      <c r="S2259" s="15">
        <f>IF(H2259&lt;&gt;"",EXP(-Formula!$C$28*(EOMONTH(H2259,0)-H2259)),EXP(-Formula!$C$28*(EOMONTH(D2259,0)-D2259)))</f>
        <v>0.6376281516</v>
      </c>
      <c r="T2259" s="15">
        <f t="shared" si="3"/>
        <v>0.7071067812</v>
      </c>
      <c r="U2259" s="15">
        <f t="shared" si="4"/>
        <v>0.1277468371</v>
      </c>
      <c r="V2259" s="16">
        <f>IF(AND(L2259="Among all respondents",NOT(OR(K2259="Online poll in Telegram channel",K2259="Website online poll",K2259="CAWI (Computer Assisted Web Interviewing)"))),1/(1-MIN(MAX(Formula!$C$33+(YEAR(D2259)-Formula!$C$34)/(Formula!$C$35-Formula!$C$34)*(Formula!$C$32-Formula!$C$33),Formula!$C$33),Formula!$C$32)),1)</f>
        <v>1</v>
      </c>
      <c r="W2259" s="17">
        <f t="shared" si="5"/>
        <v>73</v>
      </c>
    </row>
    <row r="2260" ht="15.75" customHeight="1">
      <c r="A2260" s="8" t="s">
        <v>3232</v>
      </c>
      <c r="B2260" s="7" t="s">
        <v>3230</v>
      </c>
      <c r="C2260" s="13" t="s">
        <v>3231</v>
      </c>
      <c r="D2260" s="7" t="s">
        <v>284</v>
      </c>
      <c r="E2260" s="8" t="s">
        <v>287</v>
      </c>
      <c r="F2260" s="8" t="s">
        <v>318</v>
      </c>
      <c r="G2260" s="7" t="s">
        <v>284</v>
      </c>
      <c r="H2260" s="7" t="s">
        <v>284</v>
      </c>
      <c r="I2260" s="8">
        <v>13686.0</v>
      </c>
      <c r="J2260" s="8">
        <v>3.0</v>
      </c>
      <c r="K2260" s="8" t="s">
        <v>3223</v>
      </c>
      <c r="M2260" s="8" t="s">
        <v>329</v>
      </c>
      <c r="N2260" s="8">
        <v>25.5</v>
      </c>
      <c r="O2260" s="14">
        <f t="shared" si="1"/>
        <v>43556</v>
      </c>
      <c r="P2260" s="15">
        <f>IFERROR(VLOOKUP(K2260,Formula!$A$11:$B$20,2,FALSE),Formula!$C$26)</f>
        <v>0.85</v>
      </c>
      <c r="Q2260" s="15">
        <f>IF(AND(ISNUMBER(J2260),J2260&gt;0),1/J2260,IF(AND(ISNUMBER(I2260),I2260&gt;0),SQRT(MIN(I2260,Formula!$C$27))/Formula!$C$24,1/Formula!$C$25))</f>
        <v>0.3333333333</v>
      </c>
      <c r="R2260" s="15">
        <f t="shared" si="2"/>
        <v>0.2833333333</v>
      </c>
      <c r="S2260" s="15">
        <f>IF(H2260&lt;&gt;"",EXP(-Formula!$C$28*(EOMONTH(H2260,0)-H2260)),EXP(-Formula!$C$28*(EOMONTH(D2260,0)-D2260)))</f>
        <v>0.6376281516</v>
      </c>
      <c r="T2260" s="15">
        <f t="shared" si="3"/>
        <v>0.7071067812</v>
      </c>
      <c r="U2260" s="15">
        <f t="shared" si="4"/>
        <v>0.1277468371</v>
      </c>
      <c r="V2260" s="16">
        <f>IF(AND(L2260="Among all respondents",NOT(OR(K2260="Online poll in Telegram channel",K2260="Website online poll",K2260="CAWI (Computer Assisted Web Interviewing)"))),1/(1-MIN(MAX(Formula!$C$33+(YEAR(D2260)-Formula!$C$34)/(Formula!$C$35-Formula!$C$34)*(Formula!$C$32-Formula!$C$33),Formula!$C$33),Formula!$C$32)),1)</f>
        <v>1</v>
      </c>
      <c r="W2260" s="17">
        <f t="shared" si="5"/>
        <v>25.5</v>
      </c>
    </row>
    <row r="2261" ht="15.75" customHeight="1">
      <c r="A2261" s="8" t="s">
        <v>3233</v>
      </c>
      <c r="B2261" s="7" t="s">
        <v>3234</v>
      </c>
      <c r="C2261" s="13" t="s">
        <v>3235</v>
      </c>
      <c r="D2261" s="7" t="s">
        <v>288</v>
      </c>
      <c r="E2261" s="8" t="s">
        <v>40</v>
      </c>
      <c r="F2261" s="8" t="s">
        <v>318</v>
      </c>
      <c r="G2261" s="7" t="s">
        <v>3236</v>
      </c>
      <c r="H2261" s="7" t="s">
        <v>289</v>
      </c>
      <c r="I2261" s="8">
        <v>3000.0</v>
      </c>
      <c r="J2261" s="8">
        <v>1.8</v>
      </c>
      <c r="K2261" s="8" t="s">
        <v>583</v>
      </c>
      <c r="M2261" s="8" t="s">
        <v>323</v>
      </c>
      <c r="N2261" s="8">
        <v>51.8</v>
      </c>
      <c r="O2261" s="14">
        <f t="shared" si="1"/>
        <v>43556</v>
      </c>
      <c r="P2261" s="15">
        <f>IFERROR(VLOOKUP(K2261,Formula!$A$11:$B$20,2,FALSE),Formula!$C$26)</f>
        <v>0.95</v>
      </c>
      <c r="Q2261" s="15">
        <f>IF(AND(ISNUMBER(J2261),J2261&gt;0),1/J2261,IF(AND(ISNUMBER(I2261),I2261&gt;0),SQRT(MIN(I2261,Formula!$C$27))/Formula!$C$24,1/Formula!$C$25))</f>
        <v>0.5555555556</v>
      </c>
      <c r="R2261" s="15">
        <f t="shared" si="2"/>
        <v>0.5277777778</v>
      </c>
      <c r="S2261" s="15">
        <f>IF(H2261&lt;&gt;"",EXP(-Formula!$C$28*(EOMONTH(H2261,0)-H2261)),EXP(-Formula!$C$28*(EOMONTH(D2261,0)-D2261)))</f>
        <v>0.4965853038</v>
      </c>
      <c r="T2261" s="15">
        <f t="shared" si="3"/>
        <v>0.5</v>
      </c>
      <c r="U2261" s="15">
        <f t="shared" si="4"/>
        <v>0.1310433441</v>
      </c>
      <c r="V2261" s="16">
        <f>IF(AND(L2261="Among all respondents",NOT(OR(K2261="Online poll in Telegram channel",K2261="Website online poll",K2261="CAWI (Computer Assisted Web Interviewing)"))),1/(1-MIN(MAX(Formula!$C$33+(YEAR(D2261)-Formula!$C$34)/(Formula!$C$35-Formula!$C$34)*(Formula!$C$32-Formula!$C$33),Formula!$C$33),Formula!$C$32)),1)</f>
        <v>1</v>
      </c>
      <c r="W2261" s="17">
        <f t="shared" si="5"/>
        <v>51.8</v>
      </c>
    </row>
    <row r="2262" ht="15.75" customHeight="1">
      <c r="A2262" s="8" t="s">
        <v>3237</v>
      </c>
      <c r="B2262" s="7" t="s">
        <v>3234</v>
      </c>
      <c r="C2262" s="13" t="s">
        <v>3235</v>
      </c>
      <c r="D2262" s="7" t="s">
        <v>288</v>
      </c>
      <c r="E2262" s="8" t="s">
        <v>40</v>
      </c>
      <c r="F2262" s="8" t="s">
        <v>318</v>
      </c>
      <c r="G2262" s="7" t="s">
        <v>3236</v>
      </c>
      <c r="H2262" s="7" t="s">
        <v>289</v>
      </c>
      <c r="I2262" s="8">
        <v>3000.0</v>
      </c>
      <c r="J2262" s="8">
        <v>1.8</v>
      </c>
      <c r="K2262" s="8" t="s">
        <v>583</v>
      </c>
      <c r="M2262" s="8" t="s">
        <v>329</v>
      </c>
      <c r="N2262" s="8">
        <v>19.0</v>
      </c>
      <c r="O2262" s="14">
        <f t="shared" si="1"/>
        <v>43556</v>
      </c>
      <c r="P2262" s="15">
        <f>IFERROR(VLOOKUP(K2262,Formula!$A$11:$B$20,2,FALSE),Formula!$C$26)</f>
        <v>0.95</v>
      </c>
      <c r="Q2262" s="15">
        <f>IF(AND(ISNUMBER(J2262),J2262&gt;0),1/J2262,IF(AND(ISNUMBER(I2262),I2262&gt;0),SQRT(MIN(I2262,Formula!$C$27))/Formula!$C$24,1/Formula!$C$25))</f>
        <v>0.5555555556</v>
      </c>
      <c r="R2262" s="15">
        <f t="shared" si="2"/>
        <v>0.5277777778</v>
      </c>
      <c r="S2262" s="15">
        <f>IF(H2262&lt;&gt;"",EXP(-Formula!$C$28*(EOMONTH(H2262,0)-H2262)),EXP(-Formula!$C$28*(EOMONTH(D2262,0)-D2262)))</f>
        <v>0.4965853038</v>
      </c>
      <c r="T2262" s="15">
        <f t="shared" si="3"/>
        <v>0.5</v>
      </c>
      <c r="U2262" s="15">
        <f t="shared" si="4"/>
        <v>0.1310433441</v>
      </c>
      <c r="V2262" s="16">
        <f>IF(AND(L2262="Among all respondents",NOT(OR(K2262="Online poll in Telegram channel",K2262="Website online poll",K2262="CAWI (Computer Assisted Web Interviewing)"))),1/(1-MIN(MAX(Formula!$C$33+(YEAR(D2262)-Formula!$C$34)/(Formula!$C$35-Formula!$C$34)*(Formula!$C$32-Formula!$C$33),Formula!$C$33),Formula!$C$32)),1)</f>
        <v>1</v>
      </c>
      <c r="W2262" s="17">
        <f t="shared" si="5"/>
        <v>19</v>
      </c>
    </row>
    <row r="2263" ht="15.75" customHeight="1">
      <c r="A2263" s="8" t="s">
        <v>3238</v>
      </c>
      <c r="B2263" s="7" t="s">
        <v>3239</v>
      </c>
      <c r="C2263" s="13" t="s">
        <v>3240</v>
      </c>
      <c r="D2263" s="7" t="s">
        <v>289</v>
      </c>
      <c r="E2263" s="8" t="s">
        <v>72</v>
      </c>
      <c r="F2263" s="8" t="s">
        <v>318</v>
      </c>
      <c r="G2263" s="7" t="s">
        <v>3241</v>
      </c>
      <c r="H2263" s="7" t="s">
        <v>3242</v>
      </c>
      <c r="I2263" s="8">
        <v>2004.0</v>
      </c>
      <c r="J2263" s="8">
        <v>3.3</v>
      </c>
      <c r="K2263" s="8" t="s">
        <v>583</v>
      </c>
      <c r="M2263" s="8" t="s">
        <v>323</v>
      </c>
      <c r="N2263" s="8">
        <v>48.4</v>
      </c>
      <c r="O2263" s="14">
        <f t="shared" si="1"/>
        <v>43556</v>
      </c>
      <c r="P2263" s="15">
        <f>IFERROR(VLOOKUP(K2263,Formula!$A$11:$B$20,2,FALSE),Formula!$C$26)</f>
        <v>0.95</v>
      </c>
      <c r="Q2263" s="15">
        <f>IF(AND(ISNUMBER(J2263),J2263&gt;0),1/J2263,IF(AND(ISNUMBER(I2263),I2263&gt;0),SQRT(MIN(I2263,Formula!$C$27))/Formula!$C$24,1/Formula!$C$25))</f>
        <v>0.303030303</v>
      </c>
      <c r="R2263" s="15">
        <f t="shared" si="2"/>
        <v>0.2878787879</v>
      </c>
      <c r="S2263" s="15">
        <f>IF(H2263&lt;&gt;"",EXP(-Formula!$C$28*(EOMONTH(H2263,0)-H2263)),EXP(-Formula!$C$28*(EOMONTH(D2263,0)-D2263)))</f>
        <v>0.4493289641</v>
      </c>
      <c r="T2263" s="15">
        <f t="shared" si="3"/>
        <v>0.7071067812</v>
      </c>
      <c r="U2263" s="15">
        <f t="shared" si="4"/>
        <v>0.09146587262</v>
      </c>
      <c r="V2263" s="16">
        <f>IF(AND(L2263="Among all respondents",NOT(OR(K2263="Online poll in Telegram channel",K2263="Website online poll",K2263="CAWI (Computer Assisted Web Interviewing)"))),1/(1-MIN(MAX(Formula!$C$33+(YEAR(D2263)-Formula!$C$34)/(Formula!$C$35-Formula!$C$34)*(Formula!$C$32-Formula!$C$33),Formula!$C$33),Formula!$C$32)),1)</f>
        <v>1</v>
      </c>
      <c r="W2263" s="17">
        <f t="shared" si="5"/>
        <v>48.4</v>
      </c>
    </row>
    <row r="2264" ht="15.75" customHeight="1">
      <c r="A2264" s="8" t="s">
        <v>3243</v>
      </c>
      <c r="B2264" s="7" t="s">
        <v>3239</v>
      </c>
      <c r="C2264" s="13" t="s">
        <v>3240</v>
      </c>
      <c r="D2264" s="7" t="s">
        <v>289</v>
      </c>
      <c r="E2264" s="8" t="s">
        <v>72</v>
      </c>
      <c r="F2264" s="8" t="s">
        <v>318</v>
      </c>
      <c r="G2264" s="7" t="s">
        <v>3241</v>
      </c>
      <c r="H2264" s="7" t="s">
        <v>3242</v>
      </c>
      <c r="I2264" s="8">
        <v>2004.0</v>
      </c>
      <c r="J2264" s="8">
        <v>3.3</v>
      </c>
      <c r="K2264" s="8" t="s">
        <v>583</v>
      </c>
      <c r="M2264" s="8" t="s">
        <v>329</v>
      </c>
      <c r="N2264" s="8">
        <v>17.0</v>
      </c>
      <c r="O2264" s="14">
        <f t="shared" si="1"/>
        <v>43556</v>
      </c>
      <c r="P2264" s="15">
        <f>IFERROR(VLOOKUP(K2264,Formula!$A$11:$B$20,2,FALSE),Formula!$C$26)</f>
        <v>0.95</v>
      </c>
      <c r="Q2264" s="15">
        <f>IF(AND(ISNUMBER(J2264),J2264&gt;0),1/J2264,IF(AND(ISNUMBER(I2264),I2264&gt;0),SQRT(MIN(I2264,Formula!$C$27))/Formula!$C$24,1/Formula!$C$25))</f>
        <v>0.303030303</v>
      </c>
      <c r="R2264" s="15">
        <f t="shared" si="2"/>
        <v>0.2878787879</v>
      </c>
      <c r="S2264" s="15">
        <f>IF(H2264&lt;&gt;"",EXP(-Formula!$C$28*(EOMONTH(H2264,0)-H2264)),EXP(-Formula!$C$28*(EOMONTH(D2264,0)-D2264)))</f>
        <v>0.4493289641</v>
      </c>
      <c r="T2264" s="15">
        <f t="shared" si="3"/>
        <v>0.7071067812</v>
      </c>
      <c r="U2264" s="15">
        <f t="shared" si="4"/>
        <v>0.09146587262</v>
      </c>
      <c r="V2264" s="16">
        <f>IF(AND(L2264="Among all respondents",NOT(OR(K2264="Online poll in Telegram channel",K2264="Website online poll",K2264="CAWI (Computer Assisted Web Interviewing)"))),1/(1-MIN(MAX(Formula!$C$33+(YEAR(D2264)-Formula!$C$34)/(Formula!$C$35-Formula!$C$34)*(Formula!$C$32-Formula!$C$33),Formula!$C$33),Formula!$C$32)),1)</f>
        <v>1</v>
      </c>
      <c r="W2264" s="17">
        <f t="shared" si="5"/>
        <v>17</v>
      </c>
    </row>
    <row r="2265" ht="15.75" customHeight="1">
      <c r="A2265" s="8" t="s">
        <v>3244</v>
      </c>
      <c r="B2265" s="7" t="s">
        <v>3245</v>
      </c>
      <c r="C2265" s="13" t="s">
        <v>3246</v>
      </c>
      <c r="D2265" s="7" t="s">
        <v>290</v>
      </c>
      <c r="E2265" s="8" t="s">
        <v>40</v>
      </c>
      <c r="F2265" s="8" t="s">
        <v>318</v>
      </c>
      <c r="G2265" s="7" t="s">
        <v>3247</v>
      </c>
      <c r="H2265" s="7" t="s">
        <v>3248</v>
      </c>
      <c r="I2265" s="8">
        <v>3000.0</v>
      </c>
      <c r="J2265" s="8">
        <v>1.8</v>
      </c>
      <c r="K2265" s="8" t="s">
        <v>583</v>
      </c>
      <c r="M2265" s="8" t="s">
        <v>323</v>
      </c>
      <c r="N2265" s="8">
        <v>51.0</v>
      </c>
      <c r="O2265" s="14">
        <f t="shared" si="1"/>
        <v>43556</v>
      </c>
      <c r="P2265" s="15">
        <f>IFERROR(VLOOKUP(K2265,Formula!$A$11:$B$20,2,FALSE),Formula!$C$26)</f>
        <v>0.95</v>
      </c>
      <c r="Q2265" s="15">
        <f>IF(AND(ISNUMBER(J2265),J2265&gt;0),1/J2265,IF(AND(ISNUMBER(I2265),I2265&gt;0),SQRT(MIN(I2265,Formula!$C$27))/Formula!$C$24,1/Formula!$C$25))</f>
        <v>0.5555555556</v>
      </c>
      <c r="R2265" s="15">
        <f t="shared" si="2"/>
        <v>0.5277777778</v>
      </c>
      <c r="S2265" s="15">
        <f>IF(H2265&lt;&gt;"",EXP(-Formula!$C$28*(EOMONTH(H2265,0)-H2265)),EXP(-Formula!$C$28*(EOMONTH(D2265,0)-D2265)))</f>
        <v>0.3678794412</v>
      </c>
      <c r="T2265" s="15">
        <f t="shared" si="3"/>
        <v>0.5</v>
      </c>
      <c r="U2265" s="15">
        <f t="shared" si="4"/>
        <v>0.09707929698</v>
      </c>
      <c r="V2265" s="16">
        <f>IF(AND(L2265="Among all respondents",NOT(OR(K2265="Online poll in Telegram channel",K2265="Website online poll",K2265="CAWI (Computer Assisted Web Interviewing)"))),1/(1-MIN(MAX(Formula!$C$33+(YEAR(D2265)-Formula!$C$34)/(Formula!$C$35-Formula!$C$34)*(Formula!$C$32-Formula!$C$33),Formula!$C$33),Formula!$C$32)),1)</f>
        <v>1</v>
      </c>
      <c r="W2265" s="17">
        <f t="shared" si="5"/>
        <v>51</v>
      </c>
    </row>
    <row r="2266" ht="15.75" customHeight="1">
      <c r="A2266" s="8" t="s">
        <v>3249</v>
      </c>
      <c r="B2266" s="7" t="s">
        <v>3245</v>
      </c>
      <c r="C2266" s="13" t="s">
        <v>3246</v>
      </c>
      <c r="D2266" s="7" t="s">
        <v>290</v>
      </c>
      <c r="E2266" s="8" t="s">
        <v>40</v>
      </c>
      <c r="F2266" s="8" t="s">
        <v>318</v>
      </c>
      <c r="G2266" s="7" t="s">
        <v>3247</v>
      </c>
      <c r="H2266" s="7" t="s">
        <v>3248</v>
      </c>
      <c r="I2266" s="8">
        <v>3000.0</v>
      </c>
      <c r="J2266" s="8">
        <v>1.8</v>
      </c>
      <c r="K2266" s="8" t="s">
        <v>583</v>
      </c>
      <c r="M2266" s="8" t="s">
        <v>329</v>
      </c>
      <c r="N2266" s="8">
        <v>20.8</v>
      </c>
      <c r="O2266" s="14">
        <f t="shared" si="1"/>
        <v>43556</v>
      </c>
      <c r="P2266" s="15">
        <f>IFERROR(VLOOKUP(K2266,Formula!$A$11:$B$20,2,FALSE),Formula!$C$26)</f>
        <v>0.95</v>
      </c>
      <c r="Q2266" s="15">
        <f>IF(AND(ISNUMBER(J2266),J2266&gt;0),1/J2266,IF(AND(ISNUMBER(I2266),I2266&gt;0),SQRT(MIN(I2266,Formula!$C$27))/Formula!$C$24,1/Formula!$C$25))</f>
        <v>0.5555555556</v>
      </c>
      <c r="R2266" s="15">
        <f t="shared" si="2"/>
        <v>0.5277777778</v>
      </c>
      <c r="S2266" s="15">
        <f>IF(H2266&lt;&gt;"",EXP(-Formula!$C$28*(EOMONTH(H2266,0)-H2266)),EXP(-Formula!$C$28*(EOMONTH(D2266,0)-D2266)))</f>
        <v>0.3678794412</v>
      </c>
      <c r="T2266" s="15">
        <f t="shared" si="3"/>
        <v>0.5</v>
      </c>
      <c r="U2266" s="15">
        <f t="shared" si="4"/>
        <v>0.09707929698</v>
      </c>
      <c r="V2266" s="16">
        <f>IF(AND(L2266="Among all respondents",NOT(OR(K2266="Online poll in Telegram channel",K2266="Website online poll",K2266="CAWI (Computer Assisted Web Interviewing)"))),1/(1-MIN(MAX(Formula!$C$33+(YEAR(D2266)-Formula!$C$34)/(Formula!$C$35-Formula!$C$34)*(Formula!$C$32-Formula!$C$33),Formula!$C$33),Formula!$C$32)),1)</f>
        <v>1</v>
      </c>
      <c r="W2266" s="17">
        <f t="shared" si="5"/>
        <v>20.8</v>
      </c>
    </row>
    <row r="2267" ht="15.75" customHeight="1">
      <c r="A2267" s="8" t="s">
        <v>3250</v>
      </c>
      <c r="B2267" s="7" t="s">
        <v>3251</v>
      </c>
      <c r="C2267" s="13" t="s">
        <v>3252</v>
      </c>
      <c r="D2267" s="7" t="s">
        <v>291</v>
      </c>
      <c r="E2267" s="8" t="s">
        <v>293</v>
      </c>
      <c r="F2267" s="8" t="s">
        <v>318</v>
      </c>
      <c r="G2267" s="7" t="s">
        <v>3253</v>
      </c>
      <c r="H2267" s="7" t="s">
        <v>3253</v>
      </c>
      <c r="I2267" s="8">
        <v>15179.0</v>
      </c>
      <c r="J2267" s="8">
        <v>2.1</v>
      </c>
      <c r="K2267" s="8" t="s">
        <v>583</v>
      </c>
      <c r="M2267" s="8" t="s">
        <v>323</v>
      </c>
      <c r="N2267" s="8">
        <v>49.4</v>
      </c>
      <c r="O2267" s="14">
        <f t="shared" si="1"/>
        <v>43556</v>
      </c>
      <c r="P2267" s="15">
        <f>IFERROR(VLOOKUP(K2267,Formula!$A$11:$B$20,2,FALSE),Formula!$C$26)</f>
        <v>0.95</v>
      </c>
      <c r="Q2267" s="15">
        <f>IF(AND(ISNUMBER(J2267),J2267&gt;0),1/J2267,IF(AND(ISNUMBER(I2267),I2267&gt;0),SQRT(MIN(I2267,Formula!$C$27))/Formula!$C$24,1/Formula!$C$25))</f>
        <v>0.4761904762</v>
      </c>
      <c r="R2267" s="15">
        <f t="shared" si="2"/>
        <v>0.4523809524</v>
      </c>
      <c r="S2267" s="15">
        <f>IF(H2267&lt;&gt;"",EXP(-Formula!$C$28*(EOMONTH(H2267,0)-H2267)),EXP(-Formula!$C$28*(EOMONTH(D2267,0)-D2267)))</f>
        <v>1</v>
      </c>
      <c r="T2267" s="15">
        <f t="shared" si="3"/>
        <v>0.7071067812</v>
      </c>
      <c r="U2267" s="15">
        <f t="shared" si="4"/>
        <v>0.3198816391</v>
      </c>
      <c r="V2267" s="16">
        <f>IF(AND(L2267="Among all respondents",NOT(OR(K2267="Online poll in Telegram channel",K2267="Website online poll",K2267="CAWI (Computer Assisted Web Interviewing)"))),1/(1-MIN(MAX(Formula!$C$33+(YEAR(D2267)-Formula!$C$34)/(Formula!$C$35-Formula!$C$34)*(Formula!$C$32-Formula!$C$33),Formula!$C$33),Formula!$C$32)),1)</f>
        <v>1</v>
      </c>
      <c r="W2267" s="17">
        <f t="shared" si="5"/>
        <v>49.4</v>
      </c>
    </row>
    <row r="2268" ht="15.75" customHeight="1">
      <c r="A2268" s="8" t="s">
        <v>3254</v>
      </c>
      <c r="B2268" s="7" t="s">
        <v>3251</v>
      </c>
      <c r="C2268" s="13" t="s">
        <v>3252</v>
      </c>
      <c r="D2268" s="7" t="s">
        <v>291</v>
      </c>
      <c r="E2268" s="8" t="s">
        <v>293</v>
      </c>
      <c r="F2268" s="8" t="s">
        <v>318</v>
      </c>
      <c r="G2268" s="7" t="s">
        <v>3253</v>
      </c>
      <c r="H2268" s="7" t="s">
        <v>3253</v>
      </c>
      <c r="I2268" s="8">
        <v>15179.0</v>
      </c>
      <c r="J2268" s="8">
        <v>2.1</v>
      </c>
      <c r="K2268" s="8" t="s">
        <v>583</v>
      </c>
      <c r="M2268" s="8" t="s">
        <v>329</v>
      </c>
      <c r="N2268" s="8">
        <v>19.8</v>
      </c>
      <c r="O2268" s="14">
        <f t="shared" si="1"/>
        <v>43556</v>
      </c>
      <c r="P2268" s="15">
        <f>IFERROR(VLOOKUP(K2268,Formula!$A$11:$B$20,2,FALSE),Formula!$C$26)</f>
        <v>0.95</v>
      </c>
      <c r="Q2268" s="15">
        <f>IF(AND(ISNUMBER(J2268),J2268&gt;0),1/J2268,IF(AND(ISNUMBER(I2268),I2268&gt;0),SQRT(MIN(I2268,Formula!$C$27))/Formula!$C$24,1/Formula!$C$25))</f>
        <v>0.4761904762</v>
      </c>
      <c r="R2268" s="15">
        <f t="shared" si="2"/>
        <v>0.4523809524</v>
      </c>
      <c r="S2268" s="15">
        <f>IF(H2268&lt;&gt;"",EXP(-Formula!$C$28*(EOMONTH(H2268,0)-H2268)),EXP(-Formula!$C$28*(EOMONTH(D2268,0)-D2268)))</f>
        <v>1</v>
      </c>
      <c r="T2268" s="15">
        <f t="shared" si="3"/>
        <v>0.7071067812</v>
      </c>
      <c r="U2268" s="15">
        <f t="shared" si="4"/>
        <v>0.3198816391</v>
      </c>
      <c r="V2268" s="16">
        <f>IF(AND(L2268="Among all respondents",NOT(OR(K2268="Online poll in Telegram channel",K2268="Website online poll",K2268="CAWI (Computer Assisted Web Interviewing)"))),1/(1-MIN(MAX(Formula!$C$33+(YEAR(D2268)-Formula!$C$34)/(Formula!$C$35-Formula!$C$34)*(Formula!$C$32-Formula!$C$33),Formula!$C$33),Formula!$C$32)),1)</f>
        <v>1</v>
      </c>
      <c r="W2268" s="17">
        <f t="shared" si="5"/>
        <v>19.8</v>
      </c>
    </row>
    <row r="2269" ht="15.75" customHeight="1">
      <c r="A2269" s="8" t="s">
        <v>3255</v>
      </c>
      <c r="B2269" s="7" t="s">
        <v>3256</v>
      </c>
      <c r="C2269" s="13" t="s">
        <v>3257</v>
      </c>
      <c r="D2269" s="7" t="s">
        <v>282</v>
      </c>
      <c r="E2269" s="8" t="s">
        <v>283</v>
      </c>
      <c r="F2269" s="8" t="s">
        <v>318</v>
      </c>
      <c r="G2269" s="7" t="s">
        <v>3253</v>
      </c>
      <c r="H2269" s="7" t="s">
        <v>3253</v>
      </c>
      <c r="J2269" s="8">
        <v>0.7</v>
      </c>
      <c r="K2269" s="8" t="s">
        <v>583</v>
      </c>
      <c r="M2269" s="8" t="s">
        <v>323</v>
      </c>
      <c r="N2269" s="8">
        <v>30.1</v>
      </c>
      <c r="O2269" s="14">
        <f t="shared" si="1"/>
        <v>43556</v>
      </c>
      <c r="P2269" s="15">
        <f>IFERROR(VLOOKUP(K2269,Formula!$A$11:$B$20,2,FALSE),Formula!$C$26)</f>
        <v>0.95</v>
      </c>
      <c r="Q2269" s="15">
        <f>IF(AND(ISNUMBER(J2269),J2269&gt;0),1/J2269,IF(AND(ISNUMBER(I2269),I2269&gt;0),SQRT(MIN(I2269,Formula!$C$27))/Formula!$C$24,1/Formula!$C$25))</f>
        <v>1.428571429</v>
      </c>
      <c r="R2269" s="15">
        <f t="shared" si="2"/>
        <v>1.357142857</v>
      </c>
      <c r="S2269" s="15">
        <f>IF(H2269&lt;&gt;"",EXP(-Formula!$C$28*(EOMONTH(H2269,0)-H2269)),EXP(-Formula!$C$28*(EOMONTH(D2269,0)-D2269)))</f>
        <v>1</v>
      </c>
      <c r="T2269" s="15">
        <f t="shared" si="3"/>
        <v>0.3015113446</v>
      </c>
      <c r="U2269" s="15">
        <f t="shared" si="4"/>
        <v>0.4091939676</v>
      </c>
      <c r="V2269" s="16">
        <f>IF(AND(L2269="Among all respondents",NOT(OR(K2269="Online poll in Telegram channel",K2269="Website online poll",K2269="CAWI (Computer Assisted Web Interviewing)"))),1/(1-MIN(MAX(Formula!$C$33+(YEAR(D2269)-Formula!$C$34)/(Formula!$C$35-Formula!$C$34)*(Formula!$C$32-Formula!$C$33),Formula!$C$33),Formula!$C$32)),1)</f>
        <v>1</v>
      </c>
      <c r="W2269" s="17">
        <f t="shared" si="5"/>
        <v>30.1</v>
      </c>
    </row>
    <row r="2270" ht="15.75" customHeight="1">
      <c r="A2270" s="8" t="s">
        <v>3258</v>
      </c>
      <c r="B2270" s="7" t="s">
        <v>3256</v>
      </c>
      <c r="C2270" s="13" t="s">
        <v>3257</v>
      </c>
      <c r="D2270" s="7" t="s">
        <v>282</v>
      </c>
      <c r="E2270" s="8" t="s">
        <v>283</v>
      </c>
      <c r="F2270" s="8" t="s">
        <v>318</v>
      </c>
      <c r="G2270" s="7" t="s">
        <v>3253</v>
      </c>
      <c r="H2270" s="7" t="s">
        <v>3253</v>
      </c>
      <c r="J2270" s="8">
        <v>0.7</v>
      </c>
      <c r="K2270" s="8" t="s">
        <v>583</v>
      </c>
      <c r="M2270" s="8" t="s">
        <v>329</v>
      </c>
      <c r="N2270" s="8">
        <v>15.7</v>
      </c>
      <c r="O2270" s="14">
        <f t="shared" si="1"/>
        <v>43556</v>
      </c>
      <c r="P2270" s="15">
        <f>IFERROR(VLOOKUP(K2270,Formula!$A$11:$B$20,2,FALSE),Formula!$C$26)</f>
        <v>0.95</v>
      </c>
      <c r="Q2270" s="15">
        <f>IF(AND(ISNUMBER(J2270),J2270&gt;0),1/J2270,IF(AND(ISNUMBER(I2270),I2270&gt;0),SQRT(MIN(I2270,Formula!$C$27))/Formula!$C$24,1/Formula!$C$25))</f>
        <v>1.428571429</v>
      </c>
      <c r="R2270" s="15">
        <f t="shared" si="2"/>
        <v>1.357142857</v>
      </c>
      <c r="S2270" s="15">
        <f>IF(H2270&lt;&gt;"",EXP(-Formula!$C$28*(EOMONTH(H2270,0)-H2270)),EXP(-Formula!$C$28*(EOMONTH(D2270,0)-D2270)))</f>
        <v>1</v>
      </c>
      <c r="T2270" s="15">
        <f t="shared" si="3"/>
        <v>0.3015113446</v>
      </c>
      <c r="U2270" s="15">
        <f t="shared" si="4"/>
        <v>0.4091939676</v>
      </c>
      <c r="V2270" s="16">
        <f>IF(AND(L2270="Among all respondents",NOT(OR(K2270="Online poll in Telegram channel",K2270="Website online poll",K2270="CAWI (Computer Assisted Web Interviewing)"))),1/(1-MIN(MAX(Formula!$C$33+(YEAR(D2270)-Formula!$C$34)/(Formula!$C$35-Formula!$C$34)*(Formula!$C$32-Formula!$C$33),Formula!$C$33),Formula!$C$32)),1)</f>
        <v>1</v>
      </c>
      <c r="W2270" s="17">
        <f t="shared" si="5"/>
        <v>15.7</v>
      </c>
    </row>
    <row r="2271" ht="15.75" customHeight="1">
      <c r="A2271" s="8" t="s">
        <v>3259</v>
      </c>
      <c r="B2271" s="7" t="s">
        <v>3256</v>
      </c>
      <c r="C2271" s="13" t="s">
        <v>3257</v>
      </c>
      <c r="D2271" s="7" t="s">
        <v>282</v>
      </c>
      <c r="E2271" s="8" t="s">
        <v>283</v>
      </c>
      <c r="F2271" s="8" t="s">
        <v>318</v>
      </c>
      <c r="G2271" s="7" t="s">
        <v>3253</v>
      </c>
      <c r="H2271" s="7" t="s">
        <v>3253</v>
      </c>
      <c r="J2271" s="8">
        <v>0.7</v>
      </c>
      <c r="K2271" s="8" t="s">
        <v>583</v>
      </c>
      <c r="M2271" s="8" t="s">
        <v>337</v>
      </c>
      <c r="N2271" s="8">
        <v>13.3</v>
      </c>
      <c r="O2271" s="14">
        <f t="shared" si="1"/>
        <v>43556</v>
      </c>
      <c r="P2271" s="15">
        <f>IFERROR(VLOOKUP(K2271,Formula!$A$11:$B$20,2,FALSE),Formula!$C$26)</f>
        <v>0.95</v>
      </c>
      <c r="Q2271" s="15">
        <f>IF(AND(ISNUMBER(J2271),J2271&gt;0),1/J2271,IF(AND(ISNUMBER(I2271),I2271&gt;0),SQRT(MIN(I2271,Formula!$C$27))/Formula!$C$24,1/Formula!$C$25))</f>
        <v>1.428571429</v>
      </c>
      <c r="R2271" s="15">
        <f t="shared" si="2"/>
        <v>1.357142857</v>
      </c>
      <c r="S2271" s="15">
        <f>IF(H2271&lt;&gt;"",EXP(-Formula!$C$28*(EOMONTH(H2271,0)-H2271)),EXP(-Formula!$C$28*(EOMONTH(D2271,0)-D2271)))</f>
        <v>1</v>
      </c>
      <c r="T2271" s="15">
        <f t="shared" si="3"/>
        <v>0.3015113446</v>
      </c>
      <c r="U2271" s="15">
        <f t="shared" si="4"/>
        <v>0.4091939676</v>
      </c>
      <c r="V2271" s="16">
        <f>IF(AND(L2271="Among all respondents",NOT(OR(K2271="Online poll in Telegram channel",K2271="Website online poll",K2271="CAWI (Computer Assisted Web Interviewing)"))),1/(1-MIN(MAX(Formula!$C$33+(YEAR(D2271)-Formula!$C$34)/(Formula!$C$35-Formula!$C$34)*(Formula!$C$32-Formula!$C$33),Formula!$C$33),Formula!$C$32)),1)</f>
        <v>1</v>
      </c>
      <c r="W2271" s="17">
        <f t="shared" si="5"/>
        <v>13.3</v>
      </c>
    </row>
    <row r="2272" ht="15.75" customHeight="1">
      <c r="A2272" s="8" t="s">
        <v>3260</v>
      </c>
      <c r="B2272" s="7" t="s">
        <v>3256</v>
      </c>
      <c r="C2272" s="13" t="s">
        <v>3257</v>
      </c>
      <c r="D2272" s="7" t="s">
        <v>282</v>
      </c>
      <c r="E2272" s="8" t="s">
        <v>283</v>
      </c>
      <c r="F2272" s="8" t="s">
        <v>318</v>
      </c>
      <c r="G2272" s="7" t="s">
        <v>3253</v>
      </c>
      <c r="H2272" s="7" t="s">
        <v>3253</v>
      </c>
      <c r="J2272" s="8">
        <v>0.7</v>
      </c>
      <c r="K2272" s="8" t="s">
        <v>583</v>
      </c>
      <c r="M2272" s="8" t="s">
        <v>365</v>
      </c>
      <c r="N2272" s="8">
        <v>11.5</v>
      </c>
      <c r="O2272" s="14">
        <f t="shared" si="1"/>
        <v>43556</v>
      </c>
      <c r="P2272" s="15">
        <f>IFERROR(VLOOKUP(K2272,Formula!$A$11:$B$20,2,FALSE),Formula!$C$26)</f>
        <v>0.95</v>
      </c>
      <c r="Q2272" s="15">
        <f>IF(AND(ISNUMBER(J2272),J2272&gt;0),1/J2272,IF(AND(ISNUMBER(I2272),I2272&gt;0),SQRT(MIN(I2272,Formula!$C$27))/Formula!$C$24,1/Formula!$C$25))</f>
        <v>1.428571429</v>
      </c>
      <c r="R2272" s="15">
        <f t="shared" si="2"/>
        <v>1.357142857</v>
      </c>
      <c r="S2272" s="15">
        <f>IF(H2272&lt;&gt;"",EXP(-Formula!$C$28*(EOMONTH(H2272,0)-H2272)),EXP(-Formula!$C$28*(EOMONTH(D2272,0)-D2272)))</f>
        <v>1</v>
      </c>
      <c r="T2272" s="15">
        <f t="shared" si="3"/>
        <v>0.3015113446</v>
      </c>
      <c r="U2272" s="15">
        <f t="shared" si="4"/>
        <v>0.4091939676</v>
      </c>
      <c r="V2272" s="16">
        <f>IF(AND(L2272="Among all respondents",NOT(OR(K2272="Online poll in Telegram channel",K2272="Website online poll",K2272="CAWI (Computer Assisted Web Interviewing)"))),1/(1-MIN(MAX(Formula!$C$33+(YEAR(D2272)-Formula!$C$34)/(Formula!$C$35-Formula!$C$34)*(Formula!$C$32-Formula!$C$33),Formula!$C$33),Formula!$C$32)),1)</f>
        <v>1</v>
      </c>
      <c r="W2272" s="17">
        <f t="shared" si="5"/>
        <v>11.5</v>
      </c>
    </row>
    <row r="2273" ht="15.75" customHeight="1">
      <c r="A2273" s="8" t="s">
        <v>3261</v>
      </c>
      <c r="B2273" s="7" t="s">
        <v>3256</v>
      </c>
      <c r="C2273" s="13" t="s">
        <v>3257</v>
      </c>
      <c r="D2273" s="7" t="s">
        <v>282</v>
      </c>
      <c r="E2273" s="8" t="s">
        <v>283</v>
      </c>
      <c r="F2273" s="8" t="s">
        <v>318</v>
      </c>
      <c r="G2273" s="7" t="s">
        <v>3253</v>
      </c>
      <c r="H2273" s="7" t="s">
        <v>3253</v>
      </c>
      <c r="J2273" s="8">
        <v>0.7</v>
      </c>
      <c r="K2273" s="8" t="s">
        <v>583</v>
      </c>
      <c r="M2273" s="8" t="s">
        <v>838</v>
      </c>
      <c r="N2273" s="8">
        <v>6.8</v>
      </c>
      <c r="O2273" s="14">
        <f t="shared" si="1"/>
        <v>43556</v>
      </c>
      <c r="P2273" s="15">
        <f>IFERROR(VLOOKUP(K2273,Formula!$A$11:$B$20,2,FALSE),Formula!$C$26)</f>
        <v>0.95</v>
      </c>
      <c r="Q2273" s="15">
        <f>IF(AND(ISNUMBER(J2273),J2273&gt;0),1/J2273,IF(AND(ISNUMBER(I2273),I2273&gt;0),SQRT(MIN(I2273,Formula!$C$27))/Formula!$C$24,1/Formula!$C$25))</f>
        <v>1.428571429</v>
      </c>
      <c r="R2273" s="15">
        <f t="shared" si="2"/>
        <v>1.357142857</v>
      </c>
      <c r="S2273" s="15">
        <f>IF(H2273&lt;&gt;"",EXP(-Formula!$C$28*(EOMONTH(H2273,0)-H2273)),EXP(-Formula!$C$28*(EOMONTH(D2273,0)-D2273)))</f>
        <v>1</v>
      </c>
      <c r="T2273" s="15">
        <f t="shared" si="3"/>
        <v>0.3015113446</v>
      </c>
      <c r="U2273" s="15">
        <f t="shared" si="4"/>
        <v>0.4091939676</v>
      </c>
      <c r="V2273" s="16">
        <f>IF(AND(L2273="Among all respondents",NOT(OR(K2273="Online poll in Telegram channel",K2273="Website online poll",K2273="CAWI (Computer Assisted Web Interviewing)"))),1/(1-MIN(MAX(Formula!$C$33+(YEAR(D2273)-Formula!$C$34)/(Formula!$C$35-Formula!$C$34)*(Formula!$C$32-Formula!$C$33),Formula!$C$33),Formula!$C$32)),1)</f>
        <v>1</v>
      </c>
      <c r="W2273" s="17">
        <f t="shared" si="5"/>
        <v>6.8</v>
      </c>
    </row>
    <row r="2274" ht="15.75" customHeight="1">
      <c r="A2274" s="8" t="s">
        <v>3262</v>
      </c>
      <c r="B2274" s="7" t="s">
        <v>3256</v>
      </c>
      <c r="C2274" s="13" t="s">
        <v>3257</v>
      </c>
      <c r="D2274" s="7" t="s">
        <v>282</v>
      </c>
      <c r="E2274" s="8" t="s">
        <v>283</v>
      </c>
      <c r="F2274" s="8" t="s">
        <v>318</v>
      </c>
      <c r="G2274" s="7" t="s">
        <v>3253</v>
      </c>
      <c r="H2274" s="7" t="s">
        <v>3253</v>
      </c>
      <c r="J2274" s="8">
        <v>0.7</v>
      </c>
      <c r="K2274" s="8" t="s">
        <v>583</v>
      </c>
      <c r="M2274" s="8" t="s">
        <v>828</v>
      </c>
      <c r="N2274" s="8">
        <v>5.9</v>
      </c>
      <c r="O2274" s="14">
        <f t="shared" si="1"/>
        <v>43556</v>
      </c>
      <c r="P2274" s="15">
        <f>IFERROR(VLOOKUP(K2274,Formula!$A$11:$B$20,2,FALSE),Formula!$C$26)</f>
        <v>0.95</v>
      </c>
      <c r="Q2274" s="15">
        <f>IF(AND(ISNUMBER(J2274),J2274&gt;0),1/J2274,IF(AND(ISNUMBER(I2274),I2274&gt;0),SQRT(MIN(I2274,Formula!$C$27))/Formula!$C$24,1/Formula!$C$25))</f>
        <v>1.428571429</v>
      </c>
      <c r="R2274" s="15">
        <f t="shared" si="2"/>
        <v>1.357142857</v>
      </c>
      <c r="S2274" s="15">
        <f>IF(H2274&lt;&gt;"",EXP(-Formula!$C$28*(EOMONTH(H2274,0)-H2274)),EXP(-Formula!$C$28*(EOMONTH(D2274,0)-D2274)))</f>
        <v>1</v>
      </c>
      <c r="T2274" s="15">
        <f t="shared" si="3"/>
        <v>0.3015113446</v>
      </c>
      <c r="U2274" s="15">
        <f t="shared" si="4"/>
        <v>0.4091939676</v>
      </c>
      <c r="V2274" s="16">
        <f>IF(AND(L2274="Among all respondents",NOT(OR(K2274="Online poll in Telegram channel",K2274="Website online poll",K2274="CAWI (Computer Assisted Web Interviewing)"))),1/(1-MIN(MAX(Formula!$C$33+(YEAR(D2274)-Formula!$C$34)/(Formula!$C$35-Formula!$C$34)*(Formula!$C$32-Formula!$C$33),Formula!$C$33),Formula!$C$32)),1)</f>
        <v>1</v>
      </c>
      <c r="W2274" s="17">
        <f t="shared" si="5"/>
        <v>5.9</v>
      </c>
    </row>
    <row r="2275" ht="15.75" customHeight="1">
      <c r="A2275" s="8" t="s">
        <v>3263</v>
      </c>
      <c r="B2275" s="7" t="s">
        <v>3256</v>
      </c>
      <c r="C2275" s="13" t="s">
        <v>3257</v>
      </c>
      <c r="D2275" s="7" t="s">
        <v>282</v>
      </c>
      <c r="E2275" s="8" t="s">
        <v>283</v>
      </c>
      <c r="F2275" s="8" t="s">
        <v>318</v>
      </c>
      <c r="G2275" s="7" t="s">
        <v>3253</v>
      </c>
      <c r="H2275" s="7" t="s">
        <v>3253</v>
      </c>
      <c r="J2275" s="8">
        <v>0.7</v>
      </c>
      <c r="K2275" s="8" t="s">
        <v>583</v>
      </c>
      <c r="M2275" s="8" t="s">
        <v>388</v>
      </c>
      <c r="N2275" s="8">
        <v>5.5</v>
      </c>
      <c r="O2275" s="14">
        <f t="shared" si="1"/>
        <v>43556</v>
      </c>
      <c r="P2275" s="15">
        <f>IFERROR(VLOOKUP(K2275,Formula!$A$11:$B$20,2,FALSE),Formula!$C$26)</f>
        <v>0.95</v>
      </c>
      <c r="Q2275" s="15">
        <f>IF(AND(ISNUMBER(J2275),J2275&gt;0),1/J2275,IF(AND(ISNUMBER(I2275),I2275&gt;0),SQRT(MIN(I2275,Formula!$C$27))/Formula!$C$24,1/Formula!$C$25))</f>
        <v>1.428571429</v>
      </c>
      <c r="R2275" s="15">
        <f t="shared" si="2"/>
        <v>1.357142857</v>
      </c>
      <c r="S2275" s="15">
        <f>IF(H2275&lt;&gt;"",EXP(-Formula!$C$28*(EOMONTH(H2275,0)-H2275)),EXP(-Formula!$C$28*(EOMONTH(D2275,0)-D2275)))</f>
        <v>1</v>
      </c>
      <c r="T2275" s="15">
        <f t="shared" si="3"/>
        <v>0.3015113446</v>
      </c>
      <c r="U2275" s="15">
        <f t="shared" si="4"/>
        <v>0.4091939676</v>
      </c>
      <c r="V2275" s="16">
        <f>IF(AND(L2275="Among all respondents",NOT(OR(K2275="Online poll in Telegram channel",K2275="Website online poll",K2275="CAWI (Computer Assisted Web Interviewing)"))),1/(1-MIN(MAX(Formula!$C$33+(YEAR(D2275)-Formula!$C$34)/(Formula!$C$35-Formula!$C$34)*(Formula!$C$32-Formula!$C$33),Formula!$C$33),Formula!$C$32)),1)</f>
        <v>1</v>
      </c>
      <c r="W2275" s="17">
        <f t="shared" si="5"/>
        <v>5.5</v>
      </c>
    </row>
    <row r="2276" ht="15.75" customHeight="1">
      <c r="A2276" s="8" t="s">
        <v>3264</v>
      </c>
      <c r="B2276" s="7" t="s">
        <v>3256</v>
      </c>
      <c r="C2276" s="13" t="s">
        <v>3257</v>
      </c>
      <c r="D2276" s="7" t="s">
        <v>282</v>
      </c>
      <c r="E2276" s="8" t="s">
        <v>283</v>
      </c>
      <c r="F2276" s="8" t="s">
        <v>318</v>
      </c>
      <c r="G2276" s="7" t="s">
        <v>3253</v>
      </c>
      <c r="H2276" s="7" t="s">
        <v>3253</v>
      </c>
      <c r="J2276" s="8">
        <v>0.7</v>
      </c>
      <c r="K2276" s="8" t="s">
        <v>583</v>
      </c>
      <c r="M2276" s="8" t="s">
        <v>345</v>
      </c>
      <c r="N2276" s="8">
        <v>4.1</v>
      </c>
      <c r="O2276" s="14">
        <f t="shared" si="1"/>
        <v>43556</v>
      </c>
      <c r="P2276" s="15">
        <f>IFERROR(VLOOKUP(K2276,Formula!$A$11:$B$20,2,FALSE),Formula!$C$26)</f>
        <v>0.95</v>
      </c>
      <c r="Q2276" s="15">
        <f>IF(AND(ISNUMBER(J2276),J2276&gt;0),1/J2276,IF(AND(ISNUMBER(I2276),I2276&gt;0),SQRT(MIN(I2276,Formula!$C$27))/Formula!$C$24,1/Formula!$C$25))</f>
        <v>1.428571429</v>
      </c>
      <c r="R2276" s="15">
        <f t="shared" si="2"/>
        <v>1.357142857</v>
      </c>
      <c r="S2276" s="15">
        <f>IF(H2276&lt;&gt;"",EXP(-Formula!$C$28*(EOMONTH(H2276,0)-H2276)),EXP(-Formula!$C$28*(EOMONTH(D2276,0)-D2276)))</f>
        <v>1</v>
      </c>
      <c r="T2276" s="15">
        <f t="shared" si="3"/>
        <v>0.3015113446</v>
      </c>
      <c r="U2276" s="15">
        <f t="shared" si="4"/>
        <v>0.4091939676</v>
      </c>
      <c r="V2276" s="16">
        <f>IF(AND(L2276="Among all respondents",NOT(OR(K2276="Online poll in Telegram channel",K2276="Website online poll",K2276="CAWI (Computer Assisted Web Interviewing)"))),1/(1-MIN(MAX(Formula!$C$33+(YEAR(D2276)-Formula!$C$34)/(Formula!$C$35-Formula!$C$34)*(Formula!$C$32-Formula!$C$33),Formula!$C$33),Formula!$C$32)),1)</f>
        <v>1</v>
      </c>
      <c r="W2276" s="17">
        <f t="shared" si="5"/>
        <v>4.1</v>
      </c>
    </row>
    <row r="2277" ht="15.75" customHeight="1">
      <c r="A2277" s="8" t="s">
        <v>3265</v>
      </c>
      <c r="B2277" s="7" t="s">
        <v>3256</v>
      </c>
      <c r="C2277" s="13" t="s">
        <v>3257</v>
      </c>
      <c r="D2277" s="7" t="s">
        <v>282</v>
      </c>
      <c r="E2277" s="8" t="s">
        <v>283</v>
      </c>
      <c r="F2277" s="8" t="s">
        <v>318</v>
      </c>
      <c r="G2277" s="7" t="s">
        <v>3253</v>
      </c>
      <c r="H2277" s="7" t="s">
        <v>3253</v>
      </c>
      <c r="J2277" s="8">
        <v>0.7</v>
      </c>
      <c r="K2277" s="8" t="s">
        <v>583</v>
      </c>
      <c r="M2277" s="8" t="s">
        <v>3266</v>
      </c>
      <c r="N2277" s="8">
        <v>0.6</v>
      </c>
      <c r="O2277" s="14">
        <f t="shared" si="1"/>
        <v>43556</v>
      </c>
      <c r="P2277" s="15">
        <f>IFERROR(VLOOKUP(K2277,Formula!$A$11:$B$20,2,FALSE),Formula!$C$26)</f>
        <v>0.95</v>
      </c>
      <c r="Q2277" s="15">
        <f>IF(AND(ISNUMBER(J2277),J2277&gt;0),1/J2277,IF(AND(ISNUMBER(I2277),I2277&gt;0),SQRT(MIN(I2277,Formula!$C$27))/Formula!$C$24,1/Formula!$C$25))</f>
        <v>1.428571429</v>
      </c>
      <c r="R2277" s="15">
        <f t="shared" si="2"/>
        <v>1.357142857</v>
      </c>
      <c r="S2277" s="15">
        <f>IF(H2277&lt;&gt;"",EXP(-Formula!$C$28*(EOMONTH(H2277,0)-H2277)),EXP(-Formula!$C$28*(EOMONTH(D2277,0)-D2277)))</f>
        <v>1</v>
      </c>
      <c r="T2277" s="15">
        <f t="shared" si="3"/>
        <v>0.3015113446</v>
      </c>
      <c r="U2277" s="15">
        <f t="shared" si="4"/>
        <v>0.4091939676</v>
      </c>
      <c r="V2277" s="16">
        <f>IF(AND(L2277="Among all respondents",NOT(OR(K2277="Online poll in Telegram channel",K2277="Website online poll",K2277="CAWI (Computer Assisted Web Interviewing)"))),1/(1-MIN(MAX(Formula!$C$33+(YEAR(D2277)-Formula!$C$34)/(Formula!$C$35-Formula!$C$34)*(Formula!$C$32-Formula!$C$33),Formula!$C$33),Formula!$C$32)),1)</f>
        <v>1</v>
      </c>
      <c r="W2277" s="17">
        <f t="shared" si="5"/>
        <v>0.6</v>
      </c>
    </row>
  </sheetData>
  <autoFilter ref="$A$1:$N$2277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  <hyperlink r:id="rId2001" ref="C2002"/>
    <hyperlink r:id="rId2002" ref="C2003"/>
    <hyperlink r:id="rId2003" ref="C2004"/>
    <hyperlink r:id="rId2004" ref="C2005"/>
    <hyperlink r:id="rId2005" ref="C2006"/>
    <hyperlink r:id="rId2006" ref="C2007"/>
    <hyperlink r:id="rId2007" ref="C2008"/>
    <hyperlink r:id="rId2008" ref="C2009"/>
    <hyperlink r:id="rId2009" ref="C2010"/>
    <hyperlink r:id="rId2010" ref="C2011"/>
    <hyperlink r:id="rId2011" ref="C2012"/>
    <hyperlink r:id="rId2012" ref="C2013"/>
    <hyperlink r:id="rId2013" ref="C2014"/>
    <hyperlink r:id="rId2014" ref="C2015"/>
    <hyperlink r:id="rId2015" ref="C2016"/>
    <hyperlink r:id="rId2016" ref="C2017"/>
    <hyperlink r:id="rId2017" ref="C2018"/>
    <hyperlink r:id="rId2018" ref="C2019"/>
    <hyperlink r:id="rId2019" ref="C2020"/>
    <hyperlink r:id="rId2020" ref="C2021"/>
    <hyperlink r:id="rId2021" ref="C2022"/>
    <hyperlink r:id="rId2022" ref="C2023"/>
    <hyperlink r:id="rId2023" ref="C2024"/>
    <hyperlink r:id="rId2024" ref="C2025"/>
    <hyperlink r:id="rId2025" ref="C2026"/>
    <hyperlink r:id="rId2026" ref="C2027"/>
    <hyperlink r:id="rId2027" ref="C2028"/>
    <hyperlink r:id="rId2028" ref="C2029"/>
    <hyperlink r:id="rId2029" ref="C2030"/>
    <hyperlink r:id="rId2030" ref="C2031"/>
    <hyperlink r:id="rId2031" ref="C2032"/>
    <hyperlink r:id="rId2032" ref="C2033"/>
    <hyperlink r:id="rId2033" ref="C2034"/>
    <hyperlink r:id="rId2034" ref="C2035"/>
    <hyperlink r:id="rId2035" ref="C2036"/>
    <hyperlink r:id="rId2036" ref="C2037"/>
    <hyperlink r:id="rId2037" ref="C2038"/>
    <hyperlink r:id="rId2038" ref="C2039"/>
    <hyperlink r:id="rId2039" ref="C2040"/>
    <hyperlink r:id="rId2040" ref="C2041"/>
    <hyperlink r:id="rId2041" ref="C2042"/>
    <hyperlink r:id="rId2042" ref="C2043"/>
    <hyperlink r:id="rId2043" ref="C2044"/>
    <hyperlink r:id="rId2044" ref="C2045"/>
    <hyperlink r:id="rId2045" ref="C2046"/>
    <hyperlink r:id="rId2046" ref="C2047"/>
    <hyperlink r:id="rId2047" ref="C2048"/>
    <hyperlink r:id="rId2048" ref="C2049"/>
    <hyperlink r:id="rId2049" ref="C2050"/>
    <hyperlink r:id="rId2050" ref="C2051"/>
    <hyperlink r:id="rId2051" ref="C2052"/>
    <hyperlink r:id="rId2052" ref="C2053"/>
    <hyperlink r:id="rId2053" ref="C2054"/>
    <hyperlink r:id="rId2054" ref="C2055"/>
    <hyperlink r:id="rId2055" ref="C2056"/>
    <hyperlink r:id="rId2056" ref="C2057"/>
    <hyperlink r:id="rId2057" ref="C2058"/>
    <hyperlink r:id="rId2058" ref="C2059"/>
    <hyperlink r:id="rId2059" ref="C2060"/>
    <hyperlink r:id="rId2060" ref="C2061"/>
    <hyperlink r:id="rId2061" ref="C2062"/>
    <hyperlink r:id="rId2062" ref="C2063"/>
    <hyperlink r:id="rId2063" ref="C2064"/>
    <hyperlink r:id="rId2064" ref="C2065"/>
    <hyperlink r:id="rId2065" ref="C2066"/>
    <hyperlink r:id="rId2066" ref="C2067"/>
    <hyperlink r:id="rId2067" ref="C2068"/>
    <hyperlink r:id="rId2068" ref="C2069"/>
    <hyperlink r:id="rId2069" ref="C2070"/>
    <hyperlink r:id="rId2070" ref="C2071"/>
    <hyperlink r:id="rId2071" ref="C2072"/>
    <hyperlink r:id="rId2072" ref="C2073"/>
    <hyperlink r:id="rId2073" ref="C2074"/>
    <hyperlink r:id="rId2074" ref="C2075"/>
    <hyperlink r:id="rId2075" ref="C2076"/>
    <hyperlink r:id="rId2076" ref="C2077"/>
    <hyperlink r:id="rId2077" ref="C2078"/>
    <hyperlink r:id="rId2078" ref="C2079"/>
    <hyperlink r:id="rId2079" ref="C2080"/>
    <hyperlink r:id="rId2080" ref="C2081"/>
    <hyperlink r:id="rId2081" ref="C2082"/>
    <hyperlink r:id="rId2082" ref="C2083"/>
    <hyperlink r:id="rId2083" ref="C2084"/>
    <hyperlink r:id="rId2084" ref="C2085"/>
    <hyperlink r:id="rId2085" ref="C2086"/>
    <hyperlink r:id="rId2086" ref="C2087"/>
    <hyperlink r:id="rId2087" ref="C2088"/>
    <hyperlink r:id="rId2088" ref="C2089"/>
    <hyperlink r:id="rId2089" ref="C2090"/>
    <hyperlink r:id="rId2090" ref="C2091"/>
    <hyperlink r:id="rId2091" ref="C2092"/>
    <hyperlink r:id="rId2092" ref="C2093"/>
    <hyperlink r:id="rId2093" ref="C2094"/>
    <hyperlink r:id="rId2094" ref="C2095"/>
    <hyperlink r:id="rId2095" ref="C2096"/>
    <hyperlink r:id="rId2096" ref="C2097"/>
    <hyperlink r:id="rId2097" ref="C2098"/>
    <hyperlink r:id="rId2098" ref="C2099"/>
    <hyperlink r:id="rId2099" ref="C2100"/>
    <hyperlink r:id="rId2100" ref="C2101"/>
    <hyperlink r:id="rId2101" ref="C2102"/>
    <hyperlink r:id="rId2102" ref="C2103"/>
    <hyperlink r:id="rId2103" ref="C2104"/>
    <hyperlink r:id="rId2104" ref="C2105"/>
    <hyperlink r:id="rId2105" ref="C2106"/>
    <hyperlink r:id="rId2106" ref="C2107"/>
    <hyperlink r:id="rId2107" ref="C2108"/>
    <hyperlink r:id="rId2108" ref="C2109"/>
    <hyperlink r:id="rId2109" ref="C2110"/>
    <hyperlink r:id="rId2110" ref="C2111"/>
    <hyperlink r:id="rId2111" ref="C2112"/>
    <hyperlink r:id="rId2112" ref="C2113"/>
    <hyperlink r:id="rId2113" ref="C2114"/>
    <hyperlink r:id="rId2114" ref="C2115"/>
    <hyperlink r:id="rId2115" ref="C2116"/>
    <hyperlink r:id="rId2116" ref="C2117"/>
    <hyperlink r:id="rId2117" ref="C2118"/>
    <hyperlink r:id="rId2118" ref="C2119"/>
    <hyperlink r:id="rId2119" ref="C2120"/>
    <hyperlink r:id="rId2120" ref="C2121"/>
    <hyperlink r:id="rId2121" ref="C2122"/>
    <hyperlink r:id="rId2122" ref="C2123"/>
    <hyperlink r:id="rId2123" ref="C2124"/>
    <hyperlink r:id="rId2124" ref="C2125"/>
    <hyperlink r:id="rId2125" ref="C2126"/>
    <hyperlink r:id="rId2126" ref="C2127"/>
    <hyperlink r:id="rId2127" ref="C2128"/>
    <hyperlink r:id="rId2128" ref="C2129"/>
    <hyperlink r:id="rId2129" ref="C2130"/>
    <hyperlink r:id="rId2130" ref="C2131"/>
    <hyperlink r:id="rId2131" ref="C2132"/>
    <hyperlink r:id="rId2132" ref="C2133"/>
    <hyperlink r:id="rId2133" ref="C2134"/>
    <hyperlink r:id="rId2134" ref="C2135"/>
    <hyperlink r:id="rId2135" ref="C2136"/>
    <hyperlink r:id="rId2136" ref="C2137"/>
    <hyperlink r:id="rId2137" ref="C2138"/>
    <hyperlink r:id="rId2138" ref="C2139"/>
    <hyperlink r:id="rId2139" ref="C2140"/>
    <hyperlink r:id="rId2140" ref="C2141"/>
    <hyperlink r:id="rId2141" ref="C2142"/>
    <hyperlink r:id="rId2142" ref="C2143"/>
    <hyperlink r:id="rId2143" ref="C2144"/>
    <hyperlink r:id="rId2144" ref="C2145"/>
    <hyperlink r:id="rId2145" ref="C2146"/>
    <hyperlink r:id="rId2146" ref="C2147"/>
    <hyperlink r:id="rId2147" ref="C2148"/>
    <hyperlink r:id="rId2148" ref="C2149"/>
    <hyperlink r:id="rId2149" ref="C2150"/>
    <hyperlink r:id="rId2150" ref="C2151"/>
    <hyperlink r:id="rId2151" ref="C2152"/>
    <hyperlink r:id="rId2152" ref="C2153"/>
    <hyperlink r:id="rId2153" ref="C2154"/>
    <hyperlink r:id="rId2154" ref="C2155"/>
    <hyperlink r:id="rId2155" ref="C2156"/>
    <hyperlink r:id="rId2156" ref="C2157"/>
    <hyperlink r:id="rId2157" ref="C2158"/>
    <hyperlink r:id="rId2158" ref="C2159"/>
    <hyperlink r:id="rId2159" ref="C2160"/>
    <hyperlink r:id="rId2160" ref="C2161"/>
    <hyperlink r:id="rId2161" ref="C2162"/>
    <hyperlink r:id="rId2162" ref="C2163"/>
    <hyperlink r:id="rId2163" ref="C2164"/>
    <hyperlink r:id="rId2164" ref="C2165"/>
    <hyperlink r:id="rId2165" ref="C2166"/>
    <hyperlink r:id="rId2166" ref="C2167"/>
    <hyperlink r:id="rId2167" ref="C2168"/>
    <hyperlink r:id="rId2168" ref="C2169"/>
    <hyperlink r:id="rId2169" ref="C2170"/>
    <hyperlink r:id="rId2170" ref="C2171"/>
    <hyperlink r:id="rId2171" ref="C2172"/>
    <hyperlink r:id="rId2172" ref="C2173"/>
    <hyperlink r:id="rId2173" ref="C2174"/>
    <hyperlink r:id="rId2174" ref="C2175"/>
    <hyperlink r:id="rId2175" ref="C2176"/>
    <hyperlink r:id="rId2176" ref="C2177"/>
    <hyperlink r:id="rId2177" ref="C2178"/>
    <hyperlink r:id="rId2178" ref="C2179"/>
    <hyperlink r:id="rId2179" ref="C2180"/>
    <hyperlink r:id="rId2180" ref="C2181"/>
    <hyperlink r:id="rId2181" ref="C2182"/>
    <hyperlink r:id="rId2182" ref="C2183"/>
    <hyperlink r:id="rId2183" ref="C2184"/>
    <hyperlink r:id="rId2184" ref="C2185"/>
    <hyperlink r:id="rId2185" ref="C2186"/>
    <hyperlink r:id="rId2186" ref="C2187"/>
    <hyperlink r:id="rId2187" ref="C2188"/>
    <hyperlink r:id="rId2188" ref="C2189"/>
    <hyperlink r:id="rId2189" ref="C2190"/>
    <hyperlink r:id="rId2190" ref="C2191"/>
    <hyperlink r:id="rId2191" ref="C2192"/>
    <hyperlink r:id="rId2192" ref="C2193"/>
    <hyperlink r:id="rId2193" ref="C2194"/>
    <hyperlink r:id="rId2194" ref="C2195"/>
    <hyperlink r:id="rId2195" ref="C2196"/>
    <hyperlink r:id="rId2196" ref="C2197"/>
    <hyperlink r:id="rId2197" ref="C2198"/>
    <hyperlink r:id="rId2198" ref="C2199"/>
    <hyperlink r:id="rId2199" ref="C2200"/>
    <hyperlink r:id="rId2200" ref="C2201"/>
    <hyperlink r:id="rId2201" ref="C2202"/>
    <hyperlink r:id="rId2202" ref="C2203"/>
    <hyperlink r:id="rId2203" ref="C2204"/>
    <hyperlink r:id="rId2204" ref="C2205"/>
    <hyperlink r:id="rId2205" ref="C2206"/>
    <hyperlink r:id="rId2206" ref="C2207"/>
    <hyperlink r:id="rId2207" ref="C2208"/>
    <hyperlink r:id="rId2208" ref="C2209"/>
    <hyperlink r:id="rId2209" ref="C2210"/>
    <hyperlink r:id="rId2210" ref="C2211"/>
    <hyperlink r:id="rId2211" ref="C2212"/>
    <hyperlink r:id="rId2212" ref="C2213"/>
    <hyperlink r:id="rId2213" ref="C2214"/>
    <hyperlink r:id="rId2214" ref="C2215"/>
    <hyperlink r:id="rId2215" ref="C2216"/>
    <hyperlink r:id="rId2216" ref="C2217"/>
    <hyperlink r:id="rId2217" ref="C2218"/>
    <hyperlink r:id="rId2218" ref="C2219"/>
    <hyperlink r:id="rId2219" ref="C2220"/>
    <hyperlink r:id="rId2220" ref="C2221"/>
    <hyperlink r:id="rId2221" ref="C2222"/>
    <hyperlink r:id="rId2222" ref="C2223"/>
    <hyperlink r:id="rId2223" ref="C2224"/>
    <hyperlink r:id="rId2224" ref="C2225"/>
    <hyperlink r:id="rId2225" ref="C2226"/>
    <hyperlink r:id="rId2226" ref="C2227"/>
    <hyperlink r:id="rId2227" ref="C2228"/>
    <hyperlink r:id="rId2228" ref="C2229"/>
    <hyperlink r:id="rId2229" ref="C2230"/>
    <hyperlink r:id="rId2230" ref="C2231"/>
    <hyperlink r:id="rId2231" ref="C2232"/>
    <hyperlink r:id="rId2232" ref="C2233"/>
    <hyperlink r:id="rId2233" ref="C2234"/>
    <hyperlink r:id="rId2234" ref="C2235"/>
    <hyperlink r:id="rId2235" ref="C2236"/>
    <hyperlink r:id="rId2236" ref="C2237"/>
    <hyperlink r:id="rId2237" ref="C2238"/>
    <hyperlink r:id="rId2238" ref="C2239"/>
    <hyperlink r:id="rId2239" ref="C2240"/>
    <hyperlink r:id="rId2240" ref="C2241"/>
    <hyperlink r:id="rId2241" ref="C2242"/>
    <hyperlink r:id="rId2242" ref="C2243"/>
    <hyperlink r:id="rId2243" ref="C2244"/>
    <hyperlink r:id="rId2244" ref="C2245"/>
    <hyperlink r:id="rId2245" ref="C2246"/>
    <hyperlink r:id="rId2246" ref="C2247"/>
    <hyperlink r:id="rId2247" ref="C2248"/>
    <hyperlink r:id="rId2248" ref="C2249"/>
    <hyperlink r:id="rId2249" ref="C2250"/>
    <hyperlink r:id="rId2250" ref="C2251"/>
    <hyperlink r:id="rId2251" ref="C2252"/>
    <hyperlink r:id="rId2252" ref="C2253"/>
    <hyperlink r:id="rId2253" ref="C2254"/>
    <hyperlink r:id="rId2254" ref="C2255"/>
    <hyperlink r:id="rId2255" ref="C2256"/>
    <hyperlink r:id="rId2256" ref="C2257"/>
    <hyperlink r:id="rId2257" ref="C2258"/>
    <hyperlink r:id="rId2258" ref="C2259"/>
    <hyperlink r:id="rId2259" ref="C2260"/>
    <hyperlink r:id="rId2260" ref="C2261"/>
    <hyperlink r:id="rId2261" ref="C2262"/>
    <hyperlink r:id="rId2262" ref="C2263"/>
    <hyperlink r:id="rId2263" ref="C2264"/>
    <hyperlink r:id="rId2264" ref="C2265"/>
    <hyperlink r:id="rId2265" ref="C2266"/>
    <hyperlink r:id="rId2266" ref="C2267"/>
    <hyperlink r:id="rId2267" ref="C2268"/>
    <hyperlink r:id="rId2268" ref="C2269"/>
    <hyperlink r:id="rId2269" ref="C2270"/>
    <hyperlink r:id="rId2270" ref="C2271"/>
    <hyperlink r:id="rId2271" ref="C2272"/>
    <hyperlink r:id="rId2272" ref="C2273"/>
    <hyperlink r:id="rId2273" ref="C2274"/>
    <hyperlink r:id="rId2274" ref="C2275"/>
    <hyperlink r:id="rId2275" ref="C2276"/>
    <hyperlink r:id="rId2276" ref="C2277"/>
  </hyperlinks>
  <printOptions/>
  <pageMargins bottom="1.0" footer="0.0" header="0.0" left="0.75" right="0.75" top="1.0"/>
  <pageSetup orientation="landscape"/>
  <drawing r:id="rId227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4" width="14.0"/>
    <col customWidth="1" min="5" max="5" width="22.0"/>
    <col customWidth="1" min="6" max="6" width="14.0"/>
    <col customWidth="1" min="7" max="26" width="8.88"/>
  </cols>
  <sheetData>
    <row r="1" ht="24.0" customHeight="1">
      <c r="A1" s="18" t="s">
        <v>3267</v>
      </c>
      <c r="B1" s="19"/>
      <c r="C1" s="19"/>
      <c r="D1" s="19"/>
      <c r="E1" s="19"/>
      <c r="F1" s="20"/>
    </row>
    <row r="2" ht="12.75" customHeight="1"/>
    <row r="3" ht="19.5" customHeight="1">
      <c r="A3" s="21" t="s">
        <v>3268</v>
      </c>
      <c r="B3" s="19"/>
      <c r="C3" s="19"/>
      <c r="D3" s="19"/>
      <c r="E3" s="19"/>
      <c r="F3" s="20"/>
    </row>
    <row r="4" ht="27.75" customHeight="1">
      <c r="A4" s="22" t="s">
        <v>3269</v>
      </c>
      <c r="B4" s="23" t="s">
        <v>3270</v>
      </c>
      <c r="C4" s="20"/>
      <c r="D4" s="24" t="s">
        <v>3271</v>
      </c>
      <c r="E4" s="19"/>
      <c r="F4" s="20"/>
    </row>
    <row r="5" ht="27.75" customHeight="1">
      <c r="A5" s="22" t="s">
        <v>3272</v>
      </c>
      <c r="B5" s="23" t="s">
        <v>3273</v>
      </c>
      <c r="C5" s="20"/>
      <c r="D5" s="24" t="s">
        <v>3274</v>
      </c>
      <c r="E5" s="19"/>
      <c r="F5" s="20"/>
    </row>
    <row r="6" ht="27.75" customHeight="1">
      <c r="A6" s="22" t="s">
        <v>3275</v>
      </c>
      <c r="B6" s="23" t="s">
        <v>3276</v>
      </c>
      <c r="C6" s="20"/>
      <c r="D6" s="24" t="s">
        <v>3277</v>
      </c>
      <c r="E6" s="19"/>
      <c r="F6" s="20"/>
    </row>
    <row r="7" ht="27.75" customHeight="1">
      <c r="A7" s="22" t="s">
        <v>3278</v>
      </c>
      <c r="B7" s="23" t="s">
        <v>3279</v>
      </c>
      <c r="C7" s="20"/>
      <c r="D7" s="24" t="s">
        <v>3280</v>
      </c>
      <c r="E7" s="19"/>
      <c r="F7" s="20"/>
    </row>
    <row r="8" ht="12.75" customHeight="1"/>
    <row r="9" ht="19.5" customHeight="1">
      <c r="A9" s="21" t="s">
        <v>3281</v>
      </c>
      <c r="B9" s="19"/>
      <c r="C9" s="19"/>
      <c r="D9" s="19"/>
      <c r="E9" s="19"/>
      <c r="F9" s="20"/>
    </row>
    <row r="10" ht="18.0" customHeight="1">
      <c r="A10" s="25" t="s">
        <v>3282</v>
      </c>
      <c r="B10" s="26" t="s">
        <v>3283</v>
      </c>
      <c r="C10" s="27" t="s">
        <v>3284</v>
      </c>
      <c r="D10" s="19"/>
      <c r="E10" s="19"/>
      <c r="F10" s="20"/>
    </row>
    <row r="11" ht="15.75" customHeight="1">
      <c r="A11" s="28" t="s">
        <v>436</v>
      </c>
      <c r="B11" s="29">
        <v>0.95</v>
      </c>
      <c r="C11" s="30" t="s">
        <v>3285</v>
      </c>
      <c r="D11" s="19"/>
      <c r="E11" s="19"/>
      <c r="F11" s="20"/>
    </row>
    <row r="12" ht="15.75" customHeight="1">
      <c r="A12" s="31" t="s">
        <v>321</v>
      </c>
      <c r="B12" s="32">
        <v>0.9</v>
      </c>
      <c r="C12" s="33" t="s">
        <v>3286</v>
      </c>
      <c r="D12" s="19"/>
      <c r="E12" s="19"/>
      <c r="F12" s="20"/>
    </row>
    <row r="13" ht="15.75" customHeight="1">
      <c r="A13" s="28" t="s">
        <v>351</v>
      </c>
      <c r="B13" s="34">
        <v>0.6</v>
      </c>
      <c r="C13" s="30" t="s">
        <v>3287</v>
      </c>
      <c r="D13" s="19"/>
      <c r="E13" s="19"/>
      <c r="F13" s="20"/>
    </row>
    <row r="14" ht="15.75" customHeight="1">
      <c r="A14" s="31" t="s">
        <v>467</v>
      </c>
      <c r="B14" s="32">
        <v>1.0</v>
      </c>
      <c r="C14" s="33" t="s">
        <v>3288</v>
      </c>
      <c r="D14" s="19"/>
      <c r="E14" s="19"/>
      <c r="F14" s="20"/>
    </row>
    <row r="15" ht="15.75" customHeight="1">
      <c r="A15" s="28" t="s">
        <v>3223</v>
      </c>
      <c r="B15" s="29">
        <v>0.85</v>
      </c>
      <c r="C15" s="30"/>
      <c r="D15" s="19"/>
      <c r="E15" s="19"/>
      <c r="F15" s="20"/>
    </row>
    <row r="16" ht="15.75" customHeight="1">
      <c r="A16" s="31" t="s">
        <v>877</v>
      </c>
      <c r="B16" s="32">
        <v>0.2</v>
      </c>
      <c r="C16" s="33" t="s">
        <v>3289</v>
      </c>
      <c r="D16" s="19"/>
      <c r="E16" s="19"/>
      <c r="F16" s="20"/>
    </row>
    <row r="17" ht="15.75" customHeight="1">
      <c r="A17" s="28" t="s">
        <v>583</v>
      </c>
      <c r="B17" s="29">
        <v>0.95</v>
      </c>
      <c r="C17" s="30" t="s">
        <v>3290</v>
      </c>
      <c r="D17" s="19"/>
      <c r="E17" s="19"/>
      <c r="F17" s="20"/>
    </row>
    <row r="18" ht="15.75" customHeight="1">
      <c r="A18" s="31" t="s">
        <v>715</v>
      </c>
      <c r="B18" s="32">
        <v>0.85</v>
      </c>
      <c r="C18" s="33" t="s">
        <v>3291</v>
      </c>
      <c r="D18" s="19"/>
      <c r="E18" s="19"/>
      <c r="F18" s="20"/>
    </row>
    <row r="19" ht="15.75" customHeight="1">
      <c r="A19" s="28" t="s">
        <v>1931</v>
      </c>
      <c r="B19" s="29">
        <v>0.7</v>
      </c>
      <c r="C19" s="30" t="s">
        <v>3292</v>
      </c>
      <c r="D19" s="19"/>
      <c r="E19" s="19"/>
      <c r="F19" s="20"/>
    </row>
    <row r="20" ht="15.75" customHeight="1">
      <c r="A20" s="31" t="s">
        <v>3293</v>
      </c>
      <c r="B20" s="32">
        <v>0.2</v>
      </c>
      <c r="C20" s="33" t="s">
        <v>3289</v>
      </c>
      <c r="D20" s="19"/>
      <c r="E20" s="19"/>
      <c r="F20" s="20"/>
    </row>
    <row r="21" ht="12.75" customHeight="1"/>
    <row r="22" ht="19.5" customHeight="1">
      <c r="A22" s="21" t="s">
        <v>3294</v>
      </c>
      <c r="B22" s="19"/>
      <c r="C22" s="19"/>
      <c r="D22" s="19"/>
      <c r="E22" s="19"/>
      <c r="F22" s="20"/>
    </row>
    <row r="23" ht="18.0" customHeight="1">
      <c r="A23" s="25" t="s">
        <v>3295</v>
      </c>
      <c r="B23" s="26" t="s">
        <v>3296</v>
      </c>
      <c r="C23" s="27" t="s">
        <v>3297</v>
      </c>
      <c r="D23" s="19"/>
      <c r="E23" s="19"/>
      <c r="F23" s="20"/>
    </row>
    <row r="24" ht="27.75" customHeight="1">
      <c r="A24" s="35" t="s">
        <v>3298</v>
      </c>
      <c r="B24" s="36">
        <v>9604.0</v>
      </c>
      <c r="C24" s="37">
        <v>98.0</v>
      </c>
      <c r="D24" s="19"/>
      <c r="E24" s="19"/>
      <c r="F24" s="20"/>
    </row>
    <row r="25" ht="27.75" customHeight="1">
      <c r="A25" s="35" t="s">
        <v>3299</v>
      </c>
      <c r="B25" s="36">
        <v>2.5</v>
      </c>
      <c r="C25" s="37">
        <v>2.5</v>
      </c>
      <c r="D25" s="19"/>
      <c r="E25" s="19"/>
      <c r="F25" s="20"/>
    </row>
    <row r="26" ht="27.75" customHeight="1">
      <c r="A26" s="35" t="s">
        <v>3300</v>
      </c>
      <c r="B26" s="36">
        <v>0.75</v>
      </c>
      <c r="C26" s="37">
        <v>0.75</v>
      </c>
      <c r="D26" s="19"/>
      <c r="E26" s="19"/>
      <c r="F26" s="20"/>
    </row>
    <row r="27" ht="24.0" customHeight="1">
      <c r="A27" s="38" t="s">
        <v>3301</v>
      </c>
      <c r="B27" s="20"/>
      <c r="C27" s="39">
        <v>5000.0</v>
      </c>
      <c r="D27" s="40" t="s">
        <v>3302</v>
      </c>
      <c r="E27" s="19"/>
      <c r="F27" s="20"/>
    </row>
    <row r="28" ht="24.0" customHeight="1">
      <c r="A28" s="38" t="s">
        <v>3303</v>
      </c>
      <c r="B28" s="20"/>
      <c r="C28" s="39">
        <v>0.05</v>
      </c>
      <c r="D28" s="40" t="s">
        <v>3304</v>
      </c>
      <c r="E28" s="19"/>
      <c r="F28" s="20"/>
    </row>
    <row r="29" ht="31.5" customHeight="1">
      <c r="A29" s="38" t="s">
        <v>3305</v>
      </c>
      <c r="B29" s="20"/>
      <c r="C29" s="39">
        <v>0.1</v>
      </c>
      <c r="D29" s="40" t="s">
        <v>3306</v>
      </c>
      <c r="E29" s="19"/>
      <c r="F29" s="20"/>
    </row>
    <row r="30" ht="36.0" customHeight="1">
      <c r="A30" s="41" t="s">
        <v>3307</v>
      </c>
      <c r="B30" s="20"/>
      <c r="C30" s="42">
        <v>15.0</v>
      </c>
      <c r="D30" s="43" t="s">
        <v>3308</v>
      </c>
      <c r="E30" s="19"/>
      <c r="F30" s="20"/>
    </row>
    <row r="31" ht="36.0" customHeight="1">
      <c r="A31" s="41" t="s">
        <v>3309</v>
      </c>
      <c r="B31" s="20"/>
      <c r="C31" s="42">
        <v>0.3</v>
      </c>
      <c r="D31" s="43" t="s">
        <v>3310</v>
      </c>
      <c r="E31" s="19"/>
      <c r="F31" s="20"/>
    </row>
    <row r="32" ht="48.0" customHeight="1">
      <c r="A32" s="44" t="s">
        <v>3311</v>
      </c>
      <c r="B32" s="20"/>
      <c r="C32" s="45">
        <v>0.22</v>
      </c>
      <c r="D32" s="46" t="s">
        <v>3312</v>
      </c>
      <c r="E32" s="19"/>
      <c r="F32" s="20"/>
    </row>
    <row r="33" ht="39.75" customHeight="1">
      <c r="A33" s="38" t="s">
        <v>3313</v>
      </c>
      <c r="B33" s="20"/>
      <c r="C33" s="39">
        <v>0.05</v>
      </c>
      <c r="D33" s="40" t="s">
        <v>3314</v>
      </c>
      <c r="E33" s="19"/>
      <c r="F33" s="20"/>
    </row>
    <row r="34" ht="39.75" customHeight="1">
      <c r="A34" s="38" t="s">
        <v>3315</v>
      </c>
      <c r="B34" s="20"/>
      <c r="C34" s="39">
        <v>2022.0</v>
      </c>
      <c r="D34" s="40" t="s">
        <v>3316</v>
      </c>
      <c r="E34" s="19"/>
      <c r="F34" s="20"/>
    </row>
    <row r="35" ht="39.75" customHeight="1">
      <c r="A35" s="38" t="s">
        <v>3317</v>
      </c>
      <c r="B35" s="20"/>
      <c r="C35" s="39">
        <v>2025.0</v>
      </c>
      <c r="D35" s="40" t="s">
        <v>3318</v>
      </c>
      <c r="E35" s="19"/>
      <c r="F35" s="20"/>
    </row>
    <row r="36" ht="21.75" customHeight="1">
      <c r="A36" s="47" t="s">
        <v>3319</v>
      </c>
      <c r="B36" s="19"/>
      <c r="C36" s="19"/>
      <c r="D36" s="19"/>
      <c r="E36" s="19"/>
      <c r="F36" s="20"/>
    </row>
    <row r="37" ht="18.0" customHeight="1">
      <c r="A37" s="48" t="s">
        <v>3320</v>
      </c>
      <c r="B37" s="19"/>
      <c r="C37" s="19"/>
      <c r="D37" s="19"/>
      <c r="E37" s="19"/>
      <c r="F37" s="20"/>
    </row>
    <row r="38" ht="12.75" customHeight="1"/>
    <row r="39" ht="18.0" customHeight="1">
      <c r="A39" s="49" t="s">
        <v>3321</v>
      </c>
      <c r="B39" s="19"/>
      <c r="C39" s="19"/>
      <c r="D39" s="19"/>
      <c r="E39" s="19"/>
      <c r="F39" s="20"/>
    </row>
    <row r="40" ht="27.75" customHeight="1">
      <c r="A40" s="50" t="s">
        <v>3322</v>
      </c>
      <c r="B40" s="20"/>
      <c r="C40" s="51" t="s">
        <v>3323</v>
      </c>
      <c r="D40" s="19"/>
      <c r="E40" s="19"/>
      <c r="F40" s="20"/>
    </row>
    <row r="41" ht="27.75" customHeight="1">
      <c r="A41" s="50" t="s">
        <v>3324</v>
      </c>
      <c r="B41" s="20"/>
      <c r="C41" s="51" t="s">
        <v>3325</v>
      </c>
      <c r="D41" s="19"/>
      <c r="E41" s="19"/>
      <c r="F41" s="20"/>
    </row>
    <row r="42" ht="27.75" customHeight="1">
      <c r="A42" s="52" t="s">
        <v>3326</v>
      </c>
      <c r="B42" s="20"/>
      <c r="C42" s="24" t="s">
        <v>3327</v>
      </c>
      <c r="D42" s="19"/>
      <c r="E42" s="19"/>
      <c r="F42" s="20"/>
    </row>
    <row r="43" ht="27.75" customHeight="1">
      <c r="A43" s="50" t="s">
        <v>3328</v>
      </c>
      <c r="B43" s="20"/>
      <c r="C43" s="51" t="s">
        <v>3329</v>
      </c>
      <c r="D43" s="19"/>
      <c r="E43" s="19"/>
      <c r="F43" s="20"/>
    </row>
    <row r="44" ht="27.75" customHeight="1">
      <c r="A44" s="52" t="s">
        <v>3330</v>
      </c>
      <c r="B44" s="20"/>
      <c r="C44" s="24" t="s">
        <v>3331</v>
      </c>
      <c r="D44" s="19"/>
      <c r="E44" s="19"/>
      <c r="F44" s="20"/>
    </row>
    <row r="45" ht="27.75" customHeight="1">
      <c r="A45" s="50" t="s">
        <v>3332</v>
      </c>
      <c r="B45" s="20"/>
      <c r="C45" s="51" t="s">
        <v>3333</v>
      </c>
      <c r="D45" s="19"/>
      <c r="E45" s="19"/>
      <c r="F45" s="20"/>
    </row>
    <row r="46" ht="27.75" customHeight="1">
      <c r="A46" s="52" t="s">
        <v>3334</v>
      </c>
      <c r="B46" s="20"/>
      <c r="C46" s="24" t="s">
        <v>3335</v>
      </c>
      <c r="D46" s="19"/>
      <c r="E46" s="19"/>
      <c r="F46" s="20"/>
    </row>
    <row r="47" ht="12.75" customHeight="1"/>
    <row r="48" ht="18.0" customHeight="1">
      <c r="A48" s="49" t="s">
        <v>3336</v>
      </c>
      <c r="B48" s="19"/>
      <c r="C48" s="19"/>
      <c r="D48" s="19"/>
      <c r="E48" s="19"/>
      <c r="F48" s="20"/>
    </row>
    <row r="49" ht="27.75" customHeight="1">
      <c r="A49" s="50" t="s">
        <v>3322</v>
      </c>
      <c r="B49" s="20"/>
      <c r="C49" s="51" t="s">
        <v>3337</v>
      </c>
      <c r="D49" s="19"/>
      <c r="E49" s="19"/>
      <c r="F49" s="20"/>
    </row>
    <row r="50" ht="27.75" customHeight="1">
      <c r="A50" s="52" t="s">
        <v>3338</v>
      </c>
      <c r="B50" s="20"/>
      <c r="C50" s="24" t="s">
        <v>3339</v>
      </c>
      <c r="D50" s="19"/>
      <c r="E50" s="19"/>
      <c r="F50" s="20"/>
    </row>
    <row r="51" ht="27.75" customHeight="1">
      <c r="A51" s="52" t="s">
        <v>3340</v>
      </c>
      <c r="B51" s="20"/>
      <c r="C51" s="24" t="s">
        <v>3341</v>
      </c>
      <c r="D51" s="19"/>
      <c r="E51" s="19"/>
      <c r="F51" s="20"/>
    </row>
    <row r="52" ht="27.75" customHeight="1">
      <c r="A52" s="50" t="s">
        <v>3342</v>
      </c>
      <c r="B52" s="20"/>
      <c r="C52" s="51" t="s">
        <v>3343</v>
      </c>
      <c r="D52" s="19"/>
      <c r="E52" s="19"/>
      <c r="F52" s="20"/>
    </row>
    <row r="53" ht="12.75" customHeight="1"/>
    <row r="54" ht="18.0" customHeight="1">
      <c r="A54" s="49" t="s">
        <v>3344</v>
      </c>
      <c r="B54" s="19"/>
      <c r="C54" s="19"/>
      <c r="D54" s="19"/>
      <c r="E54" s="19"/>
      <c r="F54" s="20"/>
    </row>
    <row r="55" ht="31.5" customHeight="1">
      <c r="A55" s="50" t="s">
        <v>3322</v>
      </c>
      <c r="B55" s="20"/>
      <c r="C55" s="51" t="s">
        <v>3345</v>
      </c>
      <c r="D55" s="19"/>
      <c r="E55" s="19"/>
      <c r="F55" s="20"/>
    </row>
    <row r="56" ht="31.5" customHeight="1">
      <c r="A56" s="52" t="s">
        <v>3346</v>
      </c>
      <c r="B56" s="20"/>
      <c r="C56" s="24" t="s">
        <v>3347</v>
      </c>
      <c r="D56" s="19"/>
      <c r="E56" s="19"/>
      <c r="F56" s="20"/>
    </row>
    <row r="57" ht="31.5" customHeight="1">
      <c r="A57" s="50" t="s">
        <v>3348</v>
      </c>
      <c r="B57" s="20"/>
      <c r="C57" s="51" t="s">
        <v>3349</v>
      </c>
      <c r="D57" s="19"/>
      <c r="E57" s="19"/>
      <c r="F57" s="20"/>
    </row>
    <row r="58" ht="31.5" customHeight="1">
      <c r="A58" s="52" t="s">
        <v>3350</v>
      </c>
      <c r="B58" s="20"/>
      <c r="C58" s="24" t="s">
        <v>3351</v>
      </c>
      <c r="D58" s="19"/>
      <c r="E58" s="19"/>
      <c r="F58" s="20"/>
    </row>
    <row r="59" ht="31.5" customHeight="1">
      <c r="A59" s="50" t="s">
        <v>3352</v>
      </c>
      <c r="B59" s="20"/>
      <c r="C59" s="51" t="s">
        <v>3353</v>
      </c>
      <c r="D59" s="19"/>
      <c r="E59" s="19"/>
      <c r="F59" s="20"/>
    </row>
    <row r="60" ht="12.75" customHeight="1"/>
    <row r="61" ht="18.0" customHeight="1">
      <c r="A61" s="49" t="s">
        <v>3354</v>
      </c>
      <c r="B61" s="19"/>
      <c r="C61" s="19"/>
      <c r="D61" s="19"/>
      <c r="E61" s="19"/>
      <c r="F61" s="20"/>
    </row>
    <row r="62" ht="31.5" customHeight="1">
      <c r="A62" s="53" t="s">
        <v>3355</v>
      </c>
      <c r="B62" s="20"/>
      <c r="C62" s="54" t="s">
        <v>3356</v>
      </c>
      <c r="D62" s="19"/>
      <c r="E62" s="19"/>
      <c r="F62" s="20"/>
    </row>
    <row r="63" ht="31.5" customHeight="1">
      <c r="A63" s="53" t="s">
        <v>3357</v>
      </c>
      <c r="B63" s="20"/>
      <c r="C63" s="54" t="s">
        <v>3358</v>
      </c>
      <c r="D63" s="19"/>
      <c r="E63" s="19"/>
      <c r="F63" s="20"/>
    </row>
    <row r="64" ht="31.5" customHeight="1">
      <c r="A64" s="55" t="s">
        <v>3359</v>
      </c>
      <c r="B64" s="20"/>
      <c r="C64" s="56" t="s">
        <v>3360</v>
      </c>
      <c r="D64" s="19"/>
      <c r="E64" s="19"/>
      <c r="F64" s="20"/>
    </row>
    <row r="65" ht="31.5" customHeight="1">
      <c r="A65" s="53" t="s">
        <v>3361</v>
      </c>
      <c r="B65" s="20"/>
      <c r="C65" s="54" t="s">
        <v>3362</v>
      </c>
      <c r="D65" s="19"/>
      <c r="E65" s="19"/>
      <c r="F65" s="20"/>
    </row>
    <row r="66" ht="12.75" customHeight="1"/>
    <row r="67" ht="18.0" customHeight="1">
      <c r="A67" s="49" t="s">
        <v>3363</v>
      </c>
      <c r="B67" s="19"/>
      <c r="C67" s="19"/>
      <c r="D67" s="19"/>
      <c r="E67" s="19"/>
      <c r="F67" s="20"/>
    </row>
    <row r="68" ht="18.0" customHeight="1">
      <c r="A68" s="27" t="s">
        <v>3295</v>
      </c>
      <c r="B68" s="20"/>
      <c r="C68" s="26" t="s">
        <v>3296</v>
      </c>
      <c r="D68" s="27" t="s">
        <v>3297</v>
      </c>
      <c r="E68" s="19"/>
      <c r="F68" s="20"/>
    </row>
    <row r="69" ht="27.75" customHeight="1">
      <c r="A69" s="41" t="s">
        <v>3298</v>
      </c>
      <c r="B69" s="20"/>
      <c r="C69" s="42">
        <v>98.0</v>
      </c>
      <c r="D69" s="43" t="s">
        <v>3364</v>
      </c>
      <c r="E69" s="19"/>
      <c r="F69" s="20"/>
    </row>
    <row r="70" ht="27.75" customHeight="1">
      <c r="A70" s="57" t="s">
        <v>3299</v>
      </c>
      <c r="B70" s="20"/>
      <c r="C70" s="36">
        <v>2.5</v>
      </c>
      <c r="D70" s="37" t="s">
        <v>3365</v>
      </c>
      <c r="E70" s="19"/>
      <c r="F70" s="20"/>
    </row>
    <row r="71" ht="27.75" customHeight="1">
      <c r="A71" s="57" t="s">
        <v>3300</v>
      </c>
      <c r="B71" s="20"/>
      <c r="C71" s="36">
        <v>0.75</v>
      </c>
      <c r="D71" s="37" t="s">
        <v>3366</v>
      </c>
      <c r="E71" s="19"/>
      <c r="F71" s="20"/>
    </row>
    <row r="72" ht="27.75" customHeight="1">
      <c r="A72" s="38" t="s">
        <v>3301</v>
      </c>
      <c r="B72" s="20"/>
      <c r="C72" s="39">
        <v>5000.0</v>
      </c>
      <c r="D72" s="40" t="s">
        <v>3367</v>
      </c>
      <c r="E72" s="19"/>
      <c r="F72" s="20"/>
    </row>
    <row r="73" ht="27.75" customHeight="1">
      <c r="A73" s="38" t="s">
        <v>3303</v>
      </c>
      <c r="B73" s="20"/>
      <c r="C73" s="39">
        <v>0.05</v>
      </c>
      <c r="D73" s="40" t="s">
        <v>3368</v>
      </c>
      <c r="E73" s="19"/>
      <c r="F73" s="20"/>
    </row>
    <row r="74" ht="27.75" customHeight="1">
      <c r="A74" s="38" t="s">
        <v>3369</v>
      </c>
      <c r="B74" s="20"/>
      <c r="C74" s="39" t="s">
        <v>3370</v>
      </c>
      <c r="D74" s="40" t="s">
        <v>3371</v>
      </c>
      <c r="E74" s="19"/>
      <c r="F74" s="20"/>
    </row>
    <row r="75" ht="12.75" customHeight="1"/>
    <row r="76" ht="12.75" customHeight="1"/>
    <row r="77" ht="21.75" customHeight="1">
      <c r="A77" s="47" t="s">
        <v>3372</v>
      </c>
      <c r="B77" s="19"/>
      <c r="C77" s="19"/>
      <c r="D77" s="19"/>
      <c r="E77" s="19"/>
      <c r="F77" s="20"/>
    </row>
    <row r="78" ht="18.0" customHeight="1">
      <c r="A78" s="49" t="s">
        <v>3373</v>
      </c>
      <c r="B78" s="20"/>
      <c r="C78" s="26" t="s">
        <v>3374</v>
      </c>
      <c r="D78" s="49" t="s">
        <v>3375</v>
      </c>
      <c r="E78" s="19"/>
      <c r="F78" s="20"/>
    </row>
    <row r="79" ht="48.0" customHeight="1">
      <c r="A79" s="58" t="s">
        <v>3376</v>
      </c>
      <c r="B79" s="20"/>
      <c r="C79" s="59" t="s">
        <v>3377</v>
      </c>
      <c r="D79" s="60" t="s">
        <v>3378</v>
      </c>
      <c r="E79" s="19"/>
      <c r="F79" s="20"/>
    </row>
    <row r="80" ht="48.0" customHeight="1">
      <c r="A80" s="58" t="s">
        <v>3376</v>
      </c>
      <c r="B80" s="20"/>
      <c r="C80" s="59" t="s">
        <v>3379</v>
      </c>
      <c r="D80" s="60" t="s">
        <v>3380</v>
      </c>
      <c r="E80" s="19"/>
      <c r="F80" s="20"/>
    </row>
    <row r="81" ht="48.0" customHeight="1">
      <c r="A81" s="57" t="s">
        <v>3381</v>
      </c>
      <c r="B81" s="20"/>
      <c r="C81" s="35" t="s">
        <v>3382</v>
      </c>
      <c r="D81" s="37" t="s">
        <v>3383</v>
      </c>
      <c r="E81" s="19"/>
      <c r="F81" s="20"/>
    </row>
    <row r="82" ht="48.0" customHeight="1">
      <c r="A82" s="38" t="s">
        <v>3384</v>
      </c>
      <c r="B82" s="20"/>
      <c r="C82" s="61" t="s">
        <v>3385</v>
      </c>
      <c r="D82" s="40" t="s">
        <v>3386</v>
      </c>
      <c r="E82" s="19"/>
      <c r="F82" s="20"/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7">
    <mergeCell ref="B6:C6"/>
    <mergeCell ref="B7:C7"/>
    <mergeCell ref="A1:F1"/>
    <mergeCell ref="A3:F3"/>
    <mergeCell ref="B4:C4"/>
    <mergeCell ref="D4:F4"/>
    <mergeCell ref="B5:C5"/>
    <mergeCell ref="D5:F5"/>
    <mergeCell ref="D6:F6"/>
    <mergeCell ref="D7:F7"/>
    <mergeCell ref="A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A22:F22"/>
    <mergeCell ref="A28:B28"/>
    <mergeCell ref="A29:B29"/>
    <mergeCell ref="A30:B30"/>
    <mergeCell ref="A31:B31"/>
    <mergeCell ref="A32:B32"/>
    <mergeCell ref="A33:B33"/>
    <mergeCell ref="A34:B34"/>
    <mergeCell ref="A35:B35"/>
    <mergeCell ref="C23:F23"/>
    <mergeCell ref="C24:F24"/>
    <mergeCell ref="C25:F25"/>
    <mergeCell ref="C26:F26"/>
    <mergeCell ref="A27:B27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C58:F58"/>
    <mergeCell ref="C59:F59"/>
    <mergeCell ref="A61:F61"/>
    <mergeCell ref="A62:B62"/>
    <mergeCell ref="C62:F62"/>
    <mergeCell ref="A63:B63"/>
    <mergeCell ref="C63:F63"/>
    <mergeCell ref="D68:F68"/>
    <mergeCell ref="D69:F69"/>
    <mergeCell ref="A64:B64"/>
    <mergeCell ref="C64:F64"/>
    <mergeCell ref="A65:B65"/>
    <mergeCell ref="C65:F65"/>
    <mergeCell ref="A67:F67"/>
    <mergeCell ref="A68:B68"/>
    <mergeCell ref="A69:B69"/>
    <mergeCell ref="A73:B73"/>
    <mergeCell ref="A74:B74"/>
    <mergeCell ref="A70:B70"/>
    <mergeCell ref="D70:F70"/>
    <mergeCell ref="A71:B71"/>
    <mergeCell ref="D71:F71"/>
    <mergeCell ref="A72:B72"/>
    <mergeCell ref="D72:F72"/>
    <mergeCell ref="D73:F73"/>
    <mergeCell ref="A80:B80"/>
    <mergeCell ref="A81:B81"/>
    <mergeCell ref="A82:B82"/>
    <mergeCell ref="D81:F81"/>
    <mergeCell ref="D82:F82"/>
    <mergeCell ref="D74:F74"/>
    <mergeCell ref="A77:F77"/>
    <mergeCell ref="A78:B78"/>
    <mergeCell ref="D78:F78"/>
    <mergeCell ref="A79:B79"/>
    <mergeCell ref="D79:F79"/>
    <mergeCell ref="D80:F80"/>
    <mergeCell ref="A36:F36"/>
    <mergeCell ref="A37:F37"/>
    <mergeCell ref="A39:F39"/>
    <mergeCell ref="A40:B40"/>
    <mergeCell ref="C40:F40"/>
    <mergeCell ref="A41:B41"/>
    <mergeCell ref="C41:F41"/>
    <mergeCell ref="A45:B45"/>
    <mergeCell ref="A46:B46"/>
    <mergeCell ref="A42:B42"/>
    <mergeCell ref="C42:F42"/>
    <mergeCell ref="A43:B43"/>
    <mergeCell ref="C43:F43"/>
    <mergeCell ref="A44:B44"/>
    <mergeCell ref="C44:F44"/>
    <mergeCell ref="C45:F45"/>
    <mergeCell ref="A51:B51"/>
    <mergeCell ref="A52:B52"/>
    <mergeCell ref="C46:F46"/>
    <mergeCell ref="A48:F48"/>
    <mergeCell ref="A49:B49"/>
    <mergeCell ref="C49:F49"/>
    <mergeCell ref="A50:B50"/>
    <mergeCell ref="C50:F50"/>
    <mergeCell ref="C51:F51"/>
    <mergeCell ref="A57:B57"/>
    <mergeCell ref="A58:B58"/>
    <mergeCell ref="A59:B59"/>
    <mergeCell ref="C52:F52"/>
    <mergeCell ref="A54:F54"/>
    <mergeCell ref="A55:B55"/>
    <mergeCell ref="C55:F55"/>
    <mergeCell ref="A56:B56"/>
    <mergeCell ref="C56:F56"/>
    <mergeCell ref="C57:F5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3" width="13.0"/>
    <col customWidth="1" min="4" max="4" width="12.0"/>
    <col customWidth="1" min="5" max="5" width="14.0"/>
    <col customWidth="1" min="6" max="7" width="13.0"/>
    <col customWidth="1" min="8" max="8" width="12.0"/>
    <col customWidth="1" min="9" max="9" width="14.0"/>
    <col customWidth="1" min="10" max="11" width="8.88"/>
    <col customWidth="1" min="12" max="13" width="14.0"/>
    <col customWidth="1" min="14" max="14" width="13.0"/>
    <col customWidth="1" min="15" max="15" width="14.0"/>
    <col customWidth="1" min="16" max="26" width="8.88"/>
  </cols>
  <sheetData>
    <row r="1" ht="12.75" customHeight="1">
      <c r="A1" s="62" t="s">
        <v>1</v>
      </c>
      <c r="B1" s="62" t="s">
        <v>3387</v>
      </c>
      <c r="C1" s="62" t="s">
        <v>3388</v>
      </c>
      <c r="D1" s="62" t="s">
        <v>3389</v>
      </c>
      <c r="E1" s="62" t="s">
        <v>3390</v>
      </c>
      <c r="F1" s="62" t="s">
        <v>3391</v>
      </c>
      <c r="G1" s="62" t="s">
        <v>3392</v>
      </c>
      <c r="H1" s="62" t="s">
        <v>3393</v>
      </c>
      <c r="I1" s="62" t="s">
        <v>3394</v>
      </c>
      <c r="L1" s="63" t="s">
        <v>3395</v>
      </c>
      <c r="M1" s="19"/>
      <c r="N1" s="19"/>
      <c r="O1" s="20"/>
    </row>
    <row r="2" ht="12.75" customHeight="1">
      <c r="A2" s="64">
        <v>44621.0</v>
      </c>
      <c r="B2" s="65">
        <f>IFERROR(IF(SUMPRODUCT((Data!$O$2:$O$2277=A2)*(Data!$M$2:$M$2277="Vladimir Zelenskiy")*ISNUMBER(Data!$N$2:$N$2277)*IF(ISNUMBER(Data!$U$2:$U$2277),Data!$U$2:$U$2277,0))&gt;0,SUMPRODUCT((Data!$O$2:$O$2277=A2)*(Data!$M$2:$M$2277="Vladimir Zelenskiy")*ISNUMBER(Data!$N$2:$N$2277)*IF(ISNUMBER(Data!$W$2:$W$2277),Data!$W$2:$W$2277,0)*IF(ISNUMBER(Data!$U$2:$U$2277),Data!$U$2:$U$2277,0))/SUMPRODUCT((Data!$O$2:$O$2277=A2)*(Data!$M$2:$M$2277="Vladimir Zelenskiy")*ISNUMBER(Data!$N$2:$N$2277)*IF(ISNUMBER(Data!$U$2:$U$2277),Data!$U$2:$U$2277,0)),""),"")</f>
        <v>81.3</v>
      </c>
      <c r="C2" s="65" t="str">
        <f>IFERROR(IF(SUMPRODUCT((Data!$O$2:$O$2277=A2)*(Data!$M$2:$M$2277="Valerii Zaluzhniy")*ISNUMBER(Data!$N$2:$N$2277)*IF(ISNUMBER(Data!$U$2:$U$2277),Data!$U$2:$U$2277,0))&gt;0,SUMPRODUCT((Data!$O$2:$O$2277=A2)*(Data!$M$2:$M$2277="Valerii Zaluzhniy")*ISNUMBER(Data!$N$2:$N$2277)*IF(ISNUMBER(Data!$W$2:$W$2277),Data!$W$2:$W$2277,0)*IF(ISNUMBER(Data!$U$2:$U$2277),Data!$U$2:$U$2277,0))/SUMPRODUCT((Data!$O$2:$O$2277=A2)*(Data!$M$2:$M$2277="Valerii Zaluzhniy")*ISNUMBER(Data!$N$2:$N$2277)*IF(ISNUMBER(Data!$U$2:$U$2277),Data!$U$2:$U$2277,0)),""),"")</f>
        <v/>
      </c>
      <c r="D2" s="65" t="str">
        <f t="shared" ref="D2:D23" si="3">""</f>
        <v/>
      </c>
      <c r="E2" s="65">
        <f>IFERROR(IF(SUMPRODUCT((Data!$O$2:$O$2277=A2)*(Data!$M$2:$M$2277="Pyotr Poroshenko")*ISNUMBER(Data!$N$2:$N$2277)*IF(ISNUMBER(Data!$U$2:$U$2277),Data!$U$2:$U$2277,0))&gt;0,SUMPRODUCT((Data!$O$2:$O$2277=A2)*(Data!$M$2:$M$2277="Pyotr Poroshenko")*ISNUMBER(Data!$N$2:$N$2277)*IF(ISNUMBER(Data!$W$2:$W$2277),Data!$W$2:$W$2277,0)*IF(ISNUMBER(Data!$U$2:$U$2277),Data!$U$2:$U$2277,0))/SUMPRODUCT((Data!$O$2:$O$2277=A2)*(Data!$M$2:$M$2277="Pyotr Poroshenko")*ISNUMBER(Data!$N$2:$N$2277)*IF(ISNUMBER(Data!$U$2:$U$2277),Data!$U$2:$U$2277,0)),""),"")</f>
        <v>5.9</v>
      </c>
      <c r="F2" s="66">
        <f t="shared" ref="F2:G2" si="1">IF(B2&lt;&gt;"",B2,"")</f>
        <v>81.3</v>
      </c>
      <c r="G2" s="66" t="str">
        <f t="shared" si="1"/>
        <v/>
      </c>
      <c r="H2" s="66" t="str">
        <f t="shared" ref="H2:H23" si="4">""</f>
        <v/>
      </c>
      <c r="I2" s="66">
        <f>IF(E2&lt;&gt;"",E2,"")</f>
        <v>5.9</v>
      </c>
      <c r="L2" s="67">
        <f t="shared" ref="L2:O2" si="2">IF(F2&lt;&gt;"",F2,"")</f>
        <v>81.3</v>
      </c>
      <c r="M2" s="67" t="str">
        <f t="shared" si="2"/>
        <v/>
      </c>
      <c r="N2" s="67" t="str">
        <f t="shared" si="2"/>
        <v/>
      </c>
      <c r="O2" s="67">
        <f t="shared" si="2"/>
        <v>5.9</v>
      </c>
    </row>
    <row r="3" ht="12.75" customHeight="1">
      <c r="A3" s="68">
        <v>44652.0</v>
      </c>
      <c r="B3" s="69">
        <f>IFERROR(IF(SUMPRODUCT((Data!$O$2:$O$2277=A3)*(Data!$M$2:$M$2277="Vladimir Zelenskiy")*ISNUMBER(Data!$N$2:$N$2277)*IF(ISNUMBER(Data!$U$2:$U$2277),Data!$U$2:$U$2277,0))&gt;0,SUMPRODUCT((Data!$O$2:$O$2277=A3)*(Data!$M$2:$M$2277="Vladimir Zelenskiy")*ISNUMBER(Data!$N$2:$N$2277)*IF(ISNUMBER(Data!$W$2:$W$2277),Data!$W$2:$W$2277,0)*IF(ISNUMBER(Data!$U$2:$U$2277),Data!$U$2:$U$2277,0))/SUMPRODUCT((Data!$O$2:$O$2277=A3)*(Data!$M$2:$M$2277="Vladimir Zelenskiy")*ISNUMBER(Data!$N$2:$N$2277)*IF(ISNUMBER(Data!$U$2:$U$2277),Data!$U$2:$U$2277,0)),""),"")</f>
        <v>81.62123794</v>
      </c>
      <c r="C3" s="69">
        <f>IFERROR(IF(SUMPRODUCT((Data!$O$2:$O$2277=A3)*(Data!$M$2:$M$2277="Valerii Zaluzhniy")*ISNUMBER(Data!$N$2:$N$2277)*IF(ISNUMBER(Data!$U$2:$U$2277),Data!$U$2:$U$2277,0))&gt;0,SUMPRODUCT((Data!$O$2:$O$2277=A3)*(Data!$M$2:$M$2277="Valerii Zaluzhniy")*ISNUMBER(Data!$N$2:$N$2277)*IF(ISNUMBER(Data!$W$2:$W$2277),Data!$W$2:$W$2277,0)*IF(ISNUMBER(Data!$U$2:$U$2277),Data!$U$2:$U$2277,0))/SUMPRODUCT((Data!$O$2:$O$2277=A3)*(Data!$M$2:$M$2277="Valerii Zaluzhniy")*ISNUMBER(Data!$N$2:$N$2277)*IF(ISNUMBER(Data!$U$2:$U$2277),Data!$U$2:$U$2277,0)),""),"")</f>
        <v>3.7</v>
      </c>
      <c r="D3" s="69" t="str">
        <f t="shared" si="3"/>
        <v/>
      </c>
      <c r="E3" s="69">
        <f>IFERROR(IF(SUMPRODUCT((Data!$O$2:$O$2277=A3)*(Data!$M$2:$M$2277="Pyotr Poroshenko")*ISNUMBER(Data!$N$2:$N$2277)*IF(ISNUMBER(Data!$U$2:$U$2277),Data!$U$2:$U$2277,0))&gt;0,SUMPRODUCT((Data!$O$2:$O$2277=A3)*(Data!$M$2:$M$2277="Pyotr Poroshenko")*ISNUMBER(Data!$N$2:$N$2277)*IF(ISNUMBER(Data!$W$2:$W$2277),Data!$W$2:$W$2277,0)*IF(ISNUMBER(Data!$U$2:$U$2277),Data!$U$2:$U$2277,0))/SUMPRODUCT((Data!$O$2:$O$2277=A3)*(Data!$M$2:$M$2277="Pyotr Poroshenko")*ISNUMBER(Data!$N$2:$N$2277)*IF(ISNUMBER(Data!$U$2:$U$2277),Data!$U$2:$U$2277,0)),""),"")</f>
        <v>5.332807315</v>
      </c>
      <c r="F3" s="70">
        <f>IF(B3&lt;&gt;"",IF(OR(F2="",AND(ABS(IFERROR(SUMPRODUCT((Data!$O$2:$O$2277=A3)*(Data!$M$2:$M$2277="Vladimir Zelenskiy")*ISNUMBER(Data!$N$2:$N$2277)*IF(ISNUMBER(Data!$W$2:$W$2277),Data!$W$2:$W$2277,0)*IF(ISNUMBER(Data!$U$2:$U$2277),Data!$U$2:$U$2277,0))/SUMPRODUCT((Data!$O$2:$O$2277=A3)*(Data!$M$2:$M$2277="Vladimir Zelenskiy")*ISNUMBER(Data!$N$2:$N$2277)*IF(ISNUMBER(Data!$U$2:$U$2277),Data!$U$2:$U$2277,0)),0)-IF(F2="",0,F2))&gt;Formula!$C$30,SUMPRODUCT((Data!$O$2:$O$2277=A3)*(Data!$M$2:$M$2277="Vladimir Zelenskiy")*ISNUMBER(Data!$N$2:$N$2277)*IF(ISNUMBER(Data!$U$2:$U$2277),Data!$U$2:$U$2277,0))&gt;=Formula!$C$31)),B3,(SUMPRODUCT((Data!$O$2:$O$2277=A3)*(Data!$M$2:$M$2277="Vladimir Zelenskiy")*ISNUMBER(Data!$N$2:$N$2277)*IF(ISNUMBER(Data!$W$2:$W$2277),Data!$W$2:$W$2277,0)*IF(ISNUMBER(Data!$U$2:$U$2277),Data!$U$2:$U$2277,0))+Formula!$C$29*F2)/(SUMPRODUCT((Data!$O$2:$O$2277=A3)*(Data!$M$2:$M$2277="Vladimir Zelenskiy")*ISNUMBER(Data!$N$2:$N$2277)*IF(ISNUMBER(Data!$U$2:$U$2277),Data!$U$2:$U$2277,0))+Formula!$C$29)),IF(F2&lt;&gt;"",F2,""))</f>
        <v>81.4971323</v>
      </c>
      <c r="G3" s="70">
        <f>IF(C3&lt;&gt;"",IF(OR(G2="",AND(ABS(IFERROR(SUMPRODUCT((Data!$O$2:$O$2277=A3)*(Data!$M$2:$M$2277="Valerii Zaluzhniy")*ISNUMBER(Data!$N$2:$N$2277)*IF(ISNUMBER(Data!$W$2:$W$2277),Data!$W$2:$W$2277,0)*IF(ISNUMBER(Data!$U$2:$U$2277),Data!$U$2:$U$2277,0))/SUMPRODUCT((Data!$O$2:$O$2277=A3)*(Data!$M$2:$M$2277="Valerii Zaluzhniy")*ISNUMBER(Data!$N$2:$N$2277)*IF(ISNUMBER(Data!$U$2:$U$2277),Data!$U$2:$U$2277,0)),0)-IF(G2="",0,G2))&gt;Formula!$C$30,SUMPRODUCT((Data!$O$2:$O$2277=A3)*(Data!$M$2:$M$2277="Valerii Zaluzhniy")*ISNUMBER(Data!$N$2:$N$2277)*IF(ISNUMBER(Data!$U$2:$U$2277),Data!$U$2:$U$2277,0))&gt;=Formula!$C$31)),C3,(SUMPRODUCT((Data!$O$2:$O$2277=A3)*(Data!$M$2:$M$2277="Valerii Zaluzhniy")*ISNUMBER(Data!$N$2:$N$2277)*IF(ISNUMBER(Data!$W$2:$W$2277),Data!$W$2:$W$2277,0)*IF(ISNUMBER(Data!$U$2:$U$2277),Data!$U$2:$U$2277,0))+Formula!$C$29*G2)/(SUMPRODUCT((Data!$O$2:$O$2277=A3)*(Data!$M$2:$M$2277="Valerii Zaluzhniy")*ISNUMBER(Data!$N$2:$N$2277)*IF(ISNUMBER(Data!$U$2:$U$2277),Data!$U$2:$U$2277,0))+Formula!$C$29)),IF(G2&lt;&gt;"",G2,""))</f>
        <v>3.7</v>
      </c>
      <c r="H3" s="70" t="str">
        <f t="shared" si="4"/>
        <v/>
      </c>
      <c r="I3" s="70">
        <f>IF(E3&lt;&gt;"",IF(OR(I2="",AND(ABS(IFERROR(SUMPRODUCT((Data!$O$2:$O$2277=A3)*(Data!$M$2:$M$2277="Pyotr Poroshenko")*ISNUMBER(Data!$N$2:$N$2277)*IF(ISNUMBER(Data!$W$2:$W$2277),Data!$W$2:$W$2277,0)*IF(ISNUMBER(Data!$U$2:$U$2277),Data!$U$2:$U$2277,0))/SUMPRODUCT((Data!$O$2:$O$2277=A3)*(Data!$M$2:$M$2277="Pyotr Poroshenko")*ISNUMBER(Data!$N$2:$N$2277)*IF(ISNUMBER(Data!$U$2:$U$2277),Data!$U$2:$U$2277,0)),0)-IF(I2="",0,I2))&gt;Formula!$C$30,SUMPRODUCT((Data!$O$2:$O$2277=A3)*(Data!$M$2:$M$2277="Pyotr Poroshenko")*ISNUMBER(Data!$N$2:$N$2277)*IF(ISNUMBER(Data!$U$2:$U$2277),Data!$U$2:$U$2277,0))&gt;=Formula!$C$31)),E3,(SUMPRODUCT((Data!$O$2:$O$2277=A3)*(Data!$M$2:$M$2277="Pyotr Poroshenko")*ISNUMBER(Data!$N$2:$N$2277)*IF(ISNUMBER(Data!$W$2:$W$2277),Data!$W$2:$W$2277,0)*IF(ISNUMBER(Data!$U$2:$U$2277),Data!$U$2:$U$2277,0))+Formula!$C$29*I2)/(SUMPRODUCT((Data!$O$2:$O$2277=A3)*(Data!$M$2:$M$2277="Pyotr Poroshenko")*ISNUMBER(Data!$N$2:$N$2277)*IF(ISNUMBER(Data!$U$2:$U$2277),Data!$U$2:$U$2277,0))+Formula!$C$29)),IF(I2&lt;&gt;"",I2,""))</f>
        <v>5.551934009</v>
      </c>
      <c r="L3" s="71">
        <f t="shared" ref="L3:O3" si="5">IFERROR((IF(F2&lt;&gt;"",F2*2,0)+IF(F3&lt;&gt;"",F3*3,0))/(IF(F2&lt;&gt;"",2,0)+IF(F3&lt;&gt;"",3,0)),"")</f>
        <v>81.41827938</v>
      </c>
      <c r="M3" s="71">
        <f t="shared" si="5"/>
        <v>3.7</v>
      </c>
      <c r="N3" s="71" t="str">
        <f t="shared" si="5"/>
        <v/>
      </c>
      <c r="O3" s="71">
        <f t="shared" si="5"/>
        <v>5.691160405</v>
      </c>
    </row>
    <row r="4" ht="12.75" customHeight="1">
      <c r="A4" s="64">
        <v>44682.0</v>
      </c>
      <c r="B4" s="65">
        <f>IFERROR(IF(SUMPRODUCT((Data!$O$2:$O$2277=A4)*(Data!$M$2:$M$2277="Vladimir Zelenskiy")*ISNUMBER(Data!$N$2:$N$2277)*IF(ISNUMBER(Data!$U$2:$U$2277),Data!$U$2:$U$2277,0))&gt;0,SUMPRODUCT((Data!$O$2:$O$2277=A4)*(Data!$M$2:$M$2277="Vladimir Zelenskiy")*ISNUMBER(Data!$N$2:$N$2277)*IF(ISNUMBER(Data!$W$2:$W$2277),Data!$W$2:$W$2277,0)*IF(ISNUMBER(Data!$U$2:$U$2277),Data!$U$2:$U$2277,0))/SUMPRODUCT((Data!$O$2:$O$2277=A4)*(Data!$M$2:$M$2277="Vladimir Zelenskiy")*ISNUMBER(Data!$N$2:$N$2277)*IF(ISNUMBER(Data!$U$2:$U$2277),Data!$U$2:$U$2277,0)),""),"")</f>
        <v>66.2</v>
      </c>
      <c r="C4" s="65" t="str">
        <f>IFERROR(IF(SUMPRODUCT((Data!$O$2:$O$2277=A4)*(Data!$M$2:$M$2277="Valerii Zaluzhniy")*ISNUMBER(Data!$N$2:$N$2277)*IF(ISNUMBER(Data!$U$2:$U$2277),Data!$U$2:$U$2277,0))&gt;0,SUMPRODUCT((Data!$O$2:$O$2277=A4)*(Data!$M$2:$M$2277="Valerii Zaluzhniy")*ISNUMBER(Data!$N$2:$N$2277)*IF(ISNUMBER(Data!$W$2:$W$2277),Data!$W$2:$W$2277,0)*IF(ISNUMBER(Data!$U$2:$U$2277),Data!$U$2:$U$2277,0))/SUMPRODUCT((Data!$O$2:$O$2277=A4)*(Data!$M$2:$M$2277="Valerii Zaluzhniy")*ISNUMBER(Data!$N$2:$N$2277)*IF(ISNUMBER(Data!$U$2:$U$2277),Data!$U$2:$U$2277,0)),""),"")</f>
        <v/>
      </c>
      <c r="D4" s="65" t="str">
        <f t="shared" si="3"/>
        <v/>
      </c>
      <c r="E4" s="65">
        <f>IFERROR(IF(SUMPRODUCT((Data!$O$2:$O$2277=A4)*(Data!$M$2:$M$2277="Pyotr Poroshenko")*ISNUMBER(Data!$N$2:$N$2277)*IF(ISNUMBER(Data!$U$2:$U$2277),Data!$U$2:$U$2277,0))&gt;0,SUMPRODUCT((Data!$O$2:$O$2277=A4)*(Data!$M$2:$M$2277="Pyotr Poroshenko")*ISNUMBER(Data!$N$2:$N$2277)*IF(ISNUMBER(Data!$W$2:$W$2277),Data!$W$2:$W$2277,0)*IF(ISNUMBER(Data!$U$2:$U$2277),Data!$U$2:$U$2277,0))/SUMPRODUCT((Data!$O$2:$O$2277=A4)*(Data!$M$2:$M$2277="Pyotr Poroshenko")*ISNUMBER(Data!$N$2:$N$2277)*IF(ISNUMBER(Data!$U$2:$U$2277),Data!$U$2:$U$2277,0)),""),"")</f>
        <v>10.8</v>
      </c>
      <c r="F4" s="66">
        <f>IF(B4&lt;&gt;"",IF(OR(F3="",AND(ABS(IFERROR(SUMPRODUCT((Data!$O$2:$O$2277=A4)*(Data!$M$2:$M$2277="Vladimir Zelenskiy")*ISNUMBER(Data!$N$2:$N$2277)*IF(ISNUMBER(Data!$W$2:$W$2277),Data!$W$2:$W$2277,0)*IF(ISNUMBER(Data!$U$2:$U$2277),Data!$U$2:$U$2277,0))/SUMPRODUCT((Data!$O$2:$O$2277=A4)*(Data!$M$2:$M$2277="Vladimir Zelenskiy")*ISNUMBER(Data!$N$2:$N$2277)*IF(ISNUMBER(Data!$U$2:$U$2277),Data!$U$2:$U$2277,0)),0)-IF(F3="",0,F3))&gt;Formula!$C$30,SUMPRODUCT((Data!$O$2:$O$2277=A4)*(Data!$M$2:$M$2277="Vladimir Zelenskiy")*ISNUMBER(Data!$N$2:$N$2277)*IF(ISNUMBER(Data!$U$2:$U$2277),Data!$U$2:$U$2277,0))&gt;=Formula!$C$31)),B4,(SUMPRODUCT((Data!$O$2:$O$2277=A4)*(Data!$M$2:$M$2277="Vladimir Zelenskiy")*ISNUMBER(Data!$N$2:$N$2277)*IF(ISNUMBER(Data!$W$2:$W$2277),Data!$W$2:$W$2277,0)*IF(ISNUMBER(Data!$U$2:$U$2277),Data!$U$2:$U$2277,0))+Formula!$C$29*F3)/(SUMPRODUCT((Data!$O$2:$O$2277=A4)*(Data!$M$2:$M$2277="Vladimir Zelenskiy")*ISNUMBER(Data!$N$2:$N$2277)*IF(ISNUMBER(Data!$U$2:$U$2277),Data!$U$2:$U$2277,0))+Formula!$C$29)),IF(F3&lt;&gt;"",F3,""))</f>
        <v>73.9264209</v>
      </c>
      <c r="G4" s="66">
        <f>IF(C4&lt;&gt;"",IF(OR(G3="",AND(ABS(IFERROR(SUMPRODUCT((Data!$O$2:$O$2277=A4)*(Data!$M$2:$M$2277="Valerii Zaluzhniy")*ISNUMBER(Data!$N$2:$N$2277)*IF(ISNUMBER(Data!$W$2:$W$2277),Data!$W$2:$W$2277,0)*IF(ISNUMBER(Data!$U$2:$U$2277),Data!$U$2:$U$2277,0))/SUMPRODUCT((Data!$O$2:$O$2277=A4)*(Data!$M$2:$M$2277="Valerii Zaluzhniy")*ISNUMBER(Data!$N$2:$N$2277)*IF(ISNUMBER(Data!$U$2:$U$2277),Data!$U$2:$U$2277,0)),0)-IF(G3="",0,G3))&gt;Formula!$C$30,SUMPRODUCT((Data!$O$2:$O$2277=A4)*(Data!$M$2:$M$2277="Valerii Zaluzhniy")*ISNUMBER(Data!$N$2:$N$2277)*IF(ISNUMBER(Data!$U$2:$U$2277),Data!$U$2:$U$2277,0))&gt;=Formula!$C$31)),C4,(SUMPRODUCT((Data!$O$2:$O$2277=A4)*(Data!$M$2:$M$2277="Valerii Zaluzhniy")*ISNUMBER(Data!$N$2:$N$2277)*IF(ISNUMBER(Data!$W$2:$W$2277),Data!$W$2:$W$2277,0)*IF(ISNUMBER(Data!$U$2:$U$2277),Data!$U$2:$U$2277,0))+Formula!$C$29*G3)/(SUMPRODUCT((Data!$O$2:$O$2277=A4)*(Data!$M$2:$M$2277="Valerii Zaluzhniy")*ISNUMBER(Data!$N$2:$N$2277)*IF(ISNUMBER(Data!$U$2:$U$2277),Data!$U$2:$U$2277,0))+Formula!$C$29)),IF(G3&lt;&gt;"",G3,""))</f>
        <v>3.7</v>
      </c>
      <c r="H4" s="66" t="str">
        <f t="shared" si="4"/>
        <v/>
      </c>
      <c r="I4" s="66">
        <f>IF(E4&lt;&gt;"",IF(OR(I3="",AND(ABS(IFERROR(SUMPRODUCT((Data!$O$2:$O$2277=A4)*(Data!$M$2:$M$2277="Pyotr Poroshenko")*ISNUMBER(Data!$N$2:$N$2277)*IF(ISNUMBER(Data!$W$2:$W$2277),Data!$W$2:$W$2277,0)*IF(ISNUMBER(Data!$U$2:$U$2277),Data!$U$2:$U$2277,0))/SUMPRODUCT((Data!$O$2:$O$2277=A4)*(Data!$M$2:$M$2277="Pyotr Poroshenko")*ISNUMBER(Data!$N$2:$N$2277)*IF(ISNUMBER(Data!$U$2:$U$2277),Data!$U$2:$U$2277,0)),0)-IF(I3="",0,I3))&gt;Formula!$C$30,SUMPRODUCT((Data!$O$2:$O$2277=A4)*(Data!$M$2:$M$2277="Pyotr Poroshenko")*ISNUMBER(Data!$N$2:$N$2277)*IF(ISNUMBER(Data!$U$2:$U$2277),Data!$U$2:$U$2277,0))&gt;=Formula!$C$31)),E4,(SUMPRODUCT((Data!$O$2:$O$2277=A4)*(Data!$M$2:$M$2277="Pyotr Poroshenko")*ISNUMBER(Data!$N$2:$N$2277)*IF(ISNUMBER(Data!$W$2:$W$2277),Data!$W$2:$W$2277,0)*IF(ISNUMBER(Data!$U$2:$U$2277),Data!$U$2:$U$2277,0))+Formula!$C$29*I3)/(SUMPRODUCT((Data!$O$2:$O$2277=A4)*(Data!$M$2:$M$2277="Pyotr Poroshenko")*ISNUMBER(Data!$N$2:$N$2277)*IF(ISNUMBER(Data!$U$2:$U$2277),Data!$U$2:$U$2277,0))+Formula!$C$29)),IF(I3&lt;&gt;"",I3,""))</f>
        <v>8.149256975</v>
      </c>
      <c r="L4" s="67">
        <f t="shared" ref="L4:O4" si="6">IFERROR((IF(F2&lt;&gt;"",F2*1,0)+IF(F3&lt;&gt;"",F3*2,0)+IF(F4&lt;&gt;"",F4*3,0))/(IF(F2&lt;&gt;"",1,0)+IF(F3&lt;&gt;"",2,0)+IF(F4&lt;&gt;"",3,0)),"")</f>
        <v>77.67892122</v>
      </c>
      <c r="M4" s="67">
        <f t="shared" si="6"/>
        <v>3.7</v>
      </c>
      <c r="N4" s="67" t="str">
        <f t="shared" si="6"/>
        <v/>
      </c>
      <c r="O4" s="67">
        <f t="shared" si="6"/>
        <v>6.908606491</v>
      </c>
    </row>
    <row r="5" ht="12.75" customHeight="1">
      <c r="A5" s="68">
        <v>44713.0</v>
      </c>
      <c r="B5" s="69">
        <f>IFERROR(IF(SUMPRODUCT((Data!$O$2:$O$2277=A5)*(Data!$M$2:$M$2277="Vladimir Zelenskiy")*ISNUMBER(Data!$N$2:$N$2277)*IF(ISNUMBER(Data!$U$2:$U$2277),Data!$U$2:$U$2277,0))&gt;0,SUMPRODUCT((Data!$O$2:$O$2277=A5)*(Data!$M$2:$M$2277="Vladimir Zelenskiy")*ISNUMBER(Data!$N$2:$N$2277)*IF(ISNUMBER(Data!$W$2:$W$2277),Data!$W$2:$W$2277,0)*IF(ISNUMBER(Data!$U$2:$U$2277),Data!$U$2:$U$2277,0))/SUMPRODUCT((Data!$O$2:$O$2277=A5)*(Data!$M$2:$M$2277="Vladimir Zelenskiy")*ISNUMBER(Data!$N$2:$N$2277)*IF(ISNUMBER(Data!$U$2:$U$2277),Data!$U$2:$U$2277,0)),""),"")</f>
        <v>74.34756237</v>
      </c>
      <c r="C5" s="69" t="str">
        <f>IFERROR(IF(SUMPRODUCT((Data!$O$2:$O$2277=A5)*(Data!$M$2:$M$2277="Valerii Zaluzhniy")*ISNUMBER(Data!$N$2:$N$2277)*IF(ISNUMBER(Data!$U$2:$U$2277),Data!$U$2:$U$2277,0))&gt;0,SUMPRODUCT((Data!$O$2:$O$2277=A5)*(Data!$M$2:$M$2277="Valerii Zaluzhniy")*ISNUMBER(Data!$N$2:$N$2277)*IF(ISNUMBER(Data!$W$2:$W$2277),Data!$W$2:$W$2277,0)*IF(ISNUMBER(Data!$U$2:$U$2277),Data!$U$2:$U$2277,0))/SUMPRODUCT((Data!$O$2:$O$2277=A5)*(Data!$M$2:$M$2277="Valerii Zaluzhniy")*ISNUMBER(Data!$N$2:$N$2277)*IF(ISNUMBER(Data!$U$2:$U$2277),Data!$U$2:$U$2277,0)),""),"")</f>
        <v/>
      </c>
      <c r="D5" s="69" t="str">
        <f t="shared" si="3"/>
        <v/>
      </c>
      <c r="E5" s="69">
        <f>IFERROR(IF(SUMPRODUCT((Data!$O$2:$O$2277=A5)*(Data!$M$2:$M$2277="Pyotr Poroshenko")*ISNUMBER(Data!$N$2:$N$2277)*IF(ISNUMBER(Data!$U$2:$U$2277),Data!$U$2:$U$2277,0))&gt;0,SUMPRODUCT((Data!$O$2:$O$2277=A5)*(Data!$M$2:$M$2277="Pyotr Poroshenko")*ISNUMBER(Data!$N$2:$N$2277)*IF(ISNUMBER(Data!$W$2:$W$2277),Data!$W$2:$W$2277,0)*IF(ISNUMBER(Data!$U$2:$U$2277),Data!$U$2:$U$2277,0))/SUMPRODUCT((Data!$O$2:$O$2277=A5)*(Data!$M$2:$M$2277="Pyotr Poroshenko")*ISNUMBER(Data!$N$2:$N$2277)*IF(ISNUMBER(Data!$U$2:$U$2277),Data!$U$2:$U$2277,0)),""),"")</f>
        <v>5.573974749</v>
      </c>
      <c r="F5" s="70">
        <f>IF(B5&lt;&gt;"",IF(OR(F4="",AND(ABS(IFERROR(SUMPRODUCT((Data!$O$2:$O$2277=A5)*(Data!$M$2:$M$2277="Vladimir Zelenskiy")*ISNUMBER(Data!$N$2:$N$2277)*IF(ISNUMBER(Data!$W$2:$W$2277),Data!$W$2:$W$2277,0)*IF(ISNUMBER(Data!$U$2:$U$2277),Data!$U$2:$U$2277,0))/SUMPRODUCT((Data!$O$2:$O$2277=A5)*(Data!$M$2:$M$2277="Vladimir Zelenskiy")*ISNUMBER(Data!$N$2:$N$2277)*IF(ISNUMBER(Data!$U$2:$U$2277),Data!$U$2:$U$2277,0)),0)-IF(F4="",0,F4))&gt;Formula!$C$30,SUMPRODUCT((Data!$O$2:$O$2277=A5)*(Data!$M$2:$M$2277="Vladimir Zelenskiy")*ISNUMBER(Data!$N$2:$N$2277)*IF(ISNUMBER(Data!$U$2:$U$2277),Data!$U$2:$U$2277,0))&gt;=Formula!$C$31)),B5,(SUMPRODUCT((Data!$O$2:$O$2277=A5)*(Data!$M$2:$M$2277="Vladimir Zelenskiy")*ISNUMBER(Data!$N$2:$N$2277)*IF(ISNUMBER(Data!$W$2:$W$2277),Data!$W$2:$W$2277,0)*IF(ISNUMBER(Data!$U$2:$U$2277),Data!$U$2:$U$2277,0))+Formula!$C$29*F4)/(SUMPRODUCT((Data!$O$2:$O$2277=A5)*(Data!$M$2:$M$2277="Vladimir Zelenskiy")*ISNUMBER(Data!$N$2:$N$2277)*IF(ISNUMBER(Data!$U$2:$U$2277),Data!$U$2:$U$2277,0))+Formula!$C$29)),IF(F4&lt;&gt;"",F4,""))</f>
        <v>74.21373226</v>
      </c>
      <c r="G5" s="70">
        <f>IF(C5&lt;&gt;"",IF(OR(G4="",AND(ABS(IFERROR(SUMPRODUCT((Data!$O$2:$O$2277=A5)*(Data!$M$2:$M$2277="Valerii Zaluzhniy")*ISNUMBER(Data!$N$2:$N$2277)*IF(ISNUMBER(Data!$W$2:$W$2277),Data!$W$2:$W$2277,0)*IF(ISNUMBER(Data!$U$2:$U$2277),Data!$U$2:$U$2277,0))/SUMPRODUCT((Data!$O$2:$O$2277=A5)*(Data!$M$2:$M$2277="Valerii Zaluzhniy")*ISNUMBER(Data!$N$2:$N$2277)*IF(ISNUMBER(Data!$U$2:$U$2277),Data!$U$2:$U$2277,0)),0)-IF(G4="",0,G4))&gt;Formula!$C$30,SUMPRODUCT((Data!$O$2:$O$2277=A5)*(Data!$M$2:$M$2277="Valerii Zaluzhniy")*ISNUMBER(Data!$N$2:$N$2277)*IF(ISNUMBER(Data!$U$2:$U$2277),Data!$U$2:$U$2277,0))&gt;=Formula!$C$31)),C5,(SUMPRODUCT((Data!$O$2:$O$2277=A5)*(Data!$M$2:$M$2277="Valerii Zaluzhniy")*ISNUMBER(Data!$N$2:$N$2277)*IF(ISNUMBER(Data!$W$2:$W$2277),Data!$W$2:$W$2277,0)*IF(ISNUMBER(Data!$U$2:$U$2277),Data!$U$2:$U$2277,0))+Formula!$C$29*G4)/(SUMPRODUCT((Data!$O$2:$O$2277=A5)*(Data!$M$2:$M$2277="Valerii Zaluzhniy")*ISNUMBER(Data!$N$2:$N$2277)*IF(ISNUMBER(Data!$U$2:$U$2277),Data!$U$2:$U$2277,0))+Formula!$C$29)),IF(G4&lt;&gt;"",G4,""))</f>
        <v>3.7</v>
      </c>
      <c r="H5" s="70" t="str">
        <f t="shared" si="4"/>
        <v/>
      </c>
      <c r="I5" s="70">
        <f>IF(E5&lt;&gt;"",IF(OR(I4="",AND(ABS(IFERROR(SUMPRODUCT((Data!$O$2:$O$2277=A5)*(Data!$M$2:$M$2277="Pyotr Poroshenko")*ISNUMBER(Data!$N$2:$N$2277)*IF(ISNUMBER(Data!$W$2:$W$2277),Data!$W$2:$W$2277,0)*IF(ISNUMBER(Data!$U$2:$U$2277),Data!$U$2:$U$2277,0))/SUMPRODUCT((Data!$O$2:$O$2277=A5)*(Data!$M$2:$M$2277="Pyotr Poroshenko")*ISNUMBER(Data!$N$2:$N$2277)*IF(ISNUMBER(Data!$U$2:$U$2277),Data!$U$2:$U$2277,0)),0)-IF(I4="",0,I4))&gt;Formula!$C$30,SUMPRODUCT((Data!$O$2:$O$2277=A5)*(Data!$M$2:$M$2277="Pyotr Poroshenko")*ISNUMBER(Data!$N$2:$N$2277)*IF(ISNUMBER(Data!$U$2:$U$2277),Data!$U$2:$U$2277,0))&gt;=Formula!$C$31)),E5,(SUMPRODUCT((Data!$O$2:$O$2277=A5)*(Data!$M$2:$M$2277="Pyotr Poroshenko")*ISNUMBER(Data!$N$2:$N$2277)*IF(ISNUMBER(Data!$W$2:$W$2277),Data!$W$2:$W$2277,0)*IF(ISNUMBER(Data!$U$2:$U$2277),Data!$U$2:$U$2277,0))+Formula!$C$29*I4)/(SUMPRODUCT((Data!$O$2:$O$2277=A5)*(Data!$M$2:$M$2277="Pyotr Poroshenko")*ISNUMBER(Data!$N$2:$N$2277)*IF(ISNUMBER(Data!$U$2:$U$2277),Data!$U$2:$U$2277,0))+Formula!$C$29)),IF(I4&lt;&gt;"",I4,""))</f>
        <v>6.392346526</v>
      </c>
      <c r="L5" s="71">
        <f t="shared" ref="L5:O5" si="7">IFERROR((IF(F3&lt;&gt;"",F3*1,0)+IF(F4&lt;&gt;"",F4*2,0)+IF(F5&lt;&gt;"",F5*3,0))/(IF(F3&lt;&gt;"",1,0)+IF(F4&lt;&gt;"",2,0)+IF(F5&lt;&gt;"",3,0)),"")</f>
        <v>75.33186181</v>
      </c>
      <c r="M5" s="71">
        <f t="shared" si="7"/>
        <v>3.7</v>
      </c>
      <c r="N5" s="71" t="str">
        <f t="shared" si="7"/>
        <v/>
      </c>
      <c r="O5" s="71">
        <f t="shared" si="7"/>
        <v>6.83791459</v>
      </c>
    </row>
    <row r="6" ht="12.75" customHeight="1">
      <c r="A6" s="64">
        <v>44743.0</v>
      </c>
      <c r="B6" s="65" t="str">
        <f>IFERROR(IF(SUMPRODUCT((Data!$O$2:$O$2277=A6)*(Data!$M$2:$M$2277="Vladimir Zelenskiy")*ISNUMBER(Data!$N$2:$N$2277)*IF(ISNUMBER(Data!$U$2:$U$2277),Data!$U$2:$U$2277,0))&gt;0,SUMPRODUCT((Data!$O$2:$O$2277=A6)*(Data!$M$2:$M$2277="Vladimir Zelenskiy")*ISNUMBER(Data!$N$2:$N$2277)*IF(ISNUMBER(Data!$W$2:$W$2277),Data!$W$2:$W$2277,0)*IF(ISNUMBER(Data!$U$2:$U$2277),Data!$U$2:$U$2277,0))/SUMPRODUCT((Data!$O$2:$O$2277=A6)*(Data!$M$2:$M$2277="Vladimir Zelenskiy")*ISNUMBER(Data!$N$2:$N$2277)*IF(ISNUMBER(Data!$U$2:$U$2277),Data!$U$2:$U$2277,0)),""),"")</f>
        <v/>
      </c>
      <c r="C6" s="65" t="str">
        <f>IFERROR(IF(SUMPRODUCT((Data!$O$2:$O$2277=A6)*(Data!$M$2:$M$2277="Valerii Zaluzhniy")*ISNUMBER(Data!$N$2:$N$2277)*IF(ISNUMBER(Data!$U$2:$U$2277),Data!$U$2:$U$2277,0))&gt;0,SUMPRODUCT((Data!$O$2:$O$2277=A6)*(Data!$M$2:$M$2277="Valerii Zaluzhniy")*ISNUMBER(Data!$N$2:$N$2277)*IF(ISNUMBER(Data!$W$2:$W$2277),Data!$W$2:$W$2277,0)*IF(ISNUMBER(Data!$U$2:$U$2277),Data!$U$2:$U$2277,0))/SUMPRODUCT((Data!$O$2:$O$2277=A6)*(Data!$M$2:$M$2277="Valerii Zaluzhniy")*ISNUMBER(Data!$N$2:$N$2277)*IF(ISNUMBER(Data!$U$2:$U$2277),Data!$U$2:$U$2277,0)),""),"")</f>
        <v/>
      </c>
      <c r="D6" s="65" t="str">
        <f t="shared" si="3"/>
        <v/>
      </c>
      <c r="E6" s="65" t="str">
        <f>IFERROR(IF(SUMPRODUCT((Data!$O$2:$O$2277=A6)*(Data!$M$2:$M$2277="Pyotr Poroshenko")*ISNUMBER(Data!$N$2:$N$2277)*IF(ISNUMBER(Data!$U$2:$U$2277),Data!$U$2:$U$2277,0))&gt;0,SUMPRODUCT((Data!$O$2:$O$2277=A6)*(Data!$M$2:$M$2277="Pyotr Poroshenko")*ISNUMBER(Data!$N$2:$N$2277)*IF(ISNUMBER(Data!$W$2:$W$2277),Data!$W$2:$W$2277,0)*IF(ISNUMBER(Data!$U$2:$U$2277),Data!$U$2:$U$2277,0))/SUMPRODUCT((Data!$O$2:$O$2277=A6)*(Data!$M$2:$M$2277="Pyotr Poroshenko")*ISNUMBER(Data!$N$2:$N$2277)*IF(ISNUMBER(Data!$U$2:$U$2277),Data!$U$2:$U$2277,0)),""),"")</f>
        <v/>
      </c>
      <c r="F6" s="66">
        <f>IF(B6&lt;&gt;"",IF(OR(F5="",AND(ABS(IFERROR(SUMPRODUCT((Data!$O$2:$O$2277=A6)*(Data!$M$2:$M$2277="Vladimir Zelenskiy")*ISNUMBER(Data!$N$2:$N$2277)*IF(ISNUMBER(Data!$W$2:$W$2277),Data!$W$2:$W$2277,0)*IF(ISNUMBER(Data!$U$2:$U$2277),Data!$U$2:$U$2277,0))/SUMPRODUCT((Data!$O$2:$O$2277=A6)*(Data!$M$2:$M$2277="Vladimir Zelenskiy")*ISNUMBER(Data!$N$2:$N$2277)*IF(ISNUMBER(Data!$U$2:$U$2277),Data!$U$2:$U$2277,0)),0)-IF(F5="",0,F5))&gt;Formula!$C$30,SUMPRODUCT((Data!$O$2:$O$2277=A6)*(Data!$M$2:$M$2277="Vladimir Zelenskiy")*ISNUMBER(Data!$N$2:$N$2277)*IF(ISNUMBER(Data!$U$2:$U$2277),Data!$U$2:$U$2277,0))&gt;=Formula!$C$31)),B6,(SUMPRODUCT((Data!$O$2:$O$2277=A6)*(Data!$M$2:$M$2277="Vladimir Zelenskiy")*ISNUMBER(Data!$N$2:$N$2277)*IF(ISNUMBER(Data!$W$2:$W$2277),Data!$W$2:$W$2277,0)*IF(ISNUMBER(Data!$U$2:$U$2277),Data!$U$2:$U$2277,0))+Formula!$C$29*F5)/(SUMPRODUCT((Data!$O$2:$O$2277=A6)*(Data!$M$2:$M$2277="Vladimir Zelenskiy")*ISNUMBER(Data!$N$2:$N$2277)*IF(ISNUMBER(Data!$U$2:$U$2277),Data!$U$2:$U$2277,0))+Formula!$C$29)),IF(F5&lt;&gt;"",F5,""))</f>
        <v>74.21373226</v>
      </c>
      <c r="G6" s="66">
        <f>IF(C6&lt;&gt;"",IF(OR(G5="",AND(ABS(IFERROR(SUMPRODUCT((Data!$O$2:$O$2277=A6)*(Data!$M$2:$M$2277="Valerii Zaluzhniy")*ISNUMBER(Data!$N$2:$N$2277)*IF(ISNUMBER(Data!$W$2:$W$2277),Data!$W$2:$W$2277,0)*IF(ISNUMBER(Data!$U$2:$U$2277),Data!$U$2:$U$2277,0))/SUMPRODUCT((Data!$O$2:$O$2277=A6)*(Data!$M$2:$M$2277="Valerii Zaluzhniy")*ISNUMBER(Data!$N$2:$N$2277)*IF(ISNUMBER(Data!$U$2:$U$2277),Data!$U$2:$U$2277,0)),0)-IF(G5="",0,G5))&gt;Formula!$C$30,SUMPRODUCT((Data!$O$2:$O$2277=A6)*(Data!$M$2:$M$2277="Valerii Zaluzhniy")*ISNUMBER(Data!$N$2:$N$2277)*IF(ISNUMBER(Data!$U$2:$U$2277),Data!$U$2:$U$2277,0))&gt;=Formula!$C$31)),C6,(SUMPRODUCT((Data!$O$2:$O$2277=A6)*(Data!$M$2:$M$2277="Valerii Zaluzhniy")*ISNUMBER(Data!$N$2:$N$2277)*IF(ISNUMBER(Data!$W$2:$W$2277),Data!$W$2:$W$2277,0)*IF(ISNUMBER(Data!$U$2:$U$2277),Data!$U$2:$U$2277,0))+Formula!$C$29*G5)/(SUMPRODUCT((Data!$O$2:$O$2277=A6)*(Data!$M$2:$M$2277="Valerii Zaluzhniy")*ISNUMBER(Data!$N$2:$N$2277)*IF(ISNUMBER(Data!$U$2:$U$2277),Data!$U$2:$U$2277,0))+Formula!$C$29)),IF(G5&lt;&gt;"",G5,""))</f>
        <v>3.7</v>
      </c>
      <c r="H6" s="66" t="str">
        <f t="shared" si="4"/>
        <v/>
      </c>
      <c r="I6" s="66">
        <f>IF(E6&lt;&gt;"",IF(OR(I5="",AND(ABS(IFERROR(SUMPRODUCT((Data!$O$2:$O$2277=A6)*(Data!$M$2:$M$2277="Pyotr Poroshenko")*ISNUMBER(Data!$N$2:$N$2277)*IF(ISNUMBER(Data!$W$2:$W$2277),Data!$W$2:$W$2277,0)*IF(ISNUMBER(Data!$U$2:$U$2277),Data!$U$2:$U$2277,0))/SUMPRODUCT((Data!$O$2:$O$2277=A6)*(Data!$M$2:$M$2277="Pyotr Poroshenko")*ISNUMBER(Data!$N$2:$N$2277)*IF(ISNUMBER(Data!$U$2:$U$2277),Data!$U$2:$U$2277,0)),0)-IF(I5="",0,I5))&gt;Formula!$C$30,SUMPRODUCT((Data!$O$2:$O$2277=A6)*(Data!$M$2:$M$2277="Pyotr Poroshenko")*ISNUMBER(Data!$N$2:$N$2277)*IF(ISNUMBER(Data!$U$2:$U$2277),Data!$U$2:$U$2277,0))&gt;=Formula!$C$31)),E6,(SUMPRODUCT((Data!$O$2:$O$2277=A6)*(Data!$M$2:$M$2277="Pyotr Poroshenko")*ISNUMBER(Data!$N$2:$N$2277)*IF(ISNUMBER(Data!$W$2:$W$2277),Data!$W$2:$W$2277,0)*IF(ISNUMBER(Data!$U$2:$U$2277),Data!$U$2:$U$2277,0))+Formula!$C$29*I5)/(SUMPRODUCT((Data!$O$2:$O$2277=A6)*(Data!$M$2:$M$2277="Pyotr Poroshenko")*ISNUMBER(Data!$N$2:$N$2277)*IF(ISNUMBER(Data!$U$2:$U$2277),Data!$U$2:$U$2277,0))+Formula!$C$29)),IF(I5&lt;&gt;"",I5,""))</f>
        <v>6.392346526</v>
      </c>
      <c r="L6" s="67">
        <f t="shared" ref="L6:O6" si="8">IFERROR((IF(F4&lt;&gt;"",F4*1,0)+IF(F5&lt;&gt;"",F5*2,0)+IF(F6&lt;&gt;"",F6*3,0))/(IF(F4&lt;&gt;"",1,0)+IF(F5&lt;&gt;"",2,0)+IF(F6&lt;&gt;"",3,0)),"")</f>
        <v>74.16584703</v>
      </c>
      <c r="M6" s="67">
        <f t="shared" si="8"/>
        <v>3.7</v>
      </c>
      <c r="N6" s="67" t="str">
        <f t="shared" si="8"/>
        <v/>
      </c>
      <c r="O6" s="67">
        <f t="shared" si="8"/>
        <v>6.685164934</v>
      </c>
    </row>
    <row r="7" ht="12.75" customHeight="1">
      <c r="A7" s="68">
        <v>44774.0</v>
      </c>
      <c r="B7" s="69">
        <f>IFERROR(IF(SUMPRODUCT((Data!$O$2:$O$2277=A7)*(Data!$M$2:$M$2277="Vladimir Zelenskiy")*ISNUMBER(Data!$N$2:$N$2277)*IF(ISNUMBER(Data!$U$2:$U$2277),Data!$U$2:$U$2277,0))&gt;0,SUMPRODUCT((Data!$O$2:$O$2277=A7)*(Data!$M$2:$M$2277="Vladimir Zelenskiy")*ISNUMBER(Data!$N$2:$N$2277)*IF(ISNUMBER(Data!$W$2:$W$2277),Data!$W$2:$W$2277,0)*IF(ISNUMBER(Data!$U$2:$U$2277),Data!$U$2:$U$2277,0))/SUMPRODUCT((Data!$O$2:$O$2277=A7)*(Data!$M$2:$M$2277="Vladimir Zelenskiy")*ISNUMBER(Data!$N$2:$N$2277)*IF(ISNUMBER(Data!$U$2:$U$2277),Data!$U$2:$U$2277,0)),""),"")</f>
        <v>72.08996958</v>
      </c>
      <c r="C7" s="69" t="str">
        <f>IFERROR(IF(SUMPRODUCT((Data!$O$2:$O$2277=A7)*(Data!$M$2:$M$2277="Valerii Zaluzhniy")*ISNUMBER(Data!$N$2:$N$2277)*IF(ISNUMBER(Data!$U$2:$U$2277),Data!$U$2:$U$2277,0))&gt;0,SUMPRODUCT((Data!$O$2:$O$2277=A7)*(Data!$M$2:$M$2277="Valerii Zaluzhniy")*ISNUMBER(Data!$N$2:$N$2277)*IF(ISNUMBER(Data!$W$2:$W$2277),Data!$W$2:$W$2277,0)*IF(ISNUMBER(Data!$U$2:$U$2277),Data!$U$2:$U$2277,0))/SUMPRODUCT((Data!$O$2:$O$2277=A7)*(Data!$M$2:$M$2277="Valerii Zaluzhniy")*ISNUMBER(Data!$N$2:$N$2277)*IF(ISNUMBER(Data!$U$2:$U$2277),Data!$U$2:$U$2277,0)),""),"")</f>
        <v/>
      </c>
      <c r="D7" s="69" t="str">
        <f t="shared" si="3"/>
        <v/>
      </c>
      <c r="E7" s="69">
        <f>IFERROR(IF(SUMPRODUCT((Data!$O$2:$O$2277=A7)*(Data!$M$2:$M$2277="Pyotr Poroshenko")*ISNUMBER(Data!$N$2:$N$2277)*IF(ISNUMBER(Data!$U$2:$U$2277),Data!$U$2:$U$2277,0))&gt;0,SUMPRODUCT((Data!$O$2:$O$2277=A7)*(Data!$M$2:$M$2277="Pyotr Poroshenko")*ISNUMBER(Data!$N$2:$N$2277)*IF(ISNUMBER(Data!$W$2:$W$2277),Data!$W$2:$W$2277,0)*IF(ISNUMBER(Data!$U$2:$U$2277),Data!$U$2:$U$2277,0))/SUMPRODUCT((Data!$O$2:$O$2277=A7)*(Data!$M$2:$M$2277="Pyotr Poroshenko")*ISNUMBER(Data!$N$2:$N$2277)*IF(ISNUMBER(Data!$U$2:$U$2277),Data!$U$2:$U$2277,0)),""),"")</f>
        <v>6.241110839</v>
      </c>
      <c r="F7" s="70">
        <f>IF(B7&lt;&gt;"",IF(OR(F6="",AND(ABS(IFERROR(SUMPRODUCT((Data!$O$2:$O$2277=A7)*(Data!$M$2:$M$2277="Vladimir Zelenskiy")*ISNUMBER(Data!$N$2:$N$2277)*IF(ISNUMBER(Data!$W$2:$W$2277),Data!$W$2:$W$2277,0)*IF(ISNUMBER(Data!$U$2:$U$2277),Data!$U$2:$U$2277,0))/SUMPRODUCT((Data!$O$2:$O$2277=A7)*(Data!$M$2:$M$2277="Vladimir Zelenskiy")*ISNUMBER(Data!$N$2:$N$2277)*IF(ISNUMBER(Data!$U$2:$U$2277),Data!$U$2:$U$2277,0)),0)-IF(F6="",0,F6))&gt;Formula!$C$30,SUMPRODUCT((Data!$O$2:$O$2277=A7)*(Data!$M$2:$M$2277="Vladimir Zelenskiy")*ISNUMBER(Data!$N$2:$N$2277)*IF(ISNUMBER(Data!$U$2:$U$2277),Data!$U$2:$U$2277,0))&gt;=Formula!$C$31)),B7,(SUMPRODUCT((Data!$O$2:$O$2277=A7)*(Data!$M$2:$M$2277="Vladimir Zelenskiy")*ISNUMBER(Data!$N$2:$N$2277)*IF(ISNUMBER(Data!$W$2:$W$2277),Data!$W$2:$W$2277,0)*IF(ISNUMBER(Data!$U$2:$U$2277),Data!$U$2:$U$2277,0))+Formula!$C$29*F6)/(SUMPRODUCT((Data!$O$2:$O$2277=A7)*(Data!$M$2:$M$2277="Vladimir Zelenskiy")*ISNUMBER(Data!$N$2:$N$2277)*IF(ISNUMBER(Data!$U$2:$U$2277),Data!$U$2:$U$2277,0))+Formula!$C$29)),IF(F6&lt;&gt;"",F6,""))</f>
        <v>72.80714135</v>
      </c>
      <c r="G7" s="70">
        <f>IF(C7&lt;&gt;"",IF(OR(G6="",AND(ABS(IFERROR(SUMPRODUCT((Data!$O$2:$O$2277=A7)*(Data!$M$2:$M$2277="Valerii Zaluzhniy")*ISNUMBER(Data!$N$2:$N$2277)*IF(ISNUMBER(Data!$W$2:$W$2277),Data!$W$2:$W$2277,0)*IF(ISNUMBER(Data!$U$2:$U$2277),Data!$U$2:$U$2277,0))/SUMPRODUCT((Data!$O$2:$O$2277=A7)*(Data!$M$2:$M$2277="Valerii Zaluzhniy")*ISNUMBER(Data!$N$2:$N$2277)*IF(ISNUMBER(Data!$U$2:$U$2277),Data!$U$2:$U$2277,0)),0)-IF(G6="",0,G6))&gt;Formula!$C$30,SUMPRODUCT((Data!$O$2:$O$2277=A7)*(Data!$M$2:$M$2277="Valerii Zaluzhniy")*ISNUMBER(Data!$N$2:$N$2277)*IF(ISNUMBER(Data!$U$2:$U$2277),Data!$U$2:$U$2277,0))&gt;=Formula!$C$31)),C7,(SUMPRODUCT((Data!$O$2:$O$2277=A7)*(Data!$M$2:$M$2277="Valerii Zaluzhniy")*ISNUMBER(Data!$N$2:$N$2277)*IF(ISNUMBER(Data!$W$2:$W$2277),Data!$W$2:$W$2277,0)*IF(ISNUMBER(Data!$U$2:$U$2277),Data!$U$2:$U$2277,0))+Formula!$C$29*G6)/(SUMPRODUCT((Data!$O$2:$O$2277=A7)*(Data!$M$2:$M$2277="Valerii Zaluzhniy")*ISNUMBER(Data!$N$2:$N$2277)*IF(ISNUMBER(Data!$U$2:$U$2277),Data!$U$2:$U$2277,0))+Formula!$C$29)),IF(G6&lt;&gt;"",G6,""))</f>
        <v>3.7</v>
      </c>
      <c r="H7" s="70" t="str">
        <f t="shared" si="4"/>
        <v/>
      </c>
      <c r="I7" s="70">
        <f>IF(E7&lt;&gt;"",IF(OR(I6="",AND(ABS(IFERROR(SUMPRODUCT((Data!$O$2:$O$2277=A7)*(Data!$M$2:$M$2277="Pyotr Poroshenko")*ISNUMBER(Data!$N$2:$N$2277)*IF(ISNUMBER(Data!$W$2:$W$2277),Data!$W$2:$W$2277,0)*IF(ISNUMBER(Data!$U$2:$U$2277),Data!$U$2:$U$2277,0))/SUMPRODUCT((Data!$O$2:$O$2277=A7)*(Data!$M$2:$M$2277="Pyotr Poroshenko")*ISNUMBER(Data!$N$2:$N$2277)*IF(ISNUMBER(Data!$U$2:$U$2277),Data!$U$2:$U$2277,0)),0)-IF(I6="",0,I6))&gt;Formula!$C$30,SUMPRODUCT((Data!$O$2:$O$2277=A7)*(Data!$M$2:$M$2277="Pyotr Poroshenko")*ISNUMBER(Data!$N$2:$N$2277)*IF(ISNUMBER(Data!$U$2:$U$2277),Data!$U$2:$U$2277,0))&gt;=Formula!$C$31)),E7,(SUMPRODUCT((Data!$O$2:$O$2277=A7)*(Data!$M$2:$M$2277="Pyotr Poroshenko")*ISNUMBER(Data!$N$2:$N$2277)*IF(ISNUMBER(Data!$W$2:$W$2277),Data!$W$2:$W$2277,0)*IF(ISNUMBER(Data!$U$2:$U$2277),Data!$U$2:$U$2277,0))+Formula!$C$29*I6)/(SUMPRODUCT((Data!$O$2:$O$2277=A7)*(Data!$M$2:$M$2277="Pyotr Poroshenko")*ISNUMBER(Data!$N$2:$N$2277)*IF(ISNUMBER(Data!$U$2:$U$2277),Data!$U$2:$U$2277,0))+Formula!$C$29)),IF(I6&lt;&gt;"",I6,""))</f>
        <v>6.292181501</v>
      </c>
      <c r="L7" s="71">
        <f t="shared" ref="L7:O7" si="9">IFERROR((IF(F5&lt;&gt;"",F5*1,0)+IF(F6&lt;&gt;"",F6*2,0)+IF(F7&lt;&gt;"",F7*3,0))/(IF(F5&lt;&gt;"",1,0)+IF(F6&lt;&gt;"",2,0)+IF(F7&lt;&gt;"",3,0)),"")</f>
        <v>73.51043681</v>
      </c>
      <c r="M7" s="71">
        <f t="shared" si="9"/>
        <v>3.7</v>
      </c>
      <c r="N7" s="71" t="str">
        <f t="shared" si="9"/>
        <v/>
      </c>
      <c r="O7" s="71">
        <f t="shared" si="9"/>
        <v>6.342264013</v>
      </c>
    </row>
    <row r="8" ht="12.75" customHeight="1">
      <c r="A8" s="64">
        <v>44805.0</v>
      </c>
      <c r="B8" s="65">
        <f>IFERROR(IF(SUMPRODUCT((Data!$O$2:$O$2277=A8)*(Data!$M$2:$M$2277="Vladimir Zelenskiy")*ISNUMBER(Data!$N$2:$N$2277)*IF(ISNUMBER(Data!$U$2:$U$2277),Data!$U$2:$U$2277,0))&gt;0,SUMPRODUCT((Data!$O$2:$O$2277=A8)*(Data!$M$2:$M$2277="Vladimir Zelenskiy")*ISNUMBER(Data!$N$2:$N$2277)*IF(ISNUMBER(Data!$W$2:$W$2277),Data!$W$2:$W$2277,0)*IF(ISNUMBER(Data!$U$2:$U$2277),Data!$U$2:$U$2277,0))/SUMPRODUCT((Data!$O$2:$O$2277=A8)*(Data!$M$2:$M$2277="Vladimir Zelenskiy")*ISNUMBER(Data!$N$2:$N$2277)*IF(ISNUMBER(Data!$U$2:$U$2277),Data!$U$2:$U$2277,0)),""),"")</f>
        <v>71.4</v>
      </c>
      <c r="C8" s="65" t="str">
        <f>IFERROR(IF(SUMPRODUCT((Data!$O$2:$O$2277=A8)*(Data!$M$2:$M$2277="Valerii Zaluzhniy")*ISNUMBER(Data!$N$2:$N$2277)*IF(ISNUMBER(Data!$U$2:$U$2277),Data!$U$2:$U$2277,0))&gt;0,SUMPRODUCT((Data!$O$2:$O$2277=A8)*(Data!$M$2:$M$2277="Valerii Zaluzhniy")*ISNUMBER(Data!$N$2:$N$2277)*IF(ISNUMBER(Data!$W$2:$W$2277),Data!$W$2:$W$2277,0)*IF(ISNUMBER(Data!$U$2:$U$2277),Data!$U$2:$U$2277,0))/SUMPRODUCT((Data!$O$2:$O$2277=A8)*(Data!$M$2:$M$2277="Valerii Zaluzhniy")*ISNUMBER(Data!$N$2:$N$2277)*IF(ISNUMBER(Data!$U$2:$U$2277),Data!$U$2:$U$2277,0)),""),"")</f>
        <v/>
      </c>
      <c r="D8" s="65" t="str">
        <f t="shared" si="3"/>
        <v/>
      </c>
      <c r="E8" s="65">
        <f>IFERROR(IF(SUMPRODUCT((Data!$O$2:$O$2277=A8)*(Data!$M$2:$M$2277="Pyotr Poroshenko")*ISNUMBER(Data!$N$2:$N$2277)*IF(ISNUMBER(Data!$U$2:$U$2277),Data!$U$2:$U$2277,0))&gt;0,SUMPRODUCT((Data!$O$2:$O$2277=A8)*(Data!$M$2:$M$2277="Pyotr Poroshenko")*ISNUMBER(Data!$N$2:$N$2277)*IF(ISNUMBER(Data!$W$2:$W$2277),Data!$W$2:$W$2277,0)*IF(ISNUMBER(Data!$U$2:$U$2277),Data!$U$2:$U$2277,0))/SUMPRODUCT((Data!$O$2:$O$2277=A8)*(Data!$M$2:$M$2277="Pyotr Poroshenko")*ISNUMBER(Data!$N$2:$N$2277)*IF(ISNUMBER(Data!$U$2:$U$2277),Data!$U$2:$U$2277,0)),""),"")</f>
        <v>6.9</v>
      </c>
      <c r="F8" s="66">
        <f>IF(B8&lt;&gt;"",IF(OR(F7="",AND(ABS(IFERROR(SUMPRODUCT((Data!$O$2:$O$2277=A8)*(Data!$M$2:$M$2277="Vladimir Zelenskiy")*ISNUMBER(Data!$N$2:$N$2277)*IF(ISNUMBER(Data!$W$2:$W$2277),Data!$W$2:$W$2277,0)*IF(ISNUMBER(Data!$U$2:$U$2277),Data!$U$2:$U$2277,0))/SUMPRODUCT((Data!$O$2:$O$2277=A8)*(Data!$M$2:$M$2277="Vladimir Zelenskiy")*ISNUMBER(Data!$N$2:$N$2277)*IF(ISNUMBER(Data!$U$2:$U$2277),Data!$U$2:$U$2277,0)),0)-IF(F7="",0,F7))&gt;Formula!$C$30,SUMPRODUCT((Data!$O$2:$O$2277=A8)*(Data!$M$2:$M$2277="Vladimir Zelenskiy")*ISNUMBER(Data!$N$2:$N$2277)*IF(ISNUMBER(Data!$U$2:$U$2277),Data!$U$2:$U$2277,0))&gt;=Formula!$C$31)),B8,(SUMPRODUCT((Data!$O$2:$O$2277=A8)*(Data!$M$2:$M$2277="Vladimir Zelenskiy")*ISNUMBER(Data!$N$2:$N$2277)*IF(ISNUMBER(Data!$W$2:$W$2277),Data!$W$2:$W$2277,0)*IF(ISNUMBER(Data!$U$2:$U$2277),Data!$U$2:$U$2277,0))+Formula!$C$29*F7)/(SUMPRODUCT((Data!$O$2:$O$2277=A8)*(Data!$M$2:$M$2277="Vladimir Zelenskiy")*ISNUMBER(Data!$N$2:$N$2277)*IF(ISNUMBER(Data!$U$2:$U$2277),Data!$U$2:$U$2277,0))+Formula!$C$29)),IF(F7&lt;&gt;"",F7,""))</f>
        <v>72.03960971</v>
      </c>
      <c r="G8" s="66">
        <f>IF(C8&lt;&gt;"",IF(OR(G7="",AND(ABS(IFERROR(SUMPRODUCT((Data!$O$2:$O$2277=A8)*(Data!$M$2:$M$2277="Valerii Zaluzhniy")*ISNUMBER(Data!$N$2:$N$2277)*IF(ISNUMBER(Data!$W$2:$W$2277),Data!$W$2:$W$2277,0)*IF(ISNUMBER(Data!$U$2:$U$2277),Data!$U$2:$U$2277,0))/SUMPRODUCT((Data!$O$2:$O$2277=A8)*(Data!$M$2:$M$2277="Valerii Zaluzhniy")*ISNUMBER(Data!$N$2:$N$2277)*IF(ISNUMBER(Data!$U$2:$U$2277),Data!$U$2:$U$2277,0)),0)-IF(G7="",0,G7))&gt;Formula!$C$30,SUMPRODUCT((Data!$O$2:$O$2277=A8)*(Data!$M$2:$M$2277="Valerii Zaluzhniy")*ISNUMBER(Data!$N$2:$N$2277)*IF(ISNUMBER(Data!$U$2:$U$2277),Data!$U$2:$U$2277,0))&gt;=Formula!$C$31)),C8,(SUMPRODUCT((Data!$O$2:$O$2277=A8)*(Data!$M$2:$M$2277="Valerii Zaluzhniy")*ISNUMBER(Data!$N$2:$N$2277)*IF(ISNUMBER(Data!$W$2:$W$2277),Data!$W$2:$W$2277,0)*IF(ISNUMBER(Data!$U$2:$U$2277),Data!$U$2:$U$2277,0))+Formula!$C$29*G7)/(SUMPRODUCT((Data!$O$2:$O$2277=A8)*(Data!$M$2:$M$2277="Valerii Zaluzhniy")*ISNUMBER(Data!$N$2:$N$2277)*IF(ISNUMBER(Data!$U$2:$U$2277),Data!$U$2:$U$2277,0))+Formula!$C$29)),IF(G7&lt;&gt;"",G7,""))</f>
        <v>3.7</v>
      </c>
      <c r="H8" s="66" t="str">
        <f t="shared" si="4"/>
        <v/>
      </c>
      <c r="I8" s="66">
        <f>IF(E8&lt;&gt;"",IF(OR(I7="",AND(ABS(IFERROR(SUMPRODUCT((Data!$O$2:$O$2277=A8)*(Data!$M$2:$M$2277="Pyotr Poroshenko")*ISNUMBER(Data!$N$2:$N$2277)*IF(ISNUMBER(Data!$W$2:$W$2277),Data!$W$2:$W$2277,0)*IF(ISNUMBER(Data!$U$2:$U$2277),Data!$U$2:$U$2277,0))/SUMPRODUCT((Data!$O$2:$O$2277=A8)*(Data!$M$2:$M$2277="Pyotr Poroshenko")*ISNUMBER(Data!$N$2:$N$2277)*IF(ISNUMBER(Data!$U$2:$U$2277),Data!$U$2:$U$2277,0)),0)-IF(I7="",0,I7))&gt;Formula!$C$30,SUMPRODUCT((Data!$O$2:$O$2277=A8)*(Data!$M$2:$M$2277="Pyotr Poroshenko")*ISNUMBER(Data!$N$2:$N$2277)*IF(ISNUMBER(Data!$U$2:$U$2277),Data!$U$2:$U$2277,0))&gt;=Formula!$C$31)),E8,(SUMPRODUCT((Data!$O$2:$O$2277=A8)*(Data!$M$2:$M$2277="Pyotr Poroshenko")*ISNUMBER(Data!$N$2:$N$2277)*IF(ISNUMBER(Data!$W$2:$W$2277),Data!$W$2:$W$2277,0)*IF(ISNUMBER(Data!$U$2:$U$2277),Data!$U$2:$U$2277,0))+Formula!$C$29*I7)/(SUMPRODUCT((Data!$O$2:$O$2277=A8)*(Data!$M$2:$M$2277="Pyotr Poroshenko")*ISNUMBER(Data!$N$2:$N$2277)*IF(ISNUMBER(Data!$U$2:$U$2277),Data!$U$2:$U$2277,0))+Formula!$C$29)),IF(I7&lt;&gt;"",I7,""))</f>
        <v>6.623718864</v>
      </c>
      <c r="L8" s="67">
        <f t="shared" ref="L8:O8" si="10">IFERROR((IF(F6&lt;&gt;"",F6*1,0)+IF(F7&lt;&gt;"",F7*2,0)+IF(F8&lt;&gt;"",F8*3,0))/(IF(F6&lt;&gt;"",1,0)+IF(F7&lt;&gt;"",2,0)+IF(F8&lt;&gt;"",3,0)),"")</f>
        <v>72.65780735</v>
      </c>
      <c r="M8" s="67">
        <f t="shared" si="10"/>
        <v>3.7</v>
      </c>
      <c r="N8" s="67" t="str">
        <f t="shared" si="10"/>
        <v/>
      </c>
      <c r="O8" s="67">
        <f t="shared" si="10"/>
        <v>6.474644353</v>
      </c>
    </row>
    <row r="9" ht="12.75" customHeight="1">
      <c r="A9" s="68">
        <v>44835.0</v>
      </c>
      <c r="B9" s="69">
        <f>IFERROR(IF(SUMPRODUCT((Data!$O$2:$O$2277=A9)*(Data!$M$2:$M$2277="Vladimir Zelenskiy")*ISNUMBER(Data!$N$2:$N$2277)*IF(ISNUMBER(Data!$U$2:$U$2277),Data!$U$2:$U$2277,0))&gt;0,SUMPRODUCT((Data!$O$2:$O$2277=A9)*(Data!$M$2:$M$2277="Vladimir Zelenskiy")*ISNUMBER(Data!$N$2:$N$2277)*IF(ISNUMBER(Data!$W$2:$W$2277),Data!$W$2:$W$2277,0)*IF(ISNUMBER(Data!$U$2:$U$2277),Data!$U$2:$U$2277,0))/SUMPRODUCT((Data!$O$2:$O$2277=A9)*(Data!$M$2:$M$2277="Vladimir Zelenskiy")*ISNUMBER(Data!$N$2:$N$2277)*IF(ISNUMBER(Data!$U$2:$U$2277),Data!$U$2:$U$2277,0)),""),"")</f>
        <v>73.87425018</v>
      </c>
      <c r="C9" s="69">
        <f>IFERROR(IF(SUMPRODUCT((Data!$O$2:$O$2277=A9)*(Data!$M$2:$M$2277="Valerii Zaluzhniy")*ISNUMBER(Data!$N$2:$N$2277)*IF(ISNUMBER(Data!$U$2:$U$2277),Data!$U$2:$U$2277,0))&gt;0,SUMPRODUCT((Data!$O$2:$O$2277=A9)*(Data!$M$2:$M$2277="Valerii Zaluzhniy")*ISNUMBER(Data!$N$2:$N$2277)*IF(ISNUMBER(Data!$W$2:$W$2277),Data!$W$2:$W$2277,0)*IF(ISNUMBER(Data!$U$2:$U$2277),Data!$U$2:$U$2277,0))/SUMPRODUCT((Data!$O$2:$O$2277=A9)*(Data!$M$2:$M$2277="Valerii Zaluzhniy")*ISNUMBER(Data!$N$2:$N$2277)*IF(ISNUMBER(Data!$U$2:$U$2277),Data!$U$2:$U$2277,0)),""),"")</f>
        <v>7</v>
      </c>
      <c r="D9" s="69" t="str">
        <f t="shared" si="3"/>
        <v/>
      </c>
      <c r="E9" s="69">
        <f>IFERROR(IF(SUMPRODUCT((Data!$O$2:$O$2277=A9)*(Data!$M$2:$M$2277="Pyotr Poroshenko")*ISNUMBER(Data!$N$2:$N$2277)*IF(ISNUMBER(Data!$U$2:$U$2277),Data!$U$2:$U$2277,0))&gt;0,SUMPRODUCT((Data!$O$2:$O$2277=A9)*(Data!$M$2:$M$2277="Pyotr Poroshenko")*ISNUMBER(Data!$N$2:$N$2277)*IF(ISNUMBER(Data!$W$2:$W$2277),Data!$W$2:$W$2277,0)*IF(ISNUMBER(Data!$U$2:$U$2277),Data!$U$2:$U$2277,0))/SUMPRODUCT((Data!$O$2:$O$2277=A9)*(Data!$M$2:$M$2277="Pyotr Poroshenko")*ISNUMBER(Data!$N$2:$N$2277)*IF(ISNUMBER(Data!$U$2:$U$2277),Data!$U$2:$U$2277,0)),""),"")</f>
        <v>6.804490672</v>
      </c>
      <c r="F9" s="70">
        <f>IF(B9&lt;&gt;"",IF(OR(F8="",AND(ABS(IFERROR(SUMPRODUCT((Data!$O$2:$O$2277=A9)*(Data!$M$2:$M$2277="Vladimir Zelenskiy")*ISNUMBER(Data!$N$2:$N$2277)*IF(ISNUMBER(Data!$W$2:$W$2277),Data!$W$2:$W$2277,0)*IF(ISNUMBER(Data!$U$2:$U$2277),Data!$U$2:$U$2277,0))/SUMPRODUCT((Data!$O$2:$O$2277=A9)*(Data!$M$2:$M$2277="Vladimir Zelenskiy")*ISNUMBER(Data!$N$2:$N$2277)*IF(ISNUMBER(Data!$U$2:$U$2277),Data!$U$2:$U$2277,0)),0)-IF(F8="",0,F8))&gt;Formula!$C$30,SUMPRODUCT((Data!$O$2:$O$2277=A9)*(Data!$M$2:$M$2277="Vladimir Zelenskiy")*ISNUMBER(Data!$N$2:$N$2277)*IF(ISNUMBER(Data!$U$2:$U$2277),Data!$U$2:$U$2277,0))&gt;=Formula!$C$31)),B9,(SUMPRODUCT((Data!$O$2:$O$2277=A9)*(Data!$M$2:$M$2277="Vladimir Zelenskiy")*ISNUMBER(Data!$N$2:$N$2277)*IF(ISNUMBER(Data!$W$2:$W$2277),Data!$W$2:$W$2277,0)*IF(ISNUMBER(Data!$U$2:$U$2277),Data!$U$2:$U$2277,0))+Formula!$C$29*F8)/(SUMPRODUCT((Data!$O$2:$O$2277=A9)*(Data!$M$2:$M$2277="Vladimir Zelenskiy")*ISNUMBER(Data!$N$2:$N$2277)*IF(ISNUMBER(Data!$U$2:$U$2277),Data!$U$2:$U$2277,0))+Formula!$C$29)),IF(F8&lt;&gt;"",F8,""))</f>
        <v>73.1327117</v>
      </c>
      <c r="G9" s="70">
        <f>IF(C9&lt;&gt;"",IF(OR(G8="",AND(ABS(IFERROR(SUMPRODUCT((Data!$O$2:$O$2277=A9)*(Data!$M$2:$M$2277="Valerii Zaluzhniy")*ISNUMBER(Data!$N$2:$N$2277)*IF(ISNUMBER(Data!$W$2:$W$2277),Data!$W$2:$W$2277,0)*IF(ISNUMBER(Data!$U$2:$U$2277),Data!$U$2:$U$2277,0))/SUMPRODUCT((Data!$O$2:$O$2277=A9)*(Data!$M$2:$M$2277="Valerii Zaluzhniy")*ISNUMBER(Data!$N$2:$N$2277)*IF(ISNUMBER(Data!$U$2:$U$2277),Data!$U$2:$U$2277,0)),0)-IF(G8="",0,G8))&gt;Formula!$C$30,SUMPRODUCT((Data!$O$2:$O$2277=A9)*(Data!$M$2:$M$2277="Valerii Zaluzhniy")*ISNUMBER(Data!$N$2:$N$2277)*IF(ISNUMBER(Data!$U$2:$U$2277),Data!$U$2:$U$2277,0))&gt;=Formula!$C$31)),C9,(SUMPRODUCT((Data!$O$2:$O$2277=A9)*(Data!$M$2:$M$2277="Valerii Zaluzhniy")*ISNUMBER(Data!$N$2:$N$2277)*IF(ISNUMBER(Data!$W$2:$W$2277),Data!$W$2:$W$2277,0)*IF(ISNUMBER(Data!$U$2:$U$2277),Data!$U$2:$U$2277,0))+Formula!$C$29*G8)/(SUMPRODUCT((Data!$O$2:$O$2277=A9)*(Data!$M$2:$M$2277="Valerii Zaluzhniy")*ISNUMBER(Data!$N$2:$N$2277)*IF(ISNUMBER(Data!$U$2:$U$2277),Data!$U$2:$U$2277,0))+Formula!$C$29)),IF(G8&lt;&gt;"",G8,""))</f>
        <v>4.266930228</v>
      </c>
      <c r="H9" s="70" t="str">
        <f t="shared" si="4"/>
        <v/>
      </c>
      <c r="I9" s="70">
        <f>IF(E9&lt;&gt;"",IF(OR(I8="",AND(ABS(IFERROR(SUMPRODUCT((Data!$O$2:$O$2277=A9)*(Data!$M$2:$M$2277="Pyotr Poroshenko")*ISNUMBER(Data!$N$2:$N$2277)*IF(ISNUMBER(Data!$W$2:$W$2277),Data!$W$2:$W$2277,0)*IF(ISNUMBER(Data!$U$2:$U$2277),Data!$U$2:$U$2277,0))/SUMPRODUCT((Data!$O$2:$O$2277=A9)*(Data!$M$2:$M$2277="Pyotr Poroshenko")*ISNUMBER(Data!$N$2:$N$2277)*IF(ISNUMBER(Data!$U$2:$U$2277),Data!$U$2:$U$2277,0)),0)-IF(I8="",0,I8))&gt;Formula!$C$30,SUMPRODUCT((Data!$O$2:$O$2277=A9)*(Data!$M$2:$M$2277="Pyotr Poroshenko")*ISNUMBER(Data!$N$2:$N$2277)*IF(ISNUMBER(Data!$U$2:$U$2277),Data!$U$2:$U$2277,0))&gt;=Formula!$C$31)),E9,(SUMPRODUCT((Data!$O$2:$O$2277=A9)*(Data!$M$2:$M$2277="Pyotr Poroshenko")*ISNUMBER(Data!$N$2:$N$2277)*IF(ISNUMBER(Data!$W$2:$W$2277),Data!$W$2:$W$2277,0)*IF(ISNUMBER(Data!$U$2:$U$2277),Data!$U$2:$U$2277,0))+Formula!$C$29*I8)/(SUMPRODUCT((Data!$O$2:$O$2277=A9)*(Data!$M$2:$M$2277="Pyotr Poroshenko")*ISNUMBER(Data!$N$2:$N$2277)*IF(ISNUMBER(Data!$U$2:$U$2277),Data!$U$2:$U$2277,0))+Formula!$C$29)),IF(I8&lt;&gt;"",I8,""))</f>
        <v>6.731424993</v>
      </c>
      <c r="L9" s="71">
        <f t="shared" ref="L9:O9" si="11">IFERROR((IF(F7&lt;&gt;"",F7*1,0)+IF(F8&lt;&gt;"",F8*2,0)+IF(F9&lt;&gt;"",F9*3,0))/(IF(F7&lt;&gt;"",1,0)+IF(F8&lt;&gt;"",2,0)+IF(F9&lt;&gt;"",3,0)),"")</f>
        <v>72.71408264</v>
      </c>
      <c r="M9" s="71">
        <f t="shared" si="11"/>
        <v>3.983465114</v>
      </c>
      <c r="N9" s="71" t="str">
        <f t="shared" si="11"/>
        <v/>
      </c>
      <c r="O9" s="71">
        <f t="shared" si="11"/>
        <v>6.622315702</v>
      </c>
    </row>
    <row r="10" ht="12.75" customHeight="1">
      <c r="A10" s="64">
        <v>44866.0</v>
      </c>
      <c r="B10" s="65">
        <f>IFERROR(IF(SUMPRODUCT((Data!$O$2:$O$2277=A10)*(Data!$M$2:$M$2277="Vladimir Zelenskiy")*ISNUMBER(Data!$N$2:$N$2277)*IF(ISNUMBER(Data!$U$2:$U$2277),Data!$U$2:$U$2277,0))&gt;0,SUMPRODUCT((Data!$O$2:$O$2277=A10)*(Data!$M$2:$M$2277="Vladimir Zelenskiy")*ISNUMBER(Data!$N$2:$N$2277)*IF(ISNUMBER(Data!$W$2:$W$2277),Data!$W$2:$W$2277,0)*IF(ISNUMBER(Data!$U$2:$U$2277),Data!$U$2:$U$2277,0))/SUMPRODUCT((Data!$O$2:$O$2277=A10)*(Data!$M$2:$M$2277="Vladimir Zelenskiy")*ISNUMBER(Data!$N$2:$N$2277)*IF(ISNUMBER(Data!$U$2:$U$2277),Data!$U$2:$U$2277,0)),""),"")</f>
        <v>74.77467061</v>
      </c>
      <c r="C10" s="65">
        <f>IFERROR(IF(SUMPRODUCT((Data!$O$2:$O$2277=A10)*(Data!$M$2:$M$2277="Valerii Zaluzhniy")*ISNUMBER(Data!$N$2:$N$2277)*IF(ISNUMBER(Data!$U$2:$U$2277),Data!$U$2:$U$2277,0))&gt;0,SUMPRODUCT((Data!$O$2:$O$2277=A10)*(Data!$M$2:$M$2277="Valerii Zaluzhniy")*ISNUMBER(Data!$N$2:$N$2277)*IF(ISNUMBER(Data!$W$2:$W$2277),Data!$W$2:$W$2277,0)*IF(ISNUMBER(Data!$U$2:$U$2277),Data!$U$2:$U$2277,0))/SUMPRODUCT((Data!$O$2:$O$2277=A10)*(Data!$M$2:$M$2277="Valerii Zaluzhniy")*ISNUMBER(Data!$N$2:$N$2277)*IF(ISNUMBER(Data!$U$2:$U$2277),Data!$U$2:$U$2277,0)),""),"")</f>
        <v>11.05636589</v>
      </c>
      <c r="D10" s="65" t="str">
        <f t="shared" si="3"/>
        <v/>
      </c>
      <c r="E10" s="65">
        <f>IFERROR(IF(SUMPRODUCT((Data!$O$2:$O$2277=A10)*(Data!$M$2:$M$2277="Pyotr Poroshenko")*ISNUMBER(Data!$N$2:$N$2277)*IF(ISNUMBER(Data!$U$2:$U$2277),Data!$U$2:$U$2277,0))&gt;0,SUMPRODUCT((Data!$O$2:$O$2277=A10)*(Data!$M$2:$M$2277="Pyotr Poroshenko")*ISNUMBER(Data!$N$2:$N$2277)*IF(ISNUMBER(Data!$W$2:$W$2277),Data!$W$2:$W$2277,0)*IF(ISNUMBER(Data!$U$2:$U$2277),Data!$U$2:$U$2277,0))/SUMPRODUCT((Data!$O$2:$O$2277=A10)*(Data!$M$2:$M$2277="Pyotr Poroshenko")*ISNUMBER(Data!$N$2:$N$2277)*IF(ISNUMBER(Data!$U$2:$U$2277),Data!$U$2:$U$2277,0)),""),"")</f>
        <v>6.412512833</v>
      </c>
      <c r="F10" s="66">
        <f>IF(B10&lt;&gt;"",IF(OR(F9="",AND(ABS(IFERROR(SUMPRODUCT((Data!$O$2:$O$2277=A10)*(Data!$M$2:$M$2277="Vladimir Zelenskiy")*ISNUMBER(Data!$N$2:$N$2277)*IF(ISNUMBER(Data!$W$2:$W$2277),Data!$W$2:$W$2277,0)*IF(ISNUMBER(Data!$U$2:$U$2277),Data!$U$2:$U$2277,0))/SUMPRODUCT((Data!$O$2:$O$2277=A10)*(Data!$M$2:$M$2277="Vladimir Zelenskiy")*ISNUMBER(Data!$N$2:$N$2277)*IF(ISNUMBER(Data!$U$2:$U$2277),Data!$U$2:$U$2277,0)),0)-IF(F9="",0,F9))&gt;Formula!$C$30,SUMPRODUCT((Data!$O$2:$O$2277=A10)*(Data!$M$2:$M$2277="Vladimir Zelenskiy")*ISNUMBER(Data!$N$2:$N$2277)*IF(ISNUMBER(Data!$U$2:$U$2277),Data!$U$2:$U$2277,0))&gt;=Formula!$C$31)),B10,(SUMPRODUCT((Data!$O$2:$O$2277=A10)*(Data!$M$2:$M$2277="Vladimir Zelenskiy")*ISNUMBER(Data!$N$2:$N$2277)*IF(ISNUMBER(Data!$W$2:$W$2277),Data!$W$2:$W$2277,0)*IF(ISNUMBER(Data!$U$2:$U$2277),Data!$U$2:$U$2277,0))+Formula!$C$29*F9)/(SUMPRODUCT((Data!$O$2:$O$2277=A10)*(Data!$M$2:$M$2277="Vladimir Zelenskiy")*ISNUMBER(Data!$N$2:$N$2277)*IF(ISNUMBER(Data!$U$2:$U$2277),Data!$U$2:$U$2277,0))+Formula!$C$29)),IF(F9&lt;&gt;"",F9,""))</f>
        <v>74.18143419</v>
      </c>
      <c r="G10" s="66">
        <f>IF(C10&lt;&gt;"",IF(OR(G9="",AND(ABS(IFERROR(SUMPRODUCT((Data!$O$2:$O$2277=A10)*(Data!$M$2:$M$2277="Valerii Zaluzhniy")*ISNUMBER(Data!$N$2:$N$2277)*IF(ISNUMBER(Data!$W$2:$W$2277),Data!$W$2:$W$2277,0)*IF(ISNUMBER(Data!$U$2:$U$2277),Data!$U$2:$U$2277,0))/SUMPRODUCT((Data!$O$2:$O$2277=A10)*(Data!$M$2:$M$2277="Valerii Zaluzhniy")*ISNUMBER(Data!$N$2:$N$2277)*IF(ISNUMBER(Data!$U$2:$U$2277),Data!$U$2:$U$2277,0)),0)-IF(G9="",0,G9))&gt;Formula!$C$30,SUMPRODUCT((Data!$O$2:$O$2277=A10)*(Data!$M$2:$M$2277="Valerii Zaluzhniy")*ISNUMBER(Data!$N$2:$N$2277)*IF(ISNUMBER(Data!$U$2:$U$2277),Data!$U$2:$U$2277,0))&gt;=Formula!$C$31)),C10,(SUMPRODUCT((Data!$O$2:$O$2277=A10)*(Data!$M$2:$M$2277="Valerii Zaluzhniy")*ISNUMBER(Data!$N$2:$N$2277)*IF(ISNUMBER(Data!$W$2:$W$2277),Data!$W$2:$W$2277,0)*IF(ISNUMBER(Data!$U$2:$U$2277),Data!$U$2:$U$2277,0))+Formula!$C$29*G9)/(SUMPRODUCT((Data!$O$2:$O$2277=A10)*(Data!$M$2:$M$2277="Valerii Zaluzhniy")*ISNUMBER(Data!$N$2:$N$2277)*IF(ISNUMBER(Data!$U$2:$U$2277),Data!$U$2:$U$2277,0))+Formula!$C$29)),IF(G9&lt;&gt;"",G9,""))</f>
        <v>7.143031443</v>
      </c>
      <c r="H10" s="66" t="str">
        <f t="shared" si="4"/>
        <v/>
      </c>
      <c r="I10" s="66">
        <f>IF(E10&lt;&gt;"",IF(OR(I9="",AND(ABS(IFERROR(SUMPRODUCT((Data!$O$2:$O$2277=A10)*(Data!$M$2:$M$2277="Pyotr Poroshenko")*ISNUMBER(Data!$N$2:$N$2277)*IF(ISNUMBER(Data!$W$2:$W$2277),Data!$W$2:$W$2277,0)*IF(ISNUMBER(Data!$U$2:$U$2277),Data!$U$2:$U$2277,0))/SUMPRODUCT((Data!$O$2:$O$2277=A10)*(Data!$M$2:$M$2277="Pyotr Poroshenko")*ISNUMBER(Data!$N$2:$N$2277)*IF(ISNUMBER(Data!$U$2:$U$2277),Data!$U$2:$U$2277,0)),0)-IF(I9="",0,I9))&gt;Formula!$C$30,SUMPRODUCT((Data!$O$2:$O$2277=A10)*(Data!$M$2:$M$2277="Pyotr Poroshenko")*ISNUMBER(Data!$N$2:$N$2277)*IF(ISNUMBER(Data!$U$2:$U$2277),Data!$U$2:$U$2277,0))&gt;=Formula!$C$31)),E10,(SUMPRODUCT((Data!$O$2:$O$2277=A10)*(Data!$M$2:$M$2277="Pyotr Poroshenko")*ISNUMBER(Data!$N$2:$N$2277)*IF(ISNUMBER(Data!$W$2:$W$2277),Data!$W$2:$W$2277,0)*IF(ISNUMBER(Data!$U$2:$U$2277),Data!$U$2:$U$2277,0))+Formula!$C$29*I9)/(SUMPRODUCT((Data!$O$2:$O$2277=A10)*(Data!$M$2:$M$2277="Pyotr Poroshenko")*ISNUMBER(Data!$N$2:$N$2277)*IF(ISNUMBER(Data!$U$2:$U$2277),Data!$U$2:$U$2277,0))+Formula!$C$29)),IF(I9&lt;&gt;"",I9,""))</f>
        <v>6.527735149</v>
      </c>
      <c r="L10" s="67">
        <f t="shared" ref="L10:O10" si="12">IFERROR((IF(F8&lt;&gt;"",F8*1,0)+IF(F9&lt;&gt;"",F9*2,0)+IF(F10&lt;&gt;"",F10*3,0))/(IF(F8&lt;&gt;"",1,0)+IF(F9&lt;&gt;"",2,0)+IF(F10&lt;&gt;"",3,0)),"")</f>
        <v>73.47488928</v>
      </c>
      <c r="M10" s="67">
        <f t="shared" si="12"/>
        <v>5.610492464</v>
      </c>
      <c r="N10" s="67" t="str">
        <f t="shared" si="12"/>
        <v/>
      </c>
      <c r="O10" s="67">
        <f t="shared" si="12"/>
        <v>6.611629049</v>
      </c>
    </row>
    <row r="11" ht="12.75" customHeight="1">
      <c r="A11" s="68">
        <v>44896.0</v>
      </c>
      <c r="B11" s="69">
        <f>IFERROR(IF(SUMPRODUCT((Data!$O$2:$O$2277=A11)*(Data!$M$2:$M$2277="Vladimir Zelenskiy")*ISNUMBER(Data!$N$2:$N$2277)*IF(ISNUMBER(Data!$U$2:$U$2277),Data!$U$2:$U$2277,0))&gt;0,SUMPRODUCT((Data!$O$2:$O$2277=A11)*(Data!$M$2:$M$2277="Vladimir Zelenskiy")*ISNUMBER(Data!$N$2:$N$2277)*IF(ISNUMBER(Data!$W$2:$W$2277),Data!$W$2:$W$2277,0)*IF(ISNUMBER(Data!$U$2:$U$2277),Data!$U$2:$U$2277,0))/SUMPRODUCT((Data!$O$2:$O$2277=A11)*(Data!$M$2:$M$2277="Vladimir Zelenskiy")*ISNUMBER(Data!$N$2:$N$2277)*IF(ISNUMBER(Data!$U$2:$U$2277),Data!$U$2:$U$2277,0)),""),"")</f>
        <v>78.49713482</v>
      </c>
      <c r="C11" s="69">
        <f>IFERROR(IF(SUMPRODUCT((Data!$O$2:$O$2277=A11)*(Data!$M$2:$M$2277="Valerii Zaluzhniy")*ISNUMBER(Data!$N$2:$N$2277)*IF(ISNUMBER(Data!$U$2:$U$2277),Data!$U$2:$U$2277,0))&gt;0,SUMPRODUCT((Data!$O$2:$O$2277=A11)*(Data!$M$2:$M$2277="Valerii Zaluzhniy")*ISNUMBER(Data!$N$2:$N$2277)*IF(ISNUMBER(Data!$W$2:$W$2277),Data!$W$2:$W$2277,0)*IF(ISNUMBER(Data!$U$2:$U$2277),Data!$U$2:$U$2277,0))/SUMPRODUCT((Data!$O$2:$O$2277=A11)*(Data!$M$2:$M$2277="Valerii Zaluzhniy")*ISNUMBER(Data!$N$2:$N$2277)*IF(ISNUMBER(Data!$U$2:$U$2277),Data!$U$2:$U$2277,0)),""),"")</f>
        <v>9</v>
      </c>
      <c r="D11" s="69" t="str">
        <f t="shared" si="3"/>
        <v/>
      </c>
      <c r="E11" s="69">
        <f>IFERROR(IF(SUMPRODUCT((Data!$O$2:$O$2277=A11)*(Data!$M$2:$M$2277="Pyotr Poroshenko")*ISNUMBER(Data!$N$2:$N$2277)*IF(ISNUMBER(Data!$U$2:$U$2277),Data!$U$2:$U$2277,0))&gt;0,SUMPRODUCT((Data!$O$2:$O$2277=A11)*(Data!$M$2:$M$2277="Pyotr Poroshenko")*ISNUMBER(Data!$N$2:$N$2277)*IF(ISNUMBER(Data!$W$2:$W$2277),Data!$W$2:$W$2277,0)*IF(ISNUMBER(Data!$U$2:$U$2277),Data!$U$2:$U$2277,0))/SUMPRODUCT((Data!$O$2:$O$2277=A11)*(Data!$M$2:$M$2277="Pyotr Poroshenko")*ISNUMBER(Data!$N$2:$N$2277)*IF(ISNUMBER(Data!$U$2:$U$2277),Data!$U$2:$U$2277,0)),""),"")</f>
        <v>7.801789786</v>
      </c>
      <c r="F11" s="70">
        <f>IF(B11&lt;&gt;"",IF(OR(F10="",AND(ABS(IFERROR(SUMPRODUCT((Data!$O$2:$O$2277=A11)*(Data!$M$2:$M$2277="Vladimir Zelenskiy")*ISNUMBER(Data!$N$2:$N$2277)*IF(ISNUMBER(Data!$W$2:$W$2277),Data!$W$2:$W$2277,0)*IF(ISNUMBER(Data!$U$2:$U$2277),Data!$U$2:$U$2277,0))/SUMPRODUCT((Data!$O$2:$O$2277=A11)*(Data!$M$2:$M$2277="Vladimir Zelenskiy")*ISNUMBER(Data!$N$2:$N$2277)*IF(ISNUMBER(Data!$U$2:$U$2277),Data!$U$2:$U$2277,0)),0)-IF(F10="",0,F10))&gt;Formula!$C$30,SUMPRODUCT((Data!$O$2:$O$2277=A11)*(Data!$M$2:$M$2277="Vladimir Zelenskiy")*ISNUMBER(Data!$N$2:$N$2277)*IF(ISNUMBER(Data!$U$2:$U$2277),Data!$U$2:$U$2277,0))&gt;=Formula!$C$31)),B11,(SUMPRODUCT((Data!$O$2:$O$2277=A11)*(Data!$M$2:$M$2277="Vladimir Zelenskiy")*ISNUMBER(Data!$N$2:$N$2277)*IF(ISNUMBER(Data!$W$2:$W$2277),Data!$W$2:$W$2277,0)*IF(ISNUMBER(Data!$U$2:$U$2277),Data!$U$2:$U$2277,0))+Formula!$C$29*F10)/(SUMPRODUCT((Data!$O$2:$O$2277=A11)*(Data!$M$2:$M$2277="Vladimir Zelenskiy")*ISNUMBER(Data!$N$2:$N$2277)*IF(ISNUMBER(Data!$U$2:$U$2277),Data!$U$2:$U$2277,0))+Formula!$C$29)),IF(F10&lt;&gt;"",F10,""))</f>
        <v>76.26265856</v>
      </c>
      <c r="G11" s="70">
        <f>IF(C11&lt;&gt;"",IF(OR(G10="",AND(ABS(IFERROR(SUMPRODUCT((Data!$O$2:$O$2277=A11)*(Data!$M$2:$M$2277="Valerii Zaluzhniy")*ISNUMBER(Data!$N$2:$N$2277)*IF(ISNUMBER(Data!$W$2:$W$2277),Data!$W$2:$W$2277,0)*IF(ISNUMBER(Data!$U$2:$U$2277),Data!$U$2:$U$2277,0))/SUMPRODUCT((Data!$O$2:$O$2277=A11)*(Data!$M$2:$M$2277="Valerii Zaluzhniy")*ISNUMBER(Data!$N$2:$N$2277)*IF(ISNUMBER(Data!$U$2:$U$2277),Data!$U$2:$U$2277,0)),0)-IF(G10="",0,G10))&gt;Formula!$C$30,SUMPRODUCT((Data!$O$2:$O$2277=A11)*(Data!$M$2:$M$2277="Valerii Zaluzhniy")*ISNUMBER(Data!$N$2:$N$2277)*IF(ISNUMBER(Data!$U$2:$U$2277),Data!$U$2:$U$2277,0))&gt;=Formula!$C$31)),C11,(SUMPRODUCT((Data!$O$2:$O$2277=A11)*(Data!$M$2:$M$2277="Valerii Zaluzhniy")*ISNUMBER(Data!$N$2:$N$2277)*IF(ISNUMBER(Data!$W$2:$W$2277),Data!$W$2:$W$2277,0)*IF(ISNUMBER(Data!$U$2:$U$2277),Data!$U$2:$U$2277,0))+Formula!$C$29*G10)/(SUMPRODUCT((Data!$O$2:$O$2277=A11)*(Data!$M$2:$M$2277="Valerii Zaluzhniy")*ISNUMBER(Data!$N$2:$N$2277)*IF(ISNUMBER(Data!$U$2:$U$2277),Data!$U$2:$U$2277,0))+Formula!$C$29)),IF(G10&lt;&gt;"",G10,""))</f>
        <v>7.359952982</v>
      </c>
      <c r="H11" s="70" t="str">
        <f t="shared" si="4"/>
        <v/>
      </c>
      <c r="I11" s="70">
        <f>IF(E11&lt;&gt;"",IF(OR(I10="",AND(ABS(IFERROR(SUMPRODUCT((Data!$O$2:$O$2277=A11)*(Data!$M$2:$M$2277="Pyotr Poroshenko")*ISNUMBER(Data!$N$2:$N$2277)*IF(ISNUMBER(Data!$W$2:$W$2277),Data!$W$2:$W$2277,0)*IF(ISNUMBER(Data!$U$2:$U$2277),Data!$U$2:$U$2277,0))/SUMPRODUCT((Data!$O$2:$O$2277=A11)*(Data!$M$2:$M$2277="Pyotr Poroshenko")*ISNUMBER(Data!$N$2:$N$2277)*IF(ISNUMBER(Data!$U$2:$U$2277),Data!$U$2:$U$2277,0)),0)-IF(I10="",0,I10))&gt;Formula!$C$30,SUMPRODUCT((Data!$O$2:$O$2277=A11)*(Data!$M$2:$M$2277="Pyotr Poroshenko")*ISNUMBER(Data!$N$2:$N$2277)*IF(ISNUMBER(Data!$U$2:$U$2277),Data!$U$2:$U$2277,0))&gt;=Formula!$C$31)),E11,(SUMPRODUCT((Data!$O$2:$O$2277=A11)*(Data!$M$2:$M$2277="Pyotr Poroshenko")*ISNUMBER(Data!$N$2:$N$2277)*IF(ISNUMBER(Data!$W$2:$W$2277),Data!$W$2:$W$2277,0)*IF(ISNUMBER(Data!$U$2:$U$2277),Data!$U$2:$U$2277,0))+Formula!$C$29*I10)/(SUMPRODUCT((Data!$O$2:$O$2277=A11)*(Data!$M$2:$M$2277="Pyotr Poroshenko")*ISNUMBER(Data!$N$2:$N$2277)*IF(ISNUMBER(Data!$U$2:$U$2277),Data!$U$2:$U$2277,0))+Formula!$C$29)),IF(I10&lt;&gt;"",I10,""))</f>
        <v>7.142141426</v>
      </c>
      <c r="L11" s="71">
        <f t="shared" ref="L11:O11" si="13">IFERROR((IF(F9&lt;&gt;"",F9*1,0)+IF(F10&lt;&gt;"",F10*2,0)+IF(F11&lt;&gt;"",F11*3,0))/(IF(F9&lt;&gt;"",1,0)+IF(F10&lt;&gt;"",2,0)+IF(F11&lt;&gt;"",3,0)),"")</f>
        <v>75.04725929</v>
      </c>
      <c r="M11" s="71">
        <f t="shared" si="13"/>
        <v>6.77214201</v>
      </c>
      <c r="N11" s="71" t="str">
        <f t="shared" si="13"/>
        <v/>
      </c>
      <c r="O11" s="71">
        <f t="shared" si="13"/>
        <v>6.868886595</v>
      </c>
    </row>
    <row r="12" ht="12.75" customHeight="1">
      <c r="A12" s="64">
        <v>44927.0</v>
      </c>
      <c r="B12" s="65">
        <f>IFERROR(IF(SUMPRODUCT((Data!$O$2:$O$2277=A12)*(Data!$M$2:$M$2277="Vladimir Zelenskiy")*ISNUMBER(Data!$N$2:$N$2277)*IF(ISNUMBER(Data!$U$2:$U$2277),Data!$U$2:$U$2277,0))&gt;0,SUMPRODUCT((Data!$O$2:$O$2277=A12)*(Data!$M$2:$M$2277="Vladimir Zelenskiy")*ISNUMBER(Data!$N$2:$N$2277)*IF(ISNUMBER(Data!$W$2:$W$2277),Data!$W$2:$W$2277,0)*IF(ISNUMBER(Data!$U$2:$U$2277),Data!$U$2:$U$2277,0))/SUMPRODUCT((Data!$O$2:$O$2277=A12)*(Data!$M$2:$M$2277="Vladimir Zelenskiy")*ISNUMBER(Data!$N$2:$N$2277)*IF(ISNUMBER(Data!$U$2:$U$2277),Data!$U$2:$U$2277,0)),""),"")</f>
        <v>66.94484483</v>
      </c>
      <c r="C12" s="65">
        <f>IFERROR(IF(SUMPRODUCT((Data!$O$2:$O$2277=A12)*(Data!$M$2:$M$2277="Valerii Zaluzhniy")*ISNUMBER(Data!$N$2:$N$2277)*IF(ISNUMBER(Data!$U$2:$U$2277),Data!$U$2:$U$2277,0))&gt;0,SUMPRODUCT((Data!$O$2:$O$2277=A12)*(Data!$M$2:$M$2277="Valerii Zaluzhniy")*ISNUMBER(Data!$N$2:$N$2277)*IF(ISNUMBER(Data!$W$2:$W$2277),Data!$W$2:$W$2277,0)*IF(ISNUMBER(Data!$U$2:$U$2277),Data!$U$2:$U$2277,0))/SUMPRODUCT((Data!$O$2:$O$2277=A12)*(Data!$M$2:$M$2277="Valerii Zaluzhniy")*ISNUMBER(Data!$N$2:$N$2277)*IF(ISNUMBER(Data!$U$2:$U$2277),Data!$U$2:$U$2277,0)),""),"")</f>
        <v>10.16989832</v>
      </c>
      <c r="D12" s="65" t="str">
        <f t="shared" si="3"/>
        <v/>
      </c>
      <c r="E12" s="65">
        <f>IFERROR(IF(SUMPRODUCT((Data!$O$2:$O$2277=A12)*(Data!$M$2:$M$2277="Pyotr Poroshenko")*ISNUMBER(Data!$N$2:$N$2277)*IF(ISNUMBER(Data!$U$2:$U$2277),Data!$U$2:$U$2277,0))&gt;0,SUMPRODUCT((Data!$O$2:$O$2277=A12)*(Data!$M$2:$M$2277="Pyotr Poroshenko")*ISNUMBER(Data!$N$2:$N$2277)*IF(ISNUMBER(Data!$W$2:$W$2277),Data!$W$2:$W$2277,0)*IF(ISNUMBER(Data!$U$2:$U$2277),Data!$U$2:$U$2277,0))/SUMPRODUCT((Data!$O$2:$O$2277=A12)*(Data!$M$2:$M$2277="Pyotr Poroshenko")*ISNUMBER(Data!$N$2:$N$2277)*IF(ISNUMBER(Data!$U$2:$U$2277),Data!$U$2:$U$2277,0)),""),"")</f>
        <v>4.927451853</v>
      </c>
      <c r="F12" s="66">
        <f>IF(B12&lt;&gt;"",IF(OR(F11="",AND(ABS(IFERROR(SUMPRODUCT((Data!$O$2:$O$2277=A12)*(Data!$M$2:$M$2277="Vladimir Zelenskiy")*ISNUMBER(Data!$N$2:$N$2277)*IF(ISNUMBER(Data!$W$2:$W$2277),Data!$W$2:$W$2277,0)*IF(ISNUMBER(Data!$U$2:$U$2277),Data!$U$2:$U$2277,0))/SUMPRODUCT((Data!$O$2:$O$2277=A12)*(Data!$M$2:$M$2277="Vladimir Zelenskiy")*ISNUMBER(Data!$N$2:$N$2277)*IF(ISNUMBER(Data!$U$2:$U$2277),Data!$U$2:$U$2277,0)),0)-IF(F11="",0,F11))&gt;Formula!$C$30,SUMPRODUCT((Data!$O$2:$O$2277=A12)*(Data!$M$2:$M$2277="Vladimir Zelenskiy")*ISNUMBER(Data!$N$2:$N$2277)*IF(ISNUMBER(Data!$U$2:$U$2277),Data!$U$2:$U$2277,0))&gt;=Formula!$C$31)),B12,(SUMPRODUCT((Data!$O$2:$O$2277=A12)*(Data!$M$2:$M$2277="Vladimir Zelenskiy")*ISNUMBER(Data!$N$2:$N$2277)*IF(ISNUMBER(Data!$W$2:$W$2277),Data!$W$2:$W$2277,0)*IF(ISNUMBER(Data!$U$2:$U$2277),Data!$U$2:$U$2277,0))+Formula!$C$29*F11)/(SUMPRODUCT((Data!$O$2:$O$2277=A12)*(Data!$M$2:$M$2277="Vladimir Zelenskiy")*ISNUMBER(Data!$N$2:$N$2277)*IF(ISNUMBER(Data!$U$2:$U$2277),Data!$U$2:$U$2277,0))+Formula!$C$29)),IF(F11&lt;&gt;"",F11,""))</f>
        <v>72.23260978</v>
      </c>
      <c r="G12" s="66">
        <f>IF(C12&lt;&gt;"",IF(OR(G11="",AND(ABS(IFERROR(SUMPRODUCT((Data!$O$2:$O$2277=A12)*(Data!$M$2:$M$2277="Valerii Zaluzhniy")*ISNUMBER(Data!$N$2:$N$2277)*IF(ISNUMBER(Data!$W$2:$W$2277),Data!$W$2:$W$2277,0)*IF(ISNUMBER(Data!$U$2:$U$2277),Data!$U$2:$U$2277,0))/SUMPRODUCT((Data!$O$2:$O$2277=A12)*(Data!$M$2:$M$2277="Valerii Zaluzhniy")*ISNUMBER(Data!$N$2:$N$2277)*IF(ISNUMBER(Data!$U$2:$U$2277),Data!$U$2:$U$2277,0)),0)-IF(G11="",0,G11))&gt;Formula!$C$30,SUMPRODUCT((Data!$O$2:$O$2277=A12)*(Data!$M$2:$M$2277="Valerii Zaluzhniy")*ISNUMBER(Data!$N$2:$N$2277)*IF(ISNUMBER(Data!$U$2:$U$2277),Data!$U$2:$U$2277,0))&gt;=Formula!$C$31)),C12,(SUMPRODUCT((Data!$O$2:$O$2277=A12)*(Data!$M$2:$M$2277="Valerii Zaluzhniy")*ISNUMBER(Data!$N$2:$N$2277)*IF(ISNUMBER(Data!$W$2:$W$2277),Data!$W$2:$W$2277,0)*IF(ISNUMBER(Data!$U$2:$U$2277),Data!$U$2:$U$2277,0))+Formula!$C$29*G11)/(SUMPRODUCT((Data!$O$2:$O$2277=A12)*(Data!$M$2:$M$2277="Valerii Zaluzhniy")*ISNUMBER(Data!$N$2:$N$2277)*IF(ISNUMBER(Data!$U$2:$U$2277),Data!$U$2:$U$2277,0))+Formula!$C$29)),IF(G11&lt;&gt;"",G11,""))</f>
        <v>8.575282793</v>
      </c>
      <c r="H12" s="66" t="str">
        <f t="shared" si="4"/>
        <v/>
      </c>
      <c r="I12" s="66">
        <f>IF(E12&lt;&gt;"",IF(OR(I11="",AND(ABS(IFERROR(SUMPRODUCT((Data!$O$2:$O$2277=A12)*(Data!$M$2:$M$2277="Pyotr Poroshenko")*ISNUMBER(Data!$N$2:$N$2277)*IF(ISNUMBER(Data!$W$2:$W$2277),Data!$W$2:$W$2277,0)*IF(ISNUMBER(Data!$U$2:$U$2277),Data!$U$2:$U$2277,0))/SUMPRODUCT((Data!$O$2:$O$2277=A12)*(Data!$M$2:$M$2277="Pyotr Poroshenko")*ISNUMBER(Data!$N$2:$N$2277)*IF(ISNUMBER(Data!$U$2:$U$2277),Data!$U$2:$U$2277,0)),0)-IF(I11="",0,I11))&gt;Formula!$C$30,SUMPRODUCT((Data!$O$2:$O$2277=A12)*(Data!$M$2:$M$2277="Pyotr Poroshenko")*ISNUMBER(Data!$N$2:$N$2277)*IF(ISNUMBER(Data!$U$2:$U$2277),Data!$U$2:$U$2277,0))&gt;=Formula!$C$31)),E12,(SUMPRODUCT((Data!$O$2:$O$2277=A12)*(Data!$M$2:$M$2277="Pyotr Poroshenko")*ISNUMBER(Data!$N$2:$N$2277)*IF(ISNUMBER(Data!$W$2:$W$2277),Data!$W$2:$W$2277,0)*IF(ISNUMBER(Data!$U$2:$U$2277),Data!$U$2:$U$2277,0))+Formula!$C$29*I11)/(SUMPRODUCT((Data!$O$2:$O$2277=A12)*(Data!$M$2:$M$2277="Pyotr Poroshenko")*ISNUMBER(Data!$N$2:$N$2277)*IF(ISNUMBER(Data!$U$2:$U$2277),Data!$U$2:$U$2277,0))+Formula!$C$29)),IF(I11&lt;&gt;"",I11,""))</f>
        <v>6.184265761</v>
      </c>
      <c r="L12" s="67">
        <f t="shared" ref="L12:O12" si="14">IFERROR((IF(F10&lt;&gt;"",F10*1,0)+IF(F11&lt;&gt;"",F11*2,0)+IF(F12&lt;&gt;"",F12*3,0))/(IF(F10&lt;&gt;"",1,0)+IF(F11&lt;&gt;"",2,0)+IF(F12&lt;&gt;"",3,0)),"")</f>
        <v>73.90076344</v>
      </c>
      <c r="M12" s="67">
        <f t="shared" si="14"/>
        <v>7.931464298</v>
      </c>
      <c r="N12" s="67" t="str">
        <f t="shared" si="14"/>
        <v/>
      </c>
      <c r="O12" s="67">
        <f t="shared" si="14"/>
        <v>6.560802547</v>
      </c>
    </row>
    <row r="13" ht="12.75" customHeight="1">
      <c r="A13" s="68">
        <v>44958.0</v>
      </c>
      <c r="B13" s="69">
        <f>IFERROR(IF(SUMPRODUCT((Data!$O$2:$O$2277=A13)*(Data!$M$2:$M$2277="Vladimir Zelenskiy")*ISNUMBER(Data!$N$2:$N$2277)*IF(ISNUMBER(Data!$U$2:$U$2277),Data!$U$2:$U$2277,0))&gt;0,SUMPRODUCT((Data!$O$2:$O$2277=A13)*(Data!$M$2:$M$2277="Vladimir Zelenskiy")*ISNUMBER(Data!$N$2:$N$2277)*IF(ISNUMBER(Data!$W$2:$W$2277),Data!$W$2:$W$2277,0)*IF(ISNUMBER(Data!$U$2:$U$2277),Data!$U$2:$U$2277,0))/SUMPRODUCT((Data!$O$2:$O$2277=A13)*(Data!$M$2:$M$2277="Vladimir Zelenskiy")*ISNUMBER(Data!$N$2:$N$2277)*IF(ISNUMBER(Data!$U$2:$U$2277),Data!$U$2:$U$2277,0)),""),"")</f>
        <v>77.23880597</v>
      </c>
      <c r="C13" s="69" t="str">
        <f>IFERROR(IF(SUMPRODUCT((Data!$O$2:$O$2277=A13)*(Data!$M$2:$M$2277="Valerii Zaluzhniy")*ISNUMBER(Data!$N$2:$N$2277)*IF(ISNUMBER(Data!$U$2:$U$2277),Data!$U$2:$U$2277,0))&gt;0,SUMPRODUCT((Data!$O$2:$O$2277=A13)*(Data!$M$2:$M$2277="Valerii Zaluzhniy")*ISNUMBER(Data!$N$2:$N$2277)*IF(ISNUMBER(Data!$W$2:$W$2277),Data!$W$2:$W$2277,0)*IF(ISNUMBER(Data!$U$2:$U$2277),Data!$U$2:$U$2277,0))/SUMPRODUCT((Data!$O$2:$O$2277=A13)*(Data!$M$2:$M$2277="Valerii Zaluzhniy")*ISNUMBER(Data!$N$2:$N$2277)*IF(ISNUMBER(Data!$U$2:$U$2277),Data!$U$2:$U$2277,0)),""),"")</f>
        <v/>
      </c>
      <c r="D13" s="69" t="str">
        <f t="shared" si="3"/>
        <v/>
      </c>
      <c r="E13" s="69">
        <f>IFERROR(IF(SUMPRODUCT((Data!$O$2:$O$2277=A13)*(Data!$M$2:$M$2277="Pyotr Poroshenko")*ISNUMBER(Data!$N$2:$N$2277)*IF(ISNUMBER(Data!$U$2:$U$2277),Data!$U$2:$U$2277,0))&gt;0,SUMPRODUCT((Data!$O$2:$O$2277=A13)*(Data!$M$2:$M$2277="Pyotr Poroshenko")*ISNUMBER(Data!$N$2:$N$2277)*IF(ISNUMBER(Data!$W$2:$W$2277),Data!$W$2:$W$2277,0)*IF(ISNUMBER(Data!$U$2:$U$2277),Data!$U$2:$U$2277,0))/SUMPRODUCT((Data!$O$2:$O$2277=A13)*(Data!$M$2:$M$2277="Pyotr Poroshenko")*ISNUMBER(Data!$N$2:$N$2277)*IF(ISNUMBER(Data!$U$2:$U$2277),Data!$U$2:$U$2277,0)),""),"")</f>
        <v>5.597014925</v>
      </c>
      <c r="F13" s="70">
        <f>IF(B13&lt;&gt;"",IF(OR(F12="",AND(ABS(IFERROR(SUMPRODUCT((Data!$O$2:$O$2277=A13)*(Data!$M$2:$M$2277="Vladimir Zelenskiy")*ISNUMBER(Data!$N$2:$N$2277)*IF(ISNUMBER(Data!$W$2:$W$2277),Data!$W$2:$W$2277,0)*IF(ISNUMBER(Data!$U$2:$U$2277),Data!$U$2:$U$2277,0))/SUMPRODUCT((Data!$O$2:$O$2277=A13)*(Data!$M$2:$M$2277="Vladimir Zelenskiy")*ISNUMBER(Data!$N$2:$N$2277)*IF(ISNUMBER(Data!$U$2:$U$2277),Data!$U$2:$U$2277,0)),0)-IF(F12="",0,F12))&gt;Formula!$C$30,SUMPRODUCT((Data!$O$2:$O$2277=A13)*(Data!$M$2:$M$2277="Vladimir Zelenskiy")*ISNUMBER(Data!$N$2:$N$2277)*IF(ISNUMBER(Data!$U$2:$U$2277),Data!$U$2:$U$2277,0))&gt;=Formula!$C$31)),B13,(SUMPRODUCT((Data!$O$2:$O$2277=A13)*(Data!$M$2:$M$2277="Vladimir Zelenskiy")*ISNUMBER(Data!$N$2:$N$2277)*IF(ISNUMBER(Data!$W$2:$W$2277),Data!$W$2:$W$2277,0)*IF(ISNUMBER(Data!$U$2:$U$2277),Data!$U$2:$U$2277,0))+Formula!$C$29*F12)/(SUMPRODUCT((Data!$O$2:$O$2277=A13)*(Data!$M$2:$M$2277="Vladimir Zelenskiy")*ISNUMBER(Data!$N$2:$N$2277)*IF(ISNUMBER(Data!$U$2:$U$2277),Data!$U$2:$U$2277,0))+Formula!$C$29)),IF(F12&lt;&gt;"",F12,""))</f>
        <v>73.81274766</v>
      </c>
      <c r="G13" s="70">
        <f>IF(C13&lt;&gt;"",IF(OR(G12="",AND(ABS(IFERROR(SUMPRODUCT((Data!$O$2:$O$2277=A13)*(Data!$M$2:$M$2277="Valerii Zaluzhniy")*ISNUMBER(Data!$N$2:$N$2277)*IF(ISNUMBER(Data!$W$2:$W$2277),Data!$W$2:$W$2277,0)*IF(ISNUMBER(Data!$U$2:$U$2277),Data!$U$2:$U$2277,0))/SUMPRODUCT((Data!$O$2:$O$2277=A13)*(Data!$M$2:$M$2277="Valerii Zaluzhniy")*ISNUMBER(Data!$N$2:$N$2277)*IF(ISNUMBER(Data!$U$2:$U$2277),Data!$U$2:$U$2277,0)),0)-IF(G12="",0,G12))&gt;Formula!$C$30,SUMPRODUCT((Data!$O$2:$O$2277=A13)*(Data!$M$2:$M$2277="Valerii Zaluzhniy")*ISNUMBER(Data!$N$2:$N$2277)*IF(ISNUMBER(Data!$U$2:$U$2277),Data!$U$2:$U$2277,0))&gt;=Formula!$C$31)),C13,(SUMPRODUCT((Data!$O$2:$O$2277=A13)*(Data!$M$2:$M$2277="Valerii Zaluzhniy")*ISNUMBER(Data!$N$2:$N$2277)*IF(ISNUMBER(Data!$W$2:$W$2277),Data!$W$2:$W$2277,0)*IF(ISNUMBER(Data!$U$2:$U$2277),Data!$U$2:$U$2277,0))+Formula!$C$29*G12)/(SUMPRODUCT((Data!$O$2:$O$2277=A13)*(Data!$M$2:$M$2277="Valerii Zaluzhniy")*ISNUMBER(Data!$N$2:$N$2277)*IF(ISNUMBER(Data!$U$2:$U$2277),Data!$U$2:$U$2277,0))+Formula!$C$29)),IF(G12&lt;&gt;"",G12,""))</f>
        <v>8.575282793</v>
      </c>
      <c r="H13" s="70" t="str">
        <f t="shared" si="4"/>
        <v/>
      </c>
      <c r="I13" s="70">
        <f>IF(E13&lt;&gt;"",IF(OR(I12="",AND(ABS(IFERROR(SUMPRODUCT((Data!$O$2:$O$2277=A13)*(Data!$M$2:$M$2277="Pyotr Poroshenko")*ISNUMBER(Data!$N$2:$N$2277)*IF(ISNUMBER(Data!$W$2:$W$2277),Data!$W$2:$W$2277,0)*IF(ISNUMBER(Data!$U$2:$U$2277),Data!$U$2:$U$2277,0))/SUMPRODUCT((Data!$O$2:$O$2277=A13)*(Data!$M$2:$M$2277="Pyotr Poroshenko")*ISNUMBER(Data!$N$2:$N$2277)*IF(ISNUMBER(Data!$U$2:$U$2277),Data!$U$2:$U$2277,0)),0)-IF(I12="",0,I12))&gt;Formula!$C$30,SUMPRODUCT((Data!$O$2:$O$2277=A13)*(Data!$M$2:$M$2277="Pyotr Poroshenko")*ISNUMBER(Data!$N$2:$N$2277)*IF(ISNUMBER(Data!$U$2:$U$2277),Data!$U$2:$U$2277,0))&gt;=Formula!$C$31)),E13,(SUMPRODUCT((Data!$O$2:$O$2277=A13)*(Data!$M$2:$M$2277="Pyotr Poroshenko")*ISNUMBER(Data!$N$2:$N$2277)*IF(ISNUMBER(Data!$W$2:$W$2277),Data!$W$2:$W$2277,0)*IF(ISNUMBER(Data!$U$2:$U$2277),Data!$U$2:$U$2277,0))+Formula!$C$29*I12)/(SUMPRODUCT((Data!$O$2:$O$2277=A13)*(Data!$M$2:$M$2277="Pyotr Poroshenko")*ISNUMBER(Data!$N$2:$N$2277)*IF(ISNUMBER(Data!$U$2:$U$2277),Data!$U$2:$U$2277,0))+Formula!$C$29)),IF(I12&lt;&gt;"",I12,""))</f>
        <v>5.998908005</v>
      </c>
      <c r="L13" s="71">
        <f t="shared" ref="L13:O13" si="15">IFERROR((IF(F11&lt;&gt;"",F11*1,0)+IF(F12&lt;&gt;"",F12*2,0)+IF(F13&lt;&gt;"",F13*3,0))/(IF(F11&lt;&gt;"",1,0)+IF(F12&lt;&gt;"",2,0)+IF(F13&lt;&gt;"",3,0)),"")</f>
        <v>73.69435352</v>
      </c>
      <c r="M13" s="71">
        <f t="shared" si="15"/>
        <v>8.372727825</v>
      </c>
      <c r="N13" s="71" t="str">
        <f t="shared" si="15"/>
        <v/>
      </c>
      <c r="O13" s="71">
        <f t="shared" si="15"/>
        <v>6.251232827</v>
      </c>
    </row>
    <row r="14" ht="12.75" customHeight="1">
      <c r="A14" s="64">
        <v>44986.0</v>
      </c>
      <c r="B14" s="65">
        <f>IFERROR(IF(SUMPRODUCT((Data!$O$2:$O$2277=A14)*(Data!$M$2:$M$2277="Vladimir Zelenskiy")*ISNUMBER(Data!$N$2:$N$2277)*IF(ISNUMBER(Data!$U$2:$U$2277),Data!$U$2:$U$2277,0))&gt;0,SUMPRODUCT((Data!$O$2:$O$2277=A14)*(Data!$M$2:$M$2277="Vladimir Zelenskiy")*ISNUMBER(Data!$N$2:$N$2277)*IF(ISNUMBER(Data!$W$2:$W$2277),Data!$W$2:$W$2277,0)*IF(ISNUMBER(Data!$U$2:$U$2277),Data!$U$2:$U$2277,0))/SUMPRODUCT((Data!$O$2:$O$2277=A14)*(Data!$M$2:$M$2277="Vladimir Zelenskiy")*ISNUMBER(Data!$N$2:$N$2277)*IF(ISNUMBER(Data!$U$2:$U$2277),Data!$U$2:$U$2277,0)),""),"")</f>
        <v>73.26540464</v>
      </c>
      <c r="C14" s="65">
        <f>IFERROR(IF(SUMPRODUCT((Data!$O$2:$O$2277=A14)*(Data!$M$2:$M$2277="Valerii Zaluzhniy")*ISNUMBER(Data!$N$2:$N$2277)*IF(ISNUMBER(Data!$U$2:$U$2277),Data!$U$2:$U$2277,0))&gt;0,SUMPRODUCT((Data!$O$2:$O$2277=A14)*(Data!$M$2:$M$2277="Valerii Zaluzhniy")*ISNUMBER(Data!$N$2:$N$2277)*IF(ISNUMBER(Data!$W$2:$W$2277),Data!$W$2:$W$2277,0)*IF(ISNUMBER(Data!$U$2:$U$2277),Data!$U$2:$U$2277,0))/SUMPRODUCT((Data!$O$2:$O$2277=A14)*(Data!$M$2:$M$2277="Valerii Zaluzhniy")*ISNUMBER(Data!$N$2:$N$2277)*IF(ISNUMBER(Data!$U$2:$U$2277),Data!$U$2:$U$2277,0)),""),"")</f>
        <v>12.66967727</v>
      </c>
      <c r="D14" s="65" t="str">
        <f t="shared" si="3"/>
        <v/>
      </c>
      <c r="E14" s="65">
        <f>IFERROR(IF(SUMPRODUCT((Data!$O$2:$O$2277=A14)*(Data!$M$2:$M$2277="Pyotr Poroshenko")*ISNUMBER(Data!$N$2:$N$2277)*IF(ISNUMBER(Data!$U$2:$U$2277),Data!$U$2:$U$2277,0))&gt;0,SUMPRODUCT((Data!$O$2:$O$2277=A14)*(Data!$M$2:$M$2277="Pyotr Poroshenko")*ISNUMBER(Data!$N$2:$N$2277)*IF(ISNUMBER(Data!$W$2:$W$2277),Data!$W$2:$W$2277,0)*IF(ISNUMBER(Data!$U$2:$U$2277),Data!$U$2:$U$2277,0))/SUMPRODUCT((Data!$O$2:$O$2277=A14)*(Data!$M$2:$M$2277="Pyotr Poroshenko")*ISNUMBER(Data!$N$2:$N$2277)*IF(ISNUMBER(Data!$U$2:$U$2277),Data!$U$2:$U$2277,0)),""),"")</f>
        <v>6.124346044</v>
      </c>
      <c r="F14" s="66">
        <f>IF(B14&lt;&gt;"",IF(OR(F13="",AND(ABS(IFERROR(SUMPRODUCT((Data!$O$2:$O$2277=A14)*(Data!$M$2:$M$2277="Vladimir Zelenskiy")*ISNUMBER(Data!$N$2:$N$2277)*IF(ISNUMBER(Data!$W$2:$W$2277),Data!$W$2:$W$2277,0)*IF(ISNUMBER(Data!$U$2:$U$2277),Data!$U$2:$U$2277,0))/SUMPRODUCT((Data!$O$2:$O$2277=A14)*(Data!$M$2:$M$2277="Vladimir Zelenskiy")*ISNUMBER(Data!$N$2:$N$2277)*IF(ISNUMBER(Data!$U$2:$U$2277),Data!$U$2:$U$2277,0)),0)-IF(F13="",0,F13))&gt;Formula!$C$30,SUMPRODUCT((Data!$O$2:$O$2277=A14)*(Data!$M$2:$M$2277="Vladimir Zelenskiy")*ISNUMBER(Data!$N$2:$N$2277)*IF(ISNUMBER(Data!$U$2:$U$2277),Data!$U$2:$U$2277,0))&gt;=Formula!$C$31)),B14,(SUMPRODUCT((Data!$O$2:$O$2277=A14)*(Data!$M$2:$M$2277="Vladimir Zelenskiy")*ISNUMBER(Data!$N$2:$N$2277)*IF(ISNUMBER(Data!$W$2:$W$2277),Data!$W$2:$W$2277,0)*IF(ISNUMBER(Data!$U$2:$U$2277),Data!$U$2:$U$2277,0))+Formula!$C$29*F13)/(SUMPRODUCT((Data!$O$2:$O$2277=A14)*(Data!$M$2:$M$2277="Vladimir Zelenskiy")*ISNUMBER(Data!$N$2:$N$2277)*IF(ISNUMBER(Data!$U$2:$U$2277),Data!$U$2:$U$2277,0))+Formula!$C$29)),IF(F13&lt;&gt;"",F13,""))</f>
        <v>73.42819267</v>
      </c>
      <c r="G14" s="66">
        <f>IF(C14&lt;&gt;"",IF(OR(G13="",AND(ABS(IFERROR(SUMPRODUCT((Data!$O$2:$O$2277=A14)*(Data!$M$2:$M$2277="Valerii Zaluzhniy")*ISNUMBER(Data!$N$2:$N$2277)*IF(ISNUMBER(Data!$W$2:$W$2277),Data!$W$2:$W$2277,0)*IF(ISNUMBER(Data!$U$2:$U$2277),Data!$U$2:$U$2277,0))/SUMPRODUCT((Data!$O$2:$O$2277=A14)*(Data!$M$2:$M$2277="Valerii Zaluzhniy")*ISNUMBER(Data!$N$2:$N$2277)*IF(ISNUMBER(Data!$U$2:$U$2277),Data!$U$2:$U$2277,0)),0)-IF(G13="",0,G13))&gt;Formula!$C$30,SUMPRODUCT((Data!$O$2:$O$2277=A14)*(Data!$M$2:$M$2277="Valerii Zaluzhniy")*ISNUMBER(Data!$N$2:$N$2277)*IF(ISNUMBER(Data!$U$2:$U$2277),Data!$U$2:$U$2277,0))&gt;=Formula!$C$31)),C14,(SUMPRODUCT((Data!$O$2:$O$2277=A14)*(Data!$M$2:$M$2277="Valerii Zaluzhniy")*ISNUMBER(Data!$N$2:$N$2277)*IF(ISNUMBER(Data!$W$2:$W$2277),Data!$W$2:$W$2277,0)*IF(ISNUMBER(Data!$U$2:$U$2277),Data!$U$2:$U$2277,0))+Formula!$C$29*G13)/(SUMPRODUCT((Data!$O$2:$O$2277=A14)*(Data!$M$2:$M$2277="Valerii Zaluzhniy")*ISNUMBER(Data!$N$2:$N$2277)*IF(ISNUMBER(Data!$U$2:$U$2277),Data!$U$2:$U$2277,0))+Formula!$C$29)),IF(G13&lt;&gt;"",G13,""))</f>
        <v>10.8234479</v>
      </c>
      <c r="H14" s="66" t="str">
        <f t="shared" si="4"/>
        <v/>
      </c>
      <c r="I14" s="66">
        <f>IF(E14&lt;&gt;"",IF(OR(I13="",AND(ABS(IFERROR(SUMPRODUCT((Data!$O$2:$O$2277=A14)*(Data!$M$2:$M$2277="Pyotr Poroshenko")*ISNUMBER(Data!$N$2:$N$2277)*IF(ISNUMBER(Data!$W$2:$W$2277),Data!$W$2:$W$2277,0)*IF(ISNUMBER(Data!$U$2:$U$2277),Data!$U$2:$U$2277,0))/SUMPRODUCT((Data!$O$2:$O$2277=A14)*(Data!$M$2:$M$2277="Pyotr Poroshenko")*ISNUMBER(Data!$N$2:$N$2277)*IF(ISNUMBER(Data!$U$2:$U$2277),Data!$U$2:$U$2277,0)),0)-IF(I13="",0,I13))&gt;Formula!$C$30,SUMPRODUCT((Data!$O$2:$O$2277=A14)*(Data!$M$2:$M$2277="Pyotr Poroshenko")*ISNUMBER(Data!$N$2:$N$2277)*IF(ISNUMBER(Data!$U$2:$U$2277),Data!$U$2:$U$2277,0))&gt;=Formula!$C$31)),E14,(SUMPRODUCT((Data!$O$2:$O$2277=A14)*(Data!$M$2:$M$2277="Pyotr Poroshenko")*ISNUMBER(Data!$N$2:$N$2277)*IF(ISNUMBER(Data!$W$2:$W$2277),Data!$W$2:$W$2277,0)*IF(ISNUMBER(Data!$U$2:$U$2277),Data!$U$2:$U$2277,0))+Formula!$C$29*I13)/(SUMPRODUCT((Data!$O$2:$O$2277=A14)*(Data!$M$2:$M$2277="Pyotr Poroshenko")*ISNUMBER(Data!$N$2:$N$2277)*IF(ISNUMBER(Data!$U$2:$U$2277),Data!$U$2:$U$2277,0))+Formula!$C$29)),IF(I13&lt;&gt;"",I13,""))</f>
        <v>6.087038887</v>
      </c>
      <c r="L14" s="67">
        <f t="shared" ref="L14:O14" si="16">IFERROR((IF(F12&lt;&gt;"",F12*1,0)+IF(F13&lt;&gt;"",F13*2,0)+IF(F14&lt;&gt;"",F14*3,0))/(IF(F12&lt;&gt;"",1,0)+IF(F13&lt;&gt;"",2,0)+IF(F14&lt;&gt;"",3,0)),"")</f>
        <v>73.35711385</v>
      </c>
      <c r="M14" s="67">
        <f t="shared" si="16"/>
        <v>9.699365345</v>
      </c>
      <c r="N14" s="67" t="str">
        <f t="shared" si="16"/>
        <v/>
      </c>
      <c r="O14" s="67">
        <f t="shared" si="16"/>
        <v>6.073866405</v>
      </c>
    </row>
    <row r="15" ht="12.75" customHeight="1">
      <c r="A15" s="68">
        <v>45017.0</v>
      </c>
      <c r="B15" s="69">
        <f>IFERROR(IF(SUMPRODUCT((Data!$O$2:$O$2277=A15)*(Data!$M$2:$M$2277="Vladimir Zelenskiy")*ISNUMBER(Data!$N$2:$N$2277)*IF(ISNUMBER(Data!$U$2:$U$2277),Data!$U$2:$U$2277,0))&gt;0,SUMPRODUCT((Data!$O$2:$O$2277=A15)*(Data!$M$2:$M$2277="Vladimir Zelenskiy")*ISNUMBER(Data!$N$2:$N$2277)*IF(ISNUMBER(Data!$W$2:$W$2277),Data!$W$2:$W$2277,0)*IF(ISNUMBER(Data!$U$2:$U$2277),Data!$U$2:$U$2277,0))/SUMPRODUCT((Data!$O$2:$O$2277=A15)*(Data!$M$2:$M$2277="Vladimir Zelenskiy")*ISNUMBER(Data!$N$2:$N$2277)*IF(ISNUMBER(Data!$U$2:$U$2277),Data!$U$2:$U$2277,0)),""),"")</f>
        <v>65</v>
      </c>
      <c r="C15" s="69">
        <f>IFERROR(IF(SUMPRODUCT((Data!$O$2:$O$2277=A15)*(Data!$M$2:$M$2277="Valerii Zaluzhniy")*ISNUMBER(Data!$N$2:$N$2277)*IF(ISNUMBER(Data!$U$2:$U$2277),Data!$U$2:$U$2277,0))&gt;0,SUMPRODUCT((Data!$O$2:$O$2277=A15)*(Data!$M$2:$M$2277="Valerii Zaluzhniy")*ISNUMBER(Data!$N$2:$N$2277)*IF(ISNUMBER(Data!$W$2:$W$2277),Data!$W$2:$W$2277,0)*IF(ISNUMBER(Data!$U$2:$U$2277),Data!$U$2:$U$2277,0))/SUMPRODUCT((Data!$O$2:$O$2277=A15)*(Data!$M$2:$M$2277="Valerii Zaluzhniy")*ISNUMBER(Data!$N$2:$N$2277)*IF(ISNUMBER(Data!$U$2:$U$2277),Data!$U$2:$U$2277,0)),""),"")</f>
        <v>12</v>
      </c>
      <c r="D15" s="69" t="str">
        <f t="shared" si="3"/>
        <v/>
      </c>
      <c r="E15" s="69">
        <f>IFERROR(IF(SUMPRODUCT((Data!$O$2:$O$2277=A15)*(Data!$M$2:$M$2277="Pyotr Poroshenko")*ISNUMBER(Data!$N$2:$N$2277)*IF(ISNUMBER(Data!$U$2:$U$2277),Data!$U$2:$U$2277,0))&gt;0,SUMPRODUCT((Data!$O$2:$O$2277=A15)*(Data!$M$2:$M$2277="Pyotr Poroshenko")*ISNUMBER(Data!$N$2:$N$2277)*IF(ISNUMBER(Data!$W$2:$W$2277),Data!$W$2:$W$2277,0)*IF(ISNUMBER(Data!$U$2:$U$2277),Data!$U$2:$U$2277,0))/SUMPRODUCT((Data!$O$2:$O$2277=A15)*(Data!$M$2:$M$2277="Pyotr Poroshenko")*ISNUMBER(Data!$N$2:$N$2277)*IF(ISNUMBER(Data!$U$2:$U$2277),Data!$U$2:$U$2277,0)),""),"")</f>
        <v>7</v>
      </c>
      <c r="F15" s="70">
        <f>IF(B15&lt;&gt;"",IF(OR(F14="",AND(ABS(IFERROR(SUMPRODUCT((Data!$O$2:$O$2277=A15)*(Data!$M$2:$M$2277="Vladimir Zelenskiy")*ISNUMBER(Data!$N$2:$N$2277)*IF(ISNUMBER(Data!$W$2:$W$2277),Data!$W$2:$W$2277,0)*IF(ISNUMBER(Data!$U$2:$U$2277),Data!$U$2:$U$2277,0))/SUMPRODUCT((Data!$O$2:$O$2277=A15)*(Data!$M$2:$M$2277="Vladimir Zelenskiy")*ISNUMBER(Data!$N$2:$N$2277)*IF(ISNUMBER(Data!$U$2:$U$2277),Data!$U$2:$U$2277,0)),0)-IF(F14="",0,F14))&gt;Formula!$C$30,SUMPRODUCT((Data!$O$2:$O$2277=A15)*(Data!$M$2:$M$2277="Vladimir Zelenskiy")*ISNUMBER(Data!$N$2:$N$2277)*IF(ISNUMBER(Data!$U$2:$U$2277),Data!$U$2:$U$2277,0))&gt;=Formula!$C$31)),B15,(SUMPRODUCT((Data!$O$2:$O$2277=A15)*(Data!$M$2:$M$2277="Vladimir Zelenskiy")*ISNUMBER(Data!$N$2:$N$2277)*IF(ISNUMBER(Data!$W$2:$W$2277),Data!$W$2:$W$2277,0)*IF(ISNUMBER(Data!$U$2:$U$2277),Data!$U$2:$U$2277,0))+Formula!$C$29*F14)/(SUMPRODUCT((Data!$O$2:$O$2277=A15)*(Data!$M$2:$M$2277="Vladimir Zelenskiy")*ISNUMBER(Data!$N$2:$N$2277)*IF(ISNUMBER(Data!$U$2:$U$2277),Data!$U$2:$U$2277,0))+Formula!$C$29)),IF(F14&lt;&gt;"",F14,""))</f>
        <v>72.25599176</v>
      </c>
      <c r="G15" s="70">
        <f>IF(C15&lt;&gt;"",IF(OR(G14="",AND(ABS(IFERROR(SUMPRODUCT((Data!$O$2:$O$2277=A15)*(Data!$M$2:$M$2277="Valerii Zaluzhniy")*ISNUMBER(Data!$N$2:$N$2277)*IF(ISNUMBER(Data!$W$2:$W$2277),Data!$W$2:$W$2277,0)*IF(ISNUMBER(Data!$U$2:$U$2277),Data!$U$2:$U$2277,0))/SUMPRODUCT((Data!$O$2:$O$2277=A15)*(Data!$M$2:$M$2277="Valerii Zaluzhniy")*ISNUMBER(Data!$N$2:$N$2277)*IF(ISNUMBER(Data!$U$2:$U$2277),Data!$U$2:$U$2277,0)),0)-IF(G14="",0,G14))&gt;Formula!$C$30,SUMPRODUCT((Data!$O$2:$O$2277=A15)*(Data!$M$2:$M$2277="Valerii Zaluzhniy")*ISNUMBER(Data!$N$2:$N$2277)*IF(ISNUMBER(Data!$U$2:$U$2277),Data!$U$2:$U$2277,0))&gt;=Formula!$C$31)),C15,(SUMPRODUCT((Data!$O$2:$O$2277=A15)*(Data!$M$2:$M$2277="Valerii Zaluzhniy")*ISNUMBER(Data!$N$2:$N$2277)*IF(ISNUMBER(Data!$W$2:$W$2277),Data!$W$2:$W$2277,0)*IF(ISNUMBER(Data!$U$2:$U$2277),Data!$U$2:$U$2277,0))+Formula!$C$29*G14)/(SUMPRODUCT((Data!$O$2:$O$2277=A15)*(Data!$M$2:$M$2277="Valerii Zaluzhniy")*ISNUMBER(Data!$N$2:$N$2277)*IF(ISNUMBER(Data!$U$2:$U$2277),Data!$U$2:$U$2277,0))+Formula!$C$29)),IF(G14&lt;&gt;"",G14,""))</f>
        <v>10.98708386</v>
      </c>
      <c r="H15" s="70" t="str">
        <f t="shared" si="4"/>
        <v/>
      </c>
      <c r="I15" s="70">
        <f>IF(E15&lt;&gt;"",IF(OR(I14="",AND(ABS(IFERROR(SUMPRODUCT((Data!$O$2:$O$2277=A15)*(Data!$M$2:$M$2277="Pyotr Poroshenko")*ISNUMBER(Data!$N$2:$N$2277)*IF(ISNUMBER(Data!$W$2:$W$2277),Data!$W$2:$W$2277,0)*IF(ISNUMBER(Data!$U$2:$U$2277),Data!$U$2:$U$2277,0))/SUMPRODUCT((Data!$O$2:$O$2277=A15)*(Data!$M$2:$M$2277="Pyotr Poroshenko")*ISNUMBER(Data!$N$2:$N$2277)*IF(ISNUMBER(Data!$U$2:$U$2277),Data!$U$2:$U$2277,0)),0)-IF(I14="",0,I14))&gt;Formula!$C$30,SUMPRODUCT((Data!$O$2:$O$2277=A15)*(Data!$M$2:$M$2277="Pyotr Poroshenko")*ISNUMBER(Data!$N$2:$N$2277)*IF(ISNUMBER(Data!$U$2:$U$2277),Data!$U$2:$U$2277,0))&gt;=Formula!$C$31)),E15,(SUMPRODUCT((Data!$O$2:$O$2277=A15)*(Data!$M$2:$M$2277="Pyotr Poroshenko")*ISNUMBER(Data!$N$2:$N$2277)*IF(ISNUMBER(Data!$W$2:$W$2277),Data!$W$2:$W$2277,0)*IF(ISNUMBER(Data!$U$2:$U$2277),Data!$U$2:$U$2277,0))+Formula!$C$29*I14)/(SUMPRODUCT((Data!$O$2:$O$2277=A15)*(Data!$M$2:$M$2277="Pyotr Poroshenko")*ISNUMBER(Data!$N$2:$N$2277)*IF(ISNUMBER(Data!$U$2:$U$2277),Data!$U$2:$U$2277,0))+Formula!$C$29)),IF(I14&lt;&gt;"",I14,""))</f>
        <v>6.214014372</v>
      </c>
      <c r="L15" s="71">
        <f t="shared" ref="L15:O15" si="17">IFERROR((IF(F13&lt;&gt;"",F13*1,0)+IF(F14&lt;&gt;"",F14*2,0)+IF(F15&lt;&gt;"",F15*3,0))/(IF(F13&lt;&gt;"",1,0)+IF(F14&lt;&gt;"",2,0)+IF(F15&lt;&gt;"",3,0)),"")</f>
        <v>72.90618471</v>
      </c>
      <c r="M15" s="71">
        <f t="shared" si="17"/>
        <v>10.5305717</v>
      </c>
      <c r="N15" s="71" t="str">
        <f t="shared" si="17"/>
        <v/>
      </c>
      <c r="O15" s="71">
        <f t="shared" si="17"/>
        <v>6.135838149</v>
      </c>
    </row>
    <row r="16" ht="12.75" customHeight="1">
      <c r="A16" s="64">
        <v>45047.0</v>
      </c>
      <c r="B16" s="65">
        <f>IFERROR(IF(SUMPRODUCT((Data!$O$2:$O$2277=A16)*(Data!$M$2:$M$2277="Vladimir Zelenskiy")*ISNUMBER(Data!$N$2:$N$2277)*IF(ISNUMBER(Data!$U$2:$U$2277),Data!$U$2:$U$2277,0))&gt;0,SUMPRODUCT((Data!$O$2:$O$2277=A16)*(Data!$M$2:$M$2277="Vladimir Zelenskiy")*ISNUMBER(Data!$N$2:$N$2277)*IF(ISNUMBER(Data!$W$2:$W$2277),Data!$W$2:$W$2277,0)*IF(ISNUMBER(Data!$U$2:$U$2277),Data!$U$2:$U$2277,0))/SUMPRODUCT((Data!$O$2:$O$2277=A16)*(Data!$M$2:$M$2277="Vladimir Zelenskiy")*ISNUMBER(Data!$N$2:$N$2277)*IF(ISNUMBER(Data!$U$2:$U$2277),Data!$U$2:$U$2277,0)),""),"")</f>
        <v>71.22978249</v>
      </c>
      <c r="C16" s="65">
        <f>IFERROR(IF(SUMPRODUCT((Data!$O$2:$O$2277=A16)*(Data!$M$2:$M$2277="Valerii Zaluzhniy")*ISNUMBER(Data!$N$2:$N$2277)*IF(ISNUMBER(Data!$U$2:$U$2277),Data!$U$2:$U$2277,0))&gt;0,SUMPRODUCT((Data!$O$2:$O$2277=A16)*(Data!$M$2:$M$2277="Valerii Zaluzhniy")*ISNUMBER(Data!$N$2:$N$2277)*IF(ISNUMBER(Data!$W$2:$W$2277),Data!$W$2:$W$2277,0)*IF(ISNUMBER(Data!$U$2:$U$2277),Data!$U$2:$U$2277,0))/SUMPRODUCT((Data!$O$2:$O$2277=A16)*(Data!$M$2:$M$2277="Valerii Zaluzhniy")*ISNUMBER(Data!$N$2:$N$2277)*IF(ISNUMBER(Data!$U$2:$U$2277),Data!$U$2:$U$2277,0)),""),"")</f>
        <v>47.73829023</v>
      </c>
      <c r="D16" s="65" t="str">
        <f t="shared" si="3"/>
        <v/>
      </c>
      <c r="E16" s="65">
        <f>IFERROR(IF(SUMPRODUCT((Data!$O$2:$O$2277=A16)*(Data!$M$2:$M$2277="Pyotr Poroshenko")*ISNUMBER(Data!$N$2:$N$2277)*IF(ISNUMBER(Data!$U$2:$U$2277),Data!$U$2:$U$2277,0))&gt;0,SUMPRODUCT((Data!$O$2:$O$2277=A16)*(Data!$M$2:$M$2277="Pyotr Poroshenko")*ISNUMBER(Data!$N$2:$N$2277)*IF(ISNUMBER(Data!$W$2:$W$2277),Data!$W$2:$W$2277,0)*IF(ISNUMBER(Data!$U$2:$U$2277),Data!$U$2:$U$2277,0))/SUMPRODUCT((Data!$O$2:$O$2277=A16)*(Data!$M$2:$M$2277="Pyotr Poroshenko")*ISNUMBER(Data!$N$2:$N$2277)*IF(ISNUMBER(Data!$U$2:$U$2277),Data!$U$2:$U$2277,0)),""),"")</f>
        <v>4.900317349</v>
      </c>
      <c r="F16" s="66">
        <f>IF(B16&lt;&gt;"",IF(OR(F15="",AND(ABS(IFERROR(SUMPRODUCT((Data!$O$2:$O$2277=A16)*(Data!$M$2:$M$2277="Vladimir Zelenskiy")*ISNUMBER(Data!$N$2:$N$2277)*IF(ISNUMBER(Data!$W$2:$W$2277),Data!$W$2:$W$2277,0)*IF(ISNUMBER(Data!$U$2:$U$2277),Data!$U$2:$U$2277,0))/SUMPRODUCT((Data!$O$2:$O$2277=A16)*(Data!$M$2:$M$2277="Vladimir Zelenskiy")*ISNUMBER(Data!$N$2:$N$2277)*IF(ISNUMBER(Data!$U$2:$U$2277),Data!$U$2:$U$2277,0)),0)-IF(F15="",0,F15))&gt;Formula!$C$30,SUMPRODUCT((Data!$O$2:$O$2277=A16)*(Data!$M$2:$M$2277="Vladimir Zelenskiy")*ISNUMBER(Data!$N$2:$N$2277)*IF(ISNUMBER(Data!$U$2:$U$2277),Data!$U$2:$U$2277,0))&gt;=Formula!$C$31)),B16,(SUMPRODUCT((Data!$O$2:$O$2277=A16)*(Data!$M$2:$M$2277="Vladimir Zelenskiy")*ISNUMBER(Data!$N$2:$N$2277)*IF(ISNUMBER(Data!$W$2:$W$2277),Data!$W$2:$W$2277,0)*IF(ISNUMBER(Data!$U$2:$U$2277),Data!$U$2:$U$2277,0))+Formula!$C$29*F15)/(SUMPRODUCT((Data!$O$2:$O$2277=A16)*(Data!$M$2:$M$2277="Vladimir Zelenskiy")*ISNUMBER(Data!$N$2:$N$2277)*IF(ISNUMBER(Data!$U$2:$U$2277),Data!$U$2:$U$2277,0))+Formula!$C$29)),IF(F15&lt;&gt;"",F15,""))</f>
        <v>71.6671774</v>
      </c>
      <c r="G16" s="66">
        <f>IF(C16&lt;&gt;"",IF(OR(G15="",AND(ABS(IFERROR(SUMPRODUCT((Data!$O$2:$O$2277=A16)*(Data!$M$2:$M$2277="Valerii Zaluzhniy")*ISNUMBER(Data!$N$2:$N$2277)*IF(ISNUMBER(Data!$W$2:$W$2277),Data!$W$2:$W$2277,0)*IF(ISNUMBER(Data!$U$2:$U$2277),Data!$U$2:$U$2277,0))/SUMPRODUCT((Data!$O$2:$O$2277=A16)*(Data!$M$2:$M$2277="Valerii Zaluzhniy")*ISNUMBER(Data!$N$2:$N$2277)*IF(ISNUMBER(Data!$U$2:$U$2277),Data!$U$2:$U$2277,0)),0)-IF(G15="",0,G15))&gt;Formula!$C$30,SUMPRODUCT((Data!$O$2:$O$2277=A16)*(Data!$M$2:$M$2277="Valerii Zaluzhniy")*ISNUMBER(Data!$N$2:$N$2277)*IF(ISNUMBER(Data!$U$2:$U$2277),Data!$U$2:$U$2277,0))&gt;=Formula!$C$31)),C16,(SUMPRODUCT((Data!$O$2:$O$2277=A16)*(Data!$M$2:$M$2277="Valerii Zaluzhniy")*ISNUMBER(Data!$N$2:$N$2277)*IF(ISNUMBER(Data!$W$2:$W$2277),Data!$W$2:$W$2277,0)*IF(ISNUMBER(Data!$U$2:$U$2277),Data!$U$2:$U$2277,0))+Formula!$C$29*G15)/(SUMPRODUCT((Data!$O$2:$O$2277=A16)*(Data!$M$2:$M$2277="Valerii Zaluzhniy")*ISNUMBER(Data!$N$2:$N$2277)*IF(ISNUMBER(Data!$U$2:$U$2277),Data!$U$2:$U$2277,0))+Formula!$C$29)),IF(G15&lt;&gt;"",G15,""))</f>
        <v>32.07404803</v>
      </c>
      <c r="H16" s="66" t="str">
        <f t="shared" si="4"/>
        <v/>
      </c>
      <c r="I16" s="66">
        <f>IF(E16&lt;&gt;"",IF(OR(I15="",AND(ABS(IFERROR(SUMPRODUCT((Data!$O$2:$O$2277=A16)*(Data!$M$2:$M$2277="Pyotr Poroshenko")*ISNUMBER(Data!$N$2:$N$2277)*IF(ISNUMBER(Data!$W$2:$W$2277),Data!$W$2:$W$2277,0)*IF(ISNUMBER(Data!$U$2:$U$2277),Data!$U$2:$U$2277,0))/SUMPRODUCT((Data!$O$2:$O$2277=A16)*(Data!$M$2:$M$2277="Pyotr Poroshenko")*ISNUMBER(Data!$N$2:$N$2277)*IF(ISNUMBER(Data!$U$2:$U$2277),Data!$U$2:$U$2277,0)),0)-IF(I15="",0,I15))&gt;Formula!$C$30,SUMPRODUCT((Data!$O$2:$O$2277=A16)*(Data!$M$2:$M$2277="Pyotr Poroshenko")*ISNUMBER(Data!$N$2:$N$2277)*IF(ISNUMBER(Data!$U$2:$U$2277),Data!$U$2:$U$2277,0))&gt;=Formula!$C$31)),E16,(SUMPRODUCT((Data!$O$2:$O$2277=A16)*(Data!$M$2:$M$2277="Pyotr Poroshenko")*ISNUMBER(Data!$N$2:$N$2277)*IF(ISNUMBER(Data!$W$2:$W$2277),Data!$W$2:$W$2277,0)*IF(ISNUMBER(Data!$U$2:$U$2277),Data!$U$2:$U$2277,0))+Formula!$C$29*I15)/(SUMPRODUCT((Data!$O$2:$O$2277=A16)*(Data!$M$2:$M$2277="Pyotr Poroshenko")*ISNUMBER(Data!$N$2:$N$2277)*IF(ISNUMBER(Data!$U$2:$U$2277),Data!$U$2:$U$2277,0))+Formula!$C$29)),IF(I15&lt;&gt;"",I15,""))</f>
        <v>5.460246406</v>
      </c>
      <c r="L16" s="67">
        <f t="shared" ref="L16:O16" si="18">IFERROR((IF(F14&lt;&gt;"",F14*1,0)+IF(F15&lt;&gt;"",F15*2,0)+IF(F16&lt;&gt;"",F16*3,0))/(IF(F14&lt;&gt;"",1,0)+IF(F15&lt;&gt;"",2,0)+IF(F16&lt;&gt;"",3,0)),"")</f>
        <v>72.1569514</v>
      </c>
      <c r="M16" s="67">
        <f t="shared" si="18"/>
        <v>21.50329328</v>
      </c>
      <c r="N16" s="67" t="str">
        <f t="shared" si="18"/>
        <v/>
      </c>
      <c r="O16" s="67">
        <f t="shared" si="18"/>
        <v>5.815967808</v>
      </c>
    </row>
    <row r="17" ht="12.75" customHeight="1">
      <c r="A17" s="68">
        <v>45078.0</v>
      </c>
      <c r="B17" s="69">
        <f>IFERROR(IF(SUMPRODUCT((Data!$O$2:$O$2277=A17)*(Data!$M$2:$M$2277="Vladimir Zelenskiy")*ISNUMBER(Data!$N$2:$N$2277)*IF(ISNUMBER(Data!$U$2:$U$2277),Data!$U$2:$U$2277,0))&gt;0,SUMPRODUCT((Data!$O$2:$O$2277=A17)*(Data!$M$2:$M$2277="Vladimir Zelenskiy")*ISNUMBER(Data!$N$2:$N$2277)*IF(ISNUMBER(Data!$W$2:$W$2277),Data!$W$2:$W$2277,0)*IF(ISNUMBER(Data!$U$2:$U$2277),Data!$U$2:$U$2277,0))/SUMPRODUCT((Data!$O$2:$O$2277=A17)*(Data!$M$2:$M$2277="Vladimir Zelenskiy")*ISNUMBER(Data!$N$2:$N$2277)*IF(ISNUMBER(Data!$U$2:$U$2277),Data!$U$2:$U$2277,0)),""),"")</f>
        <v>61</v>
      </c>
      <c r="C17" s="69">
        <f>IFERROR(IF(SUMPRODUCT((Data!$O$2:$O$2277=A17)*(Data!$M$2:$M$2277="Valerii Zaluzhniy")*ISNUMBER(Data!$N$2:$N$2277)*IF(ISNUMBER(Data!$U$2:$U$2277),Data!$U$2:$U$2277,0))&gt;0,SUMPRODUCT((Data!$O$2:$O$2277=A17)*(Data!$M$2:$M$2277="Valerii Zaluzhniy")*ISNUMBER(Data!$N$2:$N$2277)*IF(ISNUMBER(Data!$W$2:$W$2277),Data!$W$2:$W$2277,0)*IF(ISNUMBER(Data!$U$2:$U$2277),Data!$U$2:$U$2277,0))/SUMPRODUCT((Data!$O$2:$O$2277=A17)*(Data!$M$2:$M$2277="Valerii Zaluzhniy")*ISNUMBER(Data!$N$2:$N$2277)*IF(ISNUMBER(Data!$U$2:$U$2277),Data!$U$2:$U$2277,0)),""),"")</f>
        <v>11</v>
      </c>
      <c r="D17" s="69" t="str">
        <f t="shared" si="3"/>
        <v/>
      </c>
      <c r="E17" s="69">
        <f>IFERROR(IF(SUMPRODUCT((Data!$O$2:$O$2277=A17)*(Data!$M$2:$M$2277="Pyotr Poroshenko")*ISNUMBER(Data!$N$2:$N$2277)*IF(ISNUMBER(Data!$U$2:$U$2277),Data!$U$2:$U$2277,0))&gt;0,SUMPRODUCT((Data!$O$2:$O$2277=A17)*(Data!$M$2:$M$2277="Pyotr Poroshenko")*ISNUMBER(Data!$N$2:$N$2277)*IF(ISNUMBER(Data!$W$2:$W$2277),Data!$W$2:$W$2277,0)*IF(ISNUMBER(Data!$U$2:$U$2277),Data!$U$2:$U$2277,0))/SUMPRODUCT((Data!$O$2:$O$2277=A17)*(Data!$M$2:$M$2277="Pyotr Poroshenko")*ISNUMBER(Data!$N$2:$N$2277)*IF(ISNUMBER(Data!$U$2:$U$2277),Data!$U$2:$U$2277,0)),""),"")</f>
        <v>8</v>
      </c>
      <c r="F17" s="70">
        <f>IF(B17&lt;&gt;"",IF(OR(F16="",AND(ABS(IFERROR(SUMPRODUCT((Data!$O$2:$O$2277=A17)*(Data!$M$2:$M$2277="Vladimir Zelenskiy")*ISNUMBER(Data!$N$2:$N$2277)*IF(ISNUMBER(Data!$W$2:$W$2277),Data!$W$2:$W$2277,0)*IF(ISNUMBER(Data!$U$2:$U$2277),Data!$U$2:$U$2277,0))/SUMPRODUCT((Data!$O$2:$O$2277=A17)*(Data!$M$2:$M$2277="Vladimir Zelenskiy")*ISNUMBER(Data!$N$2:$N$2277)*IF(ISNUMBER(Data!$U$2:$U$2277),Data!$U$2:$U$2277,0)),0)-IF(F16="",0,F16))&gt;Formula!$C$30,SUMPRODUCT((Data!$O$2:$O$2277=A17)*(Data!$M$2:$M$2277="Vladimir Zelenskiy")*ISNUMBER(Data!$N$2:$N$2277)*IF(ISNUMBER(Data!$U$2:$U$2277),Data!$U$2:$U$2277,0))&gt;=Formula!$C$31)),B17,(SUMPRODUCT((Data!$O$2:$O$2277=A17)*(Data!$M$2:$M$2277="Vladimir Zelenskiy")*ISNUMBER(Data!$N$2:$N$2277)*IF(ISNUMBER(Data!$W$2:$W$2277),Data!$W$2:$W$2277,0)*IF(ISNUMBER(Data!$U$2:$U$2277),Data!$U$2:$U$2277,0))+Formula!$C$29*F16)/(SUMPRODUCT((Data!$O$2:$O$2277=A17)*(Data!$M$2:$M$2277="Vladimir Zelenskiy")*ISNUMBER(Data!$N$2:$N$2277)*IF(ISNUMBER(Data!$U$2:$U$2277),Data!$U$2:$U$2277,0))+Formula!$C$29)),IF(F16&lt;&gt;"",F16,""))</f>
        <v>69.11385713</v>
      </c>
      <c r="G17" s="70">
        <f>IF(C17&lt;&gt;"",IF(OR(G16="",AND(ABS(IFERROR(SUMPRODUCT((Data!$O$2:$O$2277=A17)*(Data!$M$2:$M$2277="Valerii Zaluzhniy")*ISNUMBER(Data!$N$2:$N$2277)*IF(ISNUMBER(Data!$W$2:$W$2277),Data!$W$2:$W$2277,0)*IF(ISNUMBER(Data!$U$2:$U$2277),Data!$U$2:$U$2277,0))/SUMPRODUCT((Data!$O$2:$O$2277=A17)*(Data!$M$2:$M$2277="Valerii Zaluzhniy")*ISNUMBER(Data!$N$2:$N$2277)*IF(ISNUMBER(Data!$U$2:$U$2277),Data!$U$2:$U$2277,0)),0)-IF(G16="",0,G16))&gt;Formula!$C$30,SUMPRODUCT((Data!$O$2:$O$2277=A17)*(Data!$M$2:$M$2277="Valerii Zaluzhniy")*ISNUMBER(Data!$N$2:$N$2277)*IF(ISNUMBER(Data!$U$2:$U$2277),Data!$U$2:$U$2277,0))&gt;=Formula!$C$31)),C17,(SUMPRODUCT((Data!$O$2:$O$2277=A17)*(Data!$M$2:$M$2277="Valerii Zaluzhniy")*ISNUMBER(Data!$N$2:$N$2277)*IF(ISNUMBER(Data!$W$2:$W$2277),Data!$W$2:$W$2277,0)*IF(ISNUMBER(Data!$U$2:$U$2277),Data!$U$2:$U$2277,0))+Formula!$C$29*G16)/(SUMPRODUCT((Data!$O$2:$O$2277=A17)*(Data!$M$2:$M$2277="Valerii Zaluzhniy")*ISNUMBER(Data!$N$2:$N$2277)*IF(ISNUMBER(Data!$U$2:$U$2277),Data!$U$2:$U$2277,0))+Formula!$C$29)),IF(G16&lt;&gt;"",G16,""))</f>
        <v>27.02971511</v>
      </c>
      <c r="H17" s="70" t="str">
        <f t="shared" si="4"/>
        <v/>
      </c>
      <c r="I17" s="70">
        <f>IF(E17&lt;&gt;"",IF(OR(I16="",AND(ABS(IFERROR(SUMPRODUCT((Data!$O$2:$O$2277=A17)*(Data!$M$2:$M$2277="Pyotr Poroshenko")*ISNUMBER(Data!$N$2:$N$2277)*IF(ISNUMBER(Data!$W$2:$W$2277),Data!$W$2:$W$2277,0)*IF(ISNUMBER(Data!$U$2:$U$2277),Data!$U$2:$U$2277,0))/SUMPRODUCT((Data!$O$2:$O$2277=A17)*(Data!$M$2:$M$2277="Pyotr Poroshenko")*ISNUMBER(Data!$N$2:$N$2277)*IF(ISNUMBER(Data!$U$2:$U$2277),Data!$U$2:$U$2277,0)),0)-IF(I16="",0,I16))&gt;Formula!$C$30,SUMPRODUCT((Data!$O$2:$O$2277=A17)*(Data!$M$2:$M$2277="Pyotr Poroshenko")*ISNUMBER(Data!$N$2:$N$2277)*IF(ISNUMBER(Data!$U$2:$U$2277),Data!$U$2:$U$2277,0))&gt;=Formula!$C$31)),E17,(SUMPRODUCT((Data!$O$2:$O$2277=A17)*(Data!$M$2:$M$2277="Pyotr Poroshenko")*ISNUMBER(Data!$N$2:$N$2277)*IF(ISNUMBER(Data!$W$2:$W$2277),Data!$W$2:$W$2277,0)*IF(ISNUMBER(Data!$U$2:$U$2277),Data!$U$2:$U$2277,0))+Formula!$C$29*I16)/(SUMPRODUCT((Data!$O$2:$O$2277=A17)*(Data!$M$2:$M$2277="Pyotr Poroshenko")*ISNUMBER(Data!$N$2:$N$2277)*IF(ISNUMBER(Data!$U$2:$U$2277),Data!$U$2:$U$2277,0))+Formula!$C$29)),IF(I16&lt;&gt;"",I16,""))</f>
        <v>6.068167705</v>
      </c>
      <c r="L17" s="71">
        <f t="shared" ref="L17:O17" si="19">IFERROR((IF(F15&lt;&gt;"",F15*1,0)+IF(F16&lt;&gt;"",F16*2,0)+IF(F17&lt;&gt;"",F17*3,0))/(IF(F15&lt;&gt;"",1,0)+IF(F16&lt;&gt;"",2,0)+IF(F17&lt;&gt;"",3,0)),"")</f>
        <v>70.48865299</v>
      </c>
      <c r="M17" s="71">
        <f t="shared" si="19"/>
        <v>26.03738754</v>
      </c>
      <c r="N17" s="71" t="str">
        <f t="shared" si="19"/>
        <v/>
      </c>
      <c r="O17" s="71">
        <f t="shared" si="19"/>
        <v>5.88983505</v>
      </c>
    </row>
    <row r="18" ht="12.75" customHeight="1">
      <c r="A18" s="64">
        <v>45108.0</v>
      </c>
      <c r="B18" s="65">
        <f>IFERROR(IF(SUMPRODUCT((Data!$O$2:$O$2277=A18)*(Data!$M$2:$M$2277="Vladimir Zelenskiy")*ISNUMBER(Data!$N$2:$N$2277)*IF(ISNUMBER(Data!$U$2:$U$2277),Data!$U$2:$U$2277,0))&gt;0,SUMPRODUCT((Data!$O$2:$O$2277=A18)*(Data!$M$2:$M$2277="Vladimir Zelenskiy")*ISNUMBER(Data!$N$2:$N$2277)*IF(ISNUMBER(Data!$W$2:$W$2277),Data!$W$2:$W$2277,0)*IF(ISNUMBER(Data!$U$2:$U$2277),Data!$U$2:$U$2277,0))/SUMPRODUCT((Data!$O$2:$O$2277=A18)*(Data!$M$2:$M$2277="Vladimir Zelenskiy")*ISNUMBER(Data!$N$2:$N$2277)*IF(ISNUMBER(Data!$U$2:$U$2277),Data!$U$2:$U$2277,0)),""),"")</f>
        <v>78</v>
      </c>
      <c r="C18" s="65" t="str">
        <f>IFERROR(IF(SUMPRODUCT((Data!$O$2:$O$2277=A18)*(Data!$M$2:$M$2277="Valerii Zaluzhniy")*ISNUMBER(Data!$N$2:$N$2277)*IF(ISNUMBER(Data!$U$2:$U$2277),Data!$U$2:$U$2277,0))&gt;0,SUMPRODUCT((Data!$O$2:$O$2277=A18)*(Data!$M$2:$M$2277="Valerii Zaluzhniy")*ISNUMBER(Data!$N$2:$N$2277)*IF(ISNUMBER(Data!$W$2:$W$2277),Data!$W$2:$W$2277,0)*IF(ISNUMBER(Data!$U$2:$U$2277),Data!$U$2:$U$2277,0))/SUMPRODUCT((Data!$O$2:$O$2277=A18)*(Data!$M$2:$M$2277="Valerii Zaluzhniy")*ISNUMBER(Data!$N$2:$N$2277)*IF(ISNUMBER(Data!$U$2:$U$2277),Data!$U$2:$U$2277,0)),""),"")</f>
        <v/>
      </c>
      <c r="D18" s="65" t="str">
        <f t="shared" si="3"/>
        <v/>
      </c>
      <c r="E18" s="65">
        <f>IFERROR(IF(SUMPRODUCT((Data!$O$2:$O$2277=A18)*(Data!$M$2:$M$2277="Pyotr Poroshenko")*ISNUMBER(Data!$N$2:$N$2277)*IF(ISNUMBER(Data!$U$2:$U$2277),Data!$U$2:$U$2277,0))&gt;0,SUMPRODUCT((Data!$O$2:$O$2277=A18)*(Data!$M$2:$M$2277="Pyotr Poroshenko")*ISNUMBER(Data!$N$2:$N$2277)*IF(ISNUMBER(Data!$W$2:$W$2277),Data!$W$2:$W$2277,0)*IF(ISNUMBER(Data!$U$2:$U$2277),Data!$U$2:$U$2277,0))/SUMPRODUCT((Data!$O$2:$O$2277=A18)*(Data!$M$2:$M$2277="Pyotr Poroshenko")*ISNUMBER(Data!$N$2:$N$2277)*IF(ISNUMBER(Data!$U$2:$U$2277),Data!$U$2:$U$2277,0)),""),"")</f>
        <v>9.7</v>
      </c>
      <c r="F18" s="66">
        <f>IF(B18&lt;&gt;"",IF(OR(F17="",AND(ABS(IFERROR(SUMPRODUCT((Data!$O$2:$O$2277=A18)*(Data!$M$2:$M$2277="Vladimir Zelenskiy")*ISNUMBER(Data!$N$2:$N$2277)*IF(ISNUMBER(Data!$W$2:$W$2277),Data!$W$2:$W$2277,0)*IF(ISNUMBER(Data!$U$2:$U$2277),Data!$U$2:$U$2277,0))/SUMPRODUCT((Data!$O$2:$O$2277=A18)*(Data!$M$2:$M$2277="Vladimir Zelenskiy")*ISNUMBER(Data!$N$2:$N$2277)*IF(ISNUMBER(Data!$U$2:$U$2277),Data!$U$2:$U$2277,0)),0)-IF(F17="",0,F17))&gt;Formula!$C$30,SUMPRODUCT((Data!$O$2:$O$2277=A18)*(Data!$M$2:$M$2277="Vladimir Zelenskiy")*ISNUMBER(Data!$N$2:$N$2277)*IF(ISNUMBER(Data!$U$2:$U$2277),Data!$U$2:$U$2277,0))&gt;=Formula!$C$31)),B18,(SUMPRODUCT((Data!$O$2:$O$2277=A18)*(Data!$M$2:$M$2277="Vladimir Zelenskiy")*ISNUMBER(Data!$N$2:$N$2277)*IF(ISNUMBER(Data!$W$2:$W$2277),Data!$W$2:$W$2277,0)*IF(ISNUMBER(Data!$U$2:$U$2277),Data!$U$2:$U$2277,0))+Formula!$C$29*F17)/(SUMPRODUCT((Data!$O$2:$O$2277=A18)*(Data!$M$2:$M$2277="Vladimir Zelenskiy")*ISNUMBER(Data!$N$2:$N$2277)*IF(ISNUMBER(Data!$U$2:$U$2277),Data!$U$2:$U$2277,0))+Formula!$C$29)),IF(F17&lt;&gt;"",F17,""))</f>
        <v>72.04835242</v>
      </c>
      <c r="G18" s="66">
        <f>IF(C18&lt;&gt;"",IF(OR(G17="",AND(ABS(IFERROR(SUMPRODUCT((Data!$O$2:$O$2277=A18)*(Data!$M$2:$M$2277="Valerii Zaluzhniy")*ISNUMBER(Data!$N$2:$N$2277)*IF(ISNUMBER(Data!$W$2:$W$2277),Data!$W$2:$W$2277,0)*IF(ISNUMBER(Data!$U$2:$U$2277),Data!$U$2:$U$2277,0))/SUMPRODUCT((Data!$O$2:$O$2277=A18)*(Data!$M$2:$M$2277="Valerii Zaluzhniy")*ISNUMBER(Data!$N$2:$N$2277)*IF(ISNUMBER(Data!$U$2:$U$2277),Data!$U$2:$U$2277,0)),0)-IF(G17="",0,G17))&gt;Formula!$C$30,SUMPRODUCT((Data!$O$2:$O$2277=A18)*(Data!$M$2:$M$2277="Valerii Zaluzhniy")*ISNUMBER(Data!$N$2:$N$2277)*IF(ISNUMBER(Data!$U$2:$U$2277),Data!$U$2:$U$2277,0))&gt;=Formula!$C$31)),C18,(SUMPRODUCT((Data!$O$2:$O$2277=A18)*(Data!$M$2:$M$2277="Valerii Zaluzhniy")*ISNUMBER(Data!$N$2:$N$2277)*IF(ISNUMBER(Data!$W$2:$W$2277),Data!$W$2:$W$2277,0)*IF(ISNUMBER(Data!$U$2:$U$2277),Data!$U$2:$U$2277,0))+Formula!$C$29*G17)/(SUMPRODUCT((Data!$O$2:$O$2277=A18)*(Data!$M$2:$M$2277="Valerii Zaluzhniy")*ISNUMBER(Data!$N$2:$N$2277)*IF(ISNUMBER(Data!$U$2:$U$2277),Data!$U$2:$U$2277,0))+Formula!$C$29)),IF(G17&lt;&gt;"",G17,""))</f>
        <v>27.02971511</v>
      </c>
      <c r="H18" s="66" t="str">
        <f t="shared" si="4"/>
        <v/>
      </c>
      <c r="I18" s="66">
        <f>IF(E18&lt;&gt;"",IF(OR(I17="",AND(ABS(IFERROR(SUMPRODUCT((Data!$O$2:$O$2277=A18)*(Data!$M$2:$M$2277="Pyotr Poroshenko")*ISNUMBER(Data!$N$2:$N$2277)*IF(ISNUMBER(Data!$W$2:$W$2277),Data!$W$2:$W$2277,0)*IF(ISNUMBER(Data!$U$2:$U$2277),Data!$U$2:$U$2277,0))/SUMPRODUCT((Data!$O$2:$O$2277=A18)*(Data!$M$2:$M$2277="Pyotr Poroshenko")*ISNUMBER(Data!$N$2:$N$2277)*IF(ISNUMBER(Data!$U$2:$U$2277),Data!$U$2:$U$2277,0)),0)-IF(I17="",0,I17))&gt;Formula!$C$30,SUMPRODUCT((Data!$O$2:$O$2277=A18)*(Data!$M$2:$M$2277="Pyotr Poroshenko")*ISNUMBER(Data!$N$2:$N$2277)*IF(ISNUMBER(Data!$U$2:$U$2277),Data!$U$2:$U$2277,0))&gt;=Formula!$C$31)),E18,(SUMPRODUCT((Data!$O$2:$O$2277=A18)*(Data!$M$2:$M$2277="Pyotr Poroshenko")*ISNUMBER(Data!$N$2:$N$2277)*IF(ISNUMBER(Data!$W$2:$W$2277),Data!$W$2:$W$2277,0)*IF(ISNUMBER(Data!$U$2:$U$2277),Data!$U$2:$U$2277,0))+Formula!$C$29*I17)/(SUMPRODUCT((Data!$O$2:$O$2277=A18)*(Data!$M$2:$M$2277="Pyotr Poroshenko")*ISNUMBER(Data!$N$2:$N$2277)*IF(ISNUMBER(Data!$U$2:$U$2277),Data!$U$2:$U$2277,0))+Formula!$C$29)),IF(I17&lt;&gt;"",I17,""))</f>
        <v>7.267517628</v>
      </c>
      <c r="L18" s="67">
        <f t="shared" ref="L18:O18" si="20">IFERROR((IF(F16&lt;&gt;"",F16*1,0)+IF(F17&lt;&gt;"",F17*2,0)+IF(F18&lt;&gt;"",F18*3,0))/(IF(F16&lt;&gt;"",1,0)+IF(F17&lt;&gt;"",2,0)+IF(F18&lt;&gt;"",3,0)),"")</f>
        <v>71.00665815</v>
      </c>
      <c r="M18" s="67">
        <f t="shared" si="20"/>
        <v>27.87043727</v>
      </c>
      <c r="N18" s="67" t="str">
        <f t="shared" si="20"/>
        <v/>
      </c>
      <c r="O18" s="67">
        <f t="shared" si="20"/>
        <v>6.56652245</v>
      </c>
    </row>
    <row r="19" ht="12.75" customHeight="1">
      <c r="A19" s="68">
        <v>45139.0</v>
      </c>
      <c r="B19" s="69">
        <f>IFERROR(IF(SUMPRODUCT((Data!$O$2:$O$2277=A19)*(Data!$M$2:$M$2277="Vladimir Zelenskiy")*ISNUMBER(Data!$N$2:$N$2277)*IF(ISNUMBER(Data!$U$2:$U$2277),Data!$U$2:$U$2277,0))&gt;0,SUMPRODUCT((Data!$O$2:$O$2277=A19)*(Data!$M$2:$M$2277="Vladimir Zelenskiy")*ISNUMBER(Data!$N$2:$N$2277)*IF(ISNUMBER(Data!$W$2:$W$2277),Data!$W$2:$W$2277,0)*IF(ISNUMBER(Data!$U$2:$U$2277),Data!$U$2:$U$2277,0))/SUMPRODUCT((Data!$O$2:$O$2277=A19)*(Data!$M$2:$M$2277="Vladimir Zelenskiy")*ISNUMBER(Data!$N$2:$N$2277)*IF(ISNUMBER(Data!$U$2:$U$2277),Data!$U$2:$U$2277,0)),""),"")</f>
        <v>55</v>
      </c>
      <c r="C19" s="69">
        <f>IFERROR(IF(SUMPRODUCT((Data!$O$2:$O$2277=A19)*(Data!$M$2:$M$2277="Valerii Zaluzhniy")*ISNUMBER(Data!$N$2:$N$2277)*IF(ISNUMBER(Data!$U$2:$U$2277),Data!$U$2:$U$2277,0))&gt;0,SUMPRODUCT((Data!$O$2:$O$2277=A19)*(Data!$M$2:$M$2277="Valerii Zaluzhniy")*ISNUMBER(Data!$N$2:$N$2277)*IF(ISNUMBER(Data!$W$2:$W$2277),Data!$W$2:$W$2277,0)*IF(ISNUMBER(Data!$U$2:$U$2277),Data!$U$2:$U$2277,0))/SUMPRODUCT((Data!$O$2:$O$2277=A19)*(Data!$M$2:$M$2277="Valerii Zaluzhniy")*ISNUMBER(Data!$N$2:$N$2277)*IF(ISNUMBER(Data!$U$2:$U$2277),Data!$U$2:$U$2277,0)),""),"")</f>
        <v>18</v>
      </c>
      <c r="D19" s="69" t="str">
        <f t="shared" si="3"/>
        <v/>
      </c>
      <c r="E19" s="69">
        <f>IFERROR(IF(SUMPRODUCT((Data!$O$2:$O$2277=A19)*(Data!$M$2:$M$2277="Pyotr Poroshenko")*ISNUMBER(Data!$N$2:$N$2277)*IF(ISNUMBER(Data!$U$2:$U$2277),Data!$U$2:$U$2277,0))&gt;0,SUMPRODUCT((Data!$O$2:$O$2277=A19)*(Data!$M$2:$M$2277="Pyotr Poroshenko")*ISNUMBER(Data!$N$2:$N$2277)*IF(ISNUMBER(Data!$W$2:$W$2277),Data!$W$2:$W$2277,0)*IF(ISNUMBER(Data!$U$2:$U$2277),Data!$U$2:$U$2277,0))/SUMPRODUCT((Data!$O$2:$O$2277=A19)*(Data!$M$2:$M$2277="Pyotr Poroshenko")*ISNUMBER(Data!$N$2:$N$2277)*IF(ISNUMBER(Data!$U$2:$U$2277),Data!$U$2:$U$2277,0)),""),"")</f>
        <v>7</v>
      </c>
      <c r="F19" s="70">
        <f>IF(B19&lt;&gt;"",IF(OR(F18="",AND(ABS(IFERROR(SUMPRODUCT((Data!$O$2:$O$2277=A19)*(Data!$M$2:$M$2277="Vladimir Zelenskiy")*ISNUMBER(Data!$N$2:$N$2277)*IF(ISNUMBER(Data!$W$2:$W$2277),Data!$W$2:$W$2277,0)*IF(ISNUMBER(Data!$U$2:$U$2277),Data!$U$2:$U$2277,0))/SUMPRODUCT((Data!$O$2:$O$2277=A19)*(Data!$M$2:$M$2277="Vladimir Zelenskiy")*ISNUMBER(Data!$N$2:$N$2277)*IF(ISNUMBER(Data!$U$2:$U$2277),Data!$U$2:$U$2277,0)),0)-IF(F18="",0,F18))&gt;Formula!$C$30,SUMPRODUCT((Data!$O$2:$O$2277=A19)*(Data!$M$2:$M$2277="Vladimir Zelenskiy")*ISNUMBER(Data!$N$2:$N$2277)*IF(ISNUMBER(Data!$U$2:$U$2277),Data!$U$2:$U$2277,0))&gt;=Formula!$C$31)),B19,(SUMPRODUCT((Data!$O$2:$O$2277=A19)*(Data!$M$2:$M$2277="Vladimir Zelenskiy")*ISNUMBER(Data!$N$2:$N$2277)*IF(ISNUMBER(Data!$W$2:$W$2277),Data!$W$2:$W$2277,0)*IF(ISNUMBER(Data!$U$2:$U$2277),Data!$U$2:$U$2277,0))+Formula!$C$29*F18)/(SUMPRODUCT((Data!$O$2:$O$2277=A19)*(Data!$M$2:$M$2277="Vladimir Zelenskiy")*ISNUMBER(Data!$N$2:$N$2277)*IF(ISNUMBER(Data!$U$2:$U$2277),Data!$U$2:$U$2277,0))+Formula!$C$29)),IF(F18&lt;&gt;"",F18,""))</f>
        <v>69.3159172</v>
      </c>
      <c r="G19" s="70">
        <f>IF(C19&lt;&gt;"",IF(OR(G18="",AND(ABS(IFERROR(SUMPRODUCT((Data!$O$2:$O$2277=A19)*(Data!$M$2:$M$2277="Valerii Zaluzhniy")*ISNUMBER(Data!$N$2:$N$2277)*IF(ISNUMBER(Data!$W$2:$W$2277),Data!$W$2:$W$2277,0)*IF(ISNUMBER(Data!$U$2:$U$2277),Data!$U$2:$U$2277,0))/SUMPRODUCT((Data!$O$2:$O$2277=A19)*(Data!$M$2:$M$2277="Valerii Zaluzhniy")*ISNUMBER(Data!$N$2:$N$2277)*IF(ISNUMBER(Data!$U$2:$U$2277),Data!$U$2:$U$2277,0)),0)-IF(G18="",0,G18))&gt;Formula!$C$30,SUMPRODUCT((Data!$O$2:$O$2277=A19)*(Data!$M$2:$M$2277="Valerii Zaluzhniy")*ISNUMBER(Data!$N$2:$N$2277)*IF(ISNUMBER(Data!$U$2:$U$2277),Data!$U$2:$U$2277,0))&gt;=Formula!$C$31)),C19,(SUMPRODUCT((Data!$O$2:$O$2277=A19)*(Data!$M$2:$M$2277="Valerii Zaluzhniy")*ISNUMBER(Data!$N$2:$N$2277)*IF(ISNUMBER(Data!$W$2:$W$2277),Data!$W$2:$W$2277,0)*IF(ISNUMBER(Data!$U$2:$U$2277),Data!$U$2:$U$2277,0))+Formula!$C$29*G18)/(SUMPRODUCT((Data!$O$2:$O$2277=A19)*(Data!$M$2:$M$2277="Valerii Zaluzhniy")*ISNUMBER(Data!$N$2:$N$2277)*IF(ISNUMBER(Data!$U$2:$U$2277),Data!$U$2:$U$2277,0))+Formula!$C$29)),IF(G18&lt;&gt;"",G18,""))</f>
        <v>25.58247195</v>
      </c>
      <c r="H19" s="70" t="str">
        <f t="shared" si="4"/>
        <v/>
      </c>
      <c r="I19" s="70">
        <f>IF(E19&lt;&gt;"",IF(OR(I18="",AND(ABS(IFERROR(SUMPRODUCT((Data!$O$2:$O$2277=A19)*(Data!$M$2:$M$2277="Pyotr Poroshenko")*ISNUMBER(Data!$N$2:$N$2277)*IF(ISNUMBER(Data!$W$2:$W$2277),Data!$W$2:$W$2277,0)*IF(ISNUMBER(Data!$U$2:$U$2277),Data!$U$2:$U$2277,0))/SUMPRODUCT((Data!$O$2:$O$2277=A19)*(Data!$M$2:$M$2277="Pyotr Poroshenko")*ISNUMBER(Data!$N$2:$N$2277)*IF(ISNUMBER(Data!$U$2:$U$2277),Data!$U$2:$U$2277,0)),0)-IF(I18="",0,I18))&gt;Formula!$C$30,SUMPRODUCT((Data!$O$2:$O$2277=A19)*(Data!$M$2:$M$2277="Pyotr Poroshenko")*ISNUMBER(Data!$N$2:$N$2277)*IF(ISNUMBER(Data!$U$2:$U$2277),Data!$U$2:$U$2277,0))&gt;=Formula!$C$31)),E19,(SUMPRODUCT((Data!$O$2:$O$2277=A19)*(Data!$M$2:$M$2277="Pyotr Poroshenko")*ISNUMBER(Data!$N$2:$N$2277)*IF(ISNUMBER(Data!$W$2:$W$2277),Data!$W$2:$W$2277,0)*IF(ISNUMBER(Data!$U$2:$U$2277),Data!$U$2:$U$2277,0))+Formula!$C$29*I18)/(SUMPRODUCT((Data!$O$2:$O$2277=A19)*(Data!$M$2:$M$2277="Pyotr Poroshenko")*ISNUMBER(Data!$N$2:$N$2277)*IF(ISNUMBER(Data!$U$2:$U$2277),Data!$U$2:$U$2277,0))+Formula!$C$29)),IF(I18&lt;&gt;"",I18,""))</f>
        <v>7.224641075</v>
      </c>
      <c r="L19" s="71">
        <f t="shared" ref="L19:O19" si="21">IFERROR((IF(F17&lt;&gt;"",F17*1,0)+IF(F18&lt;&gt;"",F18*2,0)+IF(F19&lt;&gt;"",F19*3,0))/(IF(F17&lt;&gt;"",1,0)+IF(F18&lt;&gt;"",2,0)+IF(F19&lt;&gt;"",3,0)),"")</f>
        <v>70.19305226</v>
      </c>
      <c r="M19" s="71">
        <f t="shared" si="21"/>
        <v>26.30609353</v>
      </c>
      <c r="N19" s="71" t="str">
        <f t="shared" si="21"/>
        <v/>
      </c>
      <c r="O19" s="71">
        <f t="shared" si="21"/>
        <v>7.046187698</v>
      </c>
    </row>
    <row r="20" ht="12.75" customHeight="1">
      <c r="A20" s="64">
        <v>45170.0</v>
      </c>
      <c r="B20" s="65">
        <f>IFERROR(IF(SUMPRODUCT((Data!$O$2:$O$2277=A20)*(Data!$M$2:$M$2277="Vladimir Zelenskiy")*ISNUMBER(Data!$N$2:$N$2277)*IF(ISNUMBER(Data!$U$2:$U$2277),Data!$U$2:$U$2277,0))&gt;0,SUMPRODUCT((Data!$O$2:$O$2277=A20)*(Data!$M$2:$M$2277="Vladimir Zelenskiy")*ISNUMBER(Data!$N$2:$N$2277)*IF(ISNUMBER(Data!$W$2:$W$2277),Data!$W$2:$W$2277,0)*IF(ISNUMBER(Data!$U$2:$U$2277),Data!$U$2:$U$2277,0))/SUMPRODUCT((Data!$O$2:$O$2277=A20)*(Data!$M$2:$M$2277="Vladimir Zelenskiy")*ISNUMBER(Data!$N$2:$N$2277)*IF(ISNUMBER(Data!$U$2:$U$2277),Data!$U$2:$U$2277,0)),""),"")</f>
        <v>54</v>
      </c>
      <c r="C20" s="65">
        <f>IFERROR(IF(SUMPRODUCT((Data!$O$2:$O$2277=A20)*(Data!$M$2:$M$2277="Valerii Zaluzhniy")*ISNUMBER(Data!$N$2:$N$2277)*IF(ISNUMBER(Data!$U$2:$U$2277),Data!$U$2:$U$2277,0))&gt;0,SUMPRODUCT((Data!$O$2:$O$2277=A20)*(Data!$M$2:$M$2277="Valerii Zaluzhniy")*ISNUMBER(Data!$N$2:$N$2277)*IF(ISNUMBER(Data!$W$2:$W$2277),Data!$W$2:$W$2277,0)*IF(ISNUMBER(Data!$U$2:$U$2277),Data!$U$2:$U$2277,0))/SUMPRODUCT((Data!$O$2:$O$2277=A20)*(Data!$M$2:$M$2277="Valerii Zaluzhniy")*ISNUMBER(Data!$N$2:$N$2277)*IF(ISNUMBER(Data!$U$2:$U$2277),Data!$U$2:$U$2277,0)),""),"")</f>
        <v>17</v>
      </c>
      <c r="D20" s="65" t="str">
        <f t="shared" si="3"/>
        <v/>
      </c>
      <c r="E20" s="65">
        <f>IFERROR(IF(SUMPRODUCT((Data!$O$2:$O$2277=A20)*(Data!$M$2:$M$2277="Pyotr Poroshenko")*ISNUMBER(Data!$N$2:$N$2277)*IF(ISNUMBER(Data!$U$2:$U$2277),Data!$U$2:$U$2277,0))&gt;0,SUMPRODUCT((Data!$O$2:$O$2277=A20)*(Data!$M$2:$M$2277="Pyotr Poroshenko")*ISNUMBER(Data!$N$2:$N$2277)*IF(ISNUMBER(Data!$W$2:$W$2277),Data!$W$2:$W$2277,0)*IF(ISNUMBER(Data!$U$2:$U$2277),Data!$U$2:$U$2277,0))/SUMPRODUCT((Data!$O$2:$O$2277=A20)*(Data!$M$2:$M$2277="Pyotr Poroshenko")*ISNUMBER(Data!$N$2:$N$2277)*IF(ISNUMBER(Data!$U$2:$U$2277),Data!$U$2:$U$2277,0)),""),"")</f>
        <v>7</v>
      </c>
      <c r="F20" s="66">
        <f>IF(B20&lt;&gt;"",IF(OR(F19="",AND(ABS(IFERROR(SUMPRODUCT((Data!$O$2:$O$2277=A20)*(Data!$M$2:$M$2277="Vladimir Zelenskiy")*ISNUMBER(Data!$N$2:$N$2277)*IF(ISNUMBER(Data!$W$2:$W$2277),Data!$W$2:$W$2277,0)*IF(ISNUMBER(Data!$U$2:$U$2277),Data!$U$2:$U$2277,0))/SUMPRODUCT((Data!$O$2:$O$2277=A20)*(Data!$M$2:$M$2277="Vladimir Zelenskiy")*ISNUMBER(Data!$N$2:$N$2277)*IF(ISNUMBER(Data!$U$2:$U$2277),Data!$U$2:$U$2277,0)),0)-IF(F19="",0,F19))&gt;Formula!$C$30,SUMPRODUCT((Data!$O$2:$O$2277=A20)*(Data!$M$2:$M$2277="Vladimir Zelenskiy")*ISNUMBER(Data!$N$2:$N$2277)*IF(ISNUMBER(Data!$U$2:$U$2277),Data!$U$2:$U$2277,0))&gt;=Formula!$C$31)),B20,(SUMPRODUCT((Data!$O$2:$O$2277=A20)*(Data!$M$2:$M$2277="Vladimir Zelenskiy")*ISNUMBER(Data!$N$2:$N$2277)*IF(ISNUMBER(Data!$W$2:$W$2277),Data!$W$2:$W$2277,0)*IF(ISNUMBER(Data!$U$2:$U$2277),Data!$U$2:$U$2277,0))+Formula!$C$29*F19)/(SUMPRODUCT((Data!$O$2:$O$2277=A20)*(Data!$M$2:$M$2277="Vladimir Zelenskiy")*ISNUMBER(Data!$N$2:$N$2277)*IF(ISNUMBER(Data!$U$2:$U$2277),Data!$U$2:$U$2277,0))+Formula!$C$29)),IF(F19&lt;&gt;"",F19,""))</f>
        <v>66.42040527</v>
      </c>
      <c r="G20" s="66">
        <f>IF(C20&lt;&gt;"",IF(OR(G19="",AND(ABS(IFERROR(SUMPRODUCT((Data!$O$2:$O$2277=A20)*(Data!$M$2:$M$2277="Valerii Zaluzhniy")*ISNUMBER(Data!$N$2:$N$2277)*IF(ISNUMBER(Data!$W$2:$W$2277),Data!$W$2:$W$2277,0)*IF(ISNUMBER(Data!$U$2:$U$2277),Data!$U$2:$U$2277,0))/SUMPRODUCT((Data!$O$2:$O$2277=A20)*(Data!$M$2:$M$2277="Valerii Zaluzhniy")*ISNUMBER(Data!$N$2:$N$2277)*IF(ISNUMBER(Data!$U$2:$U$2277),Data!$U$2:$U$2277,0)),0)-IF(G19="",0,G19))&gt;Formula!$C$30,SUMPRODUCT((Data!$O$2:$O$2277=A20)*(Data!$M$2:$M$2277="Valerii Zaluzhniy")*ISNUMBER(Data!$N$2:$N$2277)*IF(ISNUMBER(Data!$U$2:$U$2277),Data!$U$2:$U$2277,0))&gt;=Formula!$C$31)),C20,(SUMPRODUCT((Data!$O$2:$O$2277=A20)*(Data!$M$2:$M$2277="Valerii Zaluzhniy")*ISNUMBER(Data!$N$2:$N$2277)*IF(ISNUMBER(Data!$W$2:$W$2277),Data!$W$2:$W$2277,0)*IF(ISNUMBER(Data!$U$2:$U$2277),Data!$U$2:$U$2277,0))+Formula!$C$29*G19)/(SUMPRODUCT((Data!$O$2:$O$2277=A20)*(Data!$M$2:$M$2277="Valerii Zaluzhniy")*ISNUMBER(Data!$N$2:$N$2277)*IF(ISNUMBER(Data!$U$2:$U$2277),Data!$U$2:$U$2277,0))+Formula!$C$29)),IF(G19&lt;&gt;"",G19,""))</f>
        <v>23.95993445</v>
      </c>
      <c r="H20" s="66" t="str">
        <f t="shared" si="4"/>
        <v/>
      </c>
      <c r="I20" s="66">
        <f>IF(E20&lt;&gt;"",IF(OR(I19="",AND(ABS(IFERROR(SUMPRODUCT((Data!$O$2:$O$2277=A20)*(Data!$M$2:$M$2277="Pyotr Poroshenko")*ISNUMBER(Data!$N$2:$N$2277)*IF(ISNUMBER(Data!$W$2:$W$2277),Data!$W$2:$W$2277,0)*IF(ISNUMBER(Data!$U$2:$U$2277),Data!$U$2:$U$2277,0))/SUMPRODUCT((Data!$O$2:$O$2277=A20)*(Data!$M$2:$M$2277="Pyotr Poroshenko")*ISNUMBER(Data!$N$2:$N$2277)*IF(ISNUMBER(Data!$U$2:$U$2277),Data!$U$2:$U$2277,0)),0)-IF(I19="",0,I19))&gt;Formula!$C$30,SUMPRODUCT((Data!$O$2:$O$2277=A20)*(Data!$M$2:$M$2277="Pyotr Poroshenko")*ISNUMBER(Data!$N$2:$N$2277)*IF(ISNUMBER(Data!$U$2:$U$2277),Data!$U$2:$U$2277,0))&gt;=Formula!$C$31)),E20,(SUMPRODUCT((Data!$O$2:$O$2277=A20)*(Data!$M$2:$M$2277="Pyotr Poroshenko")*ISNUMBER(Data!$N$2:$N$2277)*IF(ISNUMBER(Data!$W$2:$W$2277),Data!$W$2:$W$2277,0)*IF(ISNUMBER(Data!$U$2:$U$2277),Data!$U$2:$U$2277,0))+Formula!$C$29*I19)/(SUMPRODUCT((Data!$O$2:$O$2277=A20)*(Data!$M$2:$M$2277="Pyotr Poroshenko")*ISNUMBER(Data!$N$2:$N$2277)*IF(ISNUMBER(Data!$U$2:$U$2277),Data!$U$2:$U$2277,0))+Formula!$C$29)),IF(I19&lt;&gt;"",I19,""))</f>
        <v>7.182172126</v>
      </c>
      <c r="L20" s="67">
        <f t="shared" ref="L20:O20" si="22">IFERROR((IF(F18&lt;&gt;"",F18*1,0)+IF(F19&lt;&gt;"",F19*2,0)+IF(F20&lt;&gt;"",F20*3,0))/(IF(F18&lt;&gt;"",1,0)+IF(F19&lt;&gt;"",2,0)+IF(F20&lt;&gt;"",3,0)),"")</f>
        <v>68.3235671</v>
      </c>
      <c r="M20" s="67">
        <f t="shared" si="22"/>
        <v>25.01241039</v>
      </c>
      <c r="N20" s="67" t="str">
        <f t="shared" si="22"/>
        <v/>
      </c>
      <c r="O20" s="67">
        <f t="shared" si="22"/>
        <v>7.210552693</v>
      </c>
    </row>
    <row r="21" ht="12.75" customHeight="1">
      <c r="A21" s="68">
        <v>45200.0</v>
      </c>
      <c r="B21" s="69" t="str">
        <f>IFERROR(IF(SUMPRODUCT((Data!$O$2:$O$2277=A21)*(Data!$M$2:$M$2277="Vladimir Zelenskiy")*ISNUMBER(Data!$N$2:$N$2277)*IF(ISNUMBER(Data!$U$2:$U$2277),Data!$U$2:$U$2277,0))&gt;0,SUMPRODUCT((Data!$O$2:$O$2277=A21)*(Data!$M$2:$M$2277="Vladimir Zelenskiy")*ISNUMBER(Data!$N$2:$N$2277)*IF(ISNUMBER(Data!$W$2:$W$2277),Data!$W$2:$W$2277,0)*IF(ISNUMBER(Data!$U$2:$U$2277),Data!$U$2:$U$2277,0))/SUMPRODUCT((Data!$O$2:$O$2277=A21)*(Data!$M$2:$M$2277="Vladimir Zelenskiy")*ISNUMBER(Data!$N$2:$N$2277)*IF(ISNUMBER(Data!$U$2:$U$2277),Data!$U$2:$U$2277,0)),""),"")</f>
        <v/>
      </c>
      <c r="C21" s="69" t="str">
        <f>IFERROR(IF(SUMPRODUCT((Data!$O$2:$O$2277=A21)*(Data!$M$2:$M$2277="Valerii Zaluzhniy")*ISNUMBER(Data!$N$2:$N$2277)*IF(ISNUMBER(Data!$U$2:$U$2277),Data!$U$2:$U$2277,0))&gt;0,SUMPRODUCT((Data!$O$2:$O$2277=A21)*(Data!$M$2:$M$2277="Valerii Zaluzhniy")*ISNUMBER(Data!$N$2:$N$2277)*IF(ISNUMBER(Data!$W$2:$W$2277),Data!$W$2:$W$2277,0)*IF(ISNUMBER(Data!$U$2:$U$2277),Data!$U$2:$U$2277,0))/SUMPRODUCT((Data!$O$2:$O$2277=A21)*(Data!$M$2:$M$2277="Valerii Zaluzhniy")*ISNUMBER(Data!$N$2:$N$2277)*IF(ISNUMBER(Data!$U$2:$U$2277),Data!$U$2:$U$2277,0)),""),"")</f>
        <v/>
      </c>
      <c r="D21" s="69" t="str">
        <f t="shared" si="3"/>
        <v/>
      </c>
      <c r="E21" s="69" t="str">
        <f>IFERROR(IF(SUMPRODUCT((Data!$O$2:$O$2277=A21)*(Data!$M$2:$M$2277="Pyotr Poroshenko")*ISNUMBER(Data!$N$2:$N$2277)*IF(ISNUMBER(Data!$U$2:$U$2277),Data!$U$2:$U$2277,0))&gt;0,SUMPRODUCT((Data!$O$2:$O$2277=A21)*(Data!$M$2:$M$2277="Pyotr Poroshenko")*ISNUMBER(Data!$N$2:$N$2277)*IF(ISNUMBER(Data!$W$2:$W$2277),Data!$W$2:$W$2277,0)*IF(ISNUMBER(Data!$U$2:$U$2277),Data!$U$2:$U$2277,0))/SUMPRODUCT((Data!$O$2:$O$2277=A21)*(Data!$M$2:$M$2277="Pyotr Poroshenko")*ISNUMBER(Data!$N$2:$N$2277)*IF(ISNUMBER(Data!$U$2:$U$2277),Data!$U$2:$U$2277,0)),""),"")</f>
        <v/>
      </c>
      <c r="F21" s="70">
        <f>IF(B21&lt;&gt;"",IF(OR(F20="",AND(ABS(IFERROR(SUMPRODUCT((Data!$O$2:$O$2277=A21)*(Data!$M$2:$M$2277="Vladimir Zelenskiy")*ISNUMBER(Data!$N$2:$N$2277)*IF(ISNUMBER(Data!$W$2:$W$2277),Data!$W$2:$W$2277,0)*IF(ISNUMBER(Data!$U$2:$U$2277),Data!$U$2:$U$2277,0))/SUMPRODUCT((Data!$O$2:$O$2277=A21)*(Data!$M$2:$M$2277="Vladimir Zelenskiy")*ISNUMBER(Data!$N$2:$N$2277)*IF(ISNUMBER(Data!$U$2:$U$2277),Data!$U$2:$U$2277,0)),0)-IF(F20="",0,F20))&gt;Formula!$C$30,SUMPRODUCT((Data!$O$2:$O$2277=A21)*(Data!$M$2:$M$2277="Vladimir Zelenskiy")*ISNUMBER(Data!$N$2:$N$2277)*IF(ISNUMBER(Data!$U$2:$U$2277),Data!$U$2:$U$2277,0))&gt;=Formula!$C$31)),B21,(SUMPRODUCT((Data!$O$2:$O$2277=A21)*(Data!$M$2:$M$2277="Vladimir Zelenskiy")*ISNUMBER(Data!$N$2:$N$2277)*IF(ISNUMBER(Data!$W$2:$W$2277),Data!$W$2:$W$2277,0)*IF(ISNUMBER(Data!$U$2:$U$2277),Data!$U$2:$U$2277,0))+Formula!$C$29*F20)/(SUMPRODUCT((Data!$O$2:$O$2277=A21)*(Data!$M$2:$M$2277="Vladimir Zelenskiy")*ISNUMBER(Data!$N$2:$N$2277)*IF(ISNUMBER(Data!$U$2:$U$2277),Data!$U$2:$U$2277,0))+Formula!$C$29)),IF(F20&lt;&gt;"",F20,""))</f>
        <v>66.42040527</v>
      </c>
      <c r="G21" s="70">
        <f>IF(C21&lt;&gt;"",IF(OR(G20="",AND(ABS(IFERROR(SUMPRODUCT((Data!$O$2:$O$2277=A21)*(Data!$M$2:$M$2277="Valerii Zaluzhniy")*ISNUMBER(Data!$N$2:$N$2277)*IF(ISNUMBER(Data!$W$2:$W$2277),Data!$W$2:$W$2277,0)*IF(ISNUMBER(Data!$U$2:$U$2277),Data!$U$2:$U$2277,0))/SUMPRODUCT((Data!$O$2:$O$2277=A21)*(Data!$M$2:$M$2277="Valerii Zaluzhniy")*ISNUMBER(Data!$N$2:$N$2277)*IF(ISNUMBER(Data!$U$2:$U$2277),Data!$U$2:$U$2277,0)),0)-IF(G20="",0,G20))&gt;Formula!$C$30,SUMPRODUCT((Data!$O$2:$O$2277=A21)*(Data!$M$2:$M$2277="Valerii Zaluzhniy")*ISNUMBER(Data!$N$2:$N$2277)*IF(ISNUMBER(Data!$U$2:$U$2277),Data!$U$2:$U$2277,0))&gt;=Formula!$C$31)),C21,(SUMPRODUCT((Data!$O$2:$O$2277=A21)*(Data!$M$2:$M$2277="Valerii Zaluzhniy")*ISNUMBER(Data!$N$2:$N$2277)*IF(ISNUMBER(Data!$W$2:$W$2277),Data!$W$2:$W$2277,0)*IF(ISNUMBER(Data!$U$2:$U$2277),Data!$U$2:$U$2277,0))+Formula!$C$29*G20)/(SUMPRODUCT((Data!$O$2:$O$2277=A21)*(Data!$M$2:$M$2277="Valerii Zaluzhniy")*ISNUMBER(Data!$N$2:$N$2277)*IF(ISNUMBER(Data!$U$2:$U$2277),Data!$U$2:$U$2277,0))+Formula!$C$29)),IF(G20&lt;&gt;"",G20,""))</f>
        <v>23.95993445</v>
      </c>
      <c r="H21" s="70" t="str">
        <f t="shared" si="4"/>
        <v/>
      </c>
      <c r="I21" s="70">
        <f>IF(E21&lt;&gt;"",IF(OR(I20="",AND(ABS(IFERROR(SUMPRODUCT((Data!$O$2:$O$2277=A21)*(Data!$M$2:$M$2277="Pyotr Poroshenko")*ISNUMBER(Data!$N$2:$N$2277)*IF(ISNUMBER(Data!$W$2:$W$2277),Data!$W$2:$W$2277,0)*IF(ISNUMBER(Data!$U$2:$U$2277),Data!$U$2:$U$2277,0))/SUMPRODUCT((Data!$O$2:$O$2277=A21)*(Data!$M$2:$M$2277="Pyotr Poroshenko")*ISNUMBER(Data!$N$2:$N$2277)*IF(ISNUMBER(Data!$U$2:$U$2277),Data!$U$2:$U$2277,0)),0)-IF(I20="",0,I20))&gt;Formula!$C$30,SUMPRODUCT((Data!$O$2:$O$2277=A21)*(Data!$M$2:$M$2277="Pyotr Poroshenko")*ISNUMBER(Data!$N$2:$N$2277)*IF(ISNUMBER(Data!$U$2:$U$2277),Data!$U$2:$U$2277,0))&gt;=Formula!$C$31)),E21,(SUMPRODUCT((Data!$O$2:$O$2277=A21)*(Data!$M$2:$M$2277="Pyotr Poroshenko")*ISNUMBER(Data!$N$2:$N$2277)*IF(ISNUMBER(Data!$W$2:$W$2277),Data!$W$2:$W$2277,0)*IF(ISNUMBER(Data!$U$2:$U$2277),Data!$U$2:$U$2277,0))+Formula!$C$29*I20)/(SUMPRODUCT((Data!$O$2:$O$2277=A21)*(Data!$M$2:$M$2277="Pyotr Poroshenko")*ISNUMBER(Data!$N$2:$N$2277)*IF(ISNUMBER(Data!$U$2:$U$2277),Data!$U$2:$U$2277,0))+Formula!$C$29)),IF(I20&lt;&gt;"",I20,""))</f>
        <v>7.182172126</v>
      </c>
      <c r="L21" s="71">
        <f t="shared" ref="L21:O21" si="23">IFERROR((IF(F19&lt;&gt;"",F19*1,0)+IF(F20&lt;&gt;"",F20*2,0)+IF(F21&lt;&gt;"",F21*3,0))/(IF(F19&lt;&gt;"",1,0)+IF(F20&lt;&gt;"",2,0)+IF(F21&lt;&gt;"",3,0)),"")</f>
        <v>66.90299059</v>
      </c>
      <c r="M21" s="71">
        <f t="shared" si="23"/>
        <v>24.23035737</v>
      </c>
      <c r="N21" s="71" t="str">
        <f t="shared" si="23"/>
        <v/>
      </c>
      <c r="O21" s="71">
        <f t="shared" si="23"/>
        <v>7.189250284</v>
      </c>
    </row>
    <row r="22" ht="12.75" customHeight="1">
      <c r="A22" s="64">
        <v>45231.0</v>
      </c>
      <c r="B22" s="65">
        <f>IFERROR(IF(SUMPRODUCT((Data!$O$2:$O$2277=A22)*(Data!$M$2:$M$2277="Vladimir Zelenskiy")*ISNUMBER(Data!$N$2:$N$2277)*IF(ISNUMBER(Data!$U$2:$U$2277),Data!$U$2:$U$2277,0))&gt;0,SUMPRODUCT((Data!$O$2:$O$2277=A22)*(Data!$M$2:$M$2277="Vladimir Zelenskiy")*ISNUMBER(Data!$N$2:$N$2277)*IF(ISNUMBER(Data!$W$2:$W$2277),Data!$W$2:$W$2277,0)*IF(ISNUMBER(Data!$U$2:$U$2277),Data!$U$2:$U$2277,0))/SUMPRODUCT((Data!$O$2:$O$2277=A22)*(Data!$M$2:$M$2277="Vladimir Zelenskiy")*ISNUMBER(Data!$N$2:$N$2277)*IF(ISNUMBER(Data!$U$2:$U$2277),Data!$U$2:$U$2277,0)),""),"")</f>
        <v>45</v>
      </c>
      <c r="C22" s="65">
        <f>IFERROR(IF(SUMPRODUCT((Data!$O$2:$O$2277=A22)*(Data!$M$2:$M$2277="Valerii Zaluzhniy")*ISNUMBER(Data!$N$2:$N$2277)*IF(ISNUMBER(Data!$U$2:$U$2277),Data!$U$2:$U$2277,0))&gt;0,SUMPRODUCT((Data!$O$2:$O$2277=A22)*(Data!$M$2:$M$2277="Valerii Zaluzhniy")*ISNUMBER(Data!$N$2:$N$2277)*IF(ISNUMBER(Data!$W$2:$W$2277),Data!$W$2:$W$2277,0)*IF(ISNUMBER(Data!$U$2:$U$2277),Data!$U$2:$U$2277,0))/SUMPRODUCT((Data!$O$2:$O$2277=A22)*(Data!$M$2:$M$2277="Valerii Zaluzhniy")*ISNUMBER(Data!$N$2:$N$2277)*IF(ISNUMBER(Data!$U$2:$U$2277),Data!$U$2:$U$2277,0)),""),"")</f>
        <v>15</v>
      </c>
      <c r="D22" s="65" t="str">
        <f t="shared" si="3"/>
        <v/>
      </c>
      <c r="E22" s="65">
        <f>IFERROR(IF(SUMPRODUCT((Data!$O$2:$O$2277=A22)*(Data!$M$2:$M$2277="Pyotr Poroshenko")*ISNUMBER(Data!$N$2:$N$2277)*IF(ISNUMBER(Data!$U$2:$U$2277),Data!$U$2:$U$2277,0))&gt;0,SUMPRODUCT((Data!$O$2:$O$2277=A22)*(Data!$M$2:$M$2277="Pyotr Poroshenko")*ISNUMBER(Data!$N$2:$N$2277)*IF(ISNUMBER(Data!$W$2:$W$2277),Data!$W$2:$W$2277,0)*IF(ISNUMBER(Data!$U$2:$U$2277),Data!$U$2:$U$2277,0))/SUMPRODUCT((Data!$O$2:$O$2277=A22)*(Data!$M$2:$M$2277="Pyotr Poroshenko")*ISNUMBER(Data!$N$2:$N$2277)*IF(ISNUMBER(Data!$U$2:$U$2277),Data!$U$2:$U$2277,0)),""),"")</f>
        <v>19</v>
      </c>
      <c r="F22" s="66">
        <f>IF(B22&lt;&gt;"",IF(OR(F21="",AND(ABS(IFERROR(SUMPRODUCT((Data!$O$2:$O$2277=A22)*(Data!$M$2:$M$2277="Vladimir Zelenskiy")*ISNUMBER(Data!$N$2:$N$2277)*IF(ISNUMBER(Data!$W$2:$W$2277),Data!$W$2:$W$2277,0)*IF(ISNUMBER(Data!$U$2:$U$2277),Data!$U$2:$U$2277,0))/SUMPRODUCT((Data!$O$2:$O$2277=A22)*(Data!$M$2:$M$2277="Vladimir Zelenskiy")*ISNUMBER(Data!$N$2:$N$2277)*IF(ISNUMBER(Data!$U$2:$U$2277),Data!$U$2:$U$2277,0)),0)-IF(F21="",0,F21))&gt;Formula!$C$30,SUMPRODUCT((Data!$O$2:$O$2277=A22)*(Data!$M$2:$M$2277="Vladimir Zelenskiy")*ISNUMBER(Data!$N$2:$N$2277)*IF(ISNUMBER(Data!$U$2:$U$2277),Data!$U$2:$U$2277,0))&gt;=Formula!$C$31)),B22,(SUMPRODUCT((Data!$O$2:$O$2277=A22)*(Data!$M$2:$M$2277="Vladimir Zelenskiy")*ISNUMBER(Data!$N$2:$N$2277)*IF(ISNUMBER(Data!$W$2:$W$2277),Data!$W$2:$W$2277,0)*IF(ISNUMBER(Data!$U$2:$U$2277),Data!$U$2:$U$2277,0))+Formula!$C$29*F21)/(SUMPRODUCT((Data!$O$2:$O$2277=A22)*(Data!$M$2:$M$2277="Vladimir Zelenskiy")*ISNUMBER(Data!$N$2:$N$2277)*IF(ISNUMBER(Data!$U$2:$U$2277),Data!$U$2:$U$2277,0))+Formula!$C$29)),IF(F21&lt;&gt;"",F21,""))</f>
        <v>63.76682004</v>
      </c>
      <c r="G22" s="66">
        <f>IF(C22&lt;&gt;"",IF(OR(G21="",AND(ABS(IFERROR(SUMPRODUCT((Data!$O$2:$O$2277=A22)*(Data!$M$2:$M$2277="Valerii Zaluzhniy")*ISNUMBER(Data!$N$2:$N$2277)*IF(ISNUMBER(Data!$W$2:$W$2277),Data!$W$2:$W$2277,0)*IF(ISNUMBER(Data!$U$2:$U$2277),Data!$U$2:$U$2277,0))/SUMPRODUCT((Data!$O$2:$O$2277=A22)*(Data!$M$2:$M$2277="Valerii Zaluzhniy")*ISNUMBER(Data!$N$2:$N$2277)*IF(ISNUMBER(Data!$U$2:$U$2277),Data!$U$2:$U$2277,0)),0)-IF(G21="",0,G21))&gt;Formula!$C$30,SUMPRODUCT((Data!$O$2:$O$2277=A22)*(Data!$M$2:$M$2277="Valerii Zaluzhniy")*ISNUMBER(Data!$N$2:$N$2277)*IF(ISNUMBER(Data!$U$2:$U$2277),Data!$U$2:$U$2277,0))&gt;=Formula!$C$31)),C22,(SUMPRODUCT((Data!$O$2:$O$2277=A22)*(Data!$M$2:$M$2277="Valerii Zaluzhniy")*ISNUMBER(Data!$N$2:$N$2277)*IF(ISNUMBER(Data!$W$2:$W$2277),Data!$W$2:$W$2277,0)*IF(ISNUMBER(Data!$U$2:$U$2277),Data!$U$2:$U$2277,0))+Formula!$C$29*G21)/(SUMPRODUCT((Data!$O$2:$O$2277=A22)*(Data!$M$2:$M$2277="Valerii Zaluzhniy")*ISNUMBER(Data!$N$2:$N$2277)*IF(ISNUMBER(Data!$U$2:$U$2277),Data!$U$2:$U$2277,0))+Formula!$C$29)),IF(G21&lt;&gt;"",G21,""))</f>
        <v>22.84996714</v>
      </c>
      <c r="H22" s="66" t="str">
        <f t="shared" si="4"/>
        <v/>
      </c>
      <c r="I22" s="66">
        <f>IF(E22&lt;&gt;"",IF(OR(I21="",AND(ABS(IFERROR(SUMPRODUCT((Data!$O$2:$O$2277=A22)*(Data!$M$2:$M$2277="Pyotr Poroshenko")*ISNUMBER(Data!$N$2:$N$2277)*IF(ISNUMBER(Data!$W$2:$W$2277),Data!$W$2:$W$2277,0)*IF(ISNUMBER(Data!$U$2:$U$2277),Data!$U$2:$U$2277,0))/SUMPRODUCT((Data!$O$2:$O$2277=A22)*(Data!$M$2:$M$2277="Pyotr Poroshenko")*ISNUMBER(Data!$N$2:$N$2277)*IF(ISNUMBER(Data!$U$2:$U$2277),Data!$U$2:$U$2277,0)),0)-IF(I21="",0,I21))&gt;Formula!$C$30,SUMPRODUCT((Data!$O$2:$O$2277=A22)*(Data!$M$2:$M$2277="Pyotr Poroshenko")*ISNUMBER(Data!$N$2:$N$2277)*IF(ISNUMBER(Data!$U$2:$U$2277),Data!$U$2:$U$2277,0))&gt;=Formula!$C$31)),E22,(SUMPRODUCT((Data!$O$2:$O$2277=A22)*(Data!$M$2:$M$2277="Pyotr Poroshenko")*ISNUMBER(Data!$N$2:$N$2277)*IF(ISNUMBER(Data!$W$2:$W$2277),Data!$W$2:$W$2277,0)*IF(ISNUMBER(Data!$U$2:$U$2277),Data!$U$2:$U$2277,0))+Formula!$C$29*I21)/(SUMPRODUCT((Data!$O$2:$O$2277=A22)*(Data!$M$2:$M$2277="Pyotr Poroshenko")*ISNUMBER(Data!$N$2:$N$2277)*IF(ISNUMBER(Data!$U$2:$U$2277),Data!$U$2:$U$2277,0))+Formula!$C$29)),IF(I21&lt;&gt;"",I21,""))</f>
        <v>8.646178669</v>
      </c>
      <c r="L22" s="67">
        <f t="shared" ref="L22:O22" si="24">IFERROR((IF(F20&lt;&gt;"",F20*1,0)+IF(F21&lt;&gt;"",F21*2,0)+IF(F22&lt;&gt;"",F22*3,0))/(IF(F20&lt;&gt;"",1,0)+IF(F21&lt;&gt;"",2,0)+IF(F22&lt;&gt;"",3,0)),"")</f>
        <v>65.09361265</v>
      </c>
      <c r="M22" s="67">
        <f t="shared" si="24"/>
        <v>23.40495079</v>
      </c>
      <c r="N22" s="67" t="str">
        <f t="shared" si="24"/>
        <v/>
      </c>
      <c r="O22" s="67">
        <f t="shared" si="24"/>
        <v>7.914175397</v>
      </c>
    </row>
    <row r="23" ht="12.75" customHeight="1">
      <c r="A23" s="68">
        <v>45261.0</v>
      </c>
      <c r="B23" s="69">
        <f>IFERROR(IF(SUMPRODUCT((Data!$O$2:$O$2277=A23)*(Data!$M$2:$M$2277="Vladimir Zelenskiy")*ISNUMBER(Data!$N$2:$N$2277)*IF(ISNUMBER(Data!$U$2:$U$2277),Data!$U$2:$U$2277,0))&gt;0,SUMPRODUCT((Data!$O$2:$O$2277=A23)*(Data!$M$2:$M$2277="Vladimir Zelenskiy")*ISNUMBER(Data!$N$2:$N$2277)*IF(ISNUMBER(Data!$W$2:$W$2277),Data!$W$2:$W$2277,0)*IF(ISNUMBER(Data!$U$2:$U$2277),Data!$U$2:$U$2277,0))/SUMPRODUCT((Data!$O$2:$O$2277=A23)*(Data!$M$2:$M$2277="Vladimir Zelenskiy")*ISNUMBER(Data!$N$2:$N$2277)*IF(ISNUMBER(Data!$U$2:$U$2277),Data!$U$2:$U$2277,0)),""),"")</f>
        <v>50.89419932</v>
      </c>
      <c r="C23" s="69">
        <f>IFERROR(IF(SUMPRODUCT((Data!$O$2:$O$2277=A23)*(Data!$M$2:$M$2277="Valerii Zaluzhniy")*ISNUMBER(Data!$N$2:$N$2277)*IF(ISNUMBER(Data!$U$2:$U$2277),Data!$U$2:$U$2277,0))&gt;0,SUMPRODUCT((Data!$O$2:$O$2277=A23)*(Data!$M$2:$M$2277="Valerii Zaluzhniy")*ISNUMBER(Data!$N$2:$N$2277)*IF(ISNUMBER(Data!$W$2:$W$2277),Data!$W$2:$W$2277,0)*IF(ISNUMBER(Data!$U$2:$U$2277),Data!$U$2:$U$2277,0))/SUMPRODUCT((Data!$O$2:$O$2277=A23)*(Data!$M$2:$M$2277="Valerii Zaluzhniy")*ISNUMBER(Data!$N$2:$N$2277)*IF(ISNUMBER(Data!$U$2:$U$2277),Data!$U$2:$U$2277,0)),""),"")</f>
        <v>23.15696655</v>
      </c>
      <c r="D23" s="69" t="str">
        <f t="shared" si="3"/>
        <v/>
      </c>
      <c r="E23" s="69">
        <f>IFERROR(IF(SUMPRODUCT((Data!$O$2:$O$2277=A23)*(Data!$M$2:$M$2277="Pyotr Poroshenko")*ISNUMBER(Data!$N$2:$N$2277)*IF(ISNUMBER(Data!$U$2:$U$2277),Data!$U$2:$U$2277,0))&gt;0,SUMPRODUCT((Data!$O$2:$O$2277=A23)*(Data!$M$2:$M$2277="Pyotr Poroshenko")*ISNUMBER(Data!$N$2:$N$2277)*IF(ISNUMBER(Data!$W$2:$W$2277),Data!$W$2:$W$2277,0)*IF(ISNUMBER(Data!$U$2:$U$2277),Data!$U$2:$U$2277,0))/SUMPRODUCT((Data!$O$2:$O$2277=A23)*(Data!$M$2:$M$2277="Pyotr Poroshenko")*ISNUMBER(Data!$N$2:$N$2277)*IF(ISNUMBER(Data!$U$2:$U$2277),Data!$U$2:$U$2277,0)),""),"")</f>
        <v>6.152977476</v>
      </c>
      <c r="F23" s="70">
        <f>IF(B23&lt;&gt;"",IF(OR(F22="",AND(ABS(IFERROR(SUMPRODUCT((Data!$O$2:$O$2277=A23)*(Data!$M$2:$M$2277="Vladimir Zelenskiy")*ISNUMBER(Data!$N$2:$N$2277)*IF(ISNUMBER(Data!$W$2:$W$2277),Data!$W$2:$W$2277,0)*IF(ISNUMBER(Data!$U$2:$U$2277),Data!$U$2:$U$2277,0))/SUMPRODUCT((Data!$O$2:$O$2277=A23)*(Data!$M$2:$M$2277="Vladimir Zelenskiy")*ISNUMBER(Data!$N$2:$N$2277)*IF(ISNUMBER(Data!$U$2:$U$2277),Data!$U$2:$U$2277,0)),0)-IF(F22="",0,F22))&gt;Formula!$C$30,SUMPRODUCT((Data!$O$2:$O$2277=A23)*(Data!$M$2:$M$2277="Vladimir Zelenskiy")*ISNUMBER(Data!$N$2:$N$2277)*IF(ISNUMBER(Data!$U$2:$U$2277),Data!$U$2:$U$2277,0))&gt;=Formula!$C$31)),B23,(SUMPRODUCT((Data!$O$2:$O$2277=A23)*(Data!$M$2:$M$2277="Vladimir Zelenskiy")*ISNUMBER(Data!$N$2:$N$2277)*IF(ISNUMBER(Data!$W$2:$W$2277),Data!$W$2:$W$2277,0)*IF(ISNUMBER(Data!$U$2:$U$2277),Data!$U$2:$U$2277,0))+Formula!$C$29*F22)/(SUMPRODUCT((Data!$O$2:$O$2277=A23)*(Data!$M$2:$M$2277="Vladimir Zelenskiy")*ISNUMBER(Data!$N$2:$N$2277)*IF(ISNUMBER(Data!$U$2:$U$2277),Data!$U$2:$U$2277,0))+Formula!$C$29)),IF(F22&lt;&gt;"",F22,""))</f>
        <v>57.41404577</v>
      </c>
      <c r="G23" s="70">
        <f>IF(C23&lt;&gt;"",IF(OR(G22="",AND(ABS(IFERROR(SUMPRODUCT((Data!$O$2:$O$2277=A23)*(Data!$M$2:$M$2277="Valerii Zaluzhniy")*ISNUMBER(Data!$N$2:$N$2277)*IF(ISNUMBER(Data!$W$2:$W$2277),Data!$W$2:$W$2277,0)*IF(ISNUMBER(Data!$U$2:$U$2277),Data!$U$2:$U$2277,0))/SUMPRODUCT((Data!$O$2:$O$2277=A23)*(Data!$M$2:$M$2277="Valerii Zaluzhniy")*ISNUMBER(Data!$N$2:$N$2277)*IF(ISNUMBER(Data!$U$2:$U$2277),Data!$U$2:$U$2277,0)),0)-IF(G22="",0,G22))&gt;Formula!$C$30,SUMPRODUCT((Data!$O$2:$O$2277=A23)*(Data!$M$2:$M$2277="Valerii Zaluzhniy")*ISNUMBER(Data!$N$2:$N$2277)*IF(ISNUMBER(Data!$U$2:$U$2277),Data!$U$2:$U$2277,0))&gt;=Formula!$C$31)),C23,(SUMPRODUCT((Data!$O$2:$O$2277=A23)*(Data!$M$2:$M$2277="Valerii Zaluzhniy")*ISNUMBER(Data!$N$2:$N$2277)*IF(ISNUMBER(Data!$W$2:$W$2277),Data!$W$2:$W$2277,0)*IF(ISNUMBER(Data!$U$2:$U$2277),Data!$U$2:$U$2277,0))+Formula!$C$29*G22)/(SUMPRODUCT((Data!$O$2:$O$2277=A23)*(Data!$M$2:$M$2277="Valerii Zaluzhniy")*ISNUMBER(Data!$N$2:$N$2277)*IF(ISNUMBER(Data!$U$2:$U$2277),Data!$U$2:$U$2277,0))+Formula!$C$29)),IF(G22&lt;&gt;"",G22,""))</f>
        <v>23.00147459</v>
      </c>
      <c r="H23" s="70" t="str">
        <f t="shared" si="4"/>
        <v/>
      </c>
      <c r="I23" s="70">
        <f>IF(E23&lt;&gt;"",IF(OR(I22="",AND(ABS(IFERROR(SUMPRODUCT((Data!$O$2:$O$2277=A23)*(Data!$M$2:$M$2277="Pyotr Poroshenko")*ISNUMBER(Data!$N$2:$N$2277)*IF(ISNUMBER(Data!$W$2:$W$2277),Data!$W$2:$W$2277,0)*IF(ISNUMBER(Data!$U$2:$U$2277),Data!$U$2:$U$2277,0))/SUMPRODUCT((Data!$O$2:$O$2277=A23)*(Data!$M$2:$M$2277="Pyotr Poroshenko")*ISNUMBER(Data!$N$2:$N$2277)*IF(ISNUMBER(Data!$U$2:$U$2277),Data!$U$2:$U$2277,0)),0)-IF(I22="",0,I22))&gt;Formula!$C$30,SUMPRODUCT((Data!$O$2:$O$2277=A23)*(Data!$M$2:$M$2277="Pyotr Poroshenko")*ISNUMBER(Data!$N$2:$N$2277)*IF(ISNUMBER(Data!$U$2:$U$2277),Data!$U$2:$U$2277,0))&gt;=Formula!$C$31)),E23,(SUMPRODUCT((Data!$O$2:$O$2277=A23)*(Data!$M$2:$M$2277="Pyotr Poroshenko")*ISNUMBER(Data!$N$2:$N$2277)*IF(ISNUMBER(Data!$W$2:$W$2277),Data!$W$2:$W$2277,0)*IF(ISNUMBER(Data!$U$2:$U$2277),Data!$U$2:$U$2277,0))+Formula!$C$29*I22)/(SUMPRODUCT((Data!$O$2:$O$2277=A23)*(Data!$M$2:$M$2277="Pyotr Poroshenko")*ISNUMBER(Data!$N$2:$N$2277)*IF(ISNUMBER(Data!$U$2:$U$2277),Data!$U$2:$U$2277,0))+Formula!$C$29)),IF(I22&lt;&gt;"",I22,""))</f>
        <v>7.415757551</v>
      </c>
      <c r="L23" s="71">
        <f t="shared" ref="L23:O23" si="25">IFERROR((IF(F21&lt;&gt;"",F21*1,0)+IF(F22&lt;&gt;"",F22*2,0)+IF(F23&lt;&gt;"",F23*3,0))/(IF(F21&lt;&gt;"",1,0)+IF(F22&lt;&gt;"",2,0)+IF(F23&lt;&gt;"",3,0)),"")</f>
        <v>61.03269711</v>
      </c>
      <c r="M23" s="71">
        <f t="shared" si="25"/>
        <v>23.11071541</v>
      </c>
      <c r="N23" s="71" t="str">
        <f t="shared" si="25"/>
        <v/>
      </c>
      <c r="O23" s="71">
        <f t="shared" si="25"/>
        <v>7.78696702</v>
      </c>
    </row>
    <row r="24" ht="12.75" customHeight="1">
      <c r="A24" s="64">
        <v>45292.0</v>
      </c>
      <c r="B24" s="65">
        <f>IFERROR(IF(SUMPRODUCT((Data!$O$2:$O$2277=A24)*(Data!$M$2:$M$2277="Vladimir Zelenskiy")*ISNUMBER(Data!$N$2:$N$2277)*IF(ISNUMBER(Data!$U$2:$U$2277),Data!$U$2:$U$2277,0))&gt;0,SUMPRODUCT((Data!$O$2:$O$2277=A24)*(Data!$M$2:$M$2277="Vladimir Zelenskiy")*ISNUMBER(Data!$N$2:$N$2277)*IF(ISNUMBER(Data!$W$2:$W$2277),Data!$W$2:$W$2277,0)*IF(ISNUMBER(Data!$U$2:$U$2277),Data!$U$2:$U$2277,0))/SUMPRODUCT((Data!$O$2:$O$2277=A24)*(Data!$M$2:$M$2277="Vladimir Zelenskiy")*ISNUMBER(Data!$N$2:$N$2277)*IF(ISNUMBER(Data!$U$2:$U$2277),Data!$U$2:$U$2277,0)),""),"")</f>
        <v>22.74</v>
      </c>
      <c r="C24" s="65">
        <f>IFERROR(IF(SUMPRODUCT((Data!$O$2:$O$2277=A24)*(Data!$M$2:$M$2277="Valerii Zaluzhniy")*ISNUMBER(Data!$N$2:$N$2277)*IF(ISNUMBER(Data!$U$2:$U$2277),Data!$U$2:$U$2277,0))&gt;0,SUMPRODUCT((Data!$O$2:$O$2277=A24)*(Data!$M$2:$M$2277="Valerii Zaluzhniy")*ISNUMBER(Data!$N$2:$N$2277)*IF(ISNUMBER(Data!$W$2:$W$2277),Data!$W$2:$W$2277,0)*IF(ISNUMBER(Data!$U$2:$U$2277),Data!$U$2:$U$2277,0))/SUMPRODUCT((Data!$O$2:$O$2277=A24)*(Data!$M$2:$M$2277="Valerii Zaluzhniy")*ISNUMBER(Data!$N$2:$N$2277)*IF(ISNUMBER(Data!$U$2:$U$2277),Data!$U$2:$U$2277,0)),""),"")</f>
        <v>32.44</v>
      </c>
      <c r="D24" s="65">
        <f>IFERROR(IF(SUMPRODUCT((Data!$O$2:$O$2277=A24)*(Data!$M$2:$M$2277="Kyrylo Budanov")*ISNUMBER(Data!$N$2:$N$2277)*IF(ISNUMBER(Data!$U$2:$U$2277),Data!$U$2:$U$2277,0))&gt;0,SUMPRODUCT((Data!$O$2:$O$2277=A24)*(Data!$M$2:$M$2277="Kyrylo Budanov")*ISNUMBER(Data!$N$2:$N$2277)*IF(ISNUMBER(Data!$W$2:$W$2277),Data!$W$2:$W$2277,0)*IF(ISNUMBER(Data!$U$2:$U$2277),Data!$U$2:$U$2277,0))/SUMPRODUCT((Data!$O$2:$O$2277=A24)*(Data!$M$2:$M$2277="Kyrylo Budanov")*ISNUMBER(Data!$N$2:$N$2277)*IF(ISNUMBER(Data!$U$2:$U$2277),Data!$U$2:$U$2277,0)),""),"")</f>
        <v>0.22</v>
      </c>
      <c r="E24" s="65">
        <f>IFERROR(IF(SUMPRODUCT((Data!$O$2:$O$2277=A24)*(Data!$M$2:$M$2277="Pyotr Poroshenko")*ISNUMBER(Data!$N$2:$N$2277)*IF(ISNUMBER(Data!$U$2:$U$2277),Data!$U$2:$U$2277,0))&gt;0,SUMPRODUCT((Data!$O$2:$O$2277=A24)*(Data!$M$2:$M$2277="Pyotr Poroshenko")*ISNUMBER(Data!$N$2:$N$2277)*IF(ISNUMBER(Data!$W$2:$W$2277),Data!$W$2:$W$2277,0)*IF(ISNUMBER(Data!$U$2:$U$2277),Data!$U$2:$U$2277,0))/SUMPRODUCT((Data!$O$2:$O$2277=A24)*(Data!$M$2:$M$2277="Pyotr Poroshenko")*ISNUMBER(Data!$N$2:$N$2277)*IF(ISNUMBER(Data!$U$2:$U$2277),Data!$U$2:$U$2277,0)),""),"")</f>
        <v>9.63</v>
      </c>
      <c r="F24" s="66">
        <f>IF(B24&lt;&gt;"",IF(OR(F23="",AND(ABS(IFERROR(SUMPRODUCT((Data!$O$2:$O$2277=A24)*(Data!$M$2:$M$2277="Vladimir Zelenskiy")*ISNUMBER(Data!$N$2:$N$2277)*IF(ISNUMBER(Data!$W$2:$W$2277),Data!$W$2:$W$2277,0)*IF(ISNUMBER(Data!$U$2:$U$2277),Data!$U$2:$U$2277,0))/SUMPRODUCT((Data!$O$2:$O$2277=A24)*(Data!$M$2:$M$2277="Vladimir Zelenskiy")*ISNUMBER(Data!$N$2:$N$2277)*IF(ISNUMBER(Data!$U$2:$U$2277),Data!$U$2:$U$2277,0)),0)-IF(F23="",0,F23))&gt;Formula!$C$30,SUMPRODUCT((Data!$O$2:$O$2277=A24)*(Data!$M$2:$M$2277="Vladimir Zelenskiy")*ISNUMBER(Data!$N$2:$N$2277)*IF(ISNUMBER(Data!$U$2:$U$2277),Data!$U$2:$U$2277,0))&gt;=Formula!$C$31)),B24,(SUMPRODUCT((Data!$O$2:$O$2277=A24)*(Data!$M$2:$M$2277="Vladimir Zelenskiy")*ISNUMBER(Data!$N$2:$N$2277)*IF(ISNUMBER(Data!$W$2:$W$2277),Data!$W$2:$W$2277,0)*IF(ISNUMBER(Data!$U$2:$U$2277),Data!$U$2:$U$2277,0))+Formula!$C$29*F23)/(SUMPRODUCT((Data!$O$2:$O$2277=A24)*(Data!$M$2:$M$2277="Vladimir Zelenskiy")*ISNUMBER(Data!$N$2:$N$2277)*IF(ISNUMBER(Data!$U$2:$U$2277),Data!$U$2:$U$2277,0))+Formula!$C$29)),IF(F23&lt;&gt;"",F23,""))</f>
        <v>39.65015163</v>
      </c>
      <c r="G24" s="66">
        <f>IF(C24&lt;&gt;"",IF(OR(G23="",AND(ABS(IFERROR(SUMPRODUCT((Data!$O$2:$O$2277=A24)*(Data!$M$2:$M$2277="Valerii Zaluzhniy")*ISNUMBER(Data!$N$2:$N$2277)*IF(ISNUMBER(Data!$W$2:$W$2277),Data!$W$2:$W$2277,0)*IF(ISNUMBER(Data!$U$2:$U$2277),Data!$U$2:$U$2277,0))/SUMPRODUCT((Data!$O$2:$O$2277=A24)*(Data!$M$2:$M$2277="Valerii Zaluzhniy")*ISNUMBER(Data!$N$2:$N$2277)*IF(ISNUMBER(Data!$U$2:$U$2277),Data!$U$2:$U$2277,0)),0)-IF(G23="",0,G23))&gt;Formula!$C$30,SUMPRODUCT((Data!$O$2:$O$2277=A24)*(Data!$M$2:$M$2277="Valerii Zaluzhniy")*ISNUMBER(Data!$N$2:$N$2277)*IF(ISNUMBER(Data!$U$2:$U$2277),Data!$U$2:$U$2277,0))&gt;=Formula!$C$31)),C24,(SUMPRODUCT((Data!$O$2:$O$2277=A24)*(Data!$M$2:$M$2277="Valerii Zaluzhniy")*ISNUMBER(Data!$N$2:$N$2277)*IF(ISNUMBER(Data!$W$2:$W$2277),Data!$W$2:$W$2277,0)*IF(ISNUMBER(Data!$U$2:$U$2277),Data!$U$2:$U$2277,0))+Formula!$C$29*G23)/(SUMPRODUCT((Data!$O$2:$O$2277=A24)*(Data!$M$2:$M$2277="Valerii Zaluzhniy")*ISNUMBER(Data!$N$2:$N$2277)*IF(ISNUMBER(Data!$U$2:$U$2277),Data!$U$2:$U$2277,0))+Formula!$C$29)),IF(G23&lt;&gt;"",G23,""))</f>
        <v>27.83693473</v>
      </c>
      <c r="H24" s="66">
        <f>IF(D24&lt;&gt;"",IF(OR(H23="",AND(ABS(IFERROR(SUMPRODUCT((Data!$O$2:$O$2277=A24)*(Data!$M$2:$M$2277="Kyrylo Budanov")*ISNUMBER(Data!$N$2:$N$2277)*IF(ISNUMBER(Data!$W$2:$W$2277),Data!$W$2:$W$2277,0)*IF(ISNUMBER(Data!$U$2:$U$2277),Data!$U$2:$U$2277,0))/SUMPRODUCT((Data!$O$2:$O$2277=A24)*(Data!$M$2:$M$2277="Kyrylo Budanov")*ISNUMBER(Data!$N$2:$N$2277)*IF(ISNUMBER(Data!$U$2:$U$2277),Data!$U$2:$U$2277,0)),0)-IF(H23="",0,H23))&gt;Formula!$C$30,SUMPRODUCT((Data!$O$2:$O$2277=A24)*(Data!$M$2:$M$2277="Kyrylo Budanov")*ISNUMBER(Data!$N$2:$N$2277)*IF(ISNUMBER(Data!$U$2:$U$2277),Data!$U$2:$U$2277,0))&gt;=Formula!$C$31)),D24,(SUMPRODUCT((Data!$O$2:$O$2277=A24)*(Data!$M$2:$M$2277="Kyrylo Budanov")*ISNUMBER(Data!$N$2:$N$2277)*IF(ISNUMBER(Data!$W$2:$W$2277),Data!$W$2:$W$2277,0)*IF(ISNUMBER(Data!$U$2:$U$2277),Data!$U$2:$U$2277,0))+Formula!$C$29*H23)/(SUMPRODUCT((Data!$O$2:$O$2277=A24)*(Data!$M$2:$M$2277="Kyrylo Budanov")*ISNUMBER(Data!$N$2:$N$2277)*IF(ISNUMBER(Data!$U$2:$U$2277),Data!$U$2:$U$2277,0))+Formula!$C$29)),IF(H23&lt;&gt;"",H23,""))</f>
        <v>0.22</v>
      </c>
      <c r="I24" s="66">
        <f>IF(E24&lt;&gt;"",IF(OR(I23="",AND(ABS(IFERROR(SUMPRODUCT((Data!$O$2:$O$2277=A24)*(Data!$M$2:$M$2277="Pyotr Poroshenko")*ISNUMBER(Data!$N$2:$N$2277)*IF(ISNUMBER(Data!$W$2:$W$2277),Data!$W$2:$W$2277,0)*IF(ISNUMBER(Data!$U$2:$U$2277),Data!$U$2:$U$2277,0))/SUMPRODUCT((Data!$O$2:$O$2277=A24)*(Data!$M$2:$M$2277="Pyotr Poroshenko")*ISNUMBER(Data!$N$2:$N$2277)*IF(ISNUMBER(Data!$U$2:$U$2277),Data!$U$2:$U$2277,0)),0)-IF(I23="",0,I23))&gt;Formula!$C$30,SUMPRODUCT((Data!$O$2:$O$2277=A24)*(Data!$M$2:$M$2277="Pyotr Poroshenko")*ISNUMBER(Data!$N$2:$N$2277)*IF(ISNUMBER(Data!$U$2:$U$2277),Data!$U$2:$U$2277,0))&gt;=Formula!$C$31)),E24,(SUMPRODUCT((Data!$O$2:$O$2277=A24)*(Data!$M$2:$M$2277="Pyotr Poroshenko")*ISNUMBER(Data!$N$2:$N$2277)*IF(ISNUMBER(Data!$W$2:$W$2277),Data!$W$2:$W$2277,0)*IF(ISNUMBER(Data!$U$2:$U$2277),Data!$U$2:$U$2277,0))+Formula!$C$29*I23)/(SUMPRODUCT((Data!$O$2:$O$2277=A24)*(Data!$M$2:$M$2277="Pyotr Poroshenko")*ISNUMBER(Data!$N$2:$N$2277)*IF(ISNUMBER(Data!$U$2:$U$2277),Data!$U$2:$U$2277,0))+Formula!$C$29)),IF(I23&lt;&gt;"",I23,""))</f>
        <v>8.550138255</v>
      </c>
      <c r="L24" s="67">
        <f t="shared" ref="L24:O24" si="26">IFERROR((IF(F22&lt;&gt;"",F22*1,0)+IF(F23&lt;&gt;"",F23*2,0)+IF(F24&lt;&gt;"",F24*3,0))/(IF(F22&lt;&gt;"",1,0)+IF(F23&lt;&gt;"",2,0)+IF(F24&lt;&gt;"",3,0)),"")</f>
        <v>49.59089442</v>
      </c>
      <c r="M24" s="67">
        <f t="shared" si="26"/>
        <v>25.39395342</v>
      </c>
      <c r="N24" s="67">
        <f t="shared" si="26"/>
        <v>0.22</v>
      </c>
      <c r="O24" s="67">
        <f t="shared" si="26"/>
        <v>8.188018089</v>
      </c>
    </row>
    <row r="25" ht="12.75" customHeight="1">
      <c r="A25" s="68">
        <v>45323.0</v>
      </c>
      <c r="B25" s="69">
        <f>IFERROR(IF(SUMPRODUCT((Data!$O$2:$O$2277=A25)*(Data!$M$2:$M$2277="Vladimir Zelenskiy")*ISNUMBER(Data!$N$2:$N$2277)*IF(ISNUMBER(Data!$U$2:$U$2277),Data!$U$2:$U$2277,0))&gt;0,SUMPRODUCT((Data!$O$2:$O$2277=A25)*(Data!$M$2:$M$2277="Vladimir Zelenskiy")*ISNUMBER(Data!$N$2:$N$2277)*IF(ISNUMBER(Data!$W$2:$W$2277),Data!$W$2:$W$2277,0)*IF(ISNUMBER(Data!$U$2:$U$2277),Data!$U$2:$U$2277,0))/SUMPRODUCT((Data!$O$2:$O$2277=A25)*(Data!$M$2:$M$2277="Vladimir Zelenskiy")*ISNUMBER(Data!$N$2:$N$2277)*IF(ISNUMBER(Data!$U$2:$U$2277),Data!$U$2:$U$2277,0)),""),"")</f>
        <v>18.59</v>
      </c>
      <c r="C25" s="69">
        <f>IFERROR(IF(SUMPRODUCT((Data!$O$2:$O$2277=A25)*(Data!$M$2:$M$2277="Valerii Zaluzhniy")*ISNUMBER(Data!$N$2:$N$2277)*IF(ISNUMBER(Data!$U$2:$U$2277),Data!$U$2:$U$2277,0))&gt;0,SUMPRODUCT((Data!$O$2:$O$2277=A25)*(Data!$M$2:$M$2277="Valerii Zaluzhniy")*ISNUMBER(Data!$N$2:$N$2277)*IF(ISNUMBER(Data!$W$2:$W$2277),Data!$W$2:$W$2277,0)*IF(ISNUMBER(Data!$U$2:$U$2277),Data!$U$2:$U$2277,0))/SUMPRODUCT((Data!$O$2:$O$2277=A25)*(Data!$M$2:$M$2277="Valerii Zaluzhniy")*ISNUMBER(Data!$N$2:$N$2277)*IF(ISNUMBER(Data!$U$2:$U$2277),Data!$U$2:$U$2277,0)),""),"")</f>
        <v>38.16</v>
      </c>
      <c r="D25" s="69" t="str">
        <f>IFERROR(IF(SUMPRODUCT((Data!$O$2:$O$2277=A25)*(Data!$M$2:$M$2277="Kyrylo Budanov")*ISNUMBER(Data!$N$2:$N$2277)*IF(ISNUMBER(Data!$U$2:$U$2277),Data!$U$2:$U$2277,0))&gt;0,SUMPRODUCT((Data!$O$2:$O$2277=A25)*(Data!$M$2:$M$2277="Kyrylo Budanov")*ISNUMBER(Data!$N$2:$N$2277)*IF(ISNUMBER(Data!$W$2:$W$2277),Data!$W$2:$W$2277,0)*IF(ISNUMBER(Data!$U$2:$U$2277),Data!$U$2:$U$2277,0))/SUMPRODUCT((Data!$O$2:$O$2277=A25)*(Data!$M$2:$M$2277="Kyrylo Budanov")*ISNUMBER(Data!$N$2:$N$2277)*IF(ISNUMBER(Data!$U$2:$U$2277),Data!$U$2:$U$2277,0)),""),"")</f>
        <v/>
      </c>
      <c r="E25" s="69">
        <f>IFERROR(IF(SUMPRODUCT((Data!$O$2:$O$2277=A25)*(Data!$M$2:$M$2277="Pyotr Poroshenko")*ISNUMBER(Data!$N$2:$N$2277)*IF(ISNUMBER(Data!$U$2:$U$2277),Data!$U$2:$U$2277,0))&gt;0,SUMPRODUCT((Data!$O$2:$O$2277=A25)*(Data!$M$2:$M$2277="Pyotr Poroshenko")*ISNUMBER(Data!$N$2:$N$2277)*IF(ISNUMBER(Data!$W$2:$W$2277),Data!$W$2:$W$2277,0)*IF(ISNUMBER(Data!$U$2:$U$2277),Data!$U$2:$U$2277,0))/SUMPRODUCT((Data!$O$2:$O$2277=A25)*(Data!$M$2:$M$2277="Pyotr Poroshenko")*ISNUMBER(Data!$N$2:$N$2277)*IF(ISNUMBER(Data!$U$2:$U$2277),Data!$U$2:$U$2277,0)),""),"")</f>
        <v>11.11</v>
      </c>
      <c r="F25" s="70">
        <f>IF(B25&lt;&gt;"",IF(OR(F24="",AND(ABS(IFERROR(SUMPRODUCT((Data!$O$2:$O$2277=A25)*(Data!$M$2:$M$2277="Vladimir Zelenskiy")*ISNUMBER(Data!$N$2:$N$2277)*IF(ISNUMBER(Data!$W$2:$W$2277),Data!$W$2:$W$2277,0)*IF(ISNUMBER(Data!$U$2:$U$2277),Data!$U$2:$U$2277,0))/SUMPRODUCT((Data!$O$2:$O$2277=A25)*(Data!$M$2:$M$2277="Vladimir Zelenskiy")*ISNUMBER(Data!$N$2:$N$2277)*IF(ISNUMBER(Data!$U$2:$U$2277),Data!$U$2:$U$2277,0)),0)-IF(F24="",0,F24))&gt;Formula!$C$30,SUMPRODUCT((Data!$O$2:$O$2277=A25)*(Data!$M$2:$M$2277="Vladimir Zelenskiy")*ISNUMBER(Data!$N$2:$N$2277)*IF(ISNUMBER(Data!$U$2:$U$2277),Data!$U$2:$U$2277,0))&gt;=Formula!$C$31)),B25,(SUMPRODUCT((Data!$O$2:$O$2277=A25)*(Data!$M$2:$M$2277="Vladimir Zelenskiy")*ISNUMBER(Data!$N$2:$N$2277)*IF(ISNUMBER(Data!$W$2:$W$2277),Data!$W$2:$W$2277,0)*IF(ISNUMBER(Data!$U$2:$U$2277),Data!$U$2:$U$2277,0))+Formula!$C$29*F24)/(SUMPRODUCT((Data!$O$2:$O$2277=A25)*(Data!$M$2:$M$2277="Vladimir Zelenskiy")*ISNUMBER(Data!$N$2:$N$2277)*IF(ISNUMBER(Data!$U$2:$U$2277),Data!$U$2:$U$2277,0))+Formula!$C$29)),IF(F24&lt;&gt;"",F24,""))</f>
        <v>28.05160663</v>
      </c>
      <c r="G25" s="70">
        <f>IF(C25&lt;&gt;"",IF(OR(G24="",AND(ABS(IFERROR(SUMPRODUCT((Data!$O$2:$O$2277=A25)*(Data!$M$2:$M$2277="Valerii Zaluzhniy")*ISNUMBER(Data!$N$2:$N$2277)*IF(ISNUMBER(Data!$W$2:$W$2277),Data!$W$2:$W$2277,0)*IF(ISNUMBER(Data!$U$2:$U$2277),Data!$U$2:$U$2277,0))/SUMPRODUCT((Data!$O$2:$O$2277=A25)*(Data!$M$2:$M$2277="Valerii Zaluzhniy")*ISNUMBER(Data!$N$2:$N$2277)*IF(ISNUMBER(Data!$U$2:$U$2277),Data!$U$2:$U$2277,0)),0)-IF(G24="",0,G24))&gt;Formula!$C$30,SUMPRODUCT((Data!$O$2:$O$2277=A25)*(Data!$M$2:$M$2277="Valerii Zaluzhniy")*ISNUMBER(Data!$N$2:$N$2277)*IF(ISNUMBER(Data!$U$2:$U$2277),Data!$U$2:$U$2277,0))&gt;=Formula!$C$31)),C25,(SUMPRODUCT((Data!$O$2:$O$2277=A25)*(Data!$M$2:$M$2277="Valerii Zaluzhniy")*ISNUMBER(Data!$N$2:$N$2277)*IF(ISNUMBER(Data!$W$2:$W$2277),Data!$W$2:$W$2277,0)*IF(ISNUMBER(Data!$U$2:$U$2277),Data!$U$2:$U$2277,0))+Formula!$C$29*G24)/(SUMPRODUCT((Data!$O$2:$O$2277=A25)*(Data!$M$2:$M$2277="Valerii Zaluzhniy")*ISNUMBER(Data!$N$2:$N$2277)*IF(ISNUMBER(Data!$U$2:$U$2277),Data!$U$2:$U$2277,0))+Formula!$C$29)),IF(G24&lt;&gt;"",G24,""))</f>
        <v>31.75979317</v>
      </c>
      <c r="H25" s="70">
        <f>IF(D25&lt;&gt;"",IF(OR(H24="",AND(ABS(IFERROR(SUMPRODUCT((Data!$O$2:$O$2277=A25)*(Data!$M$2:$M$2277="Kyrylo Budanov")*ISNUMBER(Data!$N$2:$N$2277)*IF(ISNUMBER(Data!$W$2:$W$2277),Data!$W$2:$W$2277,0)*IF(ISNUMBER(Data!$U$2:$U$2277),Data!$U$2:$U$2277,0))/SUMPRODUCT((Data!$O$2:$O$2277=A25)*(Data!$M$2:$M$2277="Kyrylo Budanov")*ISNUMBER(Data!$N$2:$N$2277)*IF(ISNUMBER(Data!$U$2:$U$2277),Data!$U$2:$U$2277,0)),0)-IF(H24="",0,H24))&gt;Formula!$C$30,SUMPRODUCT((Data!$O$2:$O$2277=A25)*(Data!$M$2:$M$2277="Kyrylo Budanov")*ISNUMBER(Data!$N$2:$N$2277)*IF(ISNUMBER(Data!$U$2:$U$2277),Data!$U$2:$U$2277,0))&gt;=Formula!$C$31)),D25,(SUMPRODUCT((Data!$O$2:$O$2277=A25)*(Data!$M$2:$M$2277="Kyrylo Budanov")*ISNUMBER(Data!$N$2:$N$2277)*IF(ISNUMBER(Data!$W$2:$W$2277),Data!$W$2:$W$2277,0)*IF(ISNUMBER(Data!$U$2:$U$2277),Data!$U$2:$U$2277,0))+Formula!$C$29*H24)/(SUMPRODUCT((Data!$O$2:$O$2277=A25)*(Data!$M$2:$M$2277="Kyrylo Budanov")*ISNUMBER(Data!$N$2:$N$2277)*IF(ISNUMBER(Data!$U$2:$U$2277),Data!$U$2:$U$2277,0))+Formula!$C$29)),IF(H24&lt;&gt;"",H24,""))</f>
        <v>0.22</v>
      </c>
      <c r="I25" s="70">
        <f>IF(E25&lt;&gt;"",IF(OR(I24="",AND(ABS(IFERROR(SUMPRODUCT((Data!$O$2:$O$2277=A25)*(Data!$M$2:$M$2277="Pyotr Poroshenko")*ISNUMBER(Data!$N$2:$N$2277)*IF(ISNUMBER(Data!$W$2:$W$2277),Data!$W$2:$W$2277,0)*IF(ISNUMBER(Data!$U$2:$U$2277),Data!$U$2:$U$2277,0))/SUMPRODUCT((Data!$O$2:$O$2277=A25)*(Data!$M$2:$M$2277="Pyotr Poroshenko")*ISNUMBER(Data!$N$2:$N$2277)*IF(ISNUMBER(Data!$U$2:$U$2277),Data!$U$2:$U$2277,0)),0)-IF(I24="",0,I24))&gt;Formula!$C$30,SUMPRODUCT((Data!$O$2:$O$2277=A25)*(Data!$M$2:$M$2277="Pyotr Poroshenko")*ISNUMBER(Data!$N$2:$N$2277)*IF(ISNUMBER(Data!$U$2:$U$2277),Data!$U$2:$U$2277,0))&gt;=Formula!$C$31)),E25,(SUMPRODUCT((Data!$O$2:$O$2277=A25)*(Data!$M$2:$M$2277="Pyotr Poroshenko")*ISNUMBER(Data!$N$2:$N$2277)*IF(ISNUMBER(Data!$W$2:$W$2277),Data!$W$2:$W$2277,0)*IF(ISNUMBER(Data!$U$2:$U$2277),Data!$U$2:$U$2277,0))+Formula!$C$29*I24)/(SUMPRODUCT((Data!$O$2:$O$2277=A25)*(Data!$M$2:$M$2277="Pyotr Poroshenko")*ISNUMBER(Data!$N$2:$N$2277)*IF(ISNUMBER(Data!$U$2:$U$2277),Data!$U$2:$U$2277,0))+Formula!$C$29)),IF(I24&lt;&gt;"",I24,""))</f>
        <v>9.959941573</v>
      </c>
      <c r="L25" s="71">
        <f t="shared" ref="L25:O25" si="27">IFERROR((IF(F23&lt;&gt;"",F23*1,0)+IF(F24&lt;&gt;"",F24*2,0)+IF(F25&lt;&gt;"",F25*3,0))/(IF(F23&lt;&gt;"",1,0)+IF(F24&lt;&gt;"",2,0)+IF(F25&lt;&gt;"",3,0)),"")</f>
        <v>36.81152816</v>
      </c>
      <c r="M25" s="71">
        <f t="shared" si="27"/>
        <v>28.99245393</v>
      </c>
      <c r="N25" s="71">
        <f t="shared" si="27"/>
        <v>0.22</v>
      </c>
      <c r="O25" s="71">
        <f t="shared" si="27"/>
        <v>9.065976463</v>
      </c>
    </row>
    <row r="26" ht="12.75" customHeight="1">
      <c r="A26" s="64">
        <v>45352.0</v>
      </c>
      <c r="B26" s="65">
        <f>IFERROR(IF(SUMPRODUCT((Data!$O$2:$O$2277=A26)*(Data!$M$2:$M$2277="Vladimir Zelenskiy")*ISNUMBER(Data!$N$2:$N$2277)*IF(ISNUMBER(Data!$U$2:$U$2277),Data!$U$2:$U$2277,0))&gt;0,SUMPRODUCT((Data!$O$2:$O$2277=A26)*(Data!$M$2:$M$2277="Vladimir Zelenskiy")*ISNUMBER(Data!$N$2:$N$2277)*IF(ISNUMBER(Data!$W$2:$W$2277),Data!$W$2:$W$2277,0)*IF(ISNUMBER(Data!$U$2:$U$2277),Data!$U$2:$U$2277,0))/SUMPRODUCT((Data!$O$2:$O$2277=A26)*(Data!$M$2:$M$2277="Vladimir Zelenskiy")*ISNUMBER(Data!$N$2:$N$2277)*IF(ISNUMBER(Data!$U$2:$U$2277),Data!$U$2:$U$2277,0)),""),"")</f>
        <v>17.52711153</v>
      </c>
      <c r="C26" s="65">
        <f>IFERROR(IF(SUMPRODUCT((Data!$O$2:$O$2277=A26)*(Data!$M$2:$M$2277="Valerii Zaluzhniy")*ISNUMBER(Data!$N$2:$N$2277)*IF(ISNUMBER(Data!$U$2:$U$2277),Data!$U$2:$U$2277,0))&gt;0,SUMPRODUCT((Data!$O$2:$O$2277=A26)*(Data!$M$2:$M$2277="Valerii Zaluzhniy")*ISNUMBER(Data!$N$2:$N$2277)*IF(ISNUMBER(Data!$W$2:$W$2277),Data!$W$2:$W$2277,0)*IF(ISNUMBER(Data!$U$2:$U$2277),Data!$U$2:$U$2277,0))/SUMPRODUCT((Data!$O$2:$O$2277=A26)*(Data!$M$2:$M$2277="Valerii Zaluzhniy")*ISNUMBER(Data!$N$2:$N$2277)*IF(ISNUMBER(Data!$U$2:$U$2277),Data!$U$2:$U$2277,0)),""),"")</f>
        <v>41.4</v>
      </c>
      <c r="D26" s="65">
        <f>IFERROR(IF(SUMPRODUCT((Data!$O$2:$O$2277=A26)*(Data!$M$2:$M$2277="Kyrylo Budanov")*ISNUMBER(Data!$N$2:$N$2277)*IF(ISNUMBER(Data!$U$2:$U$2277),Data!$U$2:$U$2277,0))&gt;0,SUMPRODUCT((Data!$O$2:$O$2277=A26)*(Data!$M$2:$M$2277="Kyrylo Budanov")*ISNUMBER(Data!$N$2:$N$2277)*IF(ISNUMBER(Data!$W$2:$W$2277),Data!$W$2:$W$2277,0)*IF(ISNUMBER(Data!$U$2:$U$2277),Data!$U$2:$U$2277,0))/SUMPRODUCT((Data!$O$2:$O$2277=A26)*(Data!$M$2:$M$2277="Kyrylo Budanov")*ISNUMBER(Data!$N$2:$N$2277)*IF(ISNUMBER(Data!$U$2:$U$2277),Data!$U$2:$U$2277,0)),""),"")</f>
        <v>0.818027905</v>
      </c>
      <c r="E26" s="65">
        <f>IFERROR(IF(SUMPRODUCT((Data!$O$2:$O$2277=A26)*(Data!$M$2:$M$2277="Pyotr Poroshenko")*ISNUMBER(Data!$N$2:$N$2277)*IF(ISNUMBER(Data!$U$2:$U$2277),Data!$U$2:$U$2277,0))&gt;0,SUMPRODUCT((Data!$O$2:$O$2277=A26)*(Data!$M$2:$M$2277="Pyotr Poroshenko")*ISNUMBER(Data!$N$2:$N$2277)*IF(ISNUMBER(Data!$W$2:$W$2277),Data!$W$2:$W$2277,0)*IF(ISNUMBER(Data!$U$2:$U$2277),Data!$U$2:$U$2277,0))/SUMPRODUCT((Data!$O$2:$O$2277=A26)*(Data!$M$2:$M$2277="Pyotr Poroshenko")*ISNUMBER(Data!$N$2:$N$2277)*IF(ISNUMBER(Data!$U$2:$U$2277),Data!$U$2:$U$2277,0)),""),"")</f>
        <v>7.380812039</v>
      </c>
      <c r="F26" s="66">
        <f>IF(B26&lt;&gt;"",IF(OR(F25="",AND(ABS(IFERROR(SUMPRODUCT((Data!$O$2:$O$2277=A26)*(Data!$M$2:$M$2277="Vladimir Zelenskiy")*ISNUMBER(Data!$N$2:$N$2277)*IF(ISNUMBER(Data!$W$2:$W$2277),Data!$W$2:$W$2277,0)*IF(ISNUMBER(Data!$U$2:$U$2277),Data!$U$2:$U$2277,0))/SUMPRODUCT((Data!$O$2:$O$2277=A26)*(Data!$M$2:$M$2277="Vladimir Zelenskiy")*ISNUMBER(Data!$N$2:$N$2277)*IF(ISNUMBER(Data!$U$2:$U$2277),Data!$U$2:$U$2277,0)),0)-IF(F25="",0,F25))&gt;Formula!$C$30,SUMPRODUCT((Data!$O$2:$O$2277=A26)*(Data!$M$2:$M$2277="Vladimir Zelenskiy")*ISNUMBER(Data!$N$2:$N$2277)*IF(ISNUMBER(Data!$U$2:$U$2277),Data!$U$2:$U$2277,0))&gt;=Formula!$C$31)),B26,(SUMPRODUCT((Data!$O$2:$O$2277=A26)*(Data!$M$2:$M$2277="Vladimir Zelenskiy")*ISNUMBER(Data!$N$2:$N$2277)*IF(ISNUMBER(Data!$W$2:$W$2277),Data!$W$2:$W$2277,0)*IF(ISNUMBER(Data!$U$2:$U$2277),Data!$U$2:$U$2277,0))+Formula!$C$29*F25)/(SUMPRODUCT((Data!$O$2:$O$2277=A26)*(Data!$M$2:$M$2277="Vladimir Zelenskiy")*ISNUMBER(Data!$N$2:$N$2277)*IF(ISNUMBER(Data!$U$2:$U$2277),Data!$U$2:$U$2277,0))+Formula!$C$29)),IF(F25&lt;&gt;"",F25,""))</f>
        <v>21.97767234</v>
      </c>
      <c r="G26" s="66">
        <f>IF(C26&lt;&gt;"",IF(OR(G25="",AND(ABS(IFERROR(SUMPRODUCT((Data!$O$2:$O$2277=A26)*(Data!$M$2:$M$2277="Valerii Zaluzhniy")*ISNUMBER(Data!$N$2:$N$2277)*IF(ISNUMBER(Data!$W$2:$W$2277),Data!$W$2:$W$2277,0)*IF(ISNUMBER(Data!$U$2:$U$2277),Data!$U$2:$U$2277,0))/SUMPRODUCT((Data!$O$2:$O$2277=A26)*(Data!$M$2:$M$2277="Valerii Zaluzhniy")*ISNUMBER(Data!$N$2:$N$2277)*IF(ISNUMBER(Data!$U$2:$U$2277),Data!$U$2:$U$2277,0)),0)-IF(G25="",0,G25))&gt;Formula!$C$30,SUMPRODUCT((Data!$O$2:$O$2277=A26)*(Data!$M$2:$M$2277="Valerii Zaluzhniy")*ISNUMBER(Data!$N$2:$N$2277)*IF(ISNUMBER(Data!$U$2:$U$2277),Data!$U$2:$U$2277,0))&gt;=Formula!$C$31)),C26,(SUMPRODUCT((Data!$O$2:$O$2277=A26)*(Data!$M$2:$M$2277="Valerii Zaluzhniy")*ISNUMBER(Data!$N$2:$N$2277)*IF(ISNUMBER(Data!$W$2:$W$2277),Data!$W$2:$W$2277,0)*IF(ISNUMBER(Data!$U$2:$U$2277),Data!$U$2:$U$2277,0))+Formula!$C$29*G25)/(SUMPRODUCT((Data!$O$2:$O$2277=A26)*(Data!$M$2:$M$2277="Valerii Zaluzhniy")*ISNUMBER(Data!$N$2:$N$2277)*IF(ISNUMBER(Data!$U$2:$U$2277),Data!$U$2:$U$2277,0))+Formula!$C$29)),IF(G25&lt;&gt;"",G25,""))</f>
        <v>33.99812013</v>
      </c>
      <c r="H26" s="66">
        <f>IF(D26&lt;&gt;"",IF(OR(H25="",AND(ABS(IFERROR(SUMPRODUCT((Data!$O$2:$O$2277=A26)*(Data!$M$2:$M$2277="Kyrylo Budanov")*ISNUMBER(Data!$N$2:$N$2277)*IF(ISNUMBER(Data!$W$2:$W$2277),Data!$W$2:$W$2277,0)*IF(ISNUMBER(Data!$U$2:$U$2277),Data!$U$2:$U$2277,0))/SUMPRODUCT((Data!$O$2:$O$2277=A26)*(Data!$M$2:$M$2277="Kyrylo Budanov")*ISNUMBER(Data!$N$2:$N$2277)*IF(ISNUMBER(Data!$U$2:$U$2277),Data!$U$2:$U$2277,0)),0)-IF(H25="",0,H25))&gt;Formula!$C$30,SUMPRODUCT((Data!$O$2:$O$2277=A26)*(Data!$M$2:$M$2277="Kyrylo Budanov")*ISNUMBER(Data!$N$2:$N$2277)*IF(ISNUMBER(Data!$U$2:$U$2277),Data!$U$2:$U$2277,0))&gt;=Formula!$C$31)),D26,(SUMPRODUCT((Data!$O$2:$O$2277=A26)*(Data!$M$2:$M$2277="Kyrylo Budanov")*ISNUMBER(Data!$N$2:$N$2277)*IF(ISNUMBER(Data!$W$2:$W$2277),Data!$W$2:$W$2277,0)*IF(ISNUMBER(Data!$U$2:$U$2277),Data!$U$2:$U$2277,0))+Formula!$C$29*H25)/(SUMPRODUCT((Data!$O$2:$O$2277=A26)*(Data!$M$2:$M$2277="Kyrylo Budanov")*ISNUMBER(Data!$N$2:$N$2277)*IF(ISNUMBER(Data!$U$2:$U$2277),Data!$U$2:$U$2277,0))+Formula!$C$29)),IF(H25&lt;&gt;"",H25,""))</f>
        <v>0.5651360056</v>
      </c>
      <c r="I26" s="66">
        <f>IF(E26&lt;&gt;"",IF(OR(I25="",AND(ABS(IFERROR(SUMPRODUCT((Data!$O$2:$O$2277=A26)*(Data!$M$2:$M$2277="Pyotr Poroshenko")*ISNUMBER(Data!$N$2:$N$2277)*IF(ISNUMBER(Data!$W$2:$W$2277),Data!$W$2:$W$2277,0)*IF(ISNUMBER(Data!$U$2:$U$2277),Data!$U$2:$U$2277,0))/SUMPRODUCT((Data!$O$2:$O$2277=A26)*(Data!$M$2:$M$2277="Pyotr Poroshenko")*ISNUMBER(Data!$N$2:$N$2277)*IF(ISNUMBER(Data!$U$2:$U$2277),Data!$U$2:$U$2277,0)),0)-IF(I25="",0,I25))&gt;Formula!$C$30,SUMPRODUCT((Data!$O$2:$O$2277=A26)*(Data!$M$2:$M$2277="Pyotr Poroshenko")*ISNUMBER(Data!$N$2:$N$2277)*IF(ISNUMBER(Data!$U$2:$U$2277),Data!$U$2:$U$2277,0))&gt;=Formula!$C$31)),E26,(SUMPRODUCT((Data!$O$2:$O$2277=A26)*(Data!$M$2:$M$2277="Pyotr Poroshenko")*ISNUMBER(Data!$N$2:$N$2277)*IF(ISNUMBER(Data!$W$2:$W$2277),Data!$W$2:$W$2277,0)*IF(ISNUMBER(Data!$U$2:$U$2277),Data!$U$2:$U$2277,0))+Formula!$C$29*I25)/(SUMPRODUCT((Data!$O$2:$O$2277=A26)*(Data!$M$2:$M$2277="Pyotr Poroshenko")*ISNUMBER(Data!$N$2:$N$2277)*IF(ISNUMBER(Data!$U$2:$U$2277),Data!$U$2:$U$2277,0))+Formula!$C$29)),IF(I25&lt;&gt;"",I25,""))</f>
        <v>8.471465103</v>
      </c>
      <c r="L26" s="67">
        <f t="shared" ref="L26:O26" si="28">IFERROR((IF(F24&lt;&gt;"",F24*1,0)+IF(F25&lt;&gt;"",F25*2,0)+IF(F26&lt;&gt;"",F26*3,0))/(IF(F24&lt;&gt;"",1,0)+IF(F25&lt;&gt;"",2,0)+IF(F26&lt;&gt;"",3,0)),"")</f>
        <v>26.94773032</v>
      </c>
      <c r="M26" s="67">
        <f t="shared" si="28"/>
        <v>32.22514691</v>
      </c>
      <c r="N26" s="67">
        <f t="shared" si="28"/>
        <v>0.3925680028</v>
      </c>
      <c r="O26" s="67">
        <f t="shared" si="28"/>
        <v>8.980736118</v>
      </c>
    </row>
    <row r="27" ht="12.75" customHeight="1">
      <c r="A27" s="68">
        <v>45383.0</v>
      </c>
      <c r="B27" s="69" t="str">
        <f>IFERROR(IF(SUMPRODUCT((Data!$O$2:$O$2277=A27)*(Data!$M$2:$M$2277="Vladimir Zelenskiy")*ISNUMBER(Data!$N$2:$N$2277)*IF(ISNUMBER(Data!$U$2:$U$2277),Data!$U$2:$U$2277,0))&gt;0,SUMPRODUCT((Data!$O$2:$O$2277=A27)*(Data!$M$2:$M$2277="Vladimir Zelenskiy")*ISNUMBER(Data!$N$2:$N$2277)*IF(ISNUMBER(Data!$W$2:$W$2277),Data!$W$2:$W$2277,0)*IF(ISNUMBER(Data!$U$2:$U$2277),Data!$U$2:$U$2277,0))/SUMPRODUCT((Data!$O$2:$O$2277=A27)*(Data!$M$2:$M$2277="Vladimir Zelenskiy")*ISNUMBER(Data!$N$2:$N$2277)*IF(ISNUMBER(Data!$U$2:$U$2277),Data!$U$2:$U$2277,0)),""),"")</f>
        <v/>
      </c>
      <c r="C27" s="69" t="str">
        <f>IFERROR(IF(SUMPRODUCT((Data!$O$2:$O$2277=A27)*(Data!$M$2:$M$2277="Valerii Zaluzhniy")*ISNUMBER(Data!$N$2:$N$2277)*IF(ISNUMBER(Data!$U$2:$U$2277),Data!$U$2:$U$2277,0))&gt;0,SUMPRODUCT((Data!$O$2:$O$2277=A27)*(Data!$M$2:$M$2277="Valerii Zaluzhniy")*ISNUMBER(Data!$N$2:$N$2277)*IF(ISNUMBER(Data!$W$2:$W$2277),Data!$W$2:$W$2277,0)*IF(ISNUMBER(Data!$U$2:$U$2277),Data!$U$2:$U$2277,0))/SUMPRODUCT((Data!$O$2:$O$2277=A27)*(Data!$M$2:$M$2277="Valerii Zaluzhniy")*ISNUMBER(Data!$N$2:$N$2277)*IF(ISNUMBER(Data!$U$2:$U$2277),Data!$U$2:$U$2277,0)),""),"")</f>
        <v/>
      </c>
      <c r="D27" s="69" t="str">
        <f>IFERROR(IF(SUMPRODUCT((Data!$O$2:$O$2277=A27)*(Data!$M$2:$M$2277="Kyrylo Budanov")*ISNUMBER(Data!$N$2:$N$2277)*IF(ISNUMBER(Data!$U$2:$U$2277),Data!$U$2:$U$2277,0))&gt;0,SUMPRODUCT((Data!$O$2:$O$2277=A27)*(Data!$M$2:$M$2277="Kyrylo Budanov")*ISNUMBER(Data!$N$2:$N$2277)*IF(ISNUMBER(Data!$W$2:$W$2277),Data!$W$2:$W$2277,0)*IF(ISNUMBER(Data!$U$2:$U$2277),Data!$U$2:$U$2277,0))/SUMPRODUCT((Data!$O$2:$O$2277=A27)*(Data!$M$2:$M$2277="Kyrylo Budanov")*ISNUMBER(Data!$N$2:$N$2277)*IF(ISNUMBER(Data!$U$2:$U$2277),Data!$U$2:$U$2277,0)),""),"")</f>
        <v/>
      </c>
      <c r="E27" s="69" t="str">
        <f>IFERROR(IF(SUMPRODUCT((Data!$O$2:$O$2277=A27)*(Data!$M$2:$M$2277="Pyotr Poroshenko")*ISNUMBER(Data!$N$2:$N$2277)*IF(ISNUMBER(Data!$U$2:$U$2277),Data!$U$2:$U$2277,0))&gt;0,SUMPRODUCT((Data!$O$2:$O$2277=A27)*(Data!$M$2:$M$2277="Pyotr Poroshenko")*ISNUMBER(Data!$N$2:$N$2277)*IF(ISNUMBER(Data!$W$2:$W$2277),Data!$W$2:$W$2277,0)*IF(ISNUMBER(Data!$U$2:$U$2277),Data!$U$2:$U$2277,0))/SUMPRODUCT((Data!$O$2:$O$2277=A27)*(Data!$M$2:$M$2277="Pyotr Poroshenko")*ISNUMBER(Data!$N$2:$N$2277)*IF(ISNUMBER(Data!$U$2:$U$2277),Data!$U$2:$U$2277,0)),""),"")</f>
        <v/>
      </c>
      <c r="F27" s="70">
        <f>IF(B27&lt;&gt;"",IF(OR(F26="",AND(ABS(IFERROR(SUMPRODUCT((Data!$O$2:$O$2277=A27)*(Data!$M$2:$M$2277="Vladimir Zelenskiy")*ISNUMBER(Data!$N$2:$N$2277)*IF(ISNUMBER(Data!$W$2:$W$2277),Data!$W$2:$W$2277,0)*IF(ISNUMBER(Data!$U$2:$U$2277),Data!$U$2:$U$2277,0))/SUMPRODUCT((Data!$O$2:$O$2277=A27)*(Data!$M$2:$M$2277="Vladimir Zelenskiy")*ISNUMBER(Data!$N$2:$N$2277)*IF(ISNUMBER(Data!$U$2:$U$2277),Data!$U$2:$U$2277,0)),0)-IF(F26="",0,F26))&gt;Formula!$C$30,SUMPRODUCT((Data!$O$2:$O$2277=A27)*(Data!$M$2:$M$2277="Vladimir Zelenskiy")*ISNUMBER(Data!$N$2:$N$2277)*IF(ISNUMBER(Data!$U$2:$U$2277),Data!$U$2:$U$2277,0))&gt;=Formula!$C$31)),B27,(SUMPRODUCT((Data!$O$2:$O$2277=A27)*(Data!$M$2:$M$2277="Vladimir Zelenskiy")*ISNUMBER(Data!$N$2:$N$2277)*IF(ISNUMBER(Data!$W$2:$W$2277),Data!$W$2:$W$2277,0)*IF(ISNUMBER(Data!$U$2:$U$2277),Data!$U$2:$U$2277,0))+Formula!$C$29*F26)/(SUMPRODUCT((Data!$O$2:$O$2277=A27)*(Data!$M$2:$M$2277="Vladimir Zelenskiy")*ISNUMBER(Data!$N$2:$N$2277)*IF(ISNUMBER(Data!$U$2:$U$2277),Data!$U$2:$U$2277,0))+Formula!$C$29)),IF(F26&lt;&gt;"",F26,""))</f>
        <v>21.97767234</v>
      </c>
      <c r="G27" s="70">
        <f>IF(C27&lt;&gt;"",IF(OR(G26="",AND(ABS(IFERROR(SUMPRODUCT((Data!$O$2:$O$2277=A27)*(Data!$M$2:$M$2277="Valerii Zaluzhniy")*ISNUMBER(Data!$N$2:$N$2277)*IF(ISNUMBER(Data!$W$2:$W$2277),Data!$W$2:$W$2277,0)*IF(ISNUMBER(Data!$U$2:$U$2277),Data!$U$2:$U$2277,0))/SUMPRODUCT((Data!$O$2:$O$2277=A27)*(Data!$M$2:$M$2277="Valerii Zaluzhniy")*ISNUMBER(Data!$N$2:$N$2277)*IF(ISNUMBER(Data!$U$2:$U$2277),Data!$U$2:$U$2277,0)),0)-IF(G26="",0,G26))&gt;Formula!$C$30,SUMPRODUCT((Data!$O$2:$O$2277=A27)*(Data!$M$2:$M$2277="Valerii Zaluzhniy")*ISNUMBER(Data!$N$2:$N$2277)*IF(ISNUMBER(Data!$U$2:$U$2277),Data!$U$2:$U$2277,0))&gt;=Formula!$C$31)),C27,(SUMPRODUCT((Data!$O$2:$O$2277=A27)*(Data!$M$2:$M$2277="Valerii Zaluzhniy")*ISNUMBER(Data!$N$2:$N$2277)*IF(ISNUMBER(Data!$W$2:$W$2277),Data!$W$2:$W$2277,0)*IF(ISNUMBER(Data!$U$2:$U$2277),Data!$U$2:$U$2277,0))+Formula!$C$29*G26)/(SUMPRODUCT((Data!$O$2:$O$2277=A27)*(Data!$M$2:$M$2277="Valerii Zaluzhniy")*ISNUMBER(Data!$N$2:$N$2277)*IF(ISNUMBER(Data!$U$2:$U$2277),Data!$U$2:$U$2277,0))+Formula!$C$29)),IF(G26&lt;&gt;"",G26,""))</f>
        <v>33.99812013</v>
      </c>
      <c r="H27" s="70">
        <f>IF(D27&lt;&gt;"",IF(OR(H26="",AND(ABS(IFERROR(SUMPRODUCT((Data!$O$2:$O$2277=A27)*(Data!$M$2:$M$2277="Kyrylo Budanov")*ISNUMBER(Data!$N$2:$N$2277)*IF(ISNUMBER(Data!$W$2:$W$2277),Data!$W$2:$W$2277,0)*IF(ISNUMBER(Data!$U$2:$U$2277),Data!$U$2:$U$2277,0))/SUMPRODUCT((Data!$O$2:$O$2277=A27)*(Data!$M$2:$M$2277="Kyrylo Budanov")*ISNUMBER(Data!$N$2:$N$2277)*IF(ISNUMBER(Data!$U$2:$U$2277),Data!$U$2:$U$2277,0)),0)-IF(H26="",0,H26))&gt;Formula!$C$30,SUMPRODUCT((Data!$O$2:$O$2277=A27)*(Data!$M$2:$M$2277="Kyrylo Budanov")*ISNUMBER(Data!$N$2:$N$2277)*IF(ISNUMBER(Data!$U$2:$U$2277),Data!$U$2:$U$2277,0))&gt;=Formula!$C$31)),D27,(SUMPRODUCT((Data!$O$2:$O$2277=A27)*(Data!$M$2:$M$2277="Kyrylo Budanov")*ISNUMBER(Data!$N$2:$N$2277)*IF(ISNUMBER(Data!$W$2:$W$2277),Data!$W$2:$W$2277,0)*IF(ISNUMBER(Data!$U$2:$U$2277),Data!$U$2:$U$2277,0))+Formula!$C$29*H26)/(SUMPRODUCT((Data!$O$2:$O$2277=A27)*(Data!$M$2:$M$2277="Kyrylo Budanov")*ISNUMBER(Data!$N$2:$N$2277)*IF(ISNUMBER(Data!$U$2:$U$2277),Data!$U$2:$U$2277,0))+Formula!$C$29)),IF(H26&lt;&gt;"",H26,""))</f>
        <v>0.5651360056</v>
      </c>
      <c r="I27" s="70">
        <f>IF(E27&lt;&gt;"",IF(OR(I26="",AND(ABS(IFERROR(SUMPRODUCT((Data!$O$2:$O$2277=A27)*(Data!$M$2:$M$2277="Pyotr Poroshenko")*ISNUMBER(Data!$N$2:$N$2277)*IF(ISNUMBER(Data!$W$2:$W$2277),Data!$W$2:$W$2277,0)*IF(ISNUMBER(Data!$U$2:$U$2277),Data!$U$2:$U$2277,0))/SUMPRODUCT((Data!$O$2:$O$2277=A27)*(Data!$M$2:$M$2277="Pyotr Poroshenko")*ISNUMBER(Data!$N$2:$N$2277)*IF(ISNUMBER(Data!$U$2:$U$2277),Data!$U$2:$U$2277,0)),0)-IF(I26="",0,I26))&gt;Formula!$C$30,SUMPRODUCT((Data!$O$2:$O$2277=A27)*(Data!$M$2:$M$2277="Pyotr Poroshenko")*ISNUMBER(Data!$N$2:$N$2277)*IF(ISNUMBER(Data!$U$2:$U$2277),Data!$U$2:$U$2277,0))&gt;=Formula!$C$31)),E27,(SUMPRODUCT((Data!$O$2:$O$2277=A27)*(Data!$M$2:$M$2277="Pyotr Poroshenko")*ISNUMBER(Data!$N$2:$N$2277)*IF(ISNUMBER(Data!$W$2:$W$2277),Data!$W$2:$W$2277,0)*IF(ISNUMBER(Data!$U$2:$U$2277),Data!$U$2:$U$2277,0))+Formula!$C$29*I26)/(SUMPRODUCT((Data!$O$2:$O$2277=A27)*(Data!$M$2:$M$2277="Pyotr Poroshenko")*ISNUMBER(Data!$N$2:$N$2277)*IF(ISNUMBER(Data!$U$2:$U$2277),Data!$U$2:$U$2277,0))+Formula!$C$29)),IF(I26&lt;&gt;"",I26,""))</f>
        <v>8.471465103</v>
      </c>
      <c r="L27" s="71">
        <f t="shared" ref="L27:O27" si="29">IFERROR((IF(F25&lt;&gt;"",F25*1,0)+IF(F26&lt;&gt;"",F26*2,0)+IF(F27&lt;&gt;"",F27*3,0))/(IF(F25&lt;&gt;"",1,0)+IF(F26&lt;&gt;"",2,0)+IF(F27&lt;&gt;"",3,0)),"")</f>
        <v>22.98999472</v>
      </c>
      <c r="M27" s="71">
        <f t="shared" si="29"/>
        <v>33.62506563</v>
      </c>
      <c r="N27" s="71">
        <f t="shared" si="29"/>
        <v>0.507613338</v>
      </c>
      <c r="O27" s="71">
        <f t="shared" si="29"/>
        <v>8.719544514</v>
      </c>
    </row>
    <row r="28" ht="12.75" customHeight="1">
      <c r="A28" s="64">
        <v>45413.0</v>
      </c>
      <c r="B28" s="65" t="str">
        <f>IFERROR(IF(SUMPRODUCT((Data!$O$2:$O$2277=A28)*(Data!$M$2:$M$2277="Vladimir Zelenskiy")*ISNUMBER(Data!$N$2:$N$2277)*IF(ISNUMBER(Data!$U$2:$U$2277),Data!$U$2:$U$2277,0))&gt;0,SUMPRODUCT((Data!$O$2:$O$2277=A28)*(Data!$M$2:$M$2277="Vladimir Zelenskiy")*ISNUMBER(Data!$N$2:$N$2277)*IF(ISNUMBER(Data!$W$2:$W$2277),Data!$W$2:$W$2277,0)*IF(ISNUMBER(Data!$U$2:$U$2277),Data!$U$2:$U$2277,0))/SUMPRODUCT((Data!$O$2:$O$2277=A28)*(Data!$M$2:$M$2277="Vladimir Zelenskiy")*ISNUMBER(Data!$N$2:$N$2277)*IF(ISNUMBER(Data!$U$2:$U$2277),Data!$U$2:$U$2277,0)),""),"")</f>
        <v/>
      </c>
      <c r="C28" s="65" t="str">
        <f>IFERROR(IF(SUMPRODUCT((Data!$O$2:$O$2277=A28)*(Data!$M$2:$M$2277="Valerii Zaluzhniy")*ISNUMBER(Data!$N$2:$N$2277)*IF(ISNUMBER(Data!$U$2:$U$2277),Data!$U$2:$U$2277,0))&gt;0,SUMPRODUCT((Data!$O$2:$O$2277=A28)*(Data!$M$2:$M$2277="Valerii Zaluzhniy")*ISNUMBER(Data!$N$2:$N$2277)*IF(ISNUMBER(Data!$W$2:$W$2277),Data!$W$2:$W$2277,0)*IF(ISNUMBER(Data!$U$2:$U$2277),Data!$U$2:$U$2277,0))/SUMPRODUCT((Data!$O$2:$O$2277=A28)*(Data!$M$2:$M$2277="Valerii Zaluzhniy")*ISNUMBER(Data!$N$2:$N$2277)*IF(ISNUMBER(Data!$U$2:$U$2277),Data!$U$2:$U$2277,0)),""),"")</f>
        <v/>
      </c>
      <c r="D28" s="65" t="str">
        <f>IFERROR(IF(SUMPRODUCT((Data!$O$2:$O$2277=A28)*(Data!$M$2:$M$2277="Kyrylo Budanov")*ISNUMBER(Data!$N$2:$N$2277)*IF(ISNUMBER(Data!$U$2:$U$2277),Data!$U$2:$U$2277,0))&gt;0,SUMPRODUCT((Data!$O$2:$O$2277=A28)*(Data!$M$2:$M$2277="Kyrylo Budanov")*ISNUMBER(Data!$N$2:$N$2277)*IF(ISNUMBER(Data!$W$2:$W$2277),Data!$W$2:$W$2277,0)*IF(ISNUMBER(Data!$U$2:$U$2277),Data!$U$2:$U$2277,0))/SUMPRODUCT((Data!$O$2:$O$2277=A28)*(Data!$M$2:$M$2277="Kyrylo Budanov")*ISNUMBER(Data!$N$2:$N$2277)*IF(ISNUMBER(Data!$U$2:$U$2277),Data!$U$2:$U$2277,0)),""),"")</f>
        <v/>
      </c>
      <c r="E28" s="65" t="str">
        <f>IFERROR(IF(SUMPRODUCT((Data!$O$2:$O$2277=A28)*(Data!$M$2:$M$2277="Pyotr Poroshenko")*ISNUMBER(Data!$N$2:$N$2277)*IF(ISNUMBER(Data!$U$2:$U$2277),Data!$U$2:$U$2277,0))&gt;0,SUMPRODUCT((Data!$O$2:$O$2277=A28)*(Data!$M$2:$M$2277="Pyotr Poroshenko")*ISNUMBER(Data!$N$2:$N$2277)*IF(ISNUMBER(Data!$W$2:$W$2277),Data!$W$2:$W$2277,0)*IF(ISNUMBER(Data!$U$2:$U$2277),Data!$U$2:$U$2277,0))/SUMPRODUCT((Data!$O$2:$O$2277=A28)*(Data!$M$2:$M$2277="Pyotr Poroshenko")*ISNUMBER(Data!$N$2:$N$2277)*IF(ISNUMBER(Data!$U$2:$U$2277),Data!$U$2:$U$2277,0)),""),"")</f>
        <v/>
      </c>
      <c r="F28" s="66">
        <f>IF(B28&lt;&gt;"",IF(OR(F27="",AND(ABS(IFERROR(SUMPRODUCT((Data!$O$2:$O$2277=A28)*(Data!$M$2:$M$2277="Vladimir Zelenskiy")*ISNUMBER(Data!$N$2:$N$2277)*IF(ISNUMBER(Data!$W$2:$W$2277),Data!$W$2:$W$2277,0)*IF(ISNUMBER(Data!$U$2:$U$2277),Data!$U$2:$U$2277,0))/SUMPRODUCT((Data!$O$2:$O$2277=A28)*(Data!$M$2:$M$2277="Vladimir Zelenskiy")*ISNUMBER(Data!$N$2:$N$2277)*IF(ISNUMBER(Data!$U$2:$U$2277),Data!$U$2:$U$2277,0)),0)-IF(F27="",0,F27))&gt;Formula!$C$30,SUMPRODUCT((Data!$O$2:$O$2277=A28)*(Data!$M$2:$M$2277="Vladimir Zelenskiy")*ISNUMBER(Data!$N$2:$N$2277)*IF(ISNUMBER(Data!$U$2:$U$2277),Data!$U$2:$U$2277,0))&gt;=Formula!$C$31)),B28,(SUMPRODUCT((Data!$O$2:$O$2277=A28)*(Data!$M$2:$M$2277="Vladimir Zelenskiy")*ISNUMBER(Data!$N$2:$N$2277)*IF(ISNUMBER(Data!$W$2:$W$2277),Data!$W$2:$W$2277,0)*IF(ISNUMBER(Data!$U$2:$U$2277),Data!$U$2:$U$2277,0))+Formula!$C$29*F27)/(SUMPRODUCT((Data!$O$2:$O$2277=A28)*(Data!$M$2:$M$2277="Vladimir Zelenskiy")*ISNUMBER(Data!$N$2:$N$2277)*IF(ISNUMBER(Data!$U$2:$U$2277),Data!$U$2:$U$2277,0))+Formula!$C$29)),IF(F27&lt;&gt;"",F27,""))</f>
        <v>21.97767234</v>
      </c>
      <c r="G28" s="66">
        <f>IF(C28&lt;&gt;"",IF(OR(G27="",AND(ABS(IFERROR(SUMPRODUCT((Data!$O$2:$O$2277=A28)*(Data!$M$2:$M$2277="Valerii Zaluzhniy")*ISNUMBER(Data!$N$2:$N$2277)*IF(ISNUMBER(Data!$W$2:$W$2277),Data!$W$2:$W$2277,0)*IF(ISNUMBER(Data!$U$2:$U$2277),Data!$U$2:$U$2277,0))/SUMPRODUCT((Data!$O$2:$O$2277=A28)*(Data!$M$2:$M$2277="Valerii Zaluzhniy")*ISNUMBER(Data!$N$2:$N$2277)*IF(ISNUMBER(Data!$U$2:$U$2277),Data!$U$2:$U$2277,0)),0)-IF(G27="",0,G27))&gt;Formula!$C$30,SUMPRODUCT((Data!$O$2:$O$2277=A28)*(Data!$M$2:$M$2277="Valerii Zaluzhniy")*ISNUMBER(Data!$N$2:$N$2277)*IF(ISNUMBER(Data!$U$2:$U$2277),Data!$U$2:$U$2277,0))&gt;=Formula!$C$31)),C28,(SUMPRODUCT((Data!$O$2:$O$2277=A28)*(Data!$M$2:$M$2277="Valerii Zaluzhniy")*ISNUMBER(Data!$N$2:$N$2277)*IF(ISNUMBER(Data!$W$2:$W$2277),Data!$W$2:$W$2277,0)*IF(ISNUMBER(Data!$U$2:$U$2277),Data!$U$2:$U$2277,0))+Formula!$C$29*G27)/(SUMPRODUCT((Data!$O$2:$O$2277=A28)*(Data!$M$2:$M$2277="Valerii Zaluzhniy")*ISNUMBER(Data!$N$2:$N$2277)*IF(ISNUMBER(Data!$U$2:$U$2277),Data!$U$2:$U$2277,0))+Formula!$C$29)),IF(G27&lt;&gt;"",G27,""))</f>
        <v>33.99812013</v>
      </c>
      <c r="H28" s="66">
        <f>IF(D28&lt;&gt;"",IF(OR(H27="",AND(ABS(IFERROR(SUMPRODUCT((Data!$O$2:$O$2277=A28)*(Data!$M$2:$M$2277="Kyrylo Budanov")*ISNUMBER(Data!$N$2:$N$2277)*IF(ISNUMBER(Data!$W$2:$W$2277),Data!$W$2:$W$2277,0)*IF(ISNUMBER(Data!$U$2:$U$2277),Data!$U$2:$U$2277,0))/SUMPRODUCT((Data!$O$2:$O$2277=A28)*(Data!$M$2:$M$2277="Kyrylo Budanov")*ISNUMBER(Data!$N$2:$N$2277)*IF(ISNUMBER(Data!$U$2:$U$2277),Data!$U$2:$U$2277,0)),0)-IF(H27="",0,H27))&gt;Formula!$C$30,SUMPRODUCT((Data!$O$2:$O$2277=A28)*(Data!$M$2:$M$2277="Kyrylo Budanov")*ISNUMBER(Data!$N$2:$N$2277)*IF(ISNUMBER(Data!$U$2:$U$2277),Data!$U$2:$U$2277,0))&gt;=Formula!$C$31)),D28,(SUMPRODUCT((Data!$O$2:$O$2277=A28)*(Data!$M$2:$M$2277="Kyrylo Budanov")*ISNUMBER(Data!$N$2:$N$2277)*IF(ISNUMBER(Data!$W$2:$W$2277),Data!$W$2:$W$2277,0)*IF(ISNUMBER(Data!$U$2:$U$2277),Data!$U$2:$U$2277,0))+Formula!$C$29*H27)/(SUMPRODUCT((Data!$O$2:$O$2277=A28)*(Data!$M$2:$M$2277="Kyrylo Budanov")*ISNUMBER(Data!$N$2:$N$2277)*IF(ISNUMBER(Data!$U$2:$U$2277),Data!$U$2:$U$2277,0))+Formula!$C$29)),IF(H27&lt;&gt;"",H27,""))</f>
        <v>0.5651360056</v>
      </c>
      <c r="I28" s="66">
        <f>IF(E28&lt;&gt;"",IF(OR(I27="",AND(ABS(IFERROR(SUMPRODUCT((Data!$O$2:$O$2277=A28)*(Data!$M$2:$M$2277="Pyotr Poroshenko")*ISNUMBER(Data!$N$2:$N$2277)*IF(ISNUMBER(Data!$W$2:$W$2277),Data!$W$2:$W$2277,0)*IF(ISNUMBER(Data!$U$2:$U$2277),Data!$U$2:$U$2277,0))/SUMPRODUCT((Data!$O$2:$O$2277=A28)*(Data!$M$2:$M$2277="Pyotr Poroshenko")*ISNUMBER(Data!$N$2:$N$2277)*IF(ISNUMBER(Data!$U$2:$U$2277),Data!$U$2:$U$2277,0)),0)-IF(I27="",0,I27))&gt;Formula!$C$30,SUMPRODUCT((Data!$O$2:$O$2277=A28)*(Data!$M$2:$M$2277="Pyotr Poroshenko")*ISNUMBER(Data!$N$2:$N$2277)*IF(ISNUMBER(Data!$U$2:$U$2277),Data!$U$2:$U$2277,0))&gt;=Formula!$C$31)),E28,(SUMPRODUCT((Data!$O$2:$O$2277=A28)*(Data!$M$2:$M$2277="Pyotr Poroshenko")*ISNUMBER(Data!$N$2:$N$2277)*IF(ISNUMBER(Data!$W$2:$W$2277),Data!$W$2:$W$2277,0)*IF(ISNUMBER(Data!$U$2:$U$2277),Data!$U$2:$U$2277,0))+Formula!$C$29*I27)/(SUMPRODUCT((Data!$O$2:$O$2277=A28)*(Data!$M$2:$M$2277="Pyotr Poroshenko")*ISNUMBER(Data!$N$2:$N$2277)*IF(ISNUMBER(Data!$U$2:$U$2277),Data!$U$2:$U$2277,0))+Formula!$C$29)),IF(I27&lt;&gt;"",I27,""))</f>
        <v>8.471465103</v>
      </c>
      <c r="L28" s="67">
        <f t="shared" ref="L28:O28" si="30">IFERROR((IF(F26&lt;&gt;"",F26*1,0)+IF(F27&lt;&gt;"",F27*2,0)+IF(F28&lt;&gt;"",F28*3,0))/(IF(F26&lt;&gt;"",1,0)+IF(F27&lt;&gt;"",2,0)+IF(F28&lt;&gt;"",3,0)),"")</f>
        <v>21.97767234</v>
      </c>
      <c r="M28" s="67">
        <f t="shared" si="30"/>
        <v>33.99812013</v>
      </c>
      <c r="N28" s="67">
        <f t="shared" si="30"/>
        <v>0.5651360056</v>
      </c>
      <c r="O28" s="67">
        <f t="shared" si="30"/>
        <v>8.471465103</v>
      </c>
    </row>
    <row r="29" ht="12.75" customHeight="1">
      <c r="A29" s="68">
        <v>45444.0</v>
      </c>
      <c r="B29" s="69">
        <f>IFERROR(IF(SUMPRODUCT((Data!$O$2:$O$2277=A29)*(Data!$M$2:$M$2277="Vladimir Zelenskiy")*ISNUMBER(Data!$N$2:$N$2277)*IF(ISNUMBER(Data!$U$2:$U$2277),Data!$U$2:$U$2277,0))&gt;0,SUMPRODUCT((Data!$O$2:$O$2277=A29)*(Data!$M$2:$M$2277="Vladimir Zelenskiy")*ISNUMBER(Data!$N$2:$N$2277)*IF(ISNUMBER(Data!$W$2:$W$2277),Data!$W$2:$W$2277,0)*IF(ISNUMBER(Data!$U$2:$U$2277),Data!$U$2:$U$2277,0))/SUMPRODUCT((Data!$O$2:$O$2277=A29)*(Data!$M$2:$M$2277="Vladimir Zelenskiy")*ISNUMBER(Data!$N$2:$N$2277)*IF(ISNUMBER(Data!$U$2:$U$2277),Data!$U$2:$U$2277,0)),""),"")</f>
        <v>25.79640011</v>
      </c>
      <c r="C29" s="69">
        <f>IFERROR(IF(SUMPRODUCT((Data!$O$2:$O$2277=A29)*(Data!$M$2:$M$2277="Valerii Zaluzhniy")*ISNUMBER(Data!$N$2:$N$2277)*IF(ISNUMBER(Data!$U$2:$U$2277),Data!$U$2:$U$2277,0))&gt;0,SUMPRODUCT((Data!$O$2:$O$2277=A29)*(Data!$M$2:$M$2277="Valerii Zaluzhniy")*ISNUMBER(Data!$N$2:$N$2277)*IF(ISNUMBER(Data!$W$2:$W$2277),Data!$W$2:$W$2277,0)*IF(ISNUMBER(Data!$U$2:$U$2277),Data!$U$2:$U$2277,0))/SUMPRODUCT((Data!$O$2:$O$2277=A29)*(Data!$M$2:$M$2277="Valerii Zaluzhniy")*ISNUMBER(Data!$N$2:$N$2277)*IF(ISNUMBER(Data!$U$2:$U$2277),Data!$U$2:$U$2277,0)),""),"")</f>
        <v>27.71931118</v>
      </c>
      <c r="D29" s="69" t="str">
        <f>IFERROR(IF(SUMPRODUCT((Data!$O$2:$O$2277=A29)*(Data!$M$2:$M$2277="Kyrylo Budanov")*ISNUMBER(Data!$N$2:$N$2277)*IF(ISNUMBER(Data!$U$2:$U$2277),Data!$U$2:$U$2277,0))&gt;0,SUMPRODUCT((Data!$O$2:$O$2277=A29)*(Data!$M$2:$M$2277="Kyrylo Budanov")*ISNUMBER(Data!$N$2:$N$2277)*IF(ISNUMBER(Data!$W$2:$W$2277),Data!$W$2:$W$2277,0)*IF(ISNUMBER(Data!$U$2:$U$2277),Data!$U$2:$U$2277,0))/SUMPRODUCT((Data!$O$2:$O$2277=A29)*(Data!$M$2:$M$2277="Kyrylo Budanov")*ISNUMBER(Data!$N$2:$N$2277)*IF(ISNUMBER(Data!$U$2:$U$2277),Data!$U$2:$U$2277,0)),""),"")</f>
        <v/>
      </c>
      <c r="E29" s="69">
        <f>IFERROR(IF(SUMPRODUCT((Data!$O$2:$O$2277=A29)*(Data!$M$2:$M$2277="Pyotr Poroshenko")*ISNUMBER(Data!$N$2:$N$2277)*IF(ISNUMBER(Data!$U$2:$U$2277),Data!$U$2:$U$2277,0))&gt;0,SUMPRODUCT((Data!$O$2:$O$2277=A29)*(Data!$M$2:$M$2277="Pyotr Poroshenko")*ISNUMBER(Data!$N$2:$N$2277)*IF(ISNUMBER(Data!$W$2:$W$2277),Data!$W$2:$W$2277,0)*IF(ISNUMBER(Data!$U$2:$U$2277),Data!$U$2:$U$2277,0))/SUMPRODUCT((Data!$O$2:$O$2277=A29)*(Data!$M$2:$M$2277="Pyotr Poroshenko")*ISNUMBER(Data!$N$2:$N$2277)*IF(ISNUMBER(Data!$U$2:$U$2277),Data!$U$2:$U$2277,0)),""),"")</f>
        <v>8.740115815</v>
      </c>
      <c r="F29" s="70">
        <f>IF(B29&lt;&gt;"",IF(OR(F28="",AND(ABS(IFERROR(SUMPRODUCT((Data!$O$2:$O$2277=A29)*(Data!$M$2:$M$2277="Vladimir Zelenskiy")*ISNUMBER(Data!$N$2:$N$2277)*IF(ISNUMBER(Data!$W$2:$W$2277),Data!$W$2:$W$2277,0)*IF(ISNUMBER(Data!$U$2:$U$2277),Data!$U$2:$U$2277,0))/SUMPRODUCT((Data!$O$2:$O$2277=A29)*(Data!$M$2:$M$2277="Vladimir Zelenskiy")*ISNUMBER(Data!$N$2:$N$2277)*IF(ISNUMBER(Data!$U$2:$U$2277),Data!$U$2:$U$2277,0)),0)-IF(F28="",0,F28))&gt;Formula!$C$30,SUMPRODUCT((Data!$O$2:$O$2277=A29)*(Data!$M$2:$M$2277="Vladimir Zelenskiy")*ISNUMBER(Data!$N$2:$N$2277)*IF(ISNUMBER(Data!$U$2:$U$2277),Data!$U$2:$U$2277,0))&gt;=Formula!$C$31)),B29,(SUMPRODUCT((Data!$O$2:$O$2277=A29)*(Data!$M$2:$M$2277="Vladimir Zelenskiy")*ISNUMBER(Data!$N$2:$N$2277)*IF(ISNUMBER(Data!$W$2:$W$2277),Data!$W$2:$W$2277,0)*IF(ISNUMBER(Data!$U$2:$U$2277),Data!$U$2:$U$2277,0))+Formula!$C$29*F28)/(SUMPRODUCT((Data!$O$2:$O$2277=A29)*(Data!$M$2:$M$2277="Vladimir Zelenskiy")*ISNUMBER(Data!$N$2:$N$2277)*IF(ISNUMBER(Data!$U$2:$U$2277),Data!$U$2:$U$2277,0))+Formula!$C$29)),IF(F28&lt;&gt;"",F28,""))</f>
        <v>23.80117504</v>
      </c>
      <c r="G29" s="70">
        <f>IF(C29&lt;&gt;"",IF(OR(G28="",AND(ABS(IFERROR(SUMPRODUCT((Data!$O$2:$O$2277=A29)*(Data!$M$2:$M$2277="Valerii Zaluzhniy")*ISNUMBER(Data!$N$2:$N$2277)*IF(ISNUMBER(Data!$W$2:$W$2277),Data!$W$2:$W$2277,0)*IF(ISNUMBER(Data!$U$2:$U$2277),Data!$U$2:$U$2277,0))/SUMPRODUCT((Data!$O$2:$O$2277=A29)*(Data!$M$2:$M$2277="Valerii Zaluzhniy")*ISNUMBER(Data!$N$2:$N$2277)*IF(ISNUMBER(Data!$U$2:$U$2277),Data!$U$2:$U$2277,0)),0)-IF(G28="",0,G28))&gt;Formula!$C$30,SUMPRODUCT((Data!$O$2:$O$2277=A29)*(Data!$M$2:$M$2277="Valerii Zaluzhniy")*ISNUMBER(Data!$N$2:$N$2277)*IF(ISNUMBER(Data!$U$2:$U$2277),Data!$U$2:$U$2277,0))&gt;=Formula!$C$31)),C29,(SUMPRODUCT((Data!$O$2:$O$2277=A29)*(Data!$M$2:$M$2277="Valerii Zaluzhniy")*ISNUMBER(Data!$N$2:$N$2277)*IF(ISNUMBER(Data!$W$2:$W$2277),Data!$W$2:$W$2277,0)*IF(ISNUMBER(Data!$U$2:$U$2277),Data!$U$2:$U$2277,0))+Formula!$C$29*G28)/(SUMPRODUCT((Data!$O$2:$O$2277=A29)*(Data!$M$2:$M$2277="Valerii Zaluzhniy")*ISNUMBER(Data!$N$2:$N$2277)*IF(ISNUMBER(Data!$U$2:$U$2277),Data!$U$2:$U$2277,0))+Formula!$C$29)),IF(G28&lt;&gt;"",G28,""))</f>
        <v>30.9998899</v>
      </c>
      <c r="H29" s="70">
        <f>IF(D29&lt;&gt;"",IF(OR(H28="",AND(ABS(IFERROR(SUMPRODUCT((Data!$O$2:$O$2277=A29)*(Data!$M$2:$M$2277="Kyrylo Budanov")*ISNUMBER(Data!$N$2:$N$2277)*IF(ISNUMBER(Data!$W$2:$W$2277),Data!$W$2:$W$2277,0)*IF(ISNUMBER(Data!$U$2:$U$2277),Data!$U$2:$U$2277,0))/SUMPRODUCT((Data!$O$2:$O$2277=A29)*(Data!$M$2:$M$2277="Kyrylo Budanov")*ISNUMBER(Data!$N$2:$N$2277)*IF(ISNUMBER(Data!$U$2:$U$2277),Data!$U$2:$U$2277,0)),0)-IF(H28="",0,H28))&gt;Formula!$C$30,SUMPRODUCT((Data!$O$2:$O$2277=A29)*(Data!$M$2:$M$2277="Kyrylo Budanov")*ISNUMBER(Data!$N$2:$N$2277)*IF(ISNUMBER(Data!$U$2:$U$2277),Data!$U$2:$U$2277,0))&gt;=Formula!$C$31)),D29,(SUMPRODUCT((Data!$O$2:$O$2277=A29)*(Data!$M$2:$M$2277="Kyrylo Budanov")*ISNUMBER(Data!$N$2:$N$2277)*IF(ISNUMBER(Data!$W$2:$W$2277),Data!$W$2:$W$2277,0)*IF(ISNUMBER(Data!$U$2:$U$2277),Data!$U$2:$U$2277,0))+Formula!$C$29*H28)/(SUMPRODUCT((Data!$O$2:$O$2277=A29)*(Data!$M$2:$M$2277="Kyrylo Budanov")*ISNUMBER(Data!$N$2:$N$2277)*IF(ISNUMBER(Data!$U$2:$U$2277),Data!$U$2:$U$2277,0))+Formula!$C$29)),IF(H28&lt;&gt;"",H28,""))</f>
        <v>0.5651360056</v>
      </c>
      <c r="I29" s="70">
        <f>IF(E29&lt;&gt;"",IF(OR(I28="",AND(ABS(IFERROR(SUMPRODUCT((Data!$O$2:$O$2277=A29)*(Data!$M$2:$M$2277="Pyotr Poroshenko")*ISNUMBER(Data!$N$2:$N$2277)*IF(ISNUMBER(Data!$W$2:$W$2277),Data!$W$2:$W$2277,0)*IF(ISNUMBER(Data!$U$2:$U$2277),Data!$U$2:$U$2277,0))/SUMPRODUCT((Data!$O$2:$O$2277=A29)*(Data!$M$2:$M$2277="Pyotr Poroshenko")*ISNUMBER(Data!$N$2:$N$2277)*IF(ISNUMBER(Data!$U$2:$U$2277),Data!$U$2:$U$2277,0)),0)-IF(I28="",0,I28))&gt;Formula!$C$30,SUMPRODUCT((Data!$O$2:$O$2277=A29)*(Data!$M$2:$M$2277="Pyotr Poroshenko")*ISNUMBER(Data!$N$2:$N$2277)*IF(ISNUMBER(Data!$U$2:$U$2277),Data!$U$2:$U$2277,0))&gt;=Formula!$C$31)),E29,(SUMPRODUCT((Data!$O$2:$O$2277=A29)*(Data!$M$2:$M$2277="Pyotr Poroshenko")*ISNUMBER(Data!$N$2:$N$2277)*IF(ISNUMBER(Data!$W$2:$W$2277),Data!$W$2:$W$2277,0)*IF(ISNUMBER(Data!$U$2:$U$2277),Data!$U$2:$U$2277,0))+Formula!$C$29*I28)/(SUMPRODUCT((Data!$O$2:$O$2277=A29)*(Data!$M$2:$M$2277="Pyotr Poroshenko")*ISNUMBER(Data!$N$2:$N$2277)*IF(ISNUMBER(Data!$U$2:$U$2277),Data!$U$2:$U$2277,0))+Formula!$C$29)),IF(I28&lt;&gt;"",I28,""))</f>
        <v>8.599750052</v>
      </c>
      <c r="L29" s="71">
        <f t="shared" ref="L29:O29" si="31">IFERROR((IF(F27&lt;&gt;"",F27*1,0)+IF(F28&lt;&gt;"",F28*2,0)+IF(F29&lt;&gt;"",F29*3,0))/(IF(F27&lt;&gt;"",1,0)+IF(F28&lt;&gt;"",2,0)+IF(F29&lt;&gt;"",3,0)),"")</f>
        <v>22.88942369</v>
      </c>
      <c r="M29" s="71">
        <f t="shared" si="31"/>
        <v>32.49900501</v>
      </c>
      <c r="N29" s="71">
        <f t="shared" si="31"/>
        <v>0.5651360056</v>
      </c>
      <c r="O29" s="71">
        <f t="shared" si="31"/>
        <v>8.535607577</v>
      </c>
    </row>
    <row r="30" ht="12.75" customHeight="1">
      <c r="A30" s="64">
        <v>45474.0</v>
      </c>
      <c r="B30" s="65" t="str">
        <f>IFERROR(IF(SUMPRODUCT((Data!$O$2:$O$2277=A30)*(Data!$M$2:$M$2277="Vladimir Zelenskiy")*ISNUMBER(Data!$N$2:$N$2277)*IF(ISNUMBER(Data!$U$2:$U$2277),Data!$U$2:$U$2277,0))&gt;0,SUMPRODUCT((Data!$O$2:$O$2277=A30)*(Data!$M$2:$M$2277="Vladimir Zelenskiy")*ISNUMBER(Data!$N$2:$N$2277)*IF(ISNUMBER(Data!$W$2:$W$2277),Data!$W$2:$W$2277,0)*IF(ISNUMBER(Data!$U$2:$U$2277),Data!$U$2:$U$2277,0))/SUMPRODUCT((Data!$O$2:$O$2277=A30)*(Data!$M$2:$M$2277="Vladimir Zelenskiy")*ISNUMBER(Data!$N$2:$N$2277)*IF(ISNUMBER(Data!$U$2:$U$2277),Data!$U$2:$U$2277,0)),""),"")</f>
        <v/>
      </c>
      <c r="C30" s="65" t="str">
        <f>IFERROR(IF(SUMPRODUCT((Data!$O$2:$O$2277=A30)*(Data!$M$2:$M$2277="Valerii Zaluzhniy")*ISNUMBER(Data!$N$2:$N$2277)*IF(ISNUMBER(Data!$U$2:$U$2277),Data!$U$2:$U$2277,0))&gt;0,SUMPRODUCT((Data!$O$2:$O$2277=A30)*(Data!$M$2:$M$2277="Valerii Zaluzhniy")*ISNUMBER(Data!$N$2:$N$2277)*IF(ISNUMBER(Data!$W$2:$W$2277),Data!$W$2:$W$2277,0)*IF(ISNUMBER(Data!$U$2:$U$2277),Data!$U$2:$U$2277,0))/SUMPRODUCT((Data!$O$2:$O$2277=A30)*(Data!$M$2:$M$2277="Valerii Zaluzhniy")*ISNUMBER(Data!$N$2:$N$2277)*IF(ISNUMBER(Data!$U$2:$U$2277),Data!$U$2:$U$2277,0)),""),"")</f>
        <v/>
      </c>
      <c r="D30" s="65" t="str">
        <f>IFERROR(IF(SUMPRODUCT((Data!$O$2:$O$2277=A30)*(Data!$M$2:$M$2277="Kyrylo Budanov")*ISNUMBER(Data!$N$2:$N$2277)*IF(ISNUMBER(Data!$U$2:$U$2277),Data!$U$2:$U$2277,0))&gt;0,SUMPRODUCT((Data!$O$2:$O$2277=A30)*(Data!$M$2:$M$2277="Kyrylo Budanov")*ISNUMBER(Data!$N$2:$N$2277)*IF(ISNUMBER(Data!$W$2:$W$2277),Data!$W$2:$W$2277,0)*IF(ISNUMBER(Data!$U$2:$U$2277),Data!$U$2:$U$2277,0))/SUMPRODUCT((Data!$O$2:$O$2277=A30)*(Data!$M$2:$M$2277="Kyrylo Budanov")*ISNUMBER(Data!$N$2:$N$2277)*IF(ISNUMBER(Data!$U$2:$U$2277),Data!$U$2:$U$2277,0)),""),"")</f>
        <v/>
      </c>
      <c r="E30" s="65" t="str">
        <f>IFERROR(IF(SUMPRODUCT((Data!$O$2:$O$2277=A30)*(Data!$M$2:$M$2277="Pyotr Poroshenko")*ISNUMBER(Data!$N$2:$N$2277)*IF(ISNUMBER(Data!$U$2:$U$2277),Data!$U$2:$U$2277,0))&gt;0,SUMPRODUCT((Data!$O$2:$O$2277=A30)*(Data!$M$2:$M$2277="Pyotr Poroshenko")*ISNUMBER(Data!$N$2:$N$2277)*IF(ISNUMBER(Data!$W$2:$W$2277),Data!$W$2:$W$2277,0)*IF(ISNUMBER(Data!$U$2:$U$2277),Data!$U$2:$U$2277,0))/SUMPRODUCT((Data!$O$2:$O$2277=A30)*(Data!$M$2:$M$2277="Pyotr Poroshenko")*ISNUMBER(Data!$N$2:$N$2277)*IF(ISNUMBER(Data!$U$2:$U$2277),Data!$U$2:$U$2277,0)),""),"")</f>
        <v/>
      </c>
      <c r="F30" s="66">
        <f>IF(B30&lt;&gt;"",IF(OR(F29="",AND(ABS(IFERROR(SUMPRODUCT((Data!$O$2:$O$2277=A30)*(Data!$M$2:$M$2277="Vladimir Zelenskiy")*ISNUMBER(Data!$N$2:$N$2277)*IF(ISNUMBER(Data!$W$2:$W$2277),Data!$W$2:$W$2277,0)*IF(ISNUMBER(Data!$U$2:$U$2277),Data!$U$2:$U$2277,0))/SUMPRODUCT((Data!$O$2:$O$2277=A30)*(Data!$M$2:$M$2277="Vladimir Zelenskiy")*ISNUMBER(Data!$N$2:$N$2277)*IF(ISNUMBER(Data!$U$2:$U$2277),Data!$U$2:$U$2277,0)),0)-IF(F29="",0,F29))&gt;Formula!$C$30,SUMPRODUCT((Data!$O$2:$O$2277=A30)*(Data!$M$2:$M$2277="Vladimir Zelenskiy")*ISNUMBER(Data!$N$2:$N$2277)*IF(ISNUMBER(Data!$U$2:$U$2277),Data!$U$2:$U$2277,0))&gt;=Formula!$C$31)),B30,(SUMPRODUCT((Data!$O$2:$O$2277=A30)*(Data!$M$2:$M$2277="Vladimir Zelenskiy")*ISNUMBER(Data!$N$2:$N$2277)*IF(ISNUMBER(Data!$W$2:$W$2277),Data!$W$2:$W$2277,0)*IF(ISNUMBER(Data!$U$2:$U$2277),Data!$U$2:$U$2277,0))+Formula!$C$29*F29)/(SUMPRODUCT((Data!$O$2:$O$2277=A30)*(Data!$M$2:$M$2277="Vladimir Zelenskiy")*ISNUMBER(Data!$N$2:$N$2277)*IF(ISNUMBER(Data!$U$2:$U$2277),Data!$U$2:$U$2277,0))+Formula!$C$29)),IF(F29&lt;&gt;"",F29,""))</f>
        <v>23.80117504</v>
      </c>
      <c r="G30" s="66">
        <f>IF(C30&lt;&gt;"",IF(OR(G29="",AND(ABS(IFERROR(SUMPRODUCT((Data!$O$2:$O$2277=A30)*(Data!$M$2:$M$2277="Valerii Zaluzhniy")*ISNUMBER(Data!$N$2:$N$2277)*IF(ISNUMBER(Data!$W$2:$W$2277),Data!$W$2:$W$2277,0)*IF(ISNUMBER(Data!$U$2:$U$2277),Data!$U$2:$U$2277,0))/SUMPRODUCT((Data!$O$2:$O$2277=A30)*(Data!$M$2:$M$2277="Valerii Zaluzhniy")*ISNUMBER(Data!$N$2:$N$2277)*IF(ISNUMBER(Data!$U$2:$U$2277),Data!$U$2:$U$2277,0)),0)-IF(G29="",0,G29))&gt;Formula!$C$30,SUMPRODUCT((Data!$O$2:$O$2277=A30)*(Data!$M$2:$M$2277="Valerii Zaluzhniy")*ISNUMBER(Data!$N$2:$N$2277)*IF(ISNUMBER(Data!$U$2:$U$2277),Data!$U$2:$U$2277,0))&gt;=Formula!$C$31)),C30,(SUMPRODUCT((Data!$O$2:$O$2277=A30)*(Data!$M$2:$M$2277="Valerii Zaluzhniy")*ISNUMBER(Data!$N$2:$N$2277)*IF(ISNUMBER(Data!$W$2:$W$2277),Data!$W$2:$W$2277,0)*IF(ISNUMBER(Data!$U$2:$U$2277),Data!$U$2:$U$2277,0))+Formula!$C$29*G29)/(SUMPRODUCT((Data!$O$2:$O$2277=A30)*(Data!$M$2:$M$2277="Valerii Zaluzhniy")*ISNUMBER(Data!$N$2:$N$2277)*IF(ISNUMBER(Data!$U$2:$U$2277),Data!$U$2:$U$2277,0))+Formula!$C$29)),IF(G29&lt;&gt;"",G29,""))</f>
        <v>30.9998899</v>
      </c>
      <c r="H30" s="66">
        <f>IF(D30&lt;&gt;"",IF(OR(H29="",AND(ABS(IFERROR(SUMPRODUCT((Data!$O$2:$O$2277=A30)*(Data!$M$2:$M$2277="Kyrylo Budanov")*ISNUMBER(Data!$N$2:$N$2277)*IF(ISNUMBER(Data!$W$2:$W$2277),Data!$W$2:$W$2277,0)*IF(ISNUMBER(Data!$U$2:$U$2277),Data!$U$2:$U$2277,0))/SUMPRODUCT((Data!$O$2:$O$2277=A30)*(Data!$M$2:$M$2277="Kyrylo Budanov")*ISNUMBER(Data!$N$2:$N$2277)*IF(ISNUMBER(Data!$U$2:$U$2277),Data!$U$2:$U$2277,0)),0)-IF(H29="",0,H29))&gt;Formula!$C$30,SUMPRODUCT((Data!$O$2:$O$2277=A30)*(Data!$M$2:$M$2277="Kyrylo Budanov")*ISNUMBER(Data!$N$2:$N$2277)*IF(ISNUMBER(Data!$U$2:$U$2277),Data!$U$2:$U$2277,0))&gt;=Formula!$C$31)),D30,(SUMPRODUCT((Data!$O$2:$O$2277=A30)*(Data!$M$2:$M$2277="Kyrylo Budanov")*ISNUMBER(Data!$N$2:$N$2277)*IF(ISNUMBER(Data!$W$2:$W$2277),Data!$W$2:$W$2277,0)*IF(ISNUMBER(Data!$U$2:$U$2277),Data!$U$2:$U$2277,0))+Formula!$C$29*H29)/(SUMPRODUCT((Data!$O$2:$O$2277=A30)*(Data!$M$2:$M$2277="Kyrylo Budanov")*ISNUMBER(Data!$N$2:$N$2277)*IF(ISNUMBER(Data!$U$2:$U$2277),Data!$U$2:$U$2277,0))+Formula!$C$29)),IF(H29&lt;&gt;"",H29,""))</f>
        <v>0.5651360056</v>
      </c>
      <c r="I30" s="66">
        <f>IF(E30&lt;&gt;"",IF(OR(I29="",AND(ABS(IFERROR(SUMPRODUCT((Data!$O$2:$O$2277=A30)*(Data!$M$2:$M$2277="Pyotr Poroshenko")*ISNUMBER(Data!$N$2:$N$2277)*IF(ISNUMBER(Data!$W$2:$W$2277),Data!$W$2:$W$2277,0)*IF(ISNUMBER(Data!$U$2:$U$2277),Data!$U$2:$U$2277,0))/SUMPRODUCT((Data!$O$2:$O$2277=A30)*(Data!$M$2:$M$2277="Pyotr Poroshenko")*ISNUMBER(Data!$N$2:$N$2277)*IF(ISNUMBER(Data!$U$2:$U$2277),Data!$U$2:$U$2277,0)),0)-IF(I29="",0,I29))&gt;Formula!$C$30,SUMPRODUCT((Data!$O$2:$O$2277=A30)*(Data!$M$2:$M$2277="Pyotr Poroshenko")*ISNUMBER(Data!$N$2:$N$2277)*IF(ISNUMBER(Data!$U$2:$U$2277),Data!$U$2:$U$2277,0))&gt;=Formula!$C$31)),E30,(SUMPRODUCT((Data!$O$2:$O$2277=A30)*(Data!$M$2:$M$2277="Pyotr Poroshenko")*ISNUMBER(Data!$N$2:$N$2277)*IF(ISNUMBER(Data!$W$2:$W$2277),Data!$W$2:$W$2277,0)*IF(ISNUMBER(Data!$U$2:$U$2277),Data!$U$2:$U$2277,0))+Formula!$C$29*I29)/(SUMPRODUCT((Data!$O$2:$O$2277=A30)*(Data!$M$2:$M$2277="Pyotr Poroshenko")*ISNUMBER(Data!$N$2:$N$2277)*IF(ISNUMBER(Data!$U$2:$U$2277),Data!$U$2:$U$2277,0))+Formula!$C$29)),IF(I29&lt;&gt;"",I29,""))</f>
        <v>8.599750052</v>
      </c>
      <c r="L30" s="67">
        <f t="shared" ref="L30:O30" si="32">IFERROR((IF(F28&lt;&gt;"",F28*1,0)+IF(F29&lt;&gt;"",F29*2,0)+IF(F30&lt;&gt;"",F30*3,0))/(IF(F28&lt;&gt;"",1,0)+IF(F29&lt;&gt;"",2,0)+IF(F30&lt;&gt;"",3,0)),"")</f>
        <v>23.49725792</v>
      </c>
      <c r="M30" s="67">
        <f t="shared" si="32"/>
        <v>31.49959493</v>
      </c>
      <c r="N30" s="67">
        <f t="shared" si="32"/>
        <v>0.5651360056</v>
      </c>
      <c r="O30" s="67">
        <f t="shared" si="32"/>
        <v>8.578369227</v>
      </c>
    </row>
    <row r="31" ht="12.75" customHeight="1">
      <c r="A31" s="68">
        <v>45505.0</v>
      </c>
      <c r="B31" s="69">
        <f>IFERROR(IF(SUMPRODUCT((Data!$O$2:$O$2277=A31)*(Data!$M$2:$M$2277="Vladimir Zelenskiy")*ISNUMBER(Data!$N$2:$N$2277)*IF(ISNUMBER(Data!$U$2:$U$2277),Data!$U$2:$U$2277,0))&gt;0,SUMPRODUCT((Data!$O$2:$O$2277=A31)*(Data!$M$2:$M$2277="Vladimir Zelenskiy")*ISNUMBER(Data!$N$2:$N$2277)*IF(ISNUMBER(Data!$W$2:$W$2277),Data!$W$2:$W$2277,0)*IF(ISNUMBER(Data!$U$2:$U$2277),Data!$U$2:$U$2277,0))/SUMPRODUCT((Data!$O$2:$O$2277=A31)*(Data!$M$2:$M$2277="Vladimir Zelenskiy")*ISNUMBER(Data!$N$2:$N$2277)*IF(ISNUMBER(Data!$U$2:$U$2277),Data!$U$2:$U$2277,0)),""),"")</f>
        <v>18.15537849</v>
      </c>
      <c r="C31" s="69" t="str">
        <f>IFERROR(IF(SUMPRODUCT((Data!$O$2:$O$2277=A31)*(Data!$M$2:$M$2277="Valerii Zaluzhniy")*ISNUMBER(Data!$N$2:$N$2277)*IF(ISNUMBER(Data!$U$2:$U$2277),Data!$U$2:$U$2277,0))&gt;0,SUMPRODUCT((Data!$O$2:$O$2277=A31)*(Data!$M$2:$M$2277="Valerii Zaluzhniy")*ISNUMBER(Data!$N$2:$N$2277)*IF(ISNUMBER(Data!$W$2:$W$2277),Data!$W$2:$W$2277,0)*IF(ISNUMBER(Data!$U$2:$U$2277),Data!$U$2:$U$2277,0))/SUMPRODUCT((Data!$O$2:$O$2277=A31)*(Data!$M$2:$M$2277="Valerii Zaluzhniy")*ISNUMBER(Data!$N$2:$N$2277)*IF(ISNUMBER(Data!$U$2:$U$2277),Data!$U$2:$U$2277,0)),""),"")</f>
        <v/>
      </c>
      <c r="D31" s="69">
        <f>IFERROR(IF(SUMPRODUCT((Data!$O$2:$O$2277=A31)*(Data!$M$2:$M$2277="Kyrylo Budanov")*ISNUMBER(Data!$N$2:$N$2277)*IF(ISNUMBER(Data!$U$2:$U$2277),Data!$U$2:$U$2277,0))&gt;0,SUMPRODUCT((Data!$O$2:$O$2277=A31)*(Data!$M$2:$M$2277="Kyrylo Budanov")*ISNUMBER(Data!$N$2:$N$2277)*IF(ISNUMBER(Data!$W$2:$W$2277),Data!$W$2:$W$2277,0)*IF(ISNUMBER(Data!$U$2:$U$2277),Data!$U$2:$U$2277,0))/SUMPRODUCT((Data!$O$2:$O$2277=A31)*(Data!$M$2:$M$2277="Kyrylo Budanov")*ISNUMBER(Data!$N$2:$N$2277)*IF(ISNUMBER(Data!$U$2:$U$2277),Data!$U$2:$U$2277,0)),""),"")</f>
        <v>1.816733068</v>
      </c>
      <c r="E31" s="69">
        <f>IFERROR(IF(SUMPRODUCT((Data!$O$2:$O$2277=A31)*(Data!$M$2:$M$2277="Pyotr Poroshenko")*ISNUMBER(Data!$N$2:$N$2277)*IF(ISNUMBER(Data!$U$2:$U$2277),Data!$U$2:$U$2277,0))&gt;0,SUMPRODUCT((Data!$O$2:$O$2277=A31)*(Data!$M$2:$M$2277="Pyotr Poroshenko")*ISNUMBER(Data!$N$2:$N$2277)*IF(ISNUMBER(Data!$W$2:$W$2277),Data!$W$2:$W$2277,0)*IF(ISNUMBER(Data!$U$2:$U$2277),Data!$U$2:$U$2277,0))/SUMPRODUCT((Data!$O$2:$O$2277=A31)*(Data!$M$2:$M$2277="Pyotr Poroshenko")*ISNUMBER(Data!$N$2:$N$2277)*IF(ISNUMBER(Data!$U$2:$U$2277),Data!$U$2:$U$2277,0)),""),"")</f>
        <v>8.414342629</v>
      </c>
      <c r="F31" s="70">
        <f>IF(B31&lt;&gt;"",IF(OR(F30="",AND(ABS(IFERROR(SUMPRODUCT((Data!$O$2:$O$2277=A31)*(Data!$M$2:$M$2277="Vladimir Zelenskiy")*ISNUMBER(Data!$N$2:$N$2277)*IF(ISNUMBER(Data!$W$2:$W$2277),Data!$W$2:$W$2277,0)*IF(ISNUMBER(Data!$U$2:$U$2277),Data!$U$2:$U$2277,0))/SUMPRODUCT((Data!$O$2:$O$2277=A31)*(Data!$M$2:$M$2277="Vladimir Zelenskiy")*ISNUMBER(Data!$N$2:$N$2277)*IF(ISNUMBER(Data!$U$2:$U$2277),Data!$U$2:$U$2277,0)),0)-IF(F30="",0,F30))&gt;Formula!$C$30,SUMPRODUCT((Data!$O$2:$O$2277=A31)*(Data!$M$2:$M$2277="Vladimir Zelenskiy")*ISNUMBER(Data!$N$2:$N$2277)*IF(ISNUMBER(Data!$U$2:$U$2277),Data!$U$2:$U$2277,0))&gt;=Formula!$C$31)),B31,(SUMPRODUCT((Data!$O$2:$O$2277=A31)*(Data!$M$2:$M$2277="Vladimir Zelenskiy")*ISNUMBER(Data!$N$2:$N$2277)*IF(ISNUMBER(Data!$W$2:$W$2277),Data!$W$2:$W$2277,0)*IF(ISNUMBER(Data!$U$2:$U$2277),Data!$U$2:$U$2277,0))+Formula!$C$29*F30)/(SUMPRODUCT((Data!$O$2:$O$2277=A31)*(Data!$M$2:$M$2277="Vladimir Zelenskiy")*ISNUMBER(Data!$N$2:$N$2277)*IF(ISNUMBER(Data!$U$2:$U$2277),Data!$U$2:$U$2277,0))+Formula!$C$29)),IF(F30&lt;&gt;"",F30,""))</f>
        <v>21.78705205</v>
      </c>
      <c r="G31" s="70">
        <f>IF(C31&lt;&gt;"",IF(OR(G30="",AND(ABS(IFERROR(SUMPRODUCT((Data!$O$2:$O$2277=A31)*(Data!$M$2:$M$2277="Valerii Zaluzhniy")*ISNUMBER(Data!$N$2:$N$2277)*IF(ISNUMBER(Data!$W$2:$W$2277),Data!$W$2:$W$2277,0)*IF(ISNUMBER(Data!$U$2:$U$2277),Data!$U$2:$U$2277,0))/SUMPRODUCT((Data!$O$2:$O$2277=A31)*(Data!$M$2:$M$2277="Valerii Zaluzhniy")*ISNUMBER(Data!$N$2:$N$2277)*IF(ISNUMBER(Data!$U$2:$U$2277),Data!$U$2:$U$2277,0)),0)-IF(G30="",0,G30))&gt;Formula!$C$30,SUMPRODUCT((Data!$O$2:$O$2277=A31)*(Data!$M$2:$M$2277="Valerii Zaluzhniy")*ISNUMBER(Data!$N$2:$N$2277)*IF(ISNUMBER(Data!$U$2:$U$2277),Data!$U$2:$U$2277,0))&gt;=Formula!$C$31)),C31,(SUMPRODUCT((Data!$O$2:$O$2277=A31)*(Data!$M$2:$M$2277="Valerii Zaluzhniy")*ISNUMBER(Data!$N$2:$N$2277)*IF(ISNUMBER(Data!$W$2:$W$2277),Data!$W$2:$W$2277,0)*IF(ISNUMBER(Data!$U$2:$U$2277),Data!$U$2:$U$2277,0))+Formula!$C$29*G30)/(SUMPRODUCT((Data!$O$2:$O$2277=A31)*(Data!$M$2:$M$2277="Valerii Zaluzhniy")*ISNUMBER(Data!$N$2:$N$2277)*IF(ISNUMBER(Data!$U$2:$U$2277),Data!$U$2:$U$2277,0))+Formula!$C$29)),IF(G30&lt;&gt;"",G30,""))</f>
        <v>30.9998899</v>
      </c>
      <c r="H31" s="70">
        <f>IF(D31&lt;&gt;"",IF(OR(H30="",AND(ABS(IFERROR(SUMPRODUCT((Data!$O$2:$O$2277=A31)*(Data!$M$2:$M$2277="Kyrylo Budanov")*ISNUMBER(Data!$N$2:$N$2277)*IF(ISNUMBER(Data!$W$2:$W$2277),Data!$W$2:$W$2277,0)*IF(ISNUMBER(Data!$U$2:$U$2277),Data!$U$2:$U$2277,0))/SUMPRODUCT((Data!$O$2:$O$2277=A31)*(Data!$M$2:$M$2277="Kyrylo Budanov")*ISNUMBER(Data!$N$2:$N$2277)*IF(ISNUMBER(Data!$U$2:$U$2277),Data!$U$2:$U$2277,0)),0)-IF(H30="",0,H30))&gt;Formula!$C$30,SUMPRODUCT((Data!$O$2:$O$2277=A31)*(Data!$M$2:$M$2277="Kyrylo Budanov")*ISNUMBER(Data!$N$2:$N$2277)*IF(ISNUMBER(Data!$U$2:$U$2277),Data!$U$2:$U$2277,0))&gt;=Formula!$C$31)),D31,(SUMPRODUCT((Data!$O$2:$O$2277=A31)*(Data!$M$2:$M$2277="Kyrylo Budanov")*ISNUMBER(Data!$N$2:$N$2277)*IF(ISNUMBER(Data!$W$2:$W$2277),Data!$W$2:$W$2277,0)*IF(ISNUMBER(Data!$U$2:$U$2277),Data!$U$2:$U$2277,0))+Formula!$C$29*H30)/(SUMPRODUCT((Data!$O$2:$O$2277=A31)*(Data!$M$2:$M$2277="Kyrylo Budanov")*ISNUMBER(Data!$N$2:$N$2277)*IF(ISNUMBER(Data!$U$2:$U$2277),Data!$U$2:$U$2277,0))+Formula!$C$29)),IF(H30&lt;&gt;"",H30,""))</f>
        <v>1.011639946</v>
      </c>
      <c r="I31" s="70">
        <f>IF(E31&lt;&gt;"",IF(OR(I30="",AND(ABS(IFERROR(SUMPRODUCT((Data!$O$2:$O$2277=A31)*(Data!$M$2:$M$2277="Pyotr Poroshenko")*ISNUMBER(Data!$N$2:$N$2277)*IF(ISNUMBER(Data!$W$2:$W$2277),Data!$W$2:$W$2277,0)*IF(ISNUMBER(Data!$U$2:$U$2277),Data!$U$2:$U$2277,0))/SUMPRODUCT((Data!$O$2:$O$2277=A31)*(Data!$M$2:$M$2277="Pyotr Poroshenko")*ISNUMBER(Data!$N$2:$N$2277)*IF(ISNUMBER(Data!$U$2:$U$2277),Data!$U$2:$U$2277,0)),0)-IF(I30="",0,I30))&gt;Formula!$C$30,SUMPRODUCT((Data!$O$2:$O$2277=A31)*(Data!$M$2:$M$2277="Pyotr Poroshenko")*ISNUMBER(Data!$N$2:$N$2277)*IF(ISNUMBER(Data!$U$2:$U$2277),Data!$U$2:$U$2277,0))&gt;=Formula!$C$31)),E31,(SUMPRODUCT((Data!$O$2:$O$2277=A31)*(Data!$M$2:$M$2277="Pyotr Poroshenko")*ISNUMBER(Data!$N$2:$N$2277)*IF(ISNUMBER(Data!$W$2:$W$2277),Data!$W$2:$W$2277,0)*IF(ISNUMBER(Data!$U$2:$U$2277),Data!$U$2:$U$2277,0))+Formula!$C$29*I30)/(SUMPRODUCT((Data!$O$2:$O$2277=A31)*(Data!$M$2:$M$2277="Pyotr Poroshenko")*ISNUMBER(Data!$N$2:$N$2277)*IF(ISNUMBER(Data!$U$2:$U$2277),Data!$U$2:$U$2277,0))+Formula!$C$29)),IF(I30&lt;&gt;"",I30,""))</f>
        <v>8.533606444</v>
      </c>
      <c r="L31" s="71">
        <f t="shared" ref="L31:O31" si="33">IFERROR((IF(F29&lt;&gt;"",F29*1,0)+IF(F30&lt;&gt;"",F30*2,0)+IF(F31&lt;&gt;"",F31*3,0))/(IF(F29&lt;&gt;"",1,0)+IF(F30&lt;&gt;"",2,0)+IF(F31&lt;&gt;"",3,0)),"")</f>
        <v>22.79411354</v>
      </c>
      <c r="M31" s="71">
        <f t="shared" si="33"/>
        <v>30.9998899</v>
      </c>
      <c r="N31" s="71">
        <f t="shared" si="33"/>
        <v>0.7883879759</v>
      </c>
      <c r="O31" s="71">
        <f t="shared" si="33"/>
        <v>8.566678248</v>
      </c>
    </row>
    <row r="32" ht="12.75" customHeight="1">
      <c r="A32" s="64">
        <v>45536.0</v>
      </c>
      <c r="B32" s="65" t="str">
        <f>IFERROR(IF(SUMPRODUCT((Data!$O$2:$O$2277=A32)*(Data!$M$2:$M$2277="Vladimir Zelenskiy")*ISNUMBER(Data!$N$2:$N$2277)*IF(ISNUMBER(Data!$U$2:$U$2277),Data!$U$2:$U$2277,0))&gt;0,SUMPRODUCT((Data!$O$2:$O$2277=A32)*(Data!$M$2:$M$2277="Vladimir Zelenskiy")*ISNUMBER(Data!$N$2:$N$2277)*IF(ISNUMBER(Data!$W$2:$W$2277),Data!$W$2:$W$2277,0)*IF(ISNUMBER(Data!$U$2:$U$2277),Data!$U$2:$U$2277,0))/SUMPRODUCT((Data!$O$2:$O$2277=A32)*(Data!$M$2:$M$2277="Vladimir Zelenskiy")*ISNUMBER(Data!$N$2:$N$2277)*IF(ISNUMBER(Data!$U$2:$U$2277),Data!$U$2:$U$2277,0)),""),"")</f>
        <v/>
      </c>
      <c r="C32" s="65" t="str">
        <f>IFERROR(IF(SUMPRODUCT((Data!$O$2:$O$2277=A32)*(Data!$M$2:$M$2277="Valerii Zaluzhniy")*ISNUMBER(Data!$N$2:$N$2277)*IF(ISNUMBER(Data!$U$2:$U$2277),Data!$U$2:$U$2277,0))&gt;0,SUMPRODUCT((Data!$O$2:$O$2277=A32)*(Data!$M$2:$M$2277="Valerii Zaluzhniy")*ISNUMBER(Data!$N$2:$N$2277)*IF(ISNUMBER(Data!$W$2:$W$2277),Data!$W$2:$W$2277,0)*IF(ISNUMBER(Data!$U$2:$U$2277),Data!$U$2:$U$2277,0))/SUMPRODUCT((Data!$O$2:$O$2277=A32)*(Data!$M$2:$M$2277="Valerii Zaluzhniy")*ISNUMBER(Data!$N$2:$N$2277)*IF(ISNUMBER(Data!$U$2:$U$2277),Data!$U$2:$U$2277,0)),""),"")</f>
        <v/>
      </c>
      <c r="D32" s="65" t="str">
        <f>IFERROR(IF(SUMPRODUCT((Data!$O$2:$O$2277=A32)*(Data!$M$2:$M$2277="Kyrylo Budanov")*ISNUMBER(Data!$N$2:$N$2277)*IF(ISNUMBER(Data!$U$2:$U$2277),Data!$U$2:$U$2277,0))&gt;0,SUMPRODUCT((Data!$O$2:$O$2277=A32)*(Data!$M$2:$M$2277="Kyrylo Budanov")*ISNUMBER(Data!$N$2:$N$2277)*IF(ISNUMBER(Data!$W$2:$W$2277),Data!$W$2:$W$2277,0)*IF(ISNUMBER(Data!$U$2:$U$2277),Data!$U$2:$U$2277,0))/SUMPRODUCT((Data!$O$2:$O$2277=A32)*(Data!$M$2:$M$2277="Kyrylo Budanov")*ISNUMBER(Data!$N$2:$N$2277)*IF(ISNUMBER(Data!$U$2:$U$2277),Data!$U$2:$U$2277,0)),""),"")</f>
        <v/>
      </c>
      <c r="E32" s="65" t="str">
        <f>IFERROR(IF(SUMPRODUCT((Data!$O$2:$O$2277=A32)*(Data!$M$2:$M$2277="Pyotr Poroshenko")*ISNUMBER(Data!$N$2:$N$2277)*IF(ISNUMBER(Data!$U$2:$U$2277),Data!$U$2:$U$2277,0))&gt;0,SUMPRODUCT((Data!$O$2:$O$2277=A32)*(Data!$M$2:$M$2277="Pyotr Poroshenko")*ISNUMBER(Data!$N$2:$N$2277)*IF(ISNUMBER(Data!$W$2:$W$2277),Data!$W$2:$W$2277,0)*IF(ISNUMBER(Data!$U$2:$U$2277),Data!$U$2:$U$2277,0))/SUMPRODUCT((Data!$O$2:$O$2277=A32)*(Data!$M$2:$M$2277="Pyotr Poroshenko")*ISNUMBER(Data!$N$2:$N$2277)*IF(ISNUMBER(Data!$U$2:$U$2277),Data!$U$2:$U$2277,0)),""),"")</f>
        <v/>
      </c>
      <c r="F32" s="66">
        <f>IF(B32&lt;&gt;"",IF(OR(F31="",AND(ABS(IFERROR(SUMPRODUCT((Data!$O$2:$O$2277=A32)*(Data!$M$2:$M$2277="Vladimir Zelenskiy")*ISNUMBER(Data!$N$2:$N$2277)*IF(ISNUMBER(Data!$W$2:$W$2277),Data!$W$2:$W$2277,0)*IF(ISNUMBER(Data!$U$2:$U$2277),Data!$U$2:$U$2277,0))/SUMPRODUCT((Data!$O$2:$O$2277=A32)*(Data!$M$2:$M$2277="Vladimir Zelenskiy")*ISNUMBER(Data!$N$2:$N$2277)*IF(ISNUMBER(Data!$U$2:$U$2277),Data!$U$2:$U$2277,0)),0)-IF(F31="",0,F31))&gt;Formula!$C$30,SUMPRODUCT((Data!$O$2:$O$2277=A32)*(Data!$M$2:$M$2277="Vladimir Zelenskiy")*ISNUMBER(Data!$N$2:$N$2277)*IF(ISNUMBER(Data!$U$2:$U$2277),Data!$U$2:$U$2277,0))&gt;=Formula!$C$31)),B32,(SUMPRODUCT((Data!$O$2:$O$2277=A32)*(Data!$M$2:$M$2277="Vladimir Zelenskiy")*ISNUMBER(Data!$N$2:$N$2277)*IF(ISNUMBER(Data!$W$2:$W$2277),Data!$W$2:$W$2277,0)*IF(ISNUMBER(Data!$U$2:$U$2277),Data!$U$2:$U$2277,0))+Formula!$C$29*F31)/(SUMPRODUCT((Data!$O$2:$O$2277=A32)*(Data!$M$2:$M$2277="Vladimir Zelenskiy")*ISNUMBER(Data!$N$2:$N$2277)*IF(ISNUMBER(Data!$U$2:$U$2277),Data!$U$2:$U$2277,0))+Formula!$C$29)),IF(F31&lt;&gt;"",F31,""))</f>
        <v>21.78705205</v>
      </c>
      <c r="G32" s="66">
        <f>IF(C32&lt;&gt;"",IF(OR(G31="",AND(ABS(IFERROR(SUMPRODUCT((Data!$O$2:$O$2277=A32)*(Data!$M$2:$M$2277="Valerii Zaluzhniy")*ISNUMBER(Data!$N$2:$N$2277)*IF(ISNUMBER(Data!$W$2:$W$2277),Data!$W$2:$W$2277,0)*IF(ISNUMBER(Data!$U$2:$U$2277),Data!$U$2:$U$2277,0))/SUMPRODUCT((Data!$O$2:$O$2277=A32)*(Data!$M$2:$M$2277="Valerii Zaluzhniy")*ISNUMBER(Data!$N$2:$N$2277)*IF(ISNUMBER(Data!$U$2:$U$2277),Data!$U$2:$U$2277,0)),0)-IF(G31="",0,G31))&gt;Formula!$C$30,SUMPRODUCT((Data!$O$2:$O$2277=A32)*(Data!$M$2:$M$2277="Valerii Zaluzhniy")*ISNUMBER(Data!$N$2:$N$2277)*IF(ISNUMBER(Data!$U$2:$U$2277),Data!$U$2:$U$2277,0))&gt;=Formula!$C$31)),C32,(SUMPRODUCT((Data!$O$2:$O$2277=A32)*(Data!$M$2:$M$2277="Valerii Zaluzhniy")*ISNUMBER(Data!$N$2:$N$2277)*IF(ISNUMBER(Data!$W$2:$W$2277),Data!$W$2:$W$2277,0)*IF(ISNUMBER(Data!$U$2:$U$2277),Data!$U$2:$U$2277,0))+Formula!$C$29*G31)/(SUMPRODUCT((Data!$O$2:$O$2277=A32)*(Data!$M$2:$M$2277="Valerii Zaluzhniy")*ISNUMBER(Data!$N$2:$N$2277)*IF(ISNUMBER(Data!$U$2:$U$2277),Data!$U$2:$U$2277,0))+Formula!$C$29)),IF(G31&lt;&gt;"",G31,""))</f>
        <v>30.9998899</v>
      </c>
      <c r="H32" s="66">
        <f>IF(D32&lt;&gt;"",IF(OR(H31="",AND(ABS(IFERROR(SUMPRODUCT((Data!$O$2:$O$2277=A32)*(Data!$M$2:$M$2277="Kyrylo Budanov")*ISNUMBER(Data!$N$2:$N$2277)*IF(ISNUMBER(Data!$W$2:$W$2277),Data!$W$2:$W$2277,0)*IF(ISNUMBER(Data!$U$2:$U$2277),Data!$U$2:$U$2277,0))/SUMPRODUCT((Data!$O$2:$O$2277=A32)*(Data!$M$2:$M$2277="Kyrylo Budanov")*ISNUMBER(Data!$N$2:$N$2277)*IF(ISNUMBER(Data!$U$2:$U$2277),Data!$U$2:$U$2277,0)),0)-IF(H31="",0,H31))&gt;Formula!$C$30,SUMPRODUCT((Data!$O$2:$O$2277=A32)*(Data!$M$2:$M$2277="Kyrylo Budanov")*ISNUMBER(Data!$N$2:$N$2277)*IF(ISNUMBER(Data!$U$2:$U$2277),Data!$U$2:$U$2277,0))&gt;=Formula!$C$31)),D32,(SUMPRODUCT((Data!$O$2:$O$2277=A32)*(Data!$M$2:$M$2277="Kyrylo Budanov")*ISNUMBER(Data!$N$2:$N$2277)*IF(ISNUMBER(Data!$W$2:$W$2277),Data!$W$2:$W$2277,0)*IF(ISNUMBER(Data!$U$2:$U$2277),Data!$U$2:$U$2277,0))+Formula!$C$29*H31)/(SUMPRODUCT((Data!$O$2:$O$2277=A32)*(Data!$M$2:$M$2277="Kyrylo Budanov")*ISNUMBER(Data!$N$2:$N$2277)*IF(ISNUMBER(Data!$U$2:$U$2277),Data!$U$2:$U$2277,0))+Formula!$C$29)),IF(H31&lt;&gt;"",H31,""))</f>
        <v>1.011639946</v>
      </c>
      <c r="I32" s="66">
        <f>IF(E32&lt;&gt;"",IF(OR(I31="",AND(ABS(IFERROR(SUMPRODUCT((Data!$O$2:$O$2277=A32)*(Data!$M$2:$M$2277="Pyotr Poroshenko")*ISNUMBER(Data!$N$2:$N$2277)*IF(ISNUMBER(Data!$W$2:$W$2277),Data!$W$2:$W$2277,0)*IF(ISNUMBER(Data!$U$2:$U$2277),Data!$U$2:$U$2277,0))/SUMPRODUCT((Data!$O$2:$O$2277=A32)*(Data!$M$2:$M$2277="Pyotr Poroshenko")*ISNUMBER(Data!$N$2:$N$2277)*IF(ISNUMBER(Data!$U$2:$U$2277),Data!$U$2:$U$2277,0)),0)-IF(I31="",0,I31))&gt;Formula!$C$30,SUMPRODUCT((Data!$O$2:$O$2277=A32)*(Data!$M$2:$M$2277="Pyotr Poroshenko")*ISNUMBER(Data!$N$2:$N$2277)*IF(ISNUMBER(Data!$U$2:$U$2277),Data!$U$2:$U$2277,0))&gt;=Formula!$C$31)),E32,(SUMPRODUCT((Data!$O$2:$O$2277=A32)*(Data!$M$2:$M$2277="Pyotr Poroshenko")*ISNUMBER(Data!$N$2:$N$2277)*IF(ISNUMBER(Data!$W$2:$W$2277),Data!$W$2:$W$2277,0)*IF(ISNUMBER(Data!$U$2:$U$2277),Data!$U$2:$U$2277,0))+Formula!$C$29*I31)/(SUMPRODUCT((Data!$O$2:$O$2277=A32)*(Data!$M$2:$M$2277="Pyotr Poroshenko")*ISNUMBER(Data!$N$2:$N$2277)*IF(ISNUMBER(Data!$U$2:$U$2277),Data!$U$2:$U$2277,0))+Formula!$C$29)),IF(I31&lt;&gt;"",I31,""))</f>
        <v>8.533606444</v>
      </c>
      <c r="L32" s="67">
        <f t="shared" ref="L32:O32" si="34">IFERROR((IF(F30&lt;&gt;"",F30*1,0)+IF(F31&lt;&gt;"",F31*2,0)+IF(F32&lt;&gt;"",F32*3,0))/(IF(F30&lt;&gt;"",1,0)+IF(F31&lt;&gt;"",2,0)+IF(F32&lt;&gt;"",3,0)),"")</f>
        <v>22.12273922</v>
      </c>
      <c r="M32" s="67">
        <f t="shared" si="34"/>
        <v>30.9998899</v>
      </c>
      <c r="N32" s="67">
        <f t="shared" si="34"/>
        <v>0.9372226227</v>
      </c>
      <c r="O32" s="67">
        <f t="shared" si="34"/>
        <v>8.544630379</v>
      </c>
    </row>
    <row r="33" ht="12.75" customHeight="1">
      <c r="A33" s="68">
        <v>45566.0</v>
      </c>
      <c r="B33" s="69">
        <f>IFERROR(IF(SUMPRODUCT((Data!$O$2:$O$2277=A33)*(Data!$M$2:$M$2277="Vladimir Zelenskiy")*ISNUMBER(Data!$N$2:$N$2277)*IF(ISNUMBER(Data!$U$2:$U$2277),Data!$U$2:$U$2277,0))&gt;0,SUMPRODUCT((Data!$O$2:$O$2277=A33)*(Data!$M$2:$M$2277="Vladimir Zelenskiy")*ISNUMBER(Data!$N$2:$N$2277)*IF(ISNUMBER(Data!$W$2:$W$2277),Data!$W$2:$W$2277,0)*IF(ISNUMBER(Data!$U$2:$U$2277),Data!$U$2:$U$2277,0))/SUMPRODUCT((Data!$O$2:$O$2277=A33)*(Data!$M$2:$M$2277="Vladimir Zelenskiy")*ISNUMBER(Data!$N$2:$N$2277)*IF(ISNUMBER(Data!$U$2:$U$2277),Data!$U$2:$U$2277,0)),""),"")</f>
        <v>19.09960159</v>
      </c>
      <c r="C33" s="69" t="str">
        <f>IFERROR(IF(SUMPRODUCT((Data!$O$2:$O$2277=A33)*(Data!$M$2:$M$2277="Valerii Zaluzhniy")*ISNUMBER(Data!$N$2:$N$2277)*IF(ISNUMBER(Data!$U$2:$U$2277),Data!$U$2:$U$2277,0))&gt;0,SUMPRODUCT((Data!$O$2:$O$2277=A33)*(Data!$M$2:$M$2277="Valerii Zaluzhniy")*ISNUMBER(Data!$N$2:$N$2277)*IF(ISNUMBER(Data!$W$2:$W$2277),Data!$W$2:$W$2277,0)*IF(ISNUMBER(Data!$U$2:$U$2277),Data!$U$2:$U$2277,0))/SUMPRODUCT((Data!$O$2:$O$2277=A33)*(Data!$M$2:$M$2277="Valerii Zaluzhniy")*ISNUMBER(Data!$N$2:$N$2277)*IF(ISNUMBER(Data!$U$2:$U$2277),Data!$U$2:$U$2277,0)),""),"")</f>
        <v/>
      </c>
      <c r="D33" s="69">
        <f>IFERROR(IF(SUMPRODUCT((Data!$O$2:$O$2277=A33)*(Data!$M$2:$M$2277="Kyrylo Budanov")*ISNUMBER(Data!$N$2:$N$2277)*IF(ISNUMBER(Data!$U$2:$U$2277),Data!$U$2:$U$2277,0))&gt;0,SUMPRODUCT((Data!$O$2:$O$2277=A33)*(Data!$M$2:$M$2277="Kyrylo Budanov")*ISNUMBER(Data!$N$2:$N$2277)*IF(ISNUMBER(Data!$W$2:$W$2277),Data!$W$2:$W$2277,0)*IF(ISNUMBER(Data!$U$2:$U$2277),Data!$U$2:$U$2277,0))/SUMPRODUCT((Data!$O$2:$O$2277=A33)*(Data!$M$2:$M$2277="Kyrylo Budanov")*ISNUMBER(Data!$N$2:$N$2277)*IF(ISNUMBER(Data!$U$2:$U$2277),Data!$U$2:$U$2277,0)),""),"")</f>
        <v>2.12749004</v>
      </c>
      <c r="E33" s="69">
        <f>IFERROR(IF(SUMPRODUCT((Data!$O$2:$O$2277=A33)*(Data!$M$2:$M$2277="Pyotr Poroshenko")*ISNUMBER(Data!$N$2:$N$2277)*IF(ISNUMBER(Data!$U$2:$U$2277),Data!$U$2:$U$2277,0))&gt;0,SUMPRODUCT((Data!$O$2:$O$2277=A33)*(Data!$M$2:$M$2277="Pyotr Poroshenko")*ISNUMBER(Data!$N$2:$N$2277)*IF(ISNUMBER(Data!$W$2:$W$2277),Data!$W$2:$W$2277,0)*IF(ISNUMBER(Data!$U$2:$U$2277),Data!$U$2:$U$2277,0))/SUMPRODUCT((Data!$O$2:$O$2277=A33)*(Data!$M$2:$M$2277="Pyotr Poroshenko")*ISNUMBER(Data!$N$2:$N$2277)*IF(ISNUMBER(Data!$U$2:$U$2277),Data!$U$2:$U$2277,0)),""),"")</f>
        <v>8.653386454</v>
      </c>
      <c r="F33" s="70">
        <f>IF(B33&lt;&gt;"",IF(OR(F32="",AND(ABS(IFERROR(SUMPRODUCT((Data!$O$2:$O$2277=A33)*(Data!$M$2:$M$2277="Vladimir Zelenskiy")*ISNUMBER(Data!$N$2:$N$2277)*IF(ISNUMBER(Data!$W$2:$W$2277),Data!$W$2:$W$2277,0)*IF(ISNUMBER(Data!$U$2:$U$2277),Data!$U$2:$U$2277,0))/SUMPRODUCT((Data!$O$2:$O$2277=A33)*(Data!$M$2:$M$2277="Vladimir Zelenskiy")*ISNUMBER(Data!$N$2:$N$2277)*IF(ISNUMBER(Data!$U$2:$U$2277),Data!$U$2:$U$2277,0)),0)-IF(F32="",0,F32))&gt;Formula!$C$30,SUMPRODUCT((Data!$O$2:$O$2277=A33)*(Data!$M$2:$M$2277="Vladimir Zelenskiy")*ISNUMBER(Data!$N$2:$N$2277)*IF(ISNUMBER(Data!$U$2:$U$2277),Data!$U$2:$U$2277,0))&gt;=Formula!$C$31)),B33,(SUMPRODUCT((Data!$O$2:$O$2277=A33)*(Data!$M$2:$M$2277="Vladimir Zelenskiy")*ISNUMBER(Data!$N$2:$N$2277)*IF(ISNUMBER(Data!$W$2:$W$2277),Data!$W$2:$W$2277,0)*IF(ISNUMBER(Data!$U$2:$U$2277),Data!$U$2:$U$2277,0))+Formula!$C$29*F32)/(SUMPRODUCT((Data!$O$2:$O$2277=A33)*(Data!$M$2:$M$2277="Vladimir Zelenskiy")*ISNUMBER(Data!$N$2:$N$2277)*IF(ISNUMBER(Data!$U$2:$U$2277),Data!$U$2:$U$2277,0))+Formula!$C$29)),IF(F32&lt;&gt;"",F32,""))</f>
        <v>20.53690646</v>
      </c>
      <c r="G33" s="70">
        <f>IF(C33&lt;&gt;"",IF(OR(G32="",AND(ABS(IFERROR(SUMPRODUCT((Data!$O$2:$O$2277=A33)*(Data!$M$2:$M$2277="Valerii Zaluzhniy")*ISNUMBER(Data!$N$2:$N$2277)*IF(ISNUMBER(Data!$W$2:$W$2277),Data!$W$2:$W$2277,0)*IF(ISNUMBER(Data!$U$2:$U$2277),Data!$U$2:$U$2277,0))/SUMPRODUCT((Data!$O$2:$O$2277=A33)*(Data!$M$2:$M$2277="Valerii Zaluzhniy")*ISNUMBER(Data!$N$2:$N$2277)*IF(ISNUMBER(Data!$U$2:$U$2277),Data!$U$2:$U$2277,0)),0)-IF(G32="",0,G32))&gt;Formula!$C$30,SUMPRODUCT((Data!$O$2:$O$2277=A33)*(Data!$M$2:$M$2277="Valerii Zaluzhniy")*ISNUMBER(Data!$N$2:$N$2277)*IF(ISNUMBER(Data!$U$2:$U$2277),Data!$U$2:$U$2277,0))&gt;=Formula!$C$31)),C33,(SUMPRODUCT((Data!$O$2:$O$2277=A33)*(Data!$M$2:$M$2277="Valerii Zaluzhniy")*ISNUMBER(Data!$N$2:$N$2277)*IF(ISNUMBER(Data!$W$2:$W$2277),Data!$W$2:$W$2277,0)*IF(ISNUMBER(Data!$U$2:$U$2277),Data!$U$2:$U$2277,0))+Formula!$C$29*G32)/(SUMPRODUCT((Data!$O$2:$O$2277=A33)*(Data!$M$2:$M$2277="Valerii Zaluzhniy")*ISNUMBER(Data!$N$2:$N$2277)*IF(ISNUMBER(Data!$U$2:$U$2277),Data!$U$2:$U$2277,0))+Formula!$C$29)),IF(G32&lt;&gt;"",G32,""))</f>
        <v>30.9998899</v>
      </c>
      <c r="H33" s="70">
        <f>IF(D33&lt;&gt;"",IF(OR(H32="",AND(ABS(IFERROR(SUMPRODUCT((Data!$O$2:$O$2277=A33)*(Data!$M$2:$M$2277="Kyrylo Budanov")*ISNUMBER(Data!$N$2:$N$2277)*IF(ISNUMBER(Data!$W$2:$W$2277),Data!$W$2:$W$2277,0)*IF(ISNUMBER(Data!$U$2:$U$2277),Data!$U$2:$U$2277,0))/SUMPRODUCT((Data!$O$2:$O$2277=A33)*(Data!$M$2:$M$2277="Kyrylo Budanov")*ISNUMBER(Data!$N$2:$N$2277)*IF(ISNUMBER(Data!$U$2:$U$2277),Data!$U$2:$U$2277,0)),0)-IF(H32="",0,H32))&gt;Formula!$C$30,SUMPRODUCT((Data!$O$2:$O$2277=A33)*(Data!$M$2:$M$2277="Kyrylo Budanov")*ISNUMBER(Data!$N$2:$N$2277)*IF(ISNUMBER(Data!$U$2:$U$2277),Data!$U$2:$U$2277,0))&gt;=Formula!$C$31)),D33,(SUMPRODUCT((Data!$O$2:$O$2277=A33)*(Data!$M$2:$M$2277="Kyrylo Budanov")*ISNUMBER(Data!$N$2:$N$2277)*IF(ISNUMBER(Data!$W$2:$W$2277),Data!$W$2:$W$2277,0)*IF(ISNUMBER(Data!$U$2:$U$2277),Data!$U$2:$U$2277,0))+Formula!$C$29*H32)/(SUMPRODUCT((Data!$O$2:$O$2277=A33)*(Data!$M$2:$M$2277="Kyrylo Budanov")*ISNUMBER(Data!$N$2:$N$2277)*IF(ISNUMBER(Data!$U$2:$U$2277),Data!$U$2:$U$2277,0))+Formula!$C$29)),IF(H32&lt;&gt;"",H32,""))</f>
        <v>1.530710007</v>
      </c>
      <c r="I33" s="70">
        <f>IF(E33&lt;&gt;"",IF(OR(I32="",AND(ABS(IFERROR(SUMPRODUCT((Data!$O$2:$O$2277=A33)*(Data!$M$2:$M$2277="Pyotr Poroshenko")*ISNUMBER(Data!$N$2:$N$2277)*IF(ISNUMBER(Data!$W$2:$W$2277),Data!$W$2:$W$2277,0)*IF(ISNUMBER(Data!$U$2:$U$2277),Data!$U$2:$U$2277,0))/SUMPRODUCT((Data!$O$2:$O$2277=A33)*(Data!$M$2:$M$2277="Pyotr Poroshenko")*ISNUMBER(Data!$N$2:$N$2277)*IF(ISNUMBER(Data!$U$2:$U$2277),Data!$U$2:$U$2277,0)),0)-IF(I32="",0,I32))&gt;Formula!$C$30,SUMPRODUCT((Data!$O$2:$O$2277=A33)*(Data!$M$2:$M$2277="Pyotr Poroshenko")*ISNUMBER(Data!$N$2:$N$2277)*IF(ISNUMBER(Data!$U$2:$U$2277),Data!$U$2:$U$2277,0))&gt;=Formula!$C$31)),E33,(SUMPRODUCT((Data!$O$2:$O$2277=A33)*(Data!$M$2:$M$2277="Pyotr Poroshenko")*ISNUMBER(Data!$N$2:$N$2277)*IF(ISNUMBER(Data!$W$2:$W$2277),Data!$W$2:$W$2277,0)*IF(ISNUMBER(Data!$U$2:$U$2277),Data!$U$2:$U$2277,0))+Formula!$C$29*I32)/(SUMPRODUCT((Data!$O$2:$O$2277=A33)*(Data!$M$2:$M$2277="Pyotr Poroshenko")*ISNUMBER(Data!$N$2:$N$2277)*IF(ISNUMBER(Data!$U$2:$U$2277),Data!$U$2:$U$2277,0))+Formula!$C$29)),IF(I32&lt;&gt;"",I32,""))</f>
        <v>8.589325593</v>
      </c>
      <c r="L33" s="71">
        <f t="shared" ref="L33:O33" si="35">IFERROR((IF(F31&lt;&gt;"",F31*1,0)+IF(F32&lt;&gt;"",F32*2,0)+IF(F33&lt;&gt;"",F33*3,0))/(IF(F31&lt;&gt;"",1,0)+IF(F32&lt;&gt;"",2,0)+IF(F33&lt;&gt;"",3,0)),"")</f>
        <v>21.16197926</v>
      </c>
      <c r="M33" s="71">
        <f t="shared" si="35"/>
        <v>30.9998899</v>
      </c>
      <c r="N33" s="71">
        <f t="shared" si="35"/>
        <v>1.271174977</v>
      </c>
      <c r="O33" s="71">
        <f t="shared" si="35"/>
        <v>8.561466019</v>
      </c>
    </row>
    <row r="34" ht="12.75" customHeight="1">
      <c r="A34" s="64">
        <v>45597.0</v>
      </c>
      <c r="B34" s="65">
        <f>IFERROR(IF(SUMPRODUCT((Data!$O$2:$O$2277=A34)*(Data!$M$2:$M$2277="Vladimir Zelenskiy")*ISNUMBER(Data!$N$2:$N$2277)*IF(ISNUMBER(Data!$U$2:$U$2277),Data!$U$2:$U$2277,0))&gt;0,SUMPRODUCT((Data!$O$2:$O$2277=A34)*(Data!$M$2:$M$2277="Vladimir Zelenskiy")*ISNUMBER(Data!$N$2:$N$2277)*IF(ISNUMBER(Data!$W$2:$W$2277),Data!$W$2:$W$2277,0)*IF(ISNUMBER(Data!$U$2:$U$2277),Data!$U$2:$U$2277,0))/SUMPRODUCT((Data!$O$2:$O$2277=A34)*(Data!$M$2:$M$2277="Vladimir Zelenskiy")*ISNUMBER(Data!$N$2:$N$2277)*IF(ISNUMBER(Data!$U$2:$U$2277),Data!$U$2:$U$2277,0)),""),"")</f>
        <v>19.12350598</v>
      </c>
      <c r="C34" s="65">
        <f>IFERROR(IF(SUMPRODUCT((Data!$O$2:$O$2277=A34)*(Data!$M$2:$M$2277="Valerii Zaluzhniy")*ISNUMBER(Data!$N$2:$N$2277)*IF(ISNUMBER(Data!$U$2:$U$2277),Data!$U$2:$U$2277,0))&gt;0,SUMPRODUCT((Data!$O$2:$O$2277=A34)*(Data!$M$2:$M$2277="Valerii Zaluzhniy")*ISNUMBER(Data!$N$2:$N$2277)*IF(ISNUMBER(Data!$W$2:$W$2277),Data!$W$2:$W$2277,0)*IF(ISNUMBER(Data!$U$2:$U$2277),Data!$U$2:$U$2277,0))/SUMPRODUCT((Data!$O$2:$O$2277=A34)*(Data!$M$2:$M$2277="Valerii Zaluzhniy")*ISNUMBER(Data!$N$2:$N$2277)*IF(ISNUMBER(Data!$U$2:$U$2277),Data!$U$2:$U$2277,0)),""),"")</f>
        <v>32.27091633</v>
      </c>
      <c r="D34" s="65">
        <f>IFERROR(IF(SUMPRODUCT((Data!$O$2:$O$2277=A34)*(Data!$M$2:$M$2277="Kyrylo Budanov")*ISNUMBER(Data!$N$2:$N$2277)*IF(ISNUMBER(Data!$U$2:$U$2277),Data!$U$2:$U$2277,0))&gt;0,SUMPRODUCT((Data!$O$2:$O$2277=A34)*(Data!$M$2:$M$2277="Kyrylo Budanov")*ISNUMBER(Data!$N$2:$N$2277)*IF(ISNUMBER(Data!$W$2:$W$2277),Data!$W$2:$W$2277,0)*IF(ISNUMBER(Data!$U$2:$U$2277),Data!$U$2:$U$2277,0))/SUMPRODUCT((Data!$O$2:$O$2277=A34)*(Data!$M$2:$M$2277="Kyrylo Budanov")*ISNUMBER(Data!$N$2:$N$2277)*IF(ISNUMBER(Data!$U$2:$U$2277),Data!$U$2:$U$2277,0)),""),"")</f>
        <v>7.171314741</v>
      </c>
      <c r="E34" s="65">
        <f>IFERROR(IF(SUMPRODUCT((Data!$O$2:$O$2277=A34)*(Data!$M$2:$M$2277="Pyotr Poroshenko")*ISNUMBER(Data!$N$2:$N$2277)*IF(ISNUMBER(Data!$U$2:$U$2277),Data!$U$2:$U$2277,0))&gt;0,SUMPRODUCT((Data!$O$2:$O$2277=A34)*(Data!$M$2:$M$2277="Pyotr Poroshenko")*ISNUMBER(Data!$N$2:$N$2277)*IF(ISNUMBER(Data!$W$2:$W$2277),Data!$W$2:$W$2277,0)*IF(ISNUMBER(Data!$U$2:$U$2277),Data!$U$2:$U$2277,0))/SUMPRODUCT((Data!$O$2:$O$2277=A34)*(Data!$M$2:$M$2277="Pyotr Poroshenko")*ISNUMBER(Data!$N$2:$N$2277)*IF(ISNUMBER(Data!$U$2:$U$2277),Data!$U$2:$U$2277,0)),""),"")</f>
        <v>8.366533865</v>
      </c>
      <c r="F34" s="66">
        <f>IF(B34&lt;&gt;"",IF(OR(F33="",AND(ABS(IFERROR(SUMPRODUCT((Data!$O$2:$O$2277=A34)*(Data!$M$2:$M$2277="Vladimir Zelenskiy")*ISNUMBER(Data!$N$2:$N$2277)*IF(ISNUMBER(Data!$W$2:$W$2277),Data!$W$2:$W$2277,0)*IF(ISNUMBER(Data!$U$2:$U$2277),Data!$U$2:$U$2277,0))/SUMPRODUCT((Data!$O$2:$O$2277=A34)*(Data!$M$2:$M$2277="Vladimir Zelenskiy")*ISNUMBER(Data!$N$2:$N$2277)*IF(ISNUMBER(Data!$U$2:$U$2277),Data!$U$2:$U$2277,0)),0)-IF(F33="",0,F33))&gt;Formula!$C$30,SUMPRODUCT((Data!$O$2:$O$2277=A34)*(Data!$M$2:$M$2277="Vladimir Zelenskiy")*ISNUMBER(Data!$N$2:$N$2277)*IF(ISNUMBER(Data!$U$2:$U$2277),Data!$U$2:$U$2277,0))&gt;=Formula!$C$31)),B34,(SUMPRODUCT((Data!$O$2:$O$2277=A34)*(Data!$M$2:$M$2277="Vladimir Zelenskiy")*ISNUMBER(Data!$N$2:$N$2277)*IF(ISNUMBER(Data!$W$2:$W$2277),Data!$W$2:$W$2277,0)*IF(ISNUMBER(Data!$U$2:$U$2277),Data!$U$2:$U$2277,0))+Formula!$C$29*F33)/(SUMPRODUCT((Data!$O$2:$O$2277=A34)*(Data!$M$2:$M$2277="Vladimir Zelenskiy")*ISNUMBER(Data!$N$2:$N$2277)*IF(ISNUMBER(Data!$U$2:$U$2277),Data!$U$2:$U$2277,0))+Formula!$C$29)),IF(F33&lt;&gt;"",F33,""))</f>
        <v>20.04159189</v>
      </c>
      <c r="G34" s="66">
        <f>IF(C34&lt;&gt;"",IF(OR(G33="",AND(ABS(IFERROR(SUMPRODUCT((Data!$O$2:$O$2277=A34)*(Data!$M$2:$M$2277="Valerii Zaluzhniy")*ISNUMBER(Data!$N$2:$N$2277)*IF(ISNUMBER(Data!$W$2:$W$2277),Data!$W$2:$W$2277,0)*IF(ISNUMBER(Data!$U$2:$U$2277),Data!$U$2:$U$2277,0))/SUMPRODUCT((Data!$O$2:$O$2277=A34)*(Data!$M$2:$M$2277="Valerii Zaluzhniy")*ISNUMBER(Data!$N$2:$N$2277)*IF(ISNUMBER(Data!$U$2:$U$2277),Data!$U$2:$U$2277,0)),0)-IF(G33="",0,G33))&gt;Formula!$C$30,SUMPRODUCT((Data!$O$2:$O$2277=A34)*(Data!$M$2:$M$2277="Valerii Zaluzhniy")*ISNUMBER(Data!$N$2:$N$2277)*IF(ISNUMBER(Data!$U$2:$U$2277),Data!$U$2:$U$2277,0))&gt;=Formula!$C$31)),C34,(SUMPRODUCT((Data!$O$2:$O$2277=A34)*(Data!$M$2:$M$2277="Valerii Zaluzhniy")*ISNUMBER(Data!$N$2:$N$2277)*IF(ISNUMBER(Data!$W$2:$W$2277),Data!$W$2:$W$2277,0)*IF(ISNUMBER(Data!$U$2:$U$2277),Data!$U$2:$U$2277,0))+Formula!$C$29*G33)/(SUMPRODUCT((Data!$O$2:$O$2277=A34)*(Data!$M$2:$M$2277="Valerii Zaluzhniy")*ISNUMBER(Data!$N$2:$N$2277)*IF(ISNUMBER(Data!$U$2:$U$2277),Data!$U$2:$U$2277,0))+Formula!$C$29)),IF(G33&lt;&gt;"",G33,""))</f>
        <v>31.44531066</v>
      </c>
      <c r="H34" s="66">
        <f>IF(D34&lt;&gt;"",IF(OR(H33="",AND(ABS(IFERROR(SUMPRODUCT((Data!$O$2:$O$2277=A34)*(Data!$M$2:$M$2277="Kyrylo Budanov")*ISNUMBER(Data!$N$2:$N$2277)*IF(ISNUMBER(Data!$W$2:$W$2277),Data!$W$2:$W$2277,0)*IF(ISNUMBER(Data!$U$2:$U$2277),Data!$U$2:$U$2277,0))/SUMPRODUCT((Data!$O$2:$O$2277=A34)*(Data!$M$2:$M$2277="Kyrylo Budanov")*ISNUMBER(Data!$N$2:$N$2277)*IF(ISNUMBER(Data!$U$2:$U$2277),Data!$U$2:$U$2277,0)),0)-IF(H33="",0,H33))&gt;Formula!$C$30,SUMPRODUCT((Data!$O$2:$O$2277=A34)*(Data!$M$2:$M$2277="Kyrylo Budanov")*ISNUMBER(Data!$N$2:$N$2277)*IF(ISNUMBER(Data!$U$2:$U$2277),Data!$U$2:$U$2277,0))&gt;=Formula!$C$31)),D34,(SUMPRODUCT((Data!$O$2:$O$2277=A34)*(Data!$M$2:$M$2277="Kyrylo Budanov")*ISNUMBER(Data!$N$2:$N$2277)*IF(ISNUMBER(Data!$W$2:$W$2277),Data!$W$2:$W$2277,0)*IF(ISNUMBER(Data!$U$2:$U$2277),Data!$U$2:$U$2277,0))+Formula!$C$29*H33)/(SUMPRODUCT((Data!$O$2:$O$2277=A34)*(Data!$M$2:$M$2277="Kyrylo Budanov")*ISNUMBER(Data!$N$2:$N$2277)*IF(ISNUMBER(Data!$U$2:$U$2277),Data!$U$2:$U$2277,0))+Formula!$C$29)),IF(H33&lt;&gt;"",H33,""))</f>
        <v>3.507413551</v>
      </c>
      <c r="I34" s="66">
        <f>IF(E34&lt;&gt;"",IF(OR(I33="",AND(ABS(IFERROR(SUMPRODUCT((Data!$O$2:$O$2277=A34)*(Data!$M$2:$M$2277="Pyotr Poroshenko")*ISNUMBER(Data!$N$2:$N$2277)*IF(ISNUMBER(Data!$W$2:$W$2277),Data!$W$2:$W$2277,0)*IF(ISNUMBER(Data!$U$2:$U$2277),Data!$U$2:$U$2277,0))/SUMPRODUCT((Data!$O$2:$O$2277=A34)*(Data!$M$2:$M$2277="Pyotr Poroshenko")*ISNUMBER(Data!$N$2:$N$2277)*IF(ISNUMBER(Data!$U$2:$U$2277),Data!$U$2:$U$2277,0)),0)-IF(I33="",0,I33))&gt;Formula!$C$30,SUMPRODUCT((Data!$O$2:$O$2277=A34)*(Data!$M$2:$M$2277="Pyotr Poroshenko")*ISNUMBER(Data!$N$2:$N$2277)*IF(ISNUMBER(Data!$U$2:$U$2277),Data!$U$2:$U$2277,0))&gt;=Formula!$C$31)),E34,(SUMPRODUCT((Data!$O$2:$O$2277=A34)*(Data!$M$2:$M$2277="Pyotr Poroshenko")*ISNUMBER(Data!$N$2:$N$2277)*IF(ISNUMBER(Data!$W$2:$W$2277),Data!$W$2:$W$2277,0)*IF(ISNUMBER(Data!$U$2:$U$2277),Data!$U$2:$U$2277,0))+Formula!$C$29*I33)/(SUMPRODUCT((Data!$O$2:$O$2277=A34)*(Data!$M$2:$M$2277="Pyotr Poroshenko")*ISNUMBER(Data!$N$2:$N$2277)*IF(ISNUMBER(Data!$U$2:$U$2277),Data!$U$2:$U$2277,0))+Formula!$C$29)),IF(I33&lt;&gt;"",I33,""))</f>
        <v>8.511250064</v>
      </c>
      <c r="L34" s="67">
        <f t="shared" ref="L34:O34" si="36">IFERROR((IF(F32&lt;&gt;"",F32*1,0)+IF(F33&lt;&gt;"",F33*2,0)+IF(F34&lt;&gt;"",F34*3,0))/(IF(F32&lt;&gt;"",1,0)+IF(F33&lt;&gt;"",2,0)+IF(F34&lt;&gt;"",3,0)),"")</f>
        <v>20.49760677</v>
      </c>
      <c r="M34" s="67">
        <f t="shared" si="36"/>
        <v>31.22260028</v>
      </c>
      <c r="N34" s="67">
        <f t="shared" si="36"/>
        <v>2.432550102</v>
      </c>
      <c r="O34" s="67">
        <f t="shared" si="36"/>
        <v>8.541001304</v>
      </c>
    </row>
    <row r="35" ht="12.75" customHeight="1">
      <c r="A35" s="68">
        <v>45627.0</v>
      </c>
      <c r="B35" s="69" t="str">
        <f>IFERROR(IF(SUMPRODUCT((Data!$O$2:$O$2277=A35)*(Data!$M$2:$M$2277="Vladimir Zelenskiy")*ISNUMBER(Data!$N$2:$N$2277)*IF(ISNUMBER(Data!$U$2:$U$2277),Data!$U$2:$U$2277,0))&gt;0,SUMPRODUCT((Data!$O$2:$O$2277=A35)*(Data!$M$2:$M$2277="Vladimir Zelenskiy")*ISNUMBER(Data!$N$2:$N$2277)*IF(ISNUMBER(Data!$W$2:$W$2277),Data!$W$2:$W$2277,0)*IF(ISNUMBER(Data!$U$2:$U$2277),Data!$U$2:$U$2277,0))/SUMPRODUCT((Data!$O$2:$O$2277=A35)*(Data!$M$2:$M$2277="Vladimir Zelenskiy")*ISNUMBER(Data!$N$2:$N$2277)*IF(ISNUMBER(Data!$U$2:$U$2277),Data!$U$2:$U$2277,0)),""),"")</f>
        <v/>
      </c>
      <c r="C35" s="69" t="str">
        <f>IFERROR(IF(SUMPRODUCT((Data!$O$2:$O$2277=A35)*(Data!$M$2:$M$2277="Valerii Zaluzhniy")*ISNUMBER(Data!$N$2:$N$2277)*IF(ISNUMBER(Data!$U$2:$U$2277),Data!$U$2:$U$2277,0))&gt;0,SUMPRODUCT((Data!$O$2:$O$2277=A35)*(Data!$M$2:$M$2277="Valerii Zaluzhniy")*ISNUMBER(Data!$N$2:$N$2277)*IF(ISNUMBER(Data!$W$2:$W$2277),Data!$W$2:$W$2277,0)*IF(ISNUMBER(Data!$U$2:$U$2277),Data!$U$2:$U$2277,0))/SUMPRODUCT((Data!$O$2:$O$2277=A35)*(Data!$M$2:$M$2277="Valerii Zaluzhniy")*ISNUMBER(Data!$N$2:$N$2277)*IF(ISNUMBER(Data!$U$2:$U$2277),Data!$U$2:$U$2277,0)),""),"")</f>
        <v/>
      </c>
      <c r="D35" s="69" t="str">
        <f>IFERROR(IF(SUMPRODUCT((Data!$O$2:$O$2277=A35)*(Data!$M$2:$M$2277="Kyrylo Budanov")*ISNUMBER(Data!$N$2:$N$2277)*IF(ISNUMBER(Data!$U$2:$U$2277),Data!$U$2:$U$2277,0))&gt;0,SUMPRODUCT((Data!$O$2:$O$2277=A35)*(Data!$M$2:$M$2277="Kyrylo Budanov")*ISNUMBER(Data!$N$2:$N$2277)*IF(ISNUMBER(Data!$W$2:$W$2277),Data!$W$2:$W$2277,0)*IF(ISNUMBER(Data!$U$2:$U$2277),Data!$U$2:$U$2277,0))/SUMPRODUCT((Data!$O$2:$O$2277=A35)*(Data!$M$2:$M$2277="Kyrylo Budanov")*ISNUMBER(Data!$N$2:$N$2277)*IF(ISNUMBER(Data!$U$2:$U$2277),Data!$U$2:$U$2277,0)),""),"")</f>
        <v/>
      </c>
      <c r="E35" s="69" t="str">
        <f>IFERROR(IF(SUMPRODUCT((Data!$O$2:$O$2277=A35)*(Data!$M$2:$M$2277="Pyotr Poroshenko")*ISNUMBER(Data!$N$2:$N$2277)*IF(ISNUMBER(Data!$U$2:$U$2277),Data!$U$2:$U$2277,0))&gt;0,SUMPRODUCT((Data!$O$2:$O$2277=A35)*(Data!$M$2:$M$2277="Pyotr Poroshenko")*ISNUMBER(Data!$N$2:$N$2277)*IF(ISNUMBER(Data!$W$2:$W$2277),Data!$W$2:$W$2277,0)*IF(ISNUMBER(Data!$U$2:$U$2277),Data!$U$2:$U$2277,0))/SUMPRODUCT((Data!$O$2:$O$2277=A35)*(Data!$M$2:$M$2277="Pyotr Poroshenko")*ISNUMBER(Data!$N$2:$N$2277)*IF(ISNUMBER(Data!$U$2:$U$2277),Data!$U$2:$U$2277,0)),""),"")</f>
        <v/>
      </c>
      <c r="F35" s="70">
        <f>IF(B35&lt;&gt;"",IF(OR(F34="",AND(ABS(IFERROR(SUMPRODUCT((Data!$O$2:$O$2277=A35)*(Data!$M$2:$M$2277="Vladimir Zelenskiy")*ISNUMBER(Data!$N$2:$N$2277)*IF(ISNUMBER(Data!$W$2:$W$2277),Data!$W$2:$W$2277,0)*IF(ISNUMBER(Data!$U$2:$U$2277),Data!$U$2:$U$2277,0))/SUMPRODUCT((Data!$O$2:$O$2277=A35)*(Data!$M$2:$M$2277="Vladimir Zelenskiy")*ISNUMBER(Data!$N$2:$N$2277)*IF(ISNUMBER(Data!$U$2:$U$2277),Data!$U$2:$U$2277,0)),0)-IF(F34="",0,F34))&gt;Formula!$C$30,SUMPRODUCT((Data!$O$2:$O$2277=A35)*(Data!$M$2:$M$2277="Vladimir Zelenskiy")*ISNUMBER(Data!$N$2:$N$2277)*IF(ISNUMBER(Data!$U$2:$U$2277),Data!$U$2:$U$2277,0))&gt;=Formula!$C$31)),B35,(SUMPRODUCT((Data!$O$2:$O$2277=A35)*(Data!$M$2:$M$2277="Vladimir Zelenskiy")*ISNUMBER(Data!$N$2:$N$2277)*IF(ISNUMBER(Data!$W$2:$W$2277),Data!$W$2:$W$2277,0)*IF(ISNUMBER(Data!$U$2:$U$2277),Data!$U$2:$U$2277,0))+Formula!$C$29*F34)/(SUMPRODUCT((Data!$O$2:$O$2277=A35)*(Data!$M$2:$M$2277="Vladimir Zelenskiy")*ISNUMBER(Data!$N$2:$N$2277)*IF(ISNUMBER(Data!$U$2:$U$2277),Data!$U$2:$U$2277,0))+Formula!$C$29)),IF(F34&lt;&gt;"",F34,""))</f>
        <v>20.04159189</v>
      </c>
      <c r="G35" s="70">
        <f>IF(C35&lt;&gt;"",IF(OR(G34="",AND(ABS(IFERROR(SUMPRODUCT((Data!$O$2:$O$2277=A35)*(Data!$M$2:$M$2277="Valerii Zaluzhniy")*ISNUMBER(Data!$N$2:$N$2277)*IF(ISNUMBER(Data!$W$2:$W$2277),Data!$W$2:$W$2277,0)*IF(ISNUMBER(Data!$U$2:$U$2277),Data!$U$2:$U$2277,0))/SUMPRODUCT((Data!$O$2:$O$2277=A35)*(Data!$M$2:$M$2277="Valerii Zaluzhniy")*ISNUMBER(Data!$N$2:$N$2277)*IF(ISNUMBER(Data!$U$2:$U$2277),Data!$U$2:$U$2277,0)),0)-IF(G34="",0,G34))&gt;Formula!$C$30,SUMPRODUCT((Data!$O$2:$O$2277=A35)*(Data!$M$2:$M$2277="Valerii Zaluzhniy")*ISNUMBER(Data!$N$2:$N$2277)*IF(ISNUMBER(Data!$U$2:$U$2277),Data!$U$2:$U$2277,0))&gt;=Formula!$C$31)),C35,(SUMPRODUCT((Data!$O$2:$O$2277=A35)*(Data!$M$2:$M$2277="Valerii Zaluzhniy")*ISNUMBER(Data!$N$2:$N$2277)*IF(ISNUMBER(Data!$W$2:$W$2277),Data!$W$2:$W$2277,0)*IF(ISNUMBER(Data!$U$2:$U$2277),Data!$U$2:$U$2277,0))+Formula!$C$29*G34)/(SUMPRODUCT((Data!$O$2:$O$2277=A35)*(Data!$M$2:$M$2277="Valerii Zaluzhniy")*ISNUMBER(Data!$N$2:$N$2277)*IF(ISNUMBER(Data!$U$2:$U$2277),Data!$U$2:$U$2277,0))+Formula!$C$29)),IF(G34&lt;&gt;"",G34,""))</f>
        <v>31.44531066</v>
      </c>
      <c r="H35" s="70">
        <f>IF(D35&lt;&gt;"",IF(OR(H34="",AND(ABS(IFERROR(SUMPRODUCT((Data!$O$2:$O$2277=A35)*(Data!$M$2:$M$2277="Kyrylo Budanov")*ISNUMBER(Data!$N$2:$N$2277)*IF(ISNUMBER(Data!$W$2:$W$2277),Data!$W$2:$W$2277,0)*IF(ISNUMBER(Data!$U$2:$U$2277),Data!$U$2:$U$2277,0))/SUMPRODUCT((Data!$O$2:$O$2277=A35)*(Data!$M$2:$M$2277="Kyrylo Budanov")*ISNUMBER(Data!$N$2:$N$2277)*IF(ISNUMBER(Data!$U$2:$U$2277),Data!$U$2:$U$2277,0)),0)-IF(H34="",0,H34))&gt;Formula!$C$30,SUMPRODUCT((Data!$O$2:$O$2277=A35)*(Data!$M$2:$M$2277="Kyrylo Budanov")*ISNUMBER(Data!$N$2:$N$2277)*IF(ISNUMBER(Data!$U$2:$U$2277),Data!$U$2:$U$2277,0))&gt;=Formula!$C$31)),D35,(SUMPRODUCT((Data!$O$2:$O$2277=A35)*(Data!$M$2:$M$2277="Kyrylo Budanov")*ISNUMBER(Data!$N$2:$N$2277)*IF(ISNUMBER(Data!$W$2:$W$2277),Data!$W$2:$W$2277,0)*IF(ISNUMBER(Data!$U$2:$U$2277),Data!$U$2:$U$2277,0))+Formula!$C$29*H34)/(SUMPRODUCT((Data!$O$2:$O$2277=A35)*(Data!$M$2:$M$2277="Kyrylo Budanov")*ISNUMBER(Data!$N$2:$N$2277)*IF(ISNUMBER(Data!$U$2:$U$2277),Data!$U$2:$U$2277,0))+Formula!$C$29)),IF(H34&lt;&gt;"",H34,""))</f>
        <v>3.507413551</v>
      </c>
      <c r="I35" s="70">
        <f>IF(E35&lt;&gt;"",IF(OR(I34="",AND(ABS(IFERROR(SUMPRODUCT((Data!$O$2:$O$2277=A35)*(Data!$M$2:$M$2277="Pyotr Poroshenko")*ISNUMBER(Data!$N$2:$N$2277)*IF(ISNUMBER(Data!$W$2:$W$2277),Data!$W$2:$W$2277,0)*IF(ISNUMBER(Data!$U$2:$U$2277),Data!$U$2:$U$2277,0))/SUMPRODUCT((Data!$O$2:$O$2277=A35)*(Data!$M$2:$M$2277="Pyotr Poroshenko")*ISNUMBER(Data!$N$2:$N$2277)*IF(ISNUMBER(Data!$U$2:$U$2277),Data!$U$2:$U$2277,0)),0)-IF(I34="",0,I34))&gt;Formula!$C$30,SUMPRODUCT((Data!$O$2:$O$2277=A35)*(Data!$M$2:$M$2277="Pyotr Poroshenko")*ISNUMBER(Data!$N$2:$N$2277)*IF(ISNUMBER(Data!$U$2:$U$2277),Data!$U$2:$U$2277,0))&gt;=Formula!$C$31)),E35,(SUMPRODUCT((Data!$O$2:$O$2277=A35)*(Data!$M$2:$M$2277="Pyotr Poroshenko")*ISNUMBER(Data!$N$2:$N$2277)*IF(ISNUMBER(Data!$W$2:$W$2277),Data!$W$2:$W$2277,0)*IF(ISNUMBER(Data!$U$2:$U$2277),Data!$U$2:$U$2277,0))+Formula!$C$29*I34)/(SUMPRODUCT((Data!$O$2:$O$2277=A35)*(Data!$M$2:$M$2277="Pyotr Poroshenko")*ISNUMBER(Data!$N$2:$N$2277)*IF(ISNUMBER(Data!$U$2:$U$2277),Data!$U$2:$U$2277,0))+Formula!$C$29)),IF(I34&lt;&gt;"",I34,""))</f>
        <v>8.511250064</v>
      </c>
      <c r="L35" s="71">
        <f t="shared" ref="L35:O35" si="37">IFERROR((IF(F33&lt;&gt;"",F33*1,0)+IF(F34&lt;&gt;"",F34*2,0)+IF(F35&lt;&gt;"",F35*3,0))/(IF(F33&lt;&gt;"",1,0)+IF(F34&lt;&gt;"",2,0)+IF(F35&lt;&gt;"",3,0)),"")</f>
        <v>20.12414431</v>
      </c>
      <c r="M35" s="71">
        <f t="shared" si="37"/>
        <v>31.37107386</v>
      </c>
      <c r="N35" s="71">
        <f t="shared" si="37"/>
        <v>3.17796296</v>
      </c>
      <c r="O35" s="71">
        <f t="shared" si="37"/>
        <v>8.524262652</v>
      </c>
    </row>
    <row r="36" ht="12.75" customHeight="1">
      <c r="A36" s="64">
        <v>45658.0</v>
      </c>
      <c r="B36" s="65">
        <f>IFERROR(IF(SUMPRODUCT((Data!$O$2:$O$2277=A36)*(Data!$M$2:$M$2277="Vladimir Zelenskiy")*ISNUMBER(Data!$N$2:$N$2277)*IF(ISNUMBER(Data!$U$2:$U$2277),Data!$U$2:$U$2277,0))&gt;0,SUMPRODUCT((Data!$O$2:$O$2277=A36)*(Data!$M$2:$M$2277="Vladimir Zelenskiy")*ISNUMBER(Data!$N$2:$N$2277)*IF(ISNUMBER(Data!$W$2:$W$2277),Data!$W$2:$W$2277,0)*IF(ISNUMBER(Data!$U$2:$U$2277),Data!$U$2:$U$2277,0))/SUMPRODUCT((Data!$O$2:$O$2277=A36)*(Data!$M$2:$M$2277="Vladimir Zelenskiy")*ISNUMBER(Data!$N$2:$N$2277)*IF(ISNUMBER(Data!$U$2:$U$2277),Data!$U$2:$U$2277,0)),""),"")</f>
        <v>21.74959571</v>
      </c>
      <c r="C36" s="65">
        <f>IFERROR(IF(SUMPRODUCT((Data!$O$2:$O$2277=A36)*(Data!$M$2:$M$2277="Valerii Zaluzhniy")*ISNUMBER(Data!$N$2:$N$2277)*IF(ISNUMBER(Data!$U$2:$U$2277),Data!$U$2:$U$2277,0))&gt;0,SUMPRODUCT((Data!$O$2:$O$2277=A36)*(Data!$M$2:$M$2277="Valerii Zaluzhniy")*ISNUMBER(Data!$N$2:$N$2277)*IF(ISNUMBER(Data!$W$2:$W$2277),Data!$W$2:$W$2277,0)*IF(ISNUMBER(Data!$U$2:$U$2277),Data!$U$2:$U$2277,0))/SUMPRODUCT((Data!$O$2:$O$2277=A36)*(Data!$M$2:$M$2277="Valerii Zaluzhniy")*ISNUMBER(Data!$N$2:$N$2277)*IF(ISNUMBER(Data!$U$2:$U$2277),Data!$U$2:$U$2277,0)),""),"")</f>
        <v>32.67941616</v>
      </c>
      <c r="D36" s="65">
        <f>IFERROR(IF(SUMPRODUCT((Data!$O$2:$O$2277=A36)*(Data!$M$2:$M$2277="Kyrylo Budanov")*ISNUMBER(Data!$N$2:$N$2277)*IF(ISNUMBER(Data!$U$2:$U$2277),Data!$U$2:$U$2277,0))&gt;0,SUMPRODUCT((Data!$O$2:$O$2277=A36)*(Data!$M$2:$M$2277="Kyrylo Budanov")*ISNUMBER(Data!$N$2:$N$2277)*IF(ISNUMBER(Data!$W$2:$W$2277),Data!$W$2:$W$2277,0)*IF(ISNUMBER(Data!$U$2:$U$2277),Data!$U$2:$U$2277,0))/SUMPRODUCT((Data!$O$2:$O$2277=A36)*(Data!$M$2:$M$2277="Kyrylo Budanov")*ISNUMBER(Data!$N$2:$N$2277)*IF(ISNUMBER(Data!$U$2:$U$2277),Data!$U$2:$U$2277,0)),""),"")</f>
        <v>2.044783196</v>
      </c>
      <c r="E36" s="65">
        <f>IFERROR(IF(SUMPRODUCT((Data!$O$2:$O$2277=A36)*(Data!$M$2:$M$2277="Pyotr Poroshenko")*ISNUMBER(Data!$N$2:$N$2277)*IF(ISNUMBER(Data!$U$2:$U$2277),Data!$U$2:$U$2277,0))&gt;0,SUMPRODUCT((Data!$O$2:$O$2277=A36)*(Data!$M$2:$M$2277="Pyotr Poroshenko")*ISNUMBER(Data!$N$2:$N$2277)*IF(ISNUMBER(Data!$W$2:$W$2277),Data!$W$2:$W$2277,0)*IF(ISNUMBER(Data!$U$2:$U$2277),Data!$U$2:$U$2277,0))/SUMPRODUCT((Data!$O$2:$O$2277=A36)*(Data!$M$2:$M$2277="Pyotr Poroshenko")*ISNUMBER(Data!$N$2:$N$2277)*IF(ISNUMBER(Data!$U$2:$U$2277),Data!$U$2:$U$2277,0)),""),"")</f>
        <v>9.009126666</v>
      </c>
      <c r="F36" s="66">
        <f>IF(B36&lt;&gt;"",IF(OR(F35="",AND(ABS(IFERROR(SUMPRODUCT((Data!$O$2:$O$2277=A36)*(Data!$M$2:$M$2277="Vladimir Zelenskiy")*ISNUMBER(Data!$N$2:$N$2277)*IF(ISNUMBER(Data!$W$2:$W$2277),Data!$W$2:$W$2277,0)*IF(ISNUMBER(Data!$U$2:$U$2277),Data!$U$2:$U$2277,0))/SUMPRODUCT((Data!$O$2:$O$2277=A36)*(Data!$M$2:$M$2277="Vladimir Zelenskiy")*ISNUMBER(Data!$N$2:$N$2277)*IF(ISNUMBER(Data!$U$2:$U$2277),Data!$U$2:$U$2277,0)),0)-IF(F35="",0,F35))&gt;Formula!$C$30,SUMPRODUCT((Data!$O$2:$O$2277=A36)*(Data!$M$2:$M$2277="Vladimir Zelenskiy")*ISNUMBER(Data!$N$2:$N$2277)*IF(ISNUMBER(Data!$U$2:$U$2277),Data!$U$2:$U$2277,0))&gt;=Formula!$C$31)),B36,(SUMPRODUCT((Data!$O$2:$O$2277=A36)*(Data!$M$2:$M$2277="Vladimir Zelenskiy")*ISNUMBER(Data!$N$2:$N$2277)*IF(ISNUMBER(Data!$W$2:$W$2277),Data!$W$2:$W$2277,0)*IF(ISNUMBER(Data!$U$2:$U$2277),Data!$U$2:$U$2277,0))+Formula!$C$29*F35)/(SUMPRODUCT((Data!$O$2:$O$2277=A36)*(Data!$M$2:$M$2277="Vladimir Zelenskiy")*ISNUMBER(Data!$N$2:$N$2277)*IF(ISNUMBER(Data!$U$2:$U$2277),Data!$U$2:$U$2277,0))+Formula!$C$29)),IF(F35&lt;&gt;"",F35,""))</f>
        <v>21.07719222</v>
      </c>
      <c r="G36" s="66">
        <f>IF(C36&lt;&gt;"",IF(OR(G35="",AND(ABS(IFERROR(SUMPRODUCT((Data!$O$2:$O$2277=A36)*(Data!$M$2:$M$2277="Valerii Zaluzhniy")*ISNUMBER(Data!$N$2:$N$2277)*IF(ISNUMBER(Data!$W$2:$W$2277),Data!$W$2:$W$2277,0)*IF(ISNUMBER(Data!$U$2:$U$2277),Data!$U$2:$U$2277,0))/SUMPRODUCT((Data!$O$2:$O$2277=A36)*(Data!$M$2:$M$2277="Valerii Zaluzhniy")*ISNUMBER(Data!$N$2:$N$2277)*IF(ISNUMBER(Data!$U$2:$U$2277),Data!$U$2:$U$2277,0)),0)-IF(G35="",0,G35))&gt;Formula!$C$30,SUMPRODUCT((Data!$O$2:$O$2277=A36)*(Data!$M$2:$M$2277="Valerii Zaluzhniy")*ISNUMBER(Data!$N$2:$N$2277)*IF(ISNUMBER(Data!$U$2:$U$2277),Data!$U$2:$U$2277,0))&gt;=Formula!$C$31)),C36,(SUMPRODUCT((Data!$O$2:$O$2277=A36)*(Data!$M$2:$M$2277="Valerii Zaluzhniy")*ISNUMBER(Data!$N$2:$N$2277)*IF(ISNUMBER(Data!$W$2:$W$2277),Data!$W$2:$W$2277,0)*IF(ISNUMBER(Data!$U$2:$U$2277),Data!$U$2:$U$2277,0))+Formula!$C$29*G35)/(SUMPRODUCT((Data!$O$2:$O$2277=A36)*(Data!$M$2:$M$2277="Valerii Zaluzhniy")*ISNUMBER(Data!$N$2:$N$2277)*IF(ISNUMBER(Data!$U$2:$U$2277),Data!$U$2:$U$2277,0))+Formula!$C$29)),IF(G35&lt;&gt;"",G35,""))</f>
        <v>32.193576</v>
      </c>
      <c r="H36" s="66">
        <f>IF(D36&lt;&gt;"",IF(OR(H35="",AND(ABS(IFERROR(SUMPRODUCT((Data!$O$2:$O$2277=A36)*(Data!$M$2:$M$2277="Kyrylo Budanov")*ISNUMBER(Data!$N$2:$N$2277)*IF(ISNUMBER(Data!$W$2:$W$2277),Data!$W$2:$W$2277,0)*IF(ISNUMBER(Data!$U$2:$U$2277),Data!$U$2:$U$2277,0))/SUMPRODUCT((Data!$O$2:$O$2277=A36)*(Data!$M$2:$M$2277="Kyrylo Budanov")*ISNUMBER(Data!$N$2:$N$2277)*IF(ISNUMBER(Data!$U$2:$U$2277),Data!$U$2:$U$2277,0)),0)-IF(H35="",0,H35))&gt;Formula!$C$30,SUMPRODUCT((Data!$O$2:$O$2277=A36)*(Data!$M$2:$M$2277="Kyrylo Budanov")*ISNUMBER(Data!$N$2:$N$2277)*IF(ISNUMBER(Data!$U$2:$U$2277),Data!$U$2:$U$2277,0))&gt;=Formula!$C$31)),D36,(SUMPRODUCT((Data!$O$2:$O$2277=A36)*(Data!$M$2:$M$2277="Kyrylo Budanov")*ISNUMBER(Data!$N$2:$N$2277)*IF(ISNUMBER(Data!$W$2:$W$2277),Data!$W$2:$W$2277,0)*IF(ISNUMBER(Data!$U$2:$U$2277),Data!$U$2:$U$2277,0))+Formula!$C$29*H35)/(SUMPRODUCT((Data!$O$2:$O$2277=A36)*(Data!$M$2:$M$2277="Kyrylo Budanov")*ISNUMBER(Data!$N$2:$N$2277)*IF(ISNUMBER(Data!$U$2:$U$2277),Data!$U$2:$U$2277,0))+Formula!$C$29)),IF(H35&lt;&gt;"",H35,""))</f>
        <v>2.62058856</v>
      </c>
      <c r="I36" s="66">
        <f>IF(E36&lt;&gt;"",IF(OR(I35="",AND(ABS(IFERROR(SUMPRODUCT((Data!$O$2:$O$2277=A36)*(Data!$M$2:$M$2277="Pyotr Poroshenko")*ISNUMBER(Data!$N$2:$N$2277)*IF(ISNUMBER(Data!$W$2:$W$2277),Data!$W$2:$W$2277,0)*IF(ISNUMBER(Data!$U$2:$U$2277),Data!$U$2:$U$2277,0))/SUMPRODUCT((Data!$O$2:$O$2277=A36)*(Data!$M$2:$M$2277="Pyotr Poroshenko")*ISNUMBER(Data!$N$2:$N$2277)*IF(ISNUMBER(Data!$U$2:$U$2277),Data!$U$2:$U$2277,0)),0)-IF(I35="",0,I35))&gt;Formula!$C$30,SUMPRODUCT((Data!$O$2:$O$2277=A36)*(Data!$M$2:$M$2277="Pyotr Poroshenko")*ISNUMBER(Data!$N$2:$N$2277)*IF(ISNUMBER(Data!$U$2:$U$2277),Data!$U$2:$U$2277,0))&gt;=Formula!$C$31)),E36,(SUMPRODUCT((Data!$O$2:$O$2277=A36)*(Data!$M$2:$M$2277="Pyotr Poroshenko")*ISNUMBER(Data!$N$2:$N$2277)*IF(ISNUMBER(Data!$W$2:$W$2277),Data!$W$2:$W$2277,0)*IF(ISNUMBER(Data!$U$2:$U$2277),Data!$U$2:$U$2277,0))+Formula!$C$29*I35)/(SUMPRODUCT((Data!$O$2:$O$2277=A36)*(Data!$M$2:$M$2277="Pyotr Poroshenko")*ISNUMBER(Data!$N$2:$N$2277)*IF(ISNUMBER(Data!$U$2:$U$2277),Data!$U$2:$U$2277,0))+Formula!$C$29)),IF(I35&lt;&gt;"",I35,""))</f>
        <v>8.813123611</v>
      </c>
      <c r="L36" s="67">
        <f t="shared" ref="L36:O36" si="38">IFERROR((IF(F34&lt;&gt;"",F34*1,0)+IF(F35&lt;&gt;"",F35*2,0)+IF(F36&lt;&gt;"",F36*3,0))/(IF(F34&lt;&gt;"",1,0)+IF(F35&lt;&gt;"",2,0)+IF(F36&lt;&gt;"",3,0)),"")</f>
        <v>20.55939205</v>
      </c>
      <c r="M36" s="67">
        <f t="shared" si="38"/>
        <v>31.81944333</v>
      </c>
      <c r="N36" s="67">
        <f t="shared" si="38"/>
        <v>3.064001056</v>
      </c>
      <c r="O36" s="67">
        <f t="shared" si="38"/>
        <v>8.662186837</v>
      </c>
    </row>
    <row r="37" ht="12.75" customHeight="1">
      <c r="A37" s="68">
        <v>45689.0</v>
      </c>
      <c r="B37" s="69">
        <f>IFERROR(IF(SUMPRODUCT((Data!$O$2:$O$2277=A37)*(Data!$M$2:$M$2277="Vladimir Zelenskiy")*ISNUMBER(Data!$N$2:$N$2277)*IF(ISNUMBER(Data!$U$2:$U$2277),Data!$U$2:$U$2277,0))&gt;0,SUMPRODUCT((Data!$O$2:$O$2277=A37)*(Data!$M$2:$M$2277="Vladimir Zelenskiy")*ISNUMBER(Data!$N$2:$N$2277)*IF(ISNUMBER(Data!$W$2:$W$2277),Data!$W$2:$W$2277,0)*IF(ISNUMBER(Data!$U$2:$U$2277),Data!$U$2:$U$2277,0))/SUMPRODUCT((Data!$O$2:$O$2277=A37)*(Data!$M$2:$M$2277="Vladimir Zelenskiy")*ISNUMBER(Data!$N$2:$N$2277)*IF(ISNUMBER(Data!$U$2:$U$2277),Data!$U$2:$U$2277,0)),""),"")</f>
        <v>22.7070584</v>
      </c>
      <c r="C37" s="69">
        <f>IFERROR(IF(SUMPRODUCT((Data!$O$2:$O$2277=A37)*(Data!$M$2:$M$2277="Valerii Zaluzhniy")*ISNUMBER(Data!$N$2:$N$2277)*IF(ISNUMBER(Data!$U$2:$U$2277),Data!$U$2:$U$2277,0))&gt;0,SUMPRODUCT((Data!$O$2:$O$2277=A37)*(Data!$M$2:$M$2277="Valerii Zaluzhniy")*ISNUMBER(Data!$N$2:$N$2277)*IF(ISNUMBER(Data!$W$2:$W$2277),Data!$W$2:$W$2277,0)*IF(ISNUMBER(Data!$U$2:$U$2277),Data!$U$2:$U$2277,0))/SUMPRODUCT((Data!$O$2:$O$2277=A37)*(Data!$M$2:$M$2277="Valerii Zaluzhniy")*ISNUMBER(Data!$N$2:$N$2277)*IF(ISNUMBER(Data!$U$2:$U$2277),Data!$U$2:$U$2277,0)),""),"")</f>
        <v>37.4</v>
      </c>
      <c r="D37" s="69">
        <f>IFERROR(IF(SUMPRODUCT((Data!$O$2:$O$2277=A37)*(Data!$M$2:$M$2277="Kyrylo Budanov")*ISNUMBER(Data!$N$2:$N$2277)*IF(ISNUMBER(Data!$U$2:$U$2277),Data!$U$2:$U$2277,0))&gt;0,SUMPRODUCT((Data!$O$2:$O$2277=A37)*(Data!$M$2:$M$2277="Kyrylo Budanov")*ISNUMBER(Data!$N$2:$N$2277)*IF(ISNUMBER(Data!$W$2:$W$2277),Data!$W$2:$W$2277,0)*IF(ISNUMBER(Data!$U$2:$U$2277),Data!$U$2:$U$2277,0))/SUMPRODUCT((Data!$O$2:$O$2277=A37)*(Data!$M$2:$M$2277="Kyrylo Budanov")*ISNUMBER(Data!$N$2:$N$2277)*IF(ISNUMBER(Data!$U$2:$U$2277),Data!$U$2:$U$2277,0)),""),"")</f>
        <v>4.4</v>
      </c>
      <c r="E37" s="69">
        <f>IFERROR(IF(SUMPRODUCT((Data!$O$2:$O$2277=A37)*(Data!$M$2:$M$2277="Pyotr Poroshenko")*ISNUMBER(Data!$N$2:$N$2277)*IF(ISNUMBER(Data!$U$2:$U$2277),Data!$U$2:$U$2277,0))&gt;0,SUMPRODUCT((Data!$O$2:$O$2277=A37)*(Data!$M$2:$M$2277="Pyotr Poroshenko")*ISNUMBER(Data!$N$2:$N$2277)*IF(ISNUMBER(Data!$W$2:$W$2277),Data!$W$2:$W$2277,0)*IF(ISNUMBER(Data!$U$2:$U$2277),Data!$U$2:$U$2277,0))/SUMPRODUCT((Data!$O$2:$O$2277=A37)*(Data!$M$2:$M$2277="Pyotr Poroshenko")*ISNUMBER(Data!$N$2:$N$2277)*IF(ISNUMBER(Data!$U$2:$U$2277),Data!$U$2:$U$2277,0)),""),"")</f>
        <v>7.7</v>
      </c>
      <c r="F37" s="70">
        <f>IF(B37&lt;&gt;"",IF(OR(F36="",AND(ABS(IFERROR(SUMPRODUCT((Data!$O$2:$O$2277=A37)*(Data!$M$2:$M$2277="Vladimir Zelenskiy")*ISNUMBER(Data!$N$2:$N$2277)*IF(ISNUMBER(Data!$W$2:$W$2277),Data!$W$2:$W$2277,0)*IF(ISNUMBER(Data!$U$2:$U$2277),Data!$U$2:$U$2277,0))/SUMPRODUCT((Data!$O$2:$O$2277=A37)*(Data!$M$2:$M$2277="Vladimir Zelenskiy")*ISNUMBER(Data!$N$2:$N$2277)*IF(ISNUMBER(Data!$U$2:$U$2277),Data!$U$2:$U$2277,0)),0)-IF(F36="",0,F36))&gt;Formula!$C$30,SUMPRODUCT((Data!$O$2:$O$2277=A37)*(Data!$M$2:$M$2277="Vladimir Zelenskiy")*ISNUMBER(Data!$N$2:$N$2277)*IF(ISNUMBER(Data!$U$2:$U$2277),Data!$U$2:$U$2277,0))&gt;=Formula!$C$31)),B37,(SUMPRODUCT((Data!$O$2:$O$2277=A37)*(Data!$M$2:$M$2277="Vladimir Zelenskiy")*ISNUMBER(Data!$N$2:$N$2277)*IF(ISNUMBER(Data!$W$2:$W$2277),Data!$W$2:$W$2277,0)*IF(ISNUMBER(Data!$U$2:$U$2277),Data!$U$2:$U$2277,0))+Formula!$C$29*F36)/(SUMPRODUCT((Data!$O$2:$O$2277=A37)*(Data!$M$2:$M$2277="Vladimir Zelenskiy")*ISNUMBER(Data!$N$2:$N$2277)*IF(ISNUMBER(Data!$U$2:$U$2277),Data!$U$2:$U$2277,0))+Formula!$C$29)),IF(F36&lt;&gt;"",F36,""))</f>
        <v>22.09948837</v>
      </c>
      <c r="G37" s="70">
        <f>IF(C37&lt;&gt;"",IF(OR(G36="",AND(ABS(IFERROR(SUMPRODUCT((Data!$O$2:$O$2277=A37)*(Data!$M$2:$M$2277="Valerii Zaluzhniy")*ISNUMBER(Data!$N$2:$N$2277)*IF(ISNUMBER(Data!$W$2:$W$2277),Data!$W$2:$W$2277,0)*IF(ISNUMBER(Data!$U$2:$U$2277),Data!$U$2:$U$2277,0))/SUMPRODUCT((Data!$O$2:$O$2277=A37)*(Data!$M$2:$M$2277="Valerii Zaluzhniy")*ISNUMBER(Data!$N$2:$N$2277)*IF(ISNUMBER(Data!$U$2:$U$2277),Data!$U$2:$U$2277,0)),0)-IF(G36="",0,G36))&gt;Formula!$C$30,SUMPRODUCT((Data!$O$2:$O$2277=A37)*(Data!$M$2:$M$2277="Valerii Zaluzhniy")*ISNUMBER(Data!$N$2:$N$2277)*IF(ISNUMBER(Data!$U$2:$U$2277),Data!$U$2:$U$2277,0))&gt;=Formula!$C$31)),C37,(SUMPRODUCT((Data!$O$2:$O$2277=A37)*(Data!$M$2:$M$2277="Valerii Zaluzhniy")*ISNUMBER(Data!$N$2:$N$2277)*IF(ISNUMBER(Data!$W$2:$W$2277),Data!$W$2:$W$2277,0)*IF(ISNUMBER(Data!$U$2:$U$2277),Data!$U$2:$U$2277,0))+Formula!$C$29*G36)/(SUMPRODUCT((Data!$O$2:$O$2277=A37)*(Data!$M$2:$M$2277="Valerii Zaluzhniy")*ISNUMBER(Data!$N$2:$N$2277)*IF(ISNUMBER(Data!$U$2:$U$2277),Data!$U$2:$U$2277,0))+Formula!$C$29)),IF(G36&lt;&gt;"",G36,""))</f>
        <v>33.80463575</v>
      </c>
      <c r="H37" s="70">
        <f>IF(D37&lt;&gt;"",IF(OR(H36="",AND(ABS(IFERROR(SUMPRODUCT((Data!$O$2:$O$2277=A37)*(Data!$M$2:$M$2277="Kyrylo Budanov")*ISNUMBER(Data!$N$2:$N$2277)*IF(ISNUMBER(Data!$W$2:$W$2277),Data!$W$2:$W$2277,0)*IF(ISNUMBER(Data!$U$2:$U$2277),Data!$U$2:$U$2277,0))/SUMPRODUCT((Data!$O$2:$O$2277=A37)*(Data!$M$2:$M$2277="Kyrylo Budanov")*ISNUMBER(Data!$N$2:$N$2277)*IF(ISNUMBER(Data!$U$2:$U$2277),Data!$U$2:$U$2277,0)),0)-IF(H36="",0,H36))&gt;Formula!$C$30,SUMPRODUCT((Data!$O$2:$O$2277=A37)*(Data!$M$2:$M$2277="Kyrylo Budanov")*ISNUMBER(Data!$N$2:$N$2277)*IF(ISNUMBER(Data!$U$2:$U$2277),Data!$U$2:$U$2277,0))&gt;=Formula!$C$31)),D37,(SUMPRODUCT((Data!$O$2:$O$2277=A37)*(Data!$M$2:$M$2277="Kyrylo Budanov")*ISNUMBER(Data!$N$2:$N$2277)*IF(ISNUMBER(Data!$W$2:$W$2277),Data!$W$2:$W$2277,0)*IF(ISNUMBER(Data!$U$2:$U$2277),Data!$U$2:$U$2277,0))+Formula!$C$29*H36)/(SUMPRODUCT((Data!$O$2:$O$2277=A37)*(Data!$M$2:$M$2277="Kyrylo Budanov")*ISNUMBER(Data!$N$2:$N$2277)*IF(ISNUMBER(Data!$U$2:$U$2277),Data!$U$2:$U$2277,0))+Formula!$C$29)),IF(H36&lt;&gt;"",H36,""))</f>
        <v>3.171204136</v>
      </c>
      <c r="I37" s="70">
        <f>IF(E37&lt;&gt;"",IF(OR(I36="",AND(ABS(IFERROR(SUMPRODUCT((Data!$O$2:$O$2277=A37)*(Data!$M$2:$M$2277="Pyotr Poroshenko")*ISNUMBER(Data!$N$2:$N$2277)*IF(ISNUMBER(Data!$W$2:$W$2277),Data!$W$2:$W$2277,0)*IF(ISNUMBER(Data!$U$2:$U$2277),Data!$U$2:$U$2277,0))/SUMPRODUCT((Data!$O$2:$O$2277=A37)*(Data!$M$2:$M$2277="Pyotr Poroshenko")*ISNUMBER(Data!$N$2:$N$2277)*IF(ISNUMBER(Data!$U$2:$U$2277),Data!$U$2:$U$2277,0)),0)-IF(I36="",0,I36))&gt;Formula!$C$30,SUMPRODUCT((Data!$O$2:$O$2277=A37)*(Data!$M$2:$M$2277="Pyotr Poroshenko")*ISNUMBER(Data!$N$2:$N$2277)*IF(ISNUMBER(Data!$U$2:$U$2277),Data!$U$2:$U$2277,0))&gt;=Formula!$C$31)),E37,(SUMPRODUCT((Data!$O$2:$O$2277=A37)*(Data!$M$2:$M$2277="Pyotr Poroshenko")*ISNUMBER(Data!$N$2:$N$2277)*IF(ISNUMBER(Data!$W$2:$W$2277),Data!$W$2:$W$2277,0)*IF(ISNUMBER(Data!$U$2:$U$2277),Data!$U$2:$U$2277,0))+Formula!$C$29*I36)/(SUMPRODUCT((Data!$O$2:$O$2277=A37)*(Data!$M$2:$M$2277="Pyotr Poroshenko")*ISNUMBER(Data!$N$2:$N$2277)*IF(ISNUMBER(Data!$U$2:$U$2277),Data!$U$2:$U$2277,0))+Formula!$C$29)),IF(I36&lt;&gt;"",I36,""))</f>
        <v>8.468682081</v>
      </c>
      <c r="L37" s="71">
        <f t="shared" ref="L37:O37" si="39">IFERROR((IF(F35&lt;&gt;"",F35*1,0)+IF(F36&lt;&gt;"",F36*2,0)+IF(F37&lt;&gt;"",F37*3,0))/(IF(F35&lt;&gt;"",1,0)+IF(F36&lt;&gt;"",2,0)+IF(F37&lt;&gt;"",3,0)),"")</f>
        <v>21.41574024</v>
      </c>
      <c r="M37" s="71">
        <f t="shared" si="39"/>
        <v>32.87439499</v>
      </c>
      <c r="N37" s="71">
        <f t="shared" si="39"/>
        <v>3.043700513</v>
      </c>
      <c r="O37" s="71">
        <f t="shared" si="39"/>
        <v>8.590590588</v>
      </c>
    </row>
    <row r="38" ht="12.75" customHeight="1">
      <c r="A38" s="64">
        <v>45717.0</v>
      </c>
      <c r="B38" s="65">
        <f>IFERROR(IF(SUMPRODUCT((Data!$O$2:$O$2277=A38)*(Data!$M$2:$M$2277="Vladimir Zelenskiy")*ISNUMBER(Data!$N$2:$N$2277)*IF(ISNUMBER(Data!$U$2:$U$2277),Data!$U$2:$U$2277,0))&gt;0,SUMPRODUCT((Data!$O$2:$O$2277=A38)*(Data!$M$2:$M$2277="Vladimir Zelenskiy")*ISNUMBER(Data!$N$2:$N$2277)*IF(ISNUMBER(Data!$W$2:$W$2277),Data!$W$2:$W$2277,0)*IF(ISNUMBER(Data!$U$2:$U$2277),Data!$U$2:$U$2277,0))/SUMPRODUCT((Data!$O$2:$O$2277=A38)*(Data!$M$2:$M$2277="Vladimir Zelenskiy")*ISNUMBER(Data!$N$2:$N$2277)*IF(ISNUMBER(Data!$U$2:$U$2277),Data!$U$2:$U$2277,0)),""),"")</f>
        <v>35.24450791</v>
      </c>
      <c r="C38" s="65">
        <f>IFERROR(IF(SUMPRODUCT((Data!$O$2:$O$2277=A38)*(Data!$M$2:$M$2277="Valerii Zaluzhniy")*ISNUMBER(Data!$N$2:$N$2277)*IF(ISNUMBER(Data!$U$2:$U$2277),Data!$U$2:$U$2277,0))&gt;0,SUMPRODUCT((Data!$O$2:$O$2277=A38)*(Data!$M$2:$M$2277="Valerii Zaluzhniy")*ISNUMBER(Data!$N$2:$N$2277)*IF(ISNUMBER(Data!$W$2:$W$2277),Data!$W$2:$W$2277,0)*IF(ISNUMBER(Data!$U$2:$U$2277),Data!$U$2:$U$2277,0))/SUMPRODUCT((Data!$O$2:$O$2277=A38)*(Data!$M$2:$M$2277="Valerii Zaluzhniy")*ISNUMBER(Data!$N$2:$N$2277)*IF(ISNUMBER(Data!$U$2:$U$2277),Data!$U$2:$U$2277,0)),""),"")</f>
        <v>25.15008782</v>
      </c>
      <c r="D38" s="65">
        <f>IFERROR(IF(SUMPRODUCT((Data!$O$2:$O$2277=A38)*(Data!$M$2:$M$2277="Kyrylo Budanov")*ISNUMBER(Data!$N$2:$N$2277)*IF(ISNUMBER(Data!$U$2:$U$2277),Data!$U$2:$U$2277,0))&gt;0,SUMPRODUCT((Data!$O$2:$O$2277=A38)*(Data!$M$2:$M$2277="Kyrylo Budanov")*ISNUMBER(Data!$N$2:$N$2277)*IF(ISNUMBER(Data!$W$2:$W$2277),Data!$W$2:$W$2277,0)*IF(ISNUMBER(Data!$U$2:$U$2277),Data!$U$2:$U$2277,0))/SUMPRODUCT((Data!$O$2:$O$2277=A38)*(Data!$M$2:$M$2277="Kyrylo Budanov")*ISNUMBER(Data!$N$2:$N$2277)*IF(ISNUMBER(Data!$U$2:$U$2277),Data!$U$2:$U$2277,0)),""),"")</f>
        <v>2.88288946</v>
      </c>
      <c r="E38" s="65">
        <f>IFERROR(IF(SUMPRODUCT((Data!$O$2:$O$2277=A38)*(Data!$M$2:$M$2277="Pyotr Poroshenko")*ISNUMBER(Data!$N$2:$N$2277)*IF(ISNUMBER(Data!$U$2:$U$2277),Data!$U$2:$U$2277,0))&gt;0,SUMPRODUCT((Data!$O$2:$O$2277=A38)*(Data!$M$2:$M$2277="Pyotr Poroshenko")*ISNUMBER(Data!$N$2:$N$2277)*IF(ISNUMBER(Data!$W$2:$W$2277),Data!$W$2:$W$2277,0)*IF(ISNUMBER(Data!$U$2:$U$2277),Data!$U$2:$U$2277,0))/SUMPRODUCT((Data!$O$2:$O$2277=A38)*(Data!$M$2:$M$2277="Pyotr Poroshenko")*ISNUMBER(Data!$N$2:$N$2277)*IF(ISNUMBER(Data!$U$2:$U$2277),Data!$U$2:$U$2277,0)),""),"")</f>
        <v>5.28945328</v>
      </c>
      <c r="F38" s="66">
        <f>IF(B38&lt;&gt;"",IF(OR(F37="",AND(ABS(IFERROR(SUMPRODUCT((Data!$O$2:$O$2277=A38)*(Data!$M$2:$M$2277="Vladimir Zelenskiy")*ISNUMBER(Data!$N$2:$N$2277)*IF(ISNUMBER(Data!$W$2:$W$2277),Data!$W$2:$W$2277,0)*IF(ISNUMBER(Data!$U$2:$U$2277),Data!$U$2:$U$2277,0))/SUMPRODUCT((Data!$O$2:$O$2277=A38)*(Data!$M$2:$M$2277="Vladimir Zelenskiy")*ISNUMBER(Data!$N$2:$N$2277)*IF(ISNUMBER(Data!$U$2:$U$2277),Data!$U$2:$U$2277,0)),0)-IF(F37="",0,F37))&gt;Formula!$C$30,SUMPRODUCT((Data!$O$2:$O$2277=A38)*(Data!$M$2:$M$2277="Vladimir Zelenskiy")*ISNUMBER(Data!$N$2:$N$2277)*IF(ISNUMBER(Data!$U$2:$U$2277),Data!$U$2:$U$2277,0))&gt;=Formula!$C$31)),B38,(SUMPRODUCT((Data!$O$2:$O$2277=A38)*(Data!$M$2:$M$2277="Vladimir Zelenskiy")*ISNUMBER(Data!$N$2:$N$2277)*IF(ISNUMBER(Data!$W$2:$W$2277),Data!$W$2:$W$2277,0)*IF(ISNUMBER(Data!$U$2:$U$2277),Data!$U$2:$U$2277,0))+Formula!$C$29*F37)/(SUMPRODUCT((Data!$O$2:$O$2277=A38)*(Data!$M$2:$M$2277="Vladimir Zelenskiy")*ISNUMBER(Data!$N$2:$N$2277)*IF(ISNUMBER(Data!$U$2:$U$2277),Data!$U$2:$U$2277,0))+Formula!$C$29)),IF(F37&lt;&gt;"",F37,""))</f>
        <v>29.78792759</v>
      </c>
      <c r="G38" s="66">
        <f>IF(C38&lt;&gt;"",IF(OR(G37="",AND(ABS(IFERROR(SUMPRODUCT((Data!$O$2:$O$2277=A38)*(Data!$M$2:$M$2277="Valerii Zaluzhniy")*ISNUMBER(Data!$N$2:$N$2277)*IF(ISNUMBER(Data!$W$2:$W$2277),Data!$W$2:$W$2277,0)*IF(ISNUMBER(Data!$U$2:$U$2277),Data!$U$2:$U$2277,0))/SUMPRODUCT((Data!$O$2:$O$2277=A38)*(Data!$M$2:$M$2277="Valerii Zaluzhniy")*ISNUMBER(Data!$N$2:$N$2277)*IF(ISNUMBER(Data!$U$2:$U$2277),Data!$U$2:$U$2277,0)),0)-IF(G37="",0,G37))&gt;Formula!$C$30,SUMPRODUCT((Data!$O$2:$O$2277=A38)*(Data!$M$2:$M$2277="Valerii Zaluzhniy")*ISNUMBER(Data!$N$2:$N$2277)*IF(ISNUMBER(Data!$U$2:$U$2277),Data!$U$2:$U$2277,0))&gt;=Formula!$C$31)),C38,(SUMPRODUCT((Data!$O$2:$O$2277=A38)*(Data!$M$2:$M$2277="Valerii Zaluzhniy")*ISNUMBER(Data!$N$2:$N$2277)*IF(ISNUMBER(Data!$W$2:$W$2277),Data!$W$2:$W$2277,0)*IF(ISNUMBER(Data!$U$2:$U$2277),Data!$U$2:$U$2277,0))+Formula!$C$29*G37)/(SUMPRODUCT((Data!$O$2:$O$2277=A38)*(Data!$M$2:$M$2277="Valerii Zaluzhniy")*ISNUMBER(Data!$N$2:$N$2277)*IF(ISNUMBER(Data!$U$2:$U$2277),Data!$U$2:$U$2277,0))+Formula!$C$29)),IF(G37&lt;&gt;"",G37,""))</f>
        <v>28.74264512</v>
      </c>
      <c r="H38" s="66">
        <f>IF(D38&lt;&gt;"",IF(OR(H37="",AND(ABS(IFERROR(SUMPRODUCT((Data!$O$2:$O$2277=A38)*(Data!$M$2:$M$2277="Kyrylo Budanov")*ISNUMBER(Data!$N$2:$N$2277)*IF(ISNUMBER(Data!$W$2:$W$2277),Data!$W$2:$W$2277,0)*IF(ISNUMBER(Data!$U$2:$U$2277),Data!$U$2:$U$2277,0))/SUMPRODUCT((Data!$O$2:$O$2277=A38)*(Data!$M$2:$M$2277="Kyrylo Budanov")*ISNUMBER(Data!$N$2:$N$2277)*IF(ISNUMBER(Data!$U$2:$U$2277),Data!$U$2:$U$2277,0)),0)-IF(H37="",0,H37))&gt;Formula!$C$30,SUMPRODUCT((Data!$O$2:$O$2277=A38)*(Data!$M$2:$M$2277="Kyrylo Budanov")*ISNUMBER(Data!$N$2:$N$2277)*IF(ISNUMBER(Data!$U$2:$U$2277),Data!$U$2:$U$2277,0))&gt;=Formula!$C$31)),D38,(SUMPRODUCT((Data!$O$2:$O$2277=A38)*(Data!$M$2:$M$2277="Kyrylo Budanov")*ISNUMBER(Data!$N$2:$N$2277)*IF(ISNUMBER(Data!$W$2:$W$2277),Data!$W$2:$W$2277,0)*IF(ISNUMBER(Data!$U$2:$U$2277),Data!$U$2:$U$2277,0))+Formula!$C$29*H37)/(SUMPRODUCT((Data!$O$2:$O$2277=A38)*(Data!$M$2:$M$2277="Kyrylo Budanov")*ISNUMBER(Data!$N$2:$N$2277)*IF(ISNUMBER(Data!$U$2:$U$2277),Data!$U$2:$U$2277,0))+Formula!$C$29)),IF(H37&lt;&gt;"",H37,""))</f>
        <v>3.002570696</v>
      </c>
      <c r="I38" s="66">
        <f>IF(E38&lt;&gt;"",IF(OR(I37="",AND(ABS(IFERROR(SUMPRODUCT((Data!$O$2:$O$2277=A38)*(Data!$M$2:$M$2277="Pyotr Poroshenko")*ISNUMBER(Data!$N$2:$N$2277)*IF(ISNUMBER(Data!$W$2:$W$2277),Data!$W$2:$W$2277,0)*IF(ISNUMBER(Data!$U$2:$U$2277),Data!$U$2:$U$2277,0))/SUMPRODUCT((Data!$O$2:$O$2277=A38)*(Data!$M$2:$M$2277="Pyotr Poroshenko")*ISNUMBER(Data!$N$2:$N$2277)*IF(ISNUMBER(Data!$U$2:$U$2277),Data!$U$2:$U$2277,0)),0)-IF(I37="",0,I37))&gt;Formula!$C$30,SUMPRODUCT((Data!$O$2:$O$2277=A38)*(Data!$M$2:$M$2277="Pyotr Poroshenko")*ISNUMBER(Data!$N$2:$N$2277)*IF(ISNUMBER(Data!$U$2:$U$2277),Data!$U$2:$U$2277,0))&gt;=Formula!$C$31)),E38,(SUMPRODUCT((Data!$O$2:$O$2277=A38)*(Data!$M$2:$M$2277="Pyotr Poroshenko")*ISNUMBER(Data!$N$2:$N$2277)*IF(ISNUMBER(Data!$W$2:$W$2277),Data!$W$2:$W$2277,0)*IF(ISNUMBER(Data!$U$2:$U$2277),Data!$U$2:$U$2277,0))+Formula!$C$29*I37)/(SUMPRODUCT((Data!$O$2:$O$2277=A38)*(Data!$M$2:$M$2277="Pyotr Poroshenko")*ISNUMBER(Data!$N$2:$N$2277)*IF(ISNUMBER(Data!$U$2:$U$2277),Data!$U$2:$U$2277,0))+Formula!$C$29)),IF(I37&lt;&gt;"",I37,""))</f>
        <v>6.60917116</v>
      </c>
      <c r="L38" s="67">
        <f t="shared" ref="L38:O38" si="40">IFERROR((IF(F36&lt;&gt;"",F36*1,0)+IF(F37&lt;&gt;"",F37*2,0)+IF(F38&lt;&gt;"",F38*3,0))/(IF(F36&lt;&gt;"",1,0)+IF(F37&lt;&gt;"",2,0)+IF(F38&lt;&gt;"",3,0)),"")</f>
        <v>25.77332528</v>
      </c>
      <c r="M38" s="67">
        <f t="shared" si="40"/>
        <v>31.00513048</v>
      </c>
      <c r="N38" s="67">
        <f t="shared" si="40"/>
        <v>2.995118154</v>
      </c>
      <c r="O38" s="67">
        <f t="shared" si="40"/>
        <v>7.596333542</v>
      </c>
    </row>
    <row r="39" ht="12.75" customHeight="1">
      <c r="A39" s="68">
        <v>45748.0</v>
      </c>
      <c r="B39" s="69">
        <f>IFERROR(IF(SUMPRODUCT((Data!$O$2:$O$2277=A39)*(Data!$M$2:$M$2277="Vladimir Zelenskiy")*ISNUMBER(Data!$N$2:$N$2277)*IF(ISNUMBER(Data!$U$2:$U$2277),Data!$U$2:$U$2277,0))&gt;0,SUMPRODUCT((Data!$O$2:$O$2277=A39)*(Data!$M$2:$M$2277="Vladimir Zelenskiy")*ISNUMBER(Data!$N$2:$N$2277)*IF(ISNUMBER(Data!$W$2:$W$2277),Data!$W$2:$W$2277,0)*IF(ISNUMBER(Data!$U$2:$U$2277),Data!$U$2:$U$2277,0))/SUMPRODUCT((Data!$O$2:$O$2277=A39)*(Data!$M$2:$M$2277="Vladimir Zelenskiy")*ISNUMBER(Data!$N$2:$N$2277)*IF(ISNUMBER(Data!$U$2:$U$2277),Data!$U$2:$U$2277,0)),""),"")</f>
        <v>31.41025641</v>
      </c>
      <c r="C39" s="69">
        <f>IFERROR(IF(SUMPRODUCT((Data!$O$2:$O$2277=A39)*(Data!$M$2:$M$2277="Valerii Zaluzhniy")*ISNUMBER(Data!$N$2:$N$2277)*IF(ISNUMBER(Data!$U$2:$U$2277),Data!$U$2:$U$2277,0))&gt;0,SUMPRODUCT((Data!$O$2:$O$2277=A39)*(Data!$M$2:$M$2277="Valerii Zaluzhniy")*ISNUMBER(Data!$N$2:$N$2277)*IF(ISNUMBER(Data!$W$2:$W$2277),Data!$W$2:$W$2277,0)*IF(ISNUMBER(Data!$U$2:$U$2277),Data!$U$2:$U$2277,0))/SUMPRODUCT((Data!$O$2:$O$2277=A39)*(Data!$M$2:$M$2277="Valerii Zaluzhniy")*ISNUMBER(Data!$N$2:$N$2277)*IF(ISNUMBER(Data!$U$2:$U$2277),Data!$U$2:$U$2277,0)),""),"")</f>
        <v>23.07692308</v>
      </c>
      <c r="D39" s="69">
        <f>IFERROR(IF(SUMPRODUCT((Data!$O$2:$O$2277=A39)*(Data!$M$2:$M$2277="Kyrylo Budanov")*ISNUMBER(Data!$N$2:$N$2277)*IF(ISNUMBER(Data!$U$2:$U$2277),Data!$U$2:$U$2277,0))&gt;0,SUMPRODUCT((Data!$O$2:$O$2277=A39)*(Data!$M$2:$M$2277="Kyrylo Budanov")*ISNUMBER(Data!$N$2:$N$2277)*IF(ISNUMBER(Data!$W$2:$W$2277),Data!$W$2:$W$2277,0)*IF(ISNUMBER(Data!$U$2:$U$2277),Data!$U$2:$U$2277,0))/SUMPRODUCT((Data!$O$2:$O$2277=A39)*(Data!$M$2:$M$2277="Kyrylo Budanov")*ISNUMBER(Data!$N$2:$N$2277)*IF(ISNUMBER(Data!$U$2:$U$2277),Data!$U$2:$U$2277,0)),""),"")</f>
        <v>2.948717949</v>
      </c>
      <c r="E39" s="69">
        <f>IFERROR(IF(SUMPRODUCT((Data!$O$2:$O$2277=A39)*(Data!$M$2:$M$2277="Pyotr Poroshenko")*ISNUMBER(Data!$N$2:$N$2277)*IF(ISNUMBER(Data!$U$2:$U$2277),Data!$U$2:$U$2277,0))&gt;0,SUMPRODUCT((Data!$O$2:$O$2277=A39)*(Data!$M$2:$M$2277="Pyotr Poroshenko")*ISNUMBER(Data!$N$2:$N$2277)*IF(ISNUMBER(Data!$W$2:$W$2277),Data!$W$2:$W$2277,0)*IF(ISNUMBER(Data!$U$2:$U$2277),Data!$U$2:$U$2277,0))/SUMPRODUCT((Data!$O$2:$O$2277=A39)*(Data!$M$2:$M$2277="Pyotr Poroshenko")*ISNUMBER(Data!$N$2:$N$2277)*IF(ISNUMBER(Data!$U$2:$U$2277),Data!$U$2:$U$2277,0)),""),"")</f>
        <v>10.76923077</v>
      </c>
      <c r="F39" s="70">
        <f>IF(B39&lt;&gt;"",IF(OR(F38="",AND(ABS(IFERROR(SUMPRODUCT((Data!$O$2:$O$2277=A39)*(Data!$M$2:$M$2277="Vladimir Zelenskiy")*ISNUMBER(Data!$N$2:$N$2277)*IF(ISNUMBER(Data!$W$2:$W$2277),Data!$W$2:$W$2277,0)*IF(ISNUMBER(Data!$U$2:$U$2277),Data!$U$2:$U$2277,0))/SUMPRODUCT((Data!$O$2:$O$2277=A39)*(Data!$M$2:$M$2277="Vladimir Zelenskiy")*ISNUMBER(Data!$N$2:$N$2277)*IF(ISNUMBER(Data!$U$2:$U$2277),Data!$U$2:$U$2277,0)),0)-IF(F38="",0,F38))&gt;Formula!$C$30,SUMPRODUCT((Data!$O$2:$O$2277=A39)*(Data!$M$2:$M$2277="Vladimir Zelenskiy")*ISNUMBER(Data!$N$2:$N$2277)*IF(ISNUMBER(Data!$U$2:$U$2277),Data!$U$2:$U$2277,0))&gt;=Formula!$C$31)),B39,(SUMPRODUCT((Data!$O$2:$O$2277=A39)*(Data!$M$2:$M$2277="Vladimir Zelenskiy")*ISNUMBER(Data!$N$2:$N$2277)*IF(ISNUMBER(Data!$W$2:$W$2277),Data!$W$2:$W$2277,0)*IF(ISNUMBER(Data!$U$2:$U$2277),Data!$U$2:$U$2277,0))+Formula!$C$29*F38)/(SUMPRODUCT((Data!$O$2:$O$2277=A39)*(Data!$M$2:$M$2277="Vladimir Zelenskiy")*ISNUMBER(Data!$N$2:$N$2277)*IF(ISNUMBER(Data!$U$2:$U$2277),Data!$U$2:$U$2277,0))+Formula!$C$29)),IF(F38&lt;&gt;"",F38,""))</f>
        <v>30.4741722</v>
      </c>
      <c r="G39" s="70">
        <f>IF(C39&lt;&gt;"",IF(OR(G38="",AND(ABS(IFERROR(SUMPRODUCT((Data!$O$2:$O$2277=A39)*(Data!$M$2:$M$2277="Valerii Zaluzhniy")*ISNUMBER(Data!$N$2:$N$2277)*IF(ISNUMBER(Data!$W$2:$W$2277),Data!$W$2:$W$2277,0)*IF(ISNUMBER(Data!$U$2:$U$2277),Data!$U$2:$U$2277,0))/SUMPRODUCT((Data!$O$2:$O$2277=A39)*(Data!$M$2:$M$2277="Valerii Zaluzhniy")*ISNUMBER(Data!$N$2:$N$2277)*IF(ISNUMBER(Data!$U$2:$U$2277),Data!$U$2:$U$2277,0)),0)-IF(G38="",0,G38))&gt;Formula!$C$30,SUMPRODUCT((Data!$O$2:$O$2277=A39)*(Data!$M$2:$M$2277="Valerii Zaluzhniy")*ISNUMBER(Data!$N$2:$N$2277)*IF(ISNUMBER(Data!$U$2:$U$2277),Data!$U$2:$U$2277,0))&gt;=Formula!$C$31)),C39,(SUMPRODUCT((Data!$O$2:$O$2277=A39)*(Data!$M$2:$M$2277="Valerii Zaluzhniy")*ISNUMBER(Data!$N$2:$N$2277)*IF(ISNUMBER(Data!$W$2:$W$2277),Data!$W$2:$W$2277,0)*IF(ISNUMBER(Data!$U$2:$U$2277),Data!$U$2:$U$2277,0))+Formula!$C$29*G38)/(SUMPRODUCT((Data!$O$2:$O$2277=A39)*(Data!$M$2:$M$2277="Valerii Zaluzhniy")*ISNUMBER(Data!$N$2:$N$2277)*IF(ISNUMBER(Data!$U$2:$U$2277),Data!$U$2:$U$2277,0))+Formula!$C$29)),IF(G38&lt;&gt;"",G38,""))</f>
        <v>26.34604637</v>
      </c>
      <c r="H39" s="70">
        <f>IF(D39&lt;&gt;"",IF(OR(H38="",AND(ABS(IFERROR(SUMPRODUCT((Data!$O$2:$O$2277=A39)*(Data!$M$2:$M$2277="Kyrylo Budanov")*ISNUMBER(Data!$N$2:$N$2277)*IF(ISNUMBER(Data!$W$2:$W$2277),Data!$W$2:$W$2277,0)*IF(ISNUMBER(Data!$U$2:$U$2277),Data!$U$2:$U$2277,0))/SUMPRODUCT((Data!$O$2:$O$2277=A39)*(Data!$M$2:$M$2277="Kyrylo Budanov")*ISNUMBER(Data!$N$2:$N$2277)*IF(ISNUMBER(Data!$U$2:$U$2277),Data!$U$2:$U$2277,0)),0)-IF(H38="",0,H38))&gt;Formula!$C$30,SUMPRODUCT((Data!$O$2:$O$2277=A39)*(Data!$M$2:$M$2277="Kyrylo Budanov")*ISNUMBER(Data!$N$2:$N$2277)*IF(ISNUMBER(Data!$U$2:$U$2277),Data!$U$2:$U$2277,0))&gt;=Formula!$C$31)),D39,(SUMPRODUCT((Data!$O$2:$O$2277=A39)*(Data!$M$2:$M$2277="Kyrylo Budanov")*ISNUMBER(Data!$N$2:$N$2277)*IF(ISNUMBER(Data!$W$2:$W$2277),Data!$W$2:$W$2277,0)*IF(ISNUMBER(Data!$U$2:$U$2277),Data!$U$2:$U$2277,0))+Formula!$C$29*H38)/(SUMPRODUCT((Data!$O$2:$O$2277=A39)*(Data!$M$2:$M$2277="Kyrylo Budanov")*ISNUMBER(Data!$N$2:$N$2277)*IF(ISNUMBER(Data!$U$2:$U$2277),Data!$U$2:$U$2277,0))+Formula!$C$29)),IF(H38&lt;&gt;"",H38,""))</f>
        <v>2.979791</v>
      </c>
      <c r="I39" s="70">
        <f>IF(E39&lt;&gt;"",IF(OR(I38="",AND(ABS(IFERROR(SUMPRODUCT((Data!$O$2:$O$2277=A39)*(Data!$M$2:$M$2277="Pyotr Poroshenko")*ISNUMBER(Data!$N$2:$N$2277)*IF(ISNUMBER(Data!$W$2:$W$2277),Data!$W$2:$W$2277,0)*IF(ISNUMBER(Data!$U$2:$U$2277),Data!$U$2:$U$2277,0))/SUMPRODUCT((Data!$O$2:$O$2277=A39)*(Data!$M$2:$M$2277="Pyotr Poroshenko")*ISNUMBER(Data!$N$2:$N$2277)*IF(ISNUMBER(Data!$U$2:$U$2277),Data!$U$2:$U$2277,0)),0)-IF(I38="",0,I38))&gt;Formula!$C$30,SUMPRODUCT((Data!$O$2:$O$2277=A39)*(Data!$M$2:$M$2277="Pyotr Poroshenko")*ISNUMBER(Data!$N$2:$N$2277)*IF(ISNUMBER(Data!$U$2:$U$2277),Data!$U$2:$U$2277,0))&gt;=Formula!$C$31)),E39,(SUMPRODUCT((Data!$O$2:$O$2277=A39)*(Data!$M$2:$M$2277="Pyotr Poroshenko")*ISNUMBER(Data!$N$2:$N$2277)*IF(ISNUMBER(Data!$W$2:$W$2277),Data!$W$2:$W$2277,0)*IF(ISNUMBER(Data!$U$2:$U$2277),Data!$U$2:$U$2277,0))+Formula!$C$29*I38)/(SUMPRODUCT((Data!$O$2:$O$2277=A39)*(Data!$M$2:$M$2277="Pyotr Poroshenko")*ISNUMBER(Data!$N$2:$N$2277)*IF(ISNUMBER(Data!$U$2:$U$2277),Data!$U$2:$U$2277,0))+Formula!$C$29)),IF(I38&lt;&gt;"",I38,""))</f>
        <v>8.368875143</v>
      </c>
      <c r="L39" s="71">
        <f t="shared" ref="L39:O39" si="41">IFERROR((IF(F37&lt;&gt;"",F37*1,0)+IF(F38&lt;&gt;"",F38*2,0)+IF(F39&lt;&gt;"",F39*3,0))/(IF(F37&lt;&gt;"",1,0)+IF(F38&lt;&gt;"",2,0)+IF(F39&lt;&gt;"",3,0)),"")</f>
        <v>28.84964336</v>
      </c>
      <c r="M39" s="71">
        <f t="shared" si="41"/>
        <v>28.38801085</v>
      </c>
      <c r="N39" s="71">
        <f t="shared" si="41"/>
        <v>3.019286422</v>
      </c>
      <c r="O39" s="71">
        <f t="shared" si="41"/>
        <v>7.798941638</v>
      </c>
    </row>
    <row r="40" ht="12.75" customHeight="1">
      <c r="A40" s="64">
        <v>45778.0</v>
      </c>
      <c r="B40" s="65">
        <f>IFERROR(IF(SUMPRODUCT((Data!$O$2:$O$2277=A40)*(Data!$M$2:$M$2277="Vladimir Zelenskiy")*ISNUMBER(Data!$N$2:$N$2277)*IF(ISNUMBER(Data!$U$2:$U$2277),Data!$U$2:$U$2277,0))&gt;0,SUMPRODUCT((Data!$O$2:$O$2277=A40)*(Data!$M$2:$M$2277="Vladimir Zelenskiy")*ISNUMBER(Data!$N$2:$N$2277)*IF(ISNUMBER(Data!$W$2:$W$2277),Data!$W$2:$W$2277,0)*IF(ISNUMBER(Data!$U$2:$U$2277),Data!$U$2:$U$2277,0))/SUMPRODUCT((Data!$O$2:$O$2277=A40)*(Data!$M$2:$M$2277="Vladimir Zelenskiy")*ISNUMBER(Data!$N$2:$N$2277)*IF(ISNUMBER(Data!$U$2:$U$2277),Data!$U$2:$U$2277,0)),""),"")</f>
        <v>29.35897436</v>
      </c>
      <c r="C40" s="65">
        <f>IFERROR(IF(SUMPRODUCT((Data!$O$2:$O$2277=A40)*(Data!$M$2:$M$2277="Valerii Zaluzhniy")*ISNUMBER(Data!$N$2:$N$2277)*IF(ISNUMBER(Data!$U$2:$U$2277),Data!$U$2:$U$2277,0))&gt;0,SUMPRODUCT((Data!$O$2:$O$2277=A40)*(Data!$M$2:$M$2277="Valerii Zaluzhniy")*ISNUMBER(Data!$N$2:$N$2277)*IF(ISNUMBER(Data!$W$2:$W$2277),Data!$W$2:$W$2277,0)*IF(ISNUMBER(Data!$U$2:$U$2277),Data!$U$2:$U$2277,0))/SUMPRODUCT((Data!$O$2:$O$2277=A40)*(Data!$M$2:$M$2277="Valerii Zaluzhniy")*ISNUMBER(Data!$N$2:$N$2277)*IF(ISNUMBER(Data!$U$2:$U$2277),Data!$U$2:$U$2277,0)),""),"")</f>
        <v>27.30769231</v>
      </c>
      <c r="D40" s="65">
        <f>IFERROR(IF(SUMPRODUCT((Data!$O$2:$O$2277=A40)*(Data!$M$2:$M$2277="Kyrylo Budanov")*ISNUMBER(Data!$N$2:$N$2277)*IF(ISNUMBER(Data!$U$2:$U$2277),Data!$U$2:$U$2277,0))&gt;0,SUMPRODUCT((Data!$O$2:$O$2277=A40)*(Data!$M$2:$M$2277="Kyrylo Budanov")*ISNUMBER(Data!$N$2:$N$2277)*IF(ISNUMBER(Data!$W$2:$W$2277),Data!$W$2:$W$2277,0)*IF(ISNUMBER(Data!$U$2:$U$2277),Data!$U$2:$U$2277,0))/SUMPRODUCT((Data!$O$2:$O$2277=A40)*(Data!$M$2:$M$2277="Kyrylo Budanov")*ISNUMBER(Data!$N$2:$N$2277)*IF(ISNUMBER(Data!$U$2:$U$2277),Data!$U$2:$U$2277,0)),""),"")</f>
        <v>4.230769231</v>
      </c>
      <c r="E40" s="65">
        <f>IFERROR(IF(SUMPRODUCT((Data!$O$2:$O$2277=A40)*(Data!$M$2:$M$2277="Pyotr Poroshenko")*ISNUMBER(Data!$N$2:$N$2277)*IF(ISNUMBER(Data!$U$2:$U$2277),Data!$U$2:$U$2277,0))&gt;0,SUMPRODUCT((Data!$O$2:$O$2277=A40)*(Data!$M$2:$M$2277="Pyotr Poroshenko")*ISNUMBER(Data!$N$2:$N$2277)*IF(ISNUMBER(Data!$W$2:$W$2277),Data!$W$2:$W$2277,0)*IF(ISNUMBER(Data!$U$2:$U$2277),Data!$U$2:$U$2277,0))/SUMPRODUCT((Data!$O$2:$O$2277=A40)*(Data!$M$2:$M$2277="Pyotr Poroshenko")*ISNUMBER(Data!$N$2:$N$2277)*IF(ISNUMBER(Data!$U$2:$U$2277),Data!$U$2:$U$2277,0)),""),"")</f>
        <v>5.769230769</v>
      </c>
      <c r="F40" s="66">
        <f>IF(B40&lt;&gt;"",IF(OR(F39="",AND(ABS(IFERROR(SUMPRODUCT((Data!$O$2:$O$2277=A40)*(Data!$M$2:$M$2277="Vladimir Zelenskiy")*ISNUMBER(Data!$N$2:$N$2277)*IF(ISNUMBER(Data!$W$2:$W$2277),Data!$W$2:$W$2277,0)*IF(ISNUMBER(Data!$U$2:$U$2277),Data!$U$2:$U$2277,0))/SUMPRODUCT((Data!$O$2:$O$2277=A40)*(Data!$M$2:$M$2277="Vladimir Zelenskiy")*ISNUMBER(Data!$N$2:$N$2277)*IF(ISNUMBER(Data!$U$2:$U$2277),Data!$U$2:$U$2277,0)),0)-IF(F39="",0,F39))&gt;Formula!$C$30,SUMPRODUCT((Data!$O$2:$O$2277=A40)*(Data!$M$2:$M$2277="Vladimir Zelenskiy")*ISNUMBER(Data!$N$2:$N$2277)*IF(ISNUMBER(Data!$U$2:$U$2277),Data!$U$2:$U$2277,0))&gt;=Formula!$C$31)),B40,(SUMPRODUCT((Data!$O$2:$O$2277=A40)*(Data!$M$2:$M$2277="Vladimir Zelenskiy")*ISNUMBER(Data!$N$2:$N$2277)*IF(ISNUMBER(Data!$W$2:$W$2277),Data!$W$2:$W$2277,0)*IF(ISNUMBER(Data!$U$2:$U$2277),Data!$U$2:$U$2277,0))+Formula!$C$29*F39)/(SUMPRODUCT((Data!$O$2:$O$2277=A40)*(Data!$M$2:$M$2277="Vladimir Zelenskiy")*ISNUMBER(Data!$N$2:$N$2277)*IF(ISNUMBER(Data!$U$2:$U$2277),Data!$U$2:$U$2277,0))+Formula!$C$29)),IF(F39&lt;&gt;"",F39,""))</f>
        <v>29.87636009</v>
      </c>
      <c r="G40" s="66">
        <f>IF(C40&lt;&gt;"",IF(OR(G39="",AND(ABS(IFERROR(SUMPRODUCT((Data!$O$2:$O$2277=A40)*(Data!$M$2:$M$2277="Valerii Zaluzhniy")*ISNUMBER(Data!$N$2:$N$2277)*IF(ISNUMBER(Data!$W$2:$W$2277),Data!$W$2:$W$2277,0)*IF(ISNUMBER(Data!$U$2:$U$2277),Data!$U$2:$U$2277,0))/SUMPRODUCT((Data!$O$2:$O$2277=A40)*(Data!$M$2:$M$2277="Valerii Zaluzhniy")*ISNUMBER(Data!$N$2:$N$2277)*IF(ISNUMBER(Data!$U$2:$U$2277),Data!$U$2:$U$2277,0)),0)-IF(G39="",0,G39))&gt;Formula!$C$30,SUMPRODUCT((Data!$O$2:$O$2277=A40)*(Data!$M$2:$M$2277="Valerii Zaluzhniy")*ISNUMBER(Data!$N$2:$N$2277)*IF(ISNUMBER(Data!$U$2:$U$2277),Data!$U$2:$U$2277,0))&gt;=Formula!$C$31)),C40,(SUMPRODUCT((Data!$O$2:$O$2277=A40)*(Data!$M$2:$M$2277="Valerii Zaluzhniy")*ISNUMBER(Data!$N$2:$N$2277)*IF(ISNUMBER(Data!$W$2:$W$2277),Data!$W$2:$W$2277,0)*IF(ISNUMBER(Data!$U$2:$U$2277),Data!$U$2:$U$2277,0))+Formula!$C$29*G39)/(SUMPRODUCT((Data!$O$2:$O$2277=A40)*(Data!$M$2:$M$2277="Valerii Zaluzhniy")*ISNUMBER(Data!$N$2:$N$2277)*IF(ISNUMBER(Data!$U$2:$U$2277),Data!$U$2:$U$2277,0))+Formula!$C$29)),IF(G39&lt;&gt;"",G39,""))</f>
        <v>26.86154556</v>
      </c>
      <c r="H40" s="66">
        <f>IF(D40&lt;&gt;"",IF(OR(H39="",AND(ABS(IFERROR(SUMPRODUCT((Data!$O$2:$O$2277=A40)*(Data!$M$2:$M$2277="Kyrylo Budanov")*ISNUMBER(Data!$N$2:$N$2277)*IF(ISNUMBER(Data!$W$2:$W$2277),Data!$W$2:$W$2277,0)*IF(ISNUMBER(Data!$U$2:$U$2277),Data!$U$2:$U$2277,0))/SUMPRODUCT((Data!$O$2:$O$2277=A40)*(Data!$M$2:$M$2277="Kyrylo Budanov")*ISNUMBER(Data!$N$2:$N$2277)*IF(ISNUMBER(Data!$U$2:$U$2277),Data!$U$2:$U$2277,0)),0)-IF(H39="",0,H39))&gt;Formula!$C$30,SUMPRODUCT((Data!$O$2:$O$2277=A40)*(Data!$M$2:$M$2277="Kyrylo Budanov")*ISNUMBER(Data!$N$2:$N$2277)*IF(ISNUMBER(Data!$U$2:$U$2277),Data!$U$2:$U$2277,0))&gt;=Formula!$C$31)),D40,(SUMPRODUCT((Data!$O$2:$O$2277=A40)*(Data!$M$2:$M$2277="Kyrylo Budanov")*ISNUMBER(Data!$N$2:$N$2277)*IF(ISNUMBER(Data!$W$2:$W$2277),Data!$W$2:$W$2277,0)*IF(ISNUMBER(Data!$U$2:$U$2277),Data!$U$2:$U$2277,0))+Formula!$C$29*H39)/(SUMPRODUCT((Data!$O$2:$O$2277=A40)*(Data!$M$2:$M$2277="Kyrylo Budanov")*ISNUMBER(Data!$N$2:$N$2277)*IF(ISNUMBER(Data!$U$2:$U$2277),Data!$U$2:$U$2277,0))+Formula!$C$29)),IF(H39&lt;&gt;"",H39,""))</f>
        <v>3.65038944</v>
      </c>
      <c r="I40" s="66">
        <f>IF(E40&lt;&gt;"",IF(OR(I39="",AND(ABS(IFERROR(SUMPRODUCT((Data!$O$2:$O$2277=A40)*(Data!$M$2:$M$2277="Pyotr Poroshenko")*ISNUMBER(Data!$N$2:$N$2277)*IF(ISNUMBER(Data!$W$2:$W$2277),Data!$W$2:$W$2277,0)*IF(ISNUMBER(Data!$U$2:$U$2277),Data!$U$2:$U$2277,0))/SUMPRODUCT((Data!$O$2:$O$2277=A40)*(Data!$M$2:$M$2277="Pyotr Poroshenko")*ISNUMBER(Data!$N$2:$N$2277)*IF(ISNUMBER(Data!$U$2:$U$2277),Data!$U$2:$U$2277,0)),0)-IF(I39="",0,I39))&gt;Formula!$C$30,SUMPRODUCT((Data!$O$2:$O$2277=A40)*(Data!$M$2:$M$2277="Pyotr Poroshenko")*ISNUMBER(Data!$N$2:$N$2277)*IF(ISNUMBER(Data!$U$2:$U$2277),Data!$U$2:$U$2277,0))&gt;=Formula!$C$31)),E40,(SUMPRODUCT((Data!$O$2:$O$2277=A40)*(Data!$M$2:$M$2277="Pyotr Poroshenko")*ISNUMBER(Data!$N$2:$N$2277)*IF(ISNUMBER(Data!$W$2:$W$2277),Data!$W$2:$W$2277,0)*IF(ISNUMBER(Data!$U$2:$U$2277),Data!$U$2:$U$2277,0))+Formula!$C$29*I39)/(SUMPRODUCT((Data!$O$2:$O$2277=A40)*(Data!$M$2:$M$2277="Pyotr Poroshenko")*ISNUMBER(Data!$N$2:$N$2277)*IF(ISNUMBER(Data!$U$2:$U$2277),Data!$U$2:$U$2277,0))+Formula!$C$29)),IF(I39&lt;&gt;"",I39,""))</f>
        <v>6.975311755</v>
      </c>
      <c r="L40" s="67">
        <f t="shared" ref="L40:O40" si="42">IFERROR((IF(F38&lt;&gt;"",F38*1,0)+IF(F39&lt;&gt;"",F39*2,0)+IF(F40&lt;&gt;"",F40*3,0))/(IF(F38&lt;&gt;"",1,0)+IF(F39&lt;&gt;"",2,0)+IF(F40&lt;&gt;"",3,0)),"")</f>
        <v>30.06089204</v>
      </c>
      <c r="M40" s="67">
        <f t="shared" si="42"/>
        <v>27.00322909</v>
      </c>
      <c r="N40" s="67">
        <f t="shared" si="42"/>
        <v>3.318886836</v>
      </c>
      <c r="O40" s="67">
        <f t="shared" si="42"/>
        <v>7.378809452</v>
      </c>
    </row>
    <row r="41" ht="12.75" customHeight="1">
      <c r="A41" s="68">
        <v>45809.0</v>
      </c>
      <c r="B41" s="69">
        <f>IFERROR(IF(SUMPRODUCT((Data!$O$2:$O$2277=A41)*(Data!$M$2:$M$2277="Vladimir Zelenskiy")*ISNUMBER(Data!$N$2:$N$2277)*IF(ISNUMBER(Data!$U$2:$U$2277),Data!$U$2:$U$2277,0))&gt;0,SUMPRODUCT((Data!$O$2:$O$2277=A41)*(Data!$M$2:$M$2277="Vladimir Zelenskiy")*ISNUMBER(Data!$N$2:$N$2277)*IF(ISNUMBER(Data!$W$2:$W$2277),Data!$W$2:$W$2277,0)*IF(ISNUMBER(Data!$U$2:$U$2277),Data!$U$2:$U$2277,0))/SUMPRODUCT((Data!$O$2:$O$2277=A41)*(Data!$M$2:$M$2277="Vladimir Zelenskiy")*ISNUMBER(Data!$N$2:$N$2277)*IF(ISNUMBER(Data!$U$2:$U$2277),Data!$U$2:$U$2277,0)),""),"")</f>
        <v>30.9</v>
      </c>
      <c r="C41" s="69">
        <f>IFERROR(IF(SUMPRODUCT((Data!$O$2:$O$2277=A41)*(Data!$M$2:$M$2277="Valerii Zaluzhniy")*ISNUMBER(Data!$N$2:$N$2277)*IF(ISNUMBER(Data!$U$2:$U$2277),Data!$U$2:$U$2277,0))&gt;0,SUMPRODUCT((Data!$O$2:$O$2277=A41)*(Data!$M$2:$M$2277="Valerii Zaluzhniy")*ISNUMBER(Data!$N$2:$N$2277)*IF(ISNUMBER(Data!$W$2:$W$2277),Data!$W$2:$W$2277,0)*IF(ISNUMBER(Data!$U$2:$U$2277),Data!$U$2:$U$2277,0))/SUMPRODUCT((Data!$O$2:$O$2277=A41)*(Data!$M$2:$M$2277="Valerii Zaluzhniy")*ISNUMBER(Data!$N$2:$N$2277)*IF(ISNUMBER(Data!$U$2:$U$2277),Data!$U$2:$U$2277,0)),""),"")</f>
        <v>27.7</v>
      </c>
      <c r="D41" s="69">
        <f>IFERROR(IF(SUMPRODUCT((Data!$O$2:$O$2277=A41)*(Data!$M$2:$M$2277="Kyrylo Budanov")*ISNUMBER(Data!$N$2:$N$2277)*IF(ISNUMBER(Data!$U$2:$U$2277),Data!$U$2:$U$2277,0))&gt;0,SUMPRODUCT((Data!$O$2:$O$2277=A41)*(Data!$M$2:$M$2277="Kyrylo Budanov")*ISNUMBER(Data!$N$2:$N$2277)*IF(ISNUMBER(Data!$W$2:$W$2277),Data!$W$2:$W$2277,0)*IF(ISNUMBER(Data!$U$2:$U$2277),Data!$U$2:$U$2277,0))/SUMPRODUCT((Data!$O$2:$O$2277=A41)*(Data!$M$2:$M$2277="Kyrylo Budanov")*ISNUMBER(Data!$N$2:$N$2277)*IF(ISNUMBER(Data!$U$2:$U$2277),Data!$U$2:$U$2277,0)),""),"")</f>
        <v>5.2</v>
      </c>
      <c r="E41" s="69">
        <f>IFERROR(IF(SUMPRODUCT((Data!$O$2:$O$2277=A41)*(Data!$M$2:$M$2277="Pyotr Poroshenko")*ISNUMBER(Data!$N$2:$N$2277)*IF(ISNUMBER(Data!$U$2:$U$2277),Data!$U$2:$U$2277,0))&gt;0,SUMPRODUCT((Data!$O$2:$O$2277=A41)*(Data!$M$2:$M$2277="Pyotr Poroshenko")*ISNUMBER(Data!$N$2:$N$2277)*IF(ISNUMBER(Data!$W$2:$W$2277),Data!$W$2:$W$2277,0)*IF(ISNUMBER(Data!$U$2:$U$2277),Data!$U$2:$U$2277,0))/SUMPRODUCT((Data!$O$2:$O$2277=A41)*(Data!$M$2:$M$2277="Pyotr Poroshenko")*ISNUMBER(Data!$N$2:$N$2277)*IF(ISNUMBER(Data!$U$2:$U$2277),Data!$U$2:$U$2277,0)),""),"")</f>
        <v>6.3</v>
      </c>
      <c r="F41" s="70">
        <f>IF(B41&lt;&gt;"",IF(OR(F40="",AND(ABS(IFERROR(SUMPRODUCT((Data!$O$2:$O$2277=A41)*(Data!$M$2:$M$2277="Vladimir Zelenskiy")*ISNUMBER(Data!$N$2:$N$2277)*IF(ISNUMBER(Data!$W$2:$W$2277),Data!$W$2:$W$2277,0)*IF(ISNUMBER(Data!$U$2:$U$2277),Data!$U$2:$U$2277,0))/SUMPRODUCT((Data!$O$2:$O$2277=A41)*(Data!$M$2:$M$2277="Vladimir Zelenskiy")*ISNUMBER(Data!$N$2:$N$2277)*IF(ISNUMBER(Data!$U$2:$U$2277),Data!$U$2:$U$2277,0)),0)-IF(F40="",0,F40))&gt;Formula!$C$30,SUMPRODUCT((Data!$O$2:$O$2277=A41)*(Data!$M$2:$M$2277="Vladimir Zelenskiy")*ISNUMBER(Data!$N$2:$N$2277)*IF(ISNUMBER(Data!$U$2:$U$2277),Data!$U$2:$U$2277,0))&gt;=Formula!$C$31)),B41,(SUMPRODUCT((Data!$O$2:$O$2277=A41)*(Data!$M$2:$M$2277="Vladimir Zelenskiy")*ISNUMBER(Data!$N$2:$N$2277)*IF(ISNUMBER(Data!$W$2:$W$2277),Data!$W$2:$W$2277,0)*IF(ISNUMBER(Data!$U$2:$U$2277),Data!$U$2:$U$2277,0))+Formula!$C$29*F40)/(SUMPRODUCT((Data!$O$2:$O$2277=A41)*(Data!$M$2:$M$2277="Vladimir Zelenskiy")*ISNUMBER(Data!$N$2:$N$2277)*IF(ISNUMBER(Data!$U$2:$U$2277),Data!$U$2:$U$2277,0))+Formula!$C$29)),IF(F40&lt;&gt;"",F40,""))</f>
        <v>30.17294408</v>
      </c>
      <c r="G41" s="70">
        <f>IF(C41&lt;&gt;"",IF(OR(G40="",AND(ABS(IFERROR(SUMPRODUCT((Data!$O$2:$O$2277=A41)*(Data!$M$2:$M$2277="Valerii Zaluzhniy")*ISNUMBER(Data!$N$2:$N$2277)*IF(ISNUMBER(Data!$W$2:$W$2277),Data!$W$2:$W$2277,0)*IF(ISNUMBER(Data!$U$2:$U$2277),Data!$U$2:$U$2277,0))/SUMPRODUCT((Data!$O$2:$O$2277=A41)*(Data!$M$2:$M$2277="Valerii Zaluzhniy")*ISNUMBER(Data!$N$2:$N$2277)*IF(ISNUMBER(Data!$U$2:$U$2277),Data!$U$2:$U$2277,0)),0)-IF(G40="",0,G40))&gt;Formula!$C$30,SUMPRODUCT((Data!$O$2:$O$2277=A41)*(Data!$M$2:$M$2277="Valerii Zaluzhniy")*ISNUMBER(Data!$N$2:$N$2277)*IF(ISNUMBER(Data!$U$2:$U$2277),Data!$U$2:$U$2277,0))&gt;=Formula!$C$31)),C41,(SUMPRODUCT((Data!$O$2:$O$2277=A41)*(Data!$M$2:$M$2277="Valerii Zaluzhniy")*ISNUMBER(Data!$N$2:$N$2277)*IF(ISNUMBER(Data!$W$2:$W$2277),Data!$W$2:$W$2277,0)*IF(ISNUMBER(Data!$U$2:$U$2277),Data!$U$2:$U$2277,0))+Formula!$C$29*G40)/(SUMPRODUCT((Data!$O$2:$O$2277=A41)*(Data!$M$2:$M$2277="Valerii Zaluzhniy")*ISNUMBER(Data!$N$2:$N$2277)*IF(ISNUMBER(Data!$U$2:$U$2277),Data!$U$2:$U$2277,0))+Formula!$C$29)),IF(G40&lt;&gt;"",G40,""))</f>
        <v>27.10447489</v>
      </c>
      <c r="H41" s="70">
        <f>IF(D41&lt;&gt;"",IF(OR(H40="",AND(ABS(IFERROR(SUMPRODUCT((Data!$O$2:$O$2277=A41)*(Data!$M$2:$M$2277="Kyrylo Budanov")*ISNUMBER(Data!$N$2:$N$2277)*IF(ISNUMBER(Data!$W$2:$W$2277),Data!$W$2:$W$2277,0)*IF(ISNUMBER(Data!$U$2:$U$2277),Data!$U$2:$U$2277,0))/SUMPRODUCT((Data!$O$2:$O$2277=A41)*(Data!$M$2:$M$2277="Kyrylo Budanov")*ISNUMBER(Data!$N$2:$N$2277)*IF(ISNUMBER(Data!$U$2:$U$2277),Data!$U$2:$U$2277,0)),0)-IF(H40="",0,H40))&gt;Formula!$C$30,SUMPRODUCT((Data!$O$2:$O$2277=A41)*(Data!$M$2:$M$2277="Kyrylo Budanov")*ISNUMBER(Data!$N$2:$N$2277)*IF(ISNUMBER(Data!$U$2:$U$2277),Data!$U$2:$U$2277,0))&gt;=Formula!$C$31)),D41,(SUMPRODUCT((Data!$O$2:$O$2277=A41)*(Data!$M$2:$M$2277="Kyrylo Budanov")*ISNUMBER(Data!$N$2:$N$2277)*IF(ISNUMBER(Data!$W$2:$W$2277),Data!$W$2:$W$2277,0)*IF(ISNUMBER(Data!$U$2:$U$2277),Data!$U$2:$U$2277,0))+Formula!$C$29*H40)/(SUMPRODUCT((Data!$O$2:$O$2277=A41)*(Data!$M$2:$M$2277="Kyrylo Budanov")*ISNUMBER(Data!$N$2:$N$2277)*IF(ISNUMBER(Data!$U$2:$U$2277),Data!$U$2:$U$2277,0))+Formula!$C$29)),IF(H40&lt;&gt;"",H40,""))</f>
        <v>4.099365363</v>
      </c>
      <c r="I41" s="70">
        <f>IF(E41&lt;&gt;"",IF(OR(I40="",AND(ABS(IFERROR(SUMPRODUCT((Data!$O$2:$O$2277=A41)*(Data!$M$2:$M$2277="Pyotr Poroshenko")*ISNUMBER(Data!$N$2:$N$2277)*IF(ISNUMBER(Data!$W$2:$W$2277),Data!$W$2:$W$2277,0)*IF(ISNUMBER(Data!$U$2:$U$2277),Data!$U$2:$U$2277,0))/SUMPRODUCT((Data!$O$2:$O$2277=A41)*(Data!$M$2:$M$2277="Pyotr Poroshenko")*ISNUMBER(Data!$N$2:$N$2277)*IF(ISNUMBER(Data!$U$2:$U$2277),Data!$U$2:$U$2277,0)),0)-IF(I40="",0,I40))&gt;Formula!$C$30,SUMPRODUCT((Data!$O$2:$O$2277=A41)*(Data!$M$2:$M$2277="Pyotr Poroshenko")*ISNUMBER(Data!$N$2:$N$2277)*IF(ISNUMBER(Data!$U$2:$U$2277),Data!$U$2:$U$2277,0))&gt;=Formula!$C$31)),E41,(SUMPRODUCT((Data!$O$2:$O$2277=A41)*(Data!$M$2:$M$2277="Pyotr Poroshenko")*ISNUMBER(Data!$N$2:$N$2277)*IF(ISNUMBER(Data!$W$2:$W$2277),Data!$W$2:$W$2277,0)*IF(ISNUMBER(Data!$U$2:$U$2277),Data!$U$2:$U$2277,0))+Formula!$C$29*I40)/(SUMPRODUCT((Data!$O$2:$O$2277=A41)*(Data!$M$2:$M$2277="Pyotr Poroshenko")*ISNUMBER(Data!$N$2:$N$2277)*IF(ISNUMBER(Data!$U$2:$U$2277),Data!$U$2:$U$2277,0))+Formula!$C$29)),IF(I40&lt;&gt;"",I40,""))</f>
        <v>6.779650518</v>
      </c>
      <c r="L41" s="71">
        <f t="shared" ref="L41:O41" si="43">IFERROR((IF(F39&lt;&gt;"",F39*1,0)+IF(F40&lt;&gt;"",F40*2,0)+IF(F41&lt;&gt;"",F41*3,0))/(IF(F39&lt;&gt;"",1,0)+IF(F40&lt;&gt;"",2,0)+IF(F41&lt;&gt;"",3,0)),"")</f>
        <v>30.12428743</v>
      </c>
      <c r="M41" s="71">
        <f t="shared" si="43"/>
        <v>26.8970937</v>
      </c>
      <c r="N41" s="71">
        <f t="shared" si="43"/>
        <v>3.763110995</v>
      </c>
      <c r="O41" s="71">
        <f t="shared" si="43"/>
        <v>7.109741701</v>
      </c>
    </row>
    <row r="42" ht="12.75" customHeight="1">
      <c r="A42" s="64">
        <v>45839.0</v>
      </c>
      <c r="B42" s="65" t="str">
        <f>IFERROR(IF(SUMPRODUCT((Data!$O$2:$O$2277=A42)*(Data!$M$2:$M$2277="Vladimir Zelenskiy")*ISNUMBER(Data!$N$2:$N$2277)*IF(ISNUMBER(Data!$U$2:$U$2277),Data!$U$2:$U$2277,0))&gt;0,SUMPRODUCT((Data!$O$2:$O$2277=A42)*(Data!$M$2:$M$2277="Vladimir Zelenskiy")*ISNUMBER(Data!$N$2:$N$2277)*IF(ISNUMBER(Data!$W$2:$W$2277),Data!$W$2:$W$2277,0)*IF(ISNUMBER(Data!$U$2:$U$2277),Data!$U$2:$U$2277,0))/SUMPRODUCT((Data!$O$2:$O$2277=A42)*(Data!$M$2:$M$2277="Vladimir Zelenskiy")*ISNUMBER(Data!$N$2:$N$2277)*IF(ISNUMBER(Data!$U$2:$U$2277),Data!$U$2:$U$2277,0)),""),"")</f>
        <v/>
      </c>
      <c r="C42" s="65" t="str">
        <f>IFERROR(IF(SUMPRODUCT((Data!$O$2:$O$2277=A42)*(Data!$M$2:$M$2277="Valerii Zaluzhniy")*ISNUMBER(Data!$N$2:$N$2277)*IF(ISNUMBER(Data!$U$2:$U$2277),Data!$U$2:$U$2277,0))&gt;0,SUMPRODUCT((Data!$O$2:$O$2277=A42)*(Data!$M$2:$M$2277="Valerii Zaluzhniy")*ISNUMBER(Data!$N$2:$N$2277)*IF(ISNUMBER(Data!$W$2:$W$2277),Data!$W$2:$W$2277,0)*IF(ISNUMBER(Data!$U$2:$U$2277),Data!$U$2:$U$2277,0))/SUMPRODUCT((Data!$O$2:$O$2277=A42)*(Data!$M$2:$M$2277="Valerii Zaluzhniy")*ISNUMBER(Data!$N$2:$N$2277)*IF(ISNUMBER(Data!$U$2:$U$2277),Data!$U$2:$U$2277,0)),""),"")</f>
        <v/>
      </c>
      <c r="D42" s="65" t="str">
        <f>IFERROR(IF(SUMPRODUCT((Data!$O$2:$O$2277=A42)*(Data!$M$2:$M$2277="Kyrylo Budanov")*ISNUMBER(Data!$N$2:$N$2277)*IF(ISNUMBER(Data!$U$2:$U$2277),Data!$U$2:$U$2277,0))&gt;0,SUMPRODUCT((Data!$O$2:$O$2277=A42)*(Data!$M$2:$M$2277="Kyrylo Budanov")*ISNUMBER(Data!$N$2:$N$2277)*IF(ISNUMBER(Data!$W$2:$W$2277),Data!$W$2:$W$2277,0)*IF(ISNUMBER(Data!$U$2:$U$2277),Data!$U$2:$U$2277,0))/SUMPRODUCT((Data!$O$2:$O$2277=A42)*(Data!$M$2:$M$2277="Kyrylo Budanov")*ISNUMBER(Data!$N$2:$N$2277)*IF(ISNUMBER(Data!$U$2:$U$2277),Data!$U$2:$U$2277,0)),""),"")</f>
        <v/>
      </c>
      <c r="E42" s="65" t="str">
        <f>IFERROR(IF(SUMPRODUCT((Data!$O$2:$O$2277=A42)*(Data!$M$2:$M$2277="Pyotr Poroshenko")*ISNUMBER(Data!$N$2:$N$2277)*IF(ISNUMBER(Data!$U$2:$U$2277),Data!$U$2:$U$2277,0))&gt;0,SUMPRODUCT((Data!$O$2:$O$2277=A42)*(Data!$M$2:$M$2277="Pyotr Poroshenko")*ISNUMBER(Data!$N$2:$N$2277)*IF(ISNUMBER(Data!$W$2:$W$2277),Data!$W$2:$W$2277,0)*IF(ISNUMBER(Data!$U$2:$U$2277),Data!$U$2:$U$2277,0))/SUMPRODUCT((Data!$O$2:$O$2277=A42)*(Data!$M$2:$M$2277="Pyotr Poroshenko")*ISNUMBER(Data!$N$2:$N$2277)*IF(ISNUMBER(Data!$U$2:$U$2277),Data!$U$2:$U$2277,0)),""),"")</f>
        <v/>
      </c>
      <c r="F42" s="66">
        <f>IF(B42&lt;&gt;"",IF(OR(F41="",AND(ABS(IFERROR(SUMPRODUCT((Data!$O$2:$O$2277=A42)*(Data!$M$2:$M$2277="Vladimir Zelenskiy")*ISNUMBER(Data!$N$2:$N$2277)*IF(ISNUMBER(Data!$W$2:$W$2277),Data!$W$2:$W$2277,0)*IF(ISNUMBER(Data!$U$2:$U$2277),Data!$U$2:$U$2277,0))/SUMPRODUCT((Data!$O$2:$O$2277=A42)*(Data!$M$2:$M$2277="Vladimir Zelenskiy")*ISNUMBER(Data!$N$2:$N$2277)*IF(ISNUMBER(Data!$U$2:$U$2277),Data!$U$2:$U$2277,0)),0)-IF(F41="",0,F41))&gt;Formula!$C$30,SUMPRODUCT((Data!$O$2:$O$2277=A42)*(Data!$M$2:$M$2277="Vladimir Zelenskiy")*ISNUMBER(Data!$N$2:$N$2277)*IF(ISNUMBER(Data!$U$2:$U$2277),Data!$U$2:$U$2277,0))&gt;=Formula!$C$31)),B42,(SUMPRODUCT((Data!$O$2:$O$2277=A42)*(Data!$M$2:$M$2277="Vladimir Zelenskiy")*ISNUMBER(Data!$N$2:$N$2277)*IF(ISNUMBER(Data!$W$2:$W$2277),Data!$W$2:$W$2277,0)*IF(ISNUMBER(Data!$U$2:$U$2277),Data!$U$2:$U$2277,0))+Formula!$C$29*F41)/(SUMPRODUCT((Data!$O$2:$O$2277=A42)*(Data!$M$2:$M$2277="Vladimir Zelenskiy")*ISNUMBER(Data!$N$2:$N$2277)*IF(ISNUMBER(Data!$U$2:$U$2277),Data!$U$2:$U$2277,0))+Formula!$C$29)),IF(F41&lt;&gt;"",F41,""))</f>
        <v>30.17294408</v>
      </c>
      <c r="G42" s="66">
        <f>IF(C42&lt;&gt;"",IF(OR(G41="",AND(ABS(IFERROR(SUMPRODUCT((Data!$O$2:$O$2277=A42)*(Data!$M$2:$M$2277="Valerii Zaluzhniy")*ISNUMBER(Data!$N$2:$N$2277)*IF(ISNUMBER(Data!$W$2:$W$2277),Data!$W$2:$W$2277,0)*IF(ISNUMBER(Data!$U$2:$U$2277),Data!$U$2:$U$2277,0))/SUMPRODUCT((Data!$O$2:$O$2277=A42)*(Data!$M$2:$M$2277="Valerii Zaluzhniy")*ISNUMBER(Data!$N$2:$N$2277)*IF(ISNUMBER(Data!$U$2:$U$2277),Data!$U$2:$U$2277,0)),0)-IF(G41="",0,G41))&gt;Formula!$C$30,SUMPRODUCT((Data!$O$2:$O$2277=A42)*(Data!$M$2:$M$2277="Valerii Zaluzhniy")*ISNUMBER(Data!$N$2:$N$2277)*IF(ISNUMBER(Data!$U$2:$U$2277),Data!$U$2:$U$2277,0))&gt;=Formula!$C$31)),C42,(SUMPRODUCT((Data!$O$2:$O$2277=A42)*(Data!$M$2:$M$2277="Valerii Zaluzhniy")*ISNUMBER(Data!$N$2:$N$2277)*IF(ISNUMBER(Data!$W$2:$W$2277),Data!$W$2:$W$2277,0)*IF(ISNUMBER(Data!$U$2:$U$2277),Data!$U$2:$U$2277,0))+Formula!$C$29*G41)/(SUMPRODUCT((Data!$O$2:$O$2277=A42)*(Data!$M$2:$M$2277="Valerii Zaluzhniy")*ISNUMBER(Data!$N$2:$N$2277)*IF(ISNUMBER(Data!$U$2:$U$2277),Data!$U$2:$U$2277,0))+Formula!$C$29)),IF(G41&lt;&gt;"",G41,""))</f>
        <v>27.10447489</v>
      </c>
      <c r="H42" s="66">
        <f>IF(D42&lt;&gt;"",IF(OR(H41="",AND(ABS(IFERROR(SUMPRODUCT((Data!$O$2:$O$2277=A42)*(Data!$M$2:$M$2277="Kyrylo Budanov")*ISNUMBER(Data!$N$2:$N$2277)*IF(ISNUMBER(Data!$W$2:$W$2277),Data!$W$2:$W$2277,0)*IF(ISNUMBER(Data!$U$2:$U$2277),Data!$U$2:$U$2277,0))/SUMPRODUCT((Data!$O$2:$O$2277=A42)*(Data!$M$2:$M$2277="Kyrylo Budanov")*ISNUMBER(Data!$N$2:$N$2277)*IF(ISNUMBER(Data!$U$2:$U$2277),Data!$U$2:$U$2277,0)),0)-IF(H41="",0,H41))&gt;Formula!$C$30,SUMPRODUCT((Data!$O$2:$O$2277=A42)*(Data!$M$2:$M$2277="Kyrylo Budanov")*ISNUMBER(Data!$N$2:$N$2277)*IF(ISNUMBER(Data!$U$2:$U$2277),Data!$U$2:$U$2277,0))&gt;=Formula!$C$31)),D42,(SUMPRODUCT((Data!$O$2:$O$2277=A42)*(Data!$M$2:$M$2277="Kyrylo Budanov")*ISNUMBER(Data!$N$2:$N$2277)*IF(ISNUMBER(Data!$W$2:$W$2277),Data!$W$2:$W$2277,0)*IF(ISNUMBER(Data!$U$2:$U$2277),Data!$U$2:$U$2277,0))+Formula!$C$29*H41)/(SUMPRODUCT((Data!$O$2:$O$2277=A42)*(Data!$M$2:$M$2277="Kyrylo Budanov")*ISNUMBER(Data!$N$2:$N$2277)*IF(ISNUMBER(Data!$U$2:$U$2277),Data!$U$2:$U$2277,0))+Formula!$C$29)),IF(H41&lt;&gt;"",H41,""))</f>
        <v>4.099365363</v>
      </c>
      <c r="I42" s="66">
        <f>IF(E42&lt;&gt;"",IF(OR(I41="",AND(ABS(IFERROR(SUMPRODUCT((Data!$O$2:$O$2277=A42)*(Data!$M$2:$M$2277="Pyotr Poroshenko")*ISNUMBER(Data!$N$2:$N$2277)*IF(ISNUMBER(Data!$W$2:$W$2277),Data!$W$2:$W$2277,0)*IF(ISNUMBER(Data!$U$2:$U$2277),Data!$U$2:$U$2277,0))/SUMPRODUCT((Data!$O$2:$O$2277=A42)*(Data!$M$2:$M$2277="Pyotr Poroshenko")*ISNUMBER(Data!$N$2:$N$2277)*IF(ISNUMBER(Data!$U$2:$U$2277),Data!$U$2:$U$2277,0)),0)-IF(I41="",0,I41))&gt;Formula!$C$30,SUMPRODUCT((Data!$O$2:$O$2277=A42)*(Data!$M$2:$M$2277="Pyotr Poroshenko")*ISNUMBER(Data!$N$2:$N$2277)*IF(ISNUMBER(Data!$U$2:$U$2277),Data!$U$2:$U$2277,0))&gt;=Formula!$C$31)),E42,(SUMPRODUCT((Data!$O$2:$O$2277=A42)*(Data!$M$2:$M$2277="Pyotr Poroshenko")*ISNUMBER(Data!$N$2:$N$2277)*IF(ISNUMBER(Data!$W$2:$W$2277),Data!$W$2:$W$2277,0)*IF(ISNUMBER(Data!$U$2:$U$2277),Data!$U$2:$U$2277,0))+Formula!$C$29*I41)/(SUMPRODUCT((Data!$O$2:$O$2277=A42)*(Data!$M$2:$M$2277="Pyotr Poroshenko")*ISNUMBER(Data!$N$2:$N$2277)*IF(ISNUMBER(Data!$U$2:$U$2277),Data!$U$2:$U$2277,0))+Formula!$C$29)),IF(I41&lt;&gt;"",I41,""))</f>
        <v>6.779650518</v>
      </c>
      <c r="L42" s="67">
        <f t="shared" ref="L42:O42" si="44">IFERROR((IF(F40&lt;&gt;"",F40*1,0)+IF(F41&lt;&gt;"",F41*2,0)+IF(F42&lt;&gt;"",F42*3,0))/(IF(F40&lt;&gt;"",1,0)+IF(F41&lt;&gt;"",2,0)+IF(F42&lt;&gt;"",3,0)),"")</f>
        <v>30.12351341</v>
      </c>
      <c r="M42" s="67">
        <f t="shared" si="44"/>
        <v>27.06398667</v>
      </c>
      <c r="N42" s="67">
        <f t="shared" si="44"/>
        <v>4.024536043</v>
      </c>
      <c r="O42" s="67">
        <f t="shared" si="44"/>
        <v>6.812260724</v>
      </c>
    </row>
    <row r="43" ht="12.75" customHeight="1">
      <c r="A43" s="68">
        <v>45870.0</v>
      </c>
      <c r="B43" s="69">
        <f>IFERROR(IF(SUMPRODUCT((Data!$O$2:$O$2277=A43)*(Data!$M$2:$M$2277="Vladimir Zelenskiy")*ISNUMBER(Data!$N$2:$N$2277)*IF(ISNUMBER(Data!$U$2:$U$2277),Data!$U$2:$U$2277,0))&gt;0,SUMPRODUCT((Data!$O$2:$O$2277=A43)*(Data!$M$2:$M$2277="Vladimir Zelenskiy")*ISNUMBER(Data!$N$2:$N$2277)*IF(ISNUMBER(Data!$W$2:$W$2277),Data!$W$2:$W$2277,0)*IF(ISNUMBER(Data!$U$2:$U$2277),Data!$U$2:$U$2277,0))/SUMPRODUCT((Data!$O$2:$O$2277=A43)*(Data!$M$2:$M$2277="Vladimir Zelenskiy")*ISNUMBER(Data!$N$2:$N$2277)*IF(ISNUMBER(Data!$U$2:$U$2277),Data!$U$2:$U$2277,0)),""),"")</f>
        <v>41.93628851</v>
      </c>
      <c r="C43" s="69">
        <f>IFERROR(IF(SUMPRODUCT((Data!$O$2:$O$2277=A43)*(Data!$M$2:$M$2277="Valerii Zaluzhniy")*ISNUMBER(Data!$N$2:$N$2277)*IF(ISNUMBER(Data!$U$2:$U$2277),Data!$U$2:$U$2277,0))&gt;0,SUMPRODUCT((Data!$O$2:$O$2277=A43)*(Data!$M$2:$M$2277="Valerii Zaluzhniy")*ISNUMBER(Data!$N$2:$N$2277)*IF(ISNUMBER(Data!$W$2:$W$2277),Data!$W$2:$W$2277,0)*IF(ISNUMBER(Data!$U$2:$U$2277),Data!$U$2:$U$2277,0))/SUMPRODUCT((Data!$O$2:$O$2277=A43)*(Data!$M$2:$M$2277="Valerii Zaluzhniy")*ISNUMBER(Data!$N$2:$N$2277)*IF(ISNUMBER(Data!$U$2:$U$2277),Data!$U$2:$U$2277,0)),""),"")</f>
        <v>32.20790339</v>
      </c>
      <c r="D43" s="69">
        <f>IFERROR(IF(SUMPRODUCT((Data!$O$2:$O$2277=A43)*(Data!$M$2:$M$2277="Kyrylo Budanov")*ISNUMBER(Data!$N$2:$N$2277)*IF(ISNUMBER(Data!$U$2:$U$2277),Data!$U$2:$U$2277,0))&gt;0,SUMPRODUCT((Data!$O$2:$O$2277=A43)*(Data!$M$2:$M$2277="Kyrylo Budanov")*ISNUMBER(Data!$N$2:$N$2277)*IF(ISNUMBER(Data!$W$2:$W$2277),Data!$W$2:$W$2277,0)*IF(ISNUMBER(Data!$U$2:$U$2277),Data!$U$2:$U$2277,0))/SUMPRODUCT((Data!$O$2:$O$2277=A43)*(Data!$M$2:$M$2277="Kyrylo Budanov")*ISNUMBER(Data!$N$2:$N$2277)*IF(ISNUMBER(Data!$U$2:$U$2277),Data!$U$2:$U$2277,0)),""),"")</f>
        <v>6.149220843</v>
      </c>
      <c r="E43" s="69">
        <f>IFERROR(IF(SUMPRODUCT((Data!$O$2:$O$2277=A43)*(Data!$M$2:$M$2277="Pyotr Poroshenko")*ISNUMBER(Data!$N$2:$N$2277)*IF(ISNUMBER(Data!$U$2:$U$2277),Data!$U$2:$U$2277,0))&gt;0,SUMPRODUCT((Data!$O$2:$O$2277=A43)*(Data!$M$2:$M$2277="Pyotr Poroshenko")*ISNUMBER(Data!$N$2:$N$2277)*IF(ISNUMBER(Data!$W$2:$W$2277),Data!$W$2:$W$2277,0)*IF(ISNUMBER(Data!$U$2:$U$2277),Data!$U$2:$U$2277,0))/SUMPRODUCT((Data!$O$2:$O$2277=A43)*(Data!$M$2:$M$2277="Pyotr Poroshenko")*ISNUMBER(Data!$N$2:$N$2277)*IF(ISNUMBER(Data!$U$2:$U$2277),Data!$U$2:$U$2277,0)),""),"")</f>
        <v>7.326857899</v>
      </c>
      <c r="F43" s="70">
        <f>IF(B43&lt;&gt;"",IF(OR(F42="",AND(ABS(IFERROR(SUMPRODUCT((Data!$O$2:$O$2277=A43)*(Data!$M$2:$M$2277="Vladimir Zelenskiy")*ISNUMBER(Data!$N$2:$N$2277)*IF(ISNUMBER(Data!$W$2:$W$2277),Data!$W$2:$W$2277,0)*IF(ISNUMBER(Data!$U$2:$U$2277),Data!$U$2:$U$2277,0))/SUMPRODUCT((Data!$O$2:$O$2277=A43)*(Data!$M$2:$M$2277="Vladimir Zelenskiy")*ISNUMBER(Data!$N$2:$N$2277)*IF(ISNUMBER(Data!$U$2:$U$2277),Data!$U$2:$U$2277,0)),0)-IF(F42="",0,F42))&gt;Formula!$C$30,SUMPRODUCT((Data!$O$2:$O$2277=A43)*(Data!$M$2:$M$2277="Vladimir Zelenskiy")*ISNUMBER(Data!$N$2:$N$2277)*IF(ISNUMBER(Data!$U$2:$U$2277),Data!$U$2:$U$2277,0))&gt;=Formula!$C$31)),B43,(SUMPRODUCT((Data!$O$2:$O$2277=A43)*(Data!$M$2:$M$2277="Vladimir Zelenskiy")*ISNUMBER(Data!$N$2:$N$2277)*IF(ISNUMBER(Data!$W$2:$W$2277),Data!$W$2:$W$2277,0)*IF(ISNUMBER(Data!$U$2:$U$2277),Data!$U$2:$U$2277,0))+Formula!$C$29*F42)/(SUMPRODUCT((Data!$O$2:$O$2277=A43)*(Data!$M$2:$M$2277="Vladimir Zelenskiy")*ISNUMBER(Data!$N$2:$N$2277)*IF(ISNUMBER(Data!$U$2:$U$2277),Data!$U$2:$U$2277,0))+Formula!$C$29)),IF(F42&lt;&gt;"",F42,""))</f>
        <v>37.84321048</v>
      </c>
      <c r="G43" s="70">
        <f>IF(C43&lt;&gt;"",IF(OR(G42="",AND(ABS(IFERROR(SUMPRODUCT((Data!$O$2:$O$2277=A43)*(Data!$M$2:$M$2277="Valerii Zaluzhniy")*ISNUMBER(Data!$N$2:$N$2277)*IF(ISNUMBER(Data!$W$2:$W$2277),Data!$W$2:$W$2277,0)*IF(ISNUMBER(Data!$U$2:$U$2277),Data!$U$2:$U$2277,0))/SUMPRODUCT((Data!$O$2:$O$2277=A43)*(Data!$M$2:$M$2277="Valerii Zaluzhniy")*ISNUMBER(Data!$N$2:$N$2277)*IF(ISNUMBER(Data!$U$2:$U$2277),Data!$U$2:$U$2277,0)),0)-IF(G42="",0,G42))&gt;Formula!$C$30,SUMPRODUCT((Data!$O$2:$O$2277=A43)*(Data!$M$2:$M$2277="Valerii Zaluzhniy")*ISNUMBER(Data!$N$2:$N$2277)*IF(ISNUMBER(Data!$U$2:$U$2277),Data!$U$2:$U$2277,0))&gt;=Formula!$C$31)),C43,(SUMPRODUCT((Data!$O$2:$O$2277=A43)*(Data!$M$2:$M$2277="Valerii Zaluzhniy")*ISNUMBER(Data!$N$2:$N$2277)*IF(ISNUMBER(Data!$W$2:$W$2277),Data!$W$2:$W$2277,0)*IF(ISNUMBER(Data!$U$2:$U$2277),Data!$U$2:$U$2277,0))+Formula!$C$29*G42)/(SUMPRODUCT((Data!$O$2:$O$2277=A43)*(Data!$M$2:$M$2277="Valerii Zaluzhniy")*ISNUMBER(Data!$N$2:$N$2277)*IF(ISNUMBER(Data!$U$2:$U$2277),Data!$U$2:$U$2277,0))+Formula!$C$29)),IF(G42&lt;&gt;"",G42,""))</f>
        <v>30.43215576</v>
      </c>
      <c r="H43" s="70">
        <f>IF(D43&lt;&gt;"",IF(OR(H42="",AND(ABS(IFERROR(SUMPRODUCT((Data!$O$2:$O$2277=A43)*(Data!$M$2:$M$2277="Kyrylo Budanov")*ISNUMBER(Data!$N$2:$N$2277)*IF(ISNUMBER(Data!$W$2:$W$2277),Data!$W$2:$W$2277,0)*IF(ISNUMBER(Data!$U$2:$U$2277),Data!$U$2:$U$2277,0))/SUMPRODUCT((Data!$O$2:$O$2277=A43)*(Data!$M$2:$M$2277="Kyrylo Budanov")*ISNUMBER(Data!$N$2:$N$2277)*IF(ISNUMBER(Data!$U$2:$U$2277),Data!$U$2:$U$2277,0)),0)-IF(H42="",0,H42))&gt;Formula!$C$30,SUMPRODUCT((Data!$O$2:$O$2277=A43)*(Data!$M$2:$M$2277="Kyrylo Budanov")*ISNUMBER(Data!$N$2:$N$2277)*IF(ISNUMBER(Data!$U$2:$U$2277),Data!$U$2:$U$2277,0))&gt;=Formula!$C$31)),D43,(SUMPRODUCT((Data!$O$2:$O$2277=A43)*(Data!$M$2:$M$2277="Kyrylo Budanov")*ISNUMBER(Data!$N$2:$N$2277)*IF(ISNUMBER(Data!$W$2:$W$2277),Data!$W$2:$W$2277,0)*IF(ISNUMBER(Data!$U$2:$U$2277),Data!$U$2:$U$2277,0))+Formula!$C$29*H42)/(SUMPRODUCT((Data!$O$2:$O$2277=A43)*(Data!$M$2:$M$2277="Kyrylo Budanov")*ISNUMBER(Data!$N$2:$N$2277)*IF(ISNUMBER(Data!$U$2:$U$2277),Data!$U$2:$U$2277,0))+Formula!$C$29)),IF(H42&lt;&gt;"",H42,""))</f>
        <v>5.435969737</v>
      </c>
      <c r="I43" s="70">
        <f>IF(E43&lt;&gt;"",IF(OR(I42="",AND(ABS(IFERROR(SUMPRODUCT((Data!$O$2:$O$2277=A43)*(Data!$M$2:$M$2277="Pyotr Poroshenko")*ISNUMBER(Data!$N$2:$N$2277)*IF(ISNUMBER(Data!$W$2:$W$2277),Data!$W$2:$W$2277,0)*IF(ISNUMBER(Data!$U$2:$U$2277),Data!$U$2:$U$2277,0))/SUMPRODUCT((Data!$O$2:$O$2277=A43)*(Data!$M$2:$M$2277="Pyotr Poroshenko")*ISNUMBER(Data!$N$2:$N$2277)*IF(ISNUMBER(Data!$U$2:$U$2277),Data!$U$2:$U$2277,0)),0)-IF(I42="",0,I42))&gt;Formula!$C$30,SUMPRODUCT((Data!$O$2:$O$2277=A43)*(Data!$M$2:$M$2277="Pyotr Poroshenko")*ISNUMBER(Data!$N$2:$N$2277)*IF(ISNUMBER(Data!$U$2:$U$2277),Data!$U$2:$U$2277,0))&gt;=Formula!$C$31)),E43,(SUMPRODUCT((Data!$O$2:$O$2277=A43)*(Data!$M$2:$M$2277="Pyotr Poroshenko")*ISNUMBER(Data!$N$2:$N$2277)*IF(ISNUMBER(Data!$W$2:$W$2277),Data!$W$2:$W$2277,0)*IF(ISNUMBER(Data!$U$2:$U$2277),Data!$U$2:$U$2277,0))+Formula!$C$29*I42)/(SUMPRODUCT((Data!$O$2:$O$2277=A43)*(Data!$M$2:$M$2277="Pyotr Poroshenko")*ISNUMBER(Data!$N$2:$N$2277)*IF(ISNUMBER(Data!$U$2:$U$2277),Data!$U$2:$U$2277,0))+Formula!$C$29)),IF(I42&lt;&gt;"",I42,""))</f>
        <v>7.136456052</v>
      </c>
      <c r="L43" s="71">
        <f t="shared" ref="L43:O43" si="45">IFERROR((IF(F41&lt;&gt;"",F41*1,0)+IF(F42&lt;&gt;"",F42*2,0)+IF(F43&lt;&gt;"",F43*3,0))/(IF(F41&lt;&gt;"",1,0)+IF(F42&lt;&gt;"",2,0)+IF(F43&lt;&gt;"",3,0)),"")</f>
        <v>34.00807728</v>
      </c>
      <c r="M43" s="71">
        <f t="shared" si="45"/>
        <v>28.76831532</v>
      </c>
      <c r="N43" s="71">
        <f t="shared" si="45"/>
        <v>4.76766755</v>
      </c>
      <c r="O43" s="71">
        <f t="shared" si="45"/>
        <v>6.958053285</v>
      </c>
    </row>
    <row r="44" ht="12.75" customHeight="1">
      <c r="A44" s="64">
        <v>45901.0</v>
      </c>
      <c r="B44" s="65" t="str">
        <f>IFERROR(IF(SUMPRODUCT((Data!$O$2:$O$2277=A44)*(Data!$M$2:$M$2277="Vladimir Zelenskiy")*ISNUMBER(Data!$N$2:$N$2277)*IF(ISNUMBER(Data!$U$2:$U$2277),Data!$U$2:$U$2277,0))&gt;0,SUMPRODUCT((Data!$O$2:$O$2277=A44)*(Data!$M$2:$M$2277="Vladimir Zelenskiy")*ISNUMBER(Data!$N$2:$N$2277)*IF(ISNUMBER(Data!$W$2:$W$2277),Data!$W$2:$W$2277,0)*IF(ISNUMBER(Data!$U$2:$U$2277),Data!$U$2:$U$2277,0))/SUMPRODUCT((Data!$O$2:$O$2277=A44)*(Data!$M$2:$M$2277="Vladimir Zelenskiy")*ISNUMBER(Data!$N$2:$N$2277)*IF(ISNUMBER(Data!$U$2:$U$2277),Data!$U$2:$U$2277,0)),""),"")</f>
        <v/>
      </c>
      <c r="C44" s="65" t="str">
        <f>IFERROR(IF(SUMPRODUCT((Data!$O$2:$O$2277=A44)*(Data!$M$2:$M$2277="Valerii Zaluzhniy")*ISNUMBER(Data!$N$2:$N$2277)*IF(ISNUMBER(Data!$U$2:$U$2277),Data!$U$2:$U$2277,0))&gt;0,SUMPRODUCT((Data!$O$2:$O$2277=A44)*(Data!$M$2:$M$2277="Valerii Zaluzhniy")*ISNUMBER(Data!$N$2:$N$2277)*IF(ISNUMBER(Data!$W$2:$W$2277),Data!$W$2:$W$2277,0)*IF(ISNUMBER(Data!$U$2:$U$2277),Data!$U$2:$U$2277,0))/SUMPRODUCT((Data!$O$2:$O$2277=A44)*(Data!$M$2:$M$2277="Valerii Zaluzhniy")*ISNUMBER(Data!$N$2:$N$2277)*IF(ISNUMBER(Data!$U$2:$U$2277),Data!$U$2:$U$2277,0)),""),"")</f>
        <v/>
      </c>
      <c r="D44" s="65" t="str">
        <f>IFERROR(IF(SUMPRODUCT((Data!$O$2:$O$2277=A44)*(Data!$M$2:$M$2277="Kyrylo Budanov")*ISNUMBER(Data!$N$2:$N$2277)*IF(ISNUMBER(Data!$U$2:$U$2277),Data!$U$2:$U$2277,0))&gt;0,SUMPRODUCT((Data!$O$2:$O$2277=A44)*(Data!$M$2:$M$2277="Kyrylo Budanov")*ISNUMBER(Data!$N$2:$N$2277)*IF(ISNUMBER(Data!$W$2:$W$2277),Data!$W$2:$W$2277,0)*IF(ISNUMBER(Data!$U$2:$U$2277),Data!$U$2:$U$2277,0))/SUMPRODUCT((Data!$O$2:$O$2277=A44)*(Data!$M$2:$M$2277="Kyrylo Budanov")*ISNUMBER(Data!$N$2:$N$2277)*IF(ISNUMBER(Data!$U$2:$U$2277),Data!$U$2:$U$2277,0)),""),"")</f>
        <v/>
      </c>
      <c r="E44" s="65" t="str">
        <f>IFERROR(IF(SUMPRODUCT((Data!$O$2:$O$2277=A44)*(Data!$M$2:$M$2277="Pyotr Poroshenko")*ISNUMBER(Data!$N$2:$N$2277)*IF(ISNUMBER(Data!$U$2:$U$2277),Data!$U$2:$U$2277,0))&gt;0,SUMPRODUCT((Data!$O$2:$O$2277=A44)*(Data!$M$2:$M$2277="Pyotr Poroshenko")*ISNUMBER(Data!$N$2:$N$2277)*IF(ISNUMBER(Data!$W$2:$W$2277),Data!$W$2:$W$2277,0)*IF(ISNUMBER(Data!$U$2:$U$2277),Data!$U$2:$U$2277,0))/SUMPRODUCT((Data!$O$2:$O$2277=A44)*(Data!$M$2:$M$2277="Pyotr Poroshenko")*ISNUMBER(Data!$N$2:$N$2277)*IF(ISNUMBER(Data!$U$2:$U$2277),Data!$U$2:$U$2277,0)),""),"")</f>
        <v/>
      </c>
      <c r="F44" s="66">
        <f>IF(B44&lt;&gt;"",IF(OR(F43="",AND(ABS(IFERROR(SUMPRODUCT((Data!$O$2:$O$2277=A44)*(Data!$M$2:$M$2277="Vladimir Zelenskiy")*ISNUMBER(Data!$N$2:$N$2277)*IF(ISNUMBER(Data!$W$2:$W$2277),Data!$W$2:$W$2277,0)*IF(ISNUMBER(Data!$U$2:$U$2277),Data!$U$2:$U$2277,0))/SUMPRODUCT((Data!$O$2:$O$2277=A44)*(Data!$M$2:$M$2277="Vladimir Zelenskiy")*ISNUMBER(Data!$N$2:$N$2277)*IF(ISNUMBER(Data!$U$2:$U$2277),Data!$U$2:$U$2277,0)),0)-IF(F43="",0,F43))&gt;Formula!$C$30,SUMPRODUCT((Data!$O$2:$O$2277=A44)*(Data!$M$2:$M$2277="Vladimir Zelenskiy")*ISNUMBER(Data!$N$2:$N$2277)*IF(ISNUMBER(Data!$U$2:$U$2277),Data!$U$2:$U$2277,0))&gt;=Formula!$C$31)),B44,(SUMPRODUCT((Data!$O$2:$O$2277=A44)*(Data!$M$2:$M$2277="Vladimir Zelenskiy")*ISNUMBER(Data!$N$2:$N$2277)*IF(ISNUMBER(Data!$W$2:$W$2277),Data!$W$2:$W$2277,0)*IF(ISNUMBER(Data!$U$2:$U$2277),Data!$U$2:$U$2277,0))+Formula!$C$29*F43)/(SUMPRODUCT((Data!$O$2:$O$2277=A44)*(Data!$M$2:$M$2277="Vladimir Zelenskiy")*ISNUMBER(Data!$N$2:$N$2277)*IF(ISNUMBER(Data!$U$2:$U$2277),Data!$U$2:$U$2277,0))+Formula!$C$29)),IF(F43&lt;&gt;"",F43,""))</f>
        <v>37.84321048</v>
      </c>
      <c r="G44" s="66">
        <f>IF(C44&lt;&gt;"",IF(OR(G43="",AND(ABS(IFERROR(SUMPRODUCT((Data!$O$2:$O$2277=A44)*(Data!$M$2:$M$2277="Valerii Zaluzhniy")*ISNUMBER(Data!$N$2:$N$2277)*IF(ISNUMBER(Data!$W$2:$W$2277),Data!$W$2:$W$2277,0)*IF(ISNUMBER(Data!$U$2:$U$2277),Data!$U$2:$U$2277,0))/SUMPRODUCT((Data!$O$2:$O$2277=A44)*(Data!$M$2:$M$2277="Valerii Zaluzhniy")*ISNUMBER(Data!$N$2:$N$2277)*IF(ISNUMBER(Data!$U$2:$U$2277),Data!$U$2:$U$2277,0)),0)-IF(G43="",0,G43))&gt;Formula!$C$30,SUMPRODUCT((Data!$O$2:$O$2277=A44)*(Data!$M$2:$M$2277="Valerii Zaluzhniy")*ISNUMBER(Data!$N$2:$N$2277)*IF(ISNUMBER(Data!$U$2:$U$2277),Data!$U$2:$U$2277,0))&gt;=Formula!$C$31)),C44,(SUMPRODUCT((Data!$O$2:$O$2277=A44)*(Data!$M$2:$M$2277="Valerii Zaluzhniy")*ISNUMBER(Data!$N$2:$N$2277)*IF(ISNUMBER(Data!$W$2:$W$2277),Data!$W$2:$W$2277,0)*IF(ISNUMBER(Data!$U$2:$U$2277),Data!$U$2:$U$2277,0))+Formula!$C$29*G43)/(SUMPRODUCT((Data!$O$2:$O$2277=A44)*(Data!$M$2:$M$2277="Valerii Zaluzhniy")*ISNUMBER(Data!$N$2:$N$2277)*IF(ISNUMBER(Data!$U$2:$U$2277),Data!$U$2:$U$2277,0))+Formula!$C$29)),IF(G43&lt;&gt;"",G43,""))</f>
        <v>30.43215576</v>
      </c>
      <c r="H44" s="66">
        <f>IF(D44&lt;&gt;"",IF(OR(H43="",AND(ABS(IFERROR(SUMPRODUCT((Data!$O$2:$O$2277=A44)*(Data!$M$2:$M$2277="Kyrylo Budanov")*ISNUMBER(Data!$N$2:$N$2277)*IF(ISNUMBER(Data!$W$2:$W$2277),Data!$W$2:$W$2277,0)*IF(ISNUMBER(Data!$U$2:$U$2277),Data!$U$2:$U$2277,0))/SUMPRODUCT((Data!$O$2:$O$2277=A44)*(Data!$M$2:$M$2277="Kyrylo Budanov")*ISNUMBER(Data!$N$2:$N$2277)*IF(ISNUMBER(Data!$U$2:$U$2277),Data!$U$2:$U$2277,0)),0)-IF(H43="",0,H43))&gt;Formula!$C$30,SUMPRODUCT((Data!$O$2:$O$2277=A44)*(Data!$M$2:$M$2277="Kyrylo Budanov")*ISNUMBER(Data!$N$2:$N$2277)*IF(ISNUMBER(Data!$U$2:$U$2277),Data!$U$2:$U$2277,0))&gt;=Formula!$C$31)),D44,(SUMPRODUCT((Data!$O$2:$O$2277=A44)*(Data!$M$2:$M$2277="Kyrylo Budanov")*ISNUMBER(Data!$N$2:$N$2277)*IF(ISNUMBER(Data!$W$2:$W$2277),Data!$W$2:$W$2277,0)*IF(ISNUMBER(Data!$U$2:$U$2277),Data!$U$2:$U$2277,0))+Formula!$C$29*H43)/(SUMPRODUCT((Data!$O$2:$O$2277=A44)*(Data!$M$2:$M$2277="Kyrylo Budanov")*ISNUMBER(Data!$N$2:$N$2277)*IF(ISNUMBER(Data!$U$2:$U$2277),Data!$U$2:$U$2277,0))+Formula!$C$29)),IF(H43&lt;&gt;"",H43,""))</f>
        <v>5.435969737</v>
      </c>
      <c r="I44" s="66">
        <f>IF(E44&lt;&gt;"",IF(OR(I43="",AND(ABS(IFERROR(SUMPRODUCT((Data!$O$2:$O$2277=A44)*(Data!$M$2:$M$2277="Pyotr Poroshenko")*ISNUMBER(Data!$N$2:$N$2277)*IF(ISNUMBER(Data!$W$2:$W$2277),Data!$W$2:$W$2277,0)*IF(ISNUMBER(Data!$U$2:$U$2277),Data!$U$2:$U$2277,0))/SUMPRODUCT((Data!$O$2:$O$2277=A44)*(Data!$M$2:$M$2277="Pyotr Poroshenko")*ISNUMBER(Data!$N$2:$N$2277)*IF(ISNUMBER(Data!$U$2:$U$2277),Data!$U$2:$U$2277,0)),0)-IF(I43="",0,I43))&gt;Formula!$C$30,SUMPRODUCT((Data!$O$2:$O$2277=A44)*(Data!$M$2:$M$2277="Pyotr Poroshenko")*ISNUMBER(Data!$N$2:$N$2277)*IF(ISNUMBER(Data!$U$2:$U$2277),Data!$U$2:$U$2277,0))&gt;=Formula!$C$31)),E44,(SUMPRODUCT((Data!$O$2:$O$2277=A44)*(Data!$M$2:$M$2277="Pyotr Poroshenko")*ISNUMBER(Data!$N$2:$N$2277)*IF(ISNUMBER(Data!$W$2:$W$2277),Data!$W$2:$W$2277,0)*IF(ISNUMBER(Data!$U$2:$U$2277),Data!$U$2:$U$2277,0))+Formula!$C$29*I43)/(SUMPRODUCT((Data!$O$2:$O$2277=A44)*(Data!$M$2:$M$2277="Pyotr Poroshenko")*ISNUMBER(Data!$N$2:$N$2277)*IF(ISNUMBER(Data!$U$2:$U$2277),Data!$U$2:$U$2277,0))+Formula!$C$29)),IF(I43&lt;&gt;"",I43,""))</f>
        <v>7.136456052</v>
      </c>
      <c r="L44" s="67">
        <f t="shared" ref="L44:O44" si="46">IFERROR((IF(F42&lt;&gt;"",F42*1,0)+IF(F43&lt;&gt;"",F43*2,0)+IF(F44&lt;&gt;"",F44*3,0))/(IF(F42&lt;&gt;"",1,0)+IF(F43&lt;&gt;"",2,0)+IF(F44&lt;&gt;"",3,0)),"")</f>
        <v>36.56483274</v>
      </c>
      <c r="M44" s="67">
        <f t="shared" si="46"/>
        <v>29.87754228</v>
      </c>
      <c r="N44" s="67">
        <f t="shared" si="46"/>
        <v>5.213202342</v>
      </c>
      <c r="O44" s="67">
        <f t="shared" si="46"/>
        <v>7.076988463</v>
      </c>
    </row>
    <row r="45" ht="12.75" customHeight="1">
      <c r="A45" s="68">
        <v>45931.0</v>
      </c>
      <c r="B45" s="69">
        <f>IFERROR(IF(SUMPRODUCT((Data!$O$2:$O$2277=A45)*(Data!$M$2:$M$2277="Vladimir Zelenskiy")*ISNUMBER(Data!$N$2:$N$2277)*IF(ISNUMBER(Data!$U$2:$U$2277),Data!$U$2:$U$2277,0))&gt;0,SUMPRODUCT((Data!$O$2:$O$2277=A45)*(Data!$M$2:$M$2277="Vladimir Zelenskiy")*ISNUMBER(Data!$N$2:$N$2277)*IF(ISNUMBER(Data!$W$2:$W$2277),Data!$W$2:$W$2277,0)*IF(ISNUMBER(Data!$U$2:$U$2277),Data!$U$2:$U$2277,0))/SUMPRODUCT((Data!$O$2:$O$2277=A45)*(Data!$M$2:$M$2277="Vladimir Zelenskiy")*ISNUMBER(Data!$N$2:$N$2277)*IF(ISNUMBER(Data!$U$2:$U$2277),Data!$U$2:$U$2277,0)),""),"")</f>
        <v>27.73105543</v>
      </c>
      <c r="C45" s="69">
        <f>IFERROR(IF(SUMPRODUCT((Data!$O$2:$O$2277=A45)*(Data!$M$2:$M$2277="Valerii Zaluzhniy")*ISNUMBER(Data!$N$2:$N$2277)*IF(ISNUMBER(Data!$U$2:$U$2277),Data!$U$2:$U$2277,0))&gt;0,SUMPRODUCT((Data!$O$2:$O$2277=A45)*(Data!$M$2:$M$2277="Valerii Zaluzhniy")*ISNUMBER(Data!$N$2:$N$2277)*IF(ISNUMBER(Data!$W$2:$W$2277),Data!$W$2:$W$2277,0)*IF(ISNUMBER(Data!$U$2:$U$2277),Data!$U$2:$U$2277,0))/SUMPRODUCT((Data!$O$2:$O$2277=A45)*(Data!$M$2:$M$2277="Valerii Zaluzhniy")*ISNUMBER(Data!$N$2:$N$2277)*IF(ISNUMBER(Data!$U$2:$U$2277),Data!$U$2:$U$2277,0)),""),"")</f>
        <v>25.5131006</v>
      </c>
      <c r="D45" s="69">
        <f>IFERROR(IF(SUMPRODUCT((Data!$O$2:$O$2277=A45)*(Data!$M$2:$M$2277="Kyrylo Budanov")*ISNUMBER(Data!$N$2:$N$2277)*IF(ISNUMBER(Data!$U$2:$U$2277),Data!$U$2:$U$2277,0))&gt;0,SUMPRODUCT((Data!$O$2:$O$2277=A45)*(Data!$M$2:$M$2277="Kyrylo Budanov")*ISNUMBER(Data!$N$2:$N$2277)*IF(ISNUMBER(Data!$W$2:$W$2277),Data!$W$2:$W$2277,0)*IF(ISNUMBER(Data!$U$2:$U$2277),Data!$U$2:$U$2277,0))/SUMPRODUCT((Data!$O$2:$O$2277=A45)*(Data!$M$2:$M$2277="Kyrylo Budanov")*ISNUMBER(Data!$N$2:$N$2277)*IF(ISNUMBER(Data!$U$2:$U$2277),Data!$U$2:$U$2277,0)),""),"")</f>
        <v>6.956895262</v>
      </c>
      <c r="E45" s="69">
        <f>IFERROR(IF(SUMPRODUCT((Data!$O$2:$O$2277=A45)*(Data!$M$2:$M$2277="Pyotr Poroshenko")*ISNUMBER(Data!$N$2:$N$2277)*IF(ISNUMBER(Data!$U$2:$U$2277),Data!$U$2:$U$2277,0))&gt;0,SUMPRODUCT((Data!$O$2:$O$2277=A45)*(Data!$M$2:$M$2277="Pyotr Poroshenko")*ISNUMBER(Data!$N$2:$N$2277)*IF(ISNUMBER(Data!$W$2:$W$2277),Data!$W$2:$W$2277,0)*IF(ISNUMBER(Data!$U$2:$U$2277),Data!$U$2:$U$2277,0))/SUMPRODUCT((Data!$O$2:$O$2277=A45)*(Data!$M$2:$M$2277="Pyotr Poroshenko")*ISNUMBER(Data!$N$2:$N$2277)*IF(ISNUMBER(Data!$U$2:$U$2277),Data!$U$2:$U$2277,0)),""),"")</f>
        <v>7.253815193</v>
      </c>
      <c r="F45" s="70">
        <f>IF(B45&lt;&gt;"",IF(OR(F44="",AND(ABS(IFERROR(SUMPRODUCT((Data!$O$2:$O$2277=A45)*(Data!$M$2:$M$2277="Vladimir Zelenskiy")*ISNUMBER(Data!$N$2:$N$2277)*IF(ISNUMBER(Data!$W$2:$W$2277),Data!$W$2:$W$2277,0)*IF(ISNUMBER(Data!$U$2:$U$2277),Data!$U$2:$U$2277,0))/SUMPRODUCT((Data!$O$2:$O$2277=A45)*(Data!$M$2:$M$2277="Vladimir Zelenskiy")*ISNUMBER(Data!$N$2:$N$2277)*IF(ISNUMBER(Data!$U$2:$U$2277),Data!$U$2:$U$2277,0)),0)-IF(F44="",0,F44))&gt;Formula!$C$30,SUMPRODUCT((Data!$O$2:$O$2277=A45)*(Data!$M$2:$M$2277="Vladimir Zelenskiy")*ISNUMBER(Data!$N$2:$N$2277)*IF(ISNUMBER(Data!$U$2:$U$2277),Data!$U$2:$U$2277,0))&gt;=Formula!$C$31)),B45,(SUMPRODUCT((Data!$O$2:$O$2277=A45)*(Data!$M$2:$M$2277="Vladimir Zelenskiy")*ISNUMBER(Data!$N$2:$N$2277)*IF(ISNUMBER(Data!$W$2:$W$2277),Data!$W$2:$W$2277,0)*IF(ISNUMBER(Data!$U$2:$U$2277),Data!$U$2:$U$2277,0))+Formula!$C$29*F44)/(SUMPRODUCT((Data!$O$2:$O$2277=A45)*(Data!$M$2:$M$2277="Vladimir Zelenskiy")*ISNUMBER(Data!$N$2:$N$2277)*IF(ISNUMBER(Data!$U$2:$U$2277),Data!$U$2:$U$2277,0))+Formula!$C$29)),IF(F44&lt;&gt;"",F44,""))</f>
        <v>31.93826642</v>
      </c>
      <c r="G45" s="70">
        <f>IF(C45&lt;&gt;"",IF(OR(G44="",AND(ABS(IFERROR(SUMPRODUCT((Data!$O$2:$O$2277=A45)*(Data!$M$2:$M$2277="Valerii Zaluzhniy")*ISNUMBER(Data!$N$2:$N$2277)*IF(ISNUMBER(Data!$W$2:$W$2277),Data!$W$2:$W$2277,0)*IF(ISNUMBER(Data!$U$2:$U$2277),Data!$U$2:$U$2277,0))/SUMPRODUCT((Data!$O$2:$O$2277=A45)*(Data!$M$2:$M$2277="Valerii Zaluzhniy")*ISNUMBER(Data!$N$2:$N$2277)*IF(ISNUMBER(Data!$U$2:$U$2277),Data!$U$2:$U$2277,0)),0)-IF(G44="",0,G44))&gt;Formula!$C$30,SUMPRODUCT((Data!$O$2:$O$2277=A45)*(Data!$M$2:$M$2277="Valerii Zaluzhniy")*ISNUMBER(Data!$N$2:$N$2277)*IF(ISNUMBER(Data!$U$2:$U$2277),Data!$U$2:$U$2277,0))&gt;=Formula!$C$31)),C45,(SUMPRODUCT((Data!$O$2:$O$2277=A45)*(Data!$M$2:$M$2277="Valerii Zaluzhniy")*ISNUMBER(Data!$N$2:$N$2277)*IF(ISNUMBER(Data!$W$2:$W$2277),Data!$W$2:$W$2277,0)*IF(ISNUMBER(Data!$U$2:$U$2277),Data!$U$2:$U$2277,0))+Formula!$C$29*G44)/(SUMPRODUCT((Data!$O$2:$O$2277=A45)*(Data!$M$2:$M$2277="Valerii Zaluzhniy")*ISNUMBER(Data!$N$2:$N$2277)*IF(ISNUMBER(Data!$U$2:$U$2277),Data!$U$2:$U$2277,0))+Formula!$C$29)),IF(G44&lt;&gt;"",G44,""))</f>
        <v>27.55969728</v>
      </c>
      <c r="H45" s="70">
        <f>IF(D45&lt;&gt;"",IF(OR(H44="",AND(ABS(IFERROR(SUMPRODUCT((Data!$O$2:$O$2277=A45)*(Data!$M$2:$M$2277="Kyrylo Budanov")*ISNUMBER(Data!$N$2:$N$2277)*IF(ISNUMBER(Data!$W$2:$W$2277),Data!$W$2:$W$2277,0)*IF(ISNUMBER(Data!$U$2:$U$2277),Data!$U$2:$U$2277,0))/SUMPRODUCT((Data!$O$2:$O$2277=A45)*(Data!$M$2:$M$2277="Kyrylo Budanov")*ISNUMBER(Data!$N$2:$N$2277)*IF(ISNUMBER(Data!$U$2:$U$2277),Data!$U$2:$U$2277,0)),0)-IF(H44="",0,H44))&gt;Formula!$C$30,SUMPRODUCT((Data!$O$2:$O$2277=A45)*(Data!$M$2:$M$2277="Kyrylo Budanov")*ISNUMBER(Data!$N$2:$N$2277)*IF(ISNUMBER(Data!$U$2:$U$2277),Data!$U$2:$U$2277,0))&gt;=Formula!$C$31)),D45,(SUMPRODUCT((Data!$O$2:$O$2277=A45)*(Data!$M$2:$M$2277="Kyrylo Budanov")*ISNUMBER(Data!$N$2:$N$2277)*IF(ISNUMBER(Data!$W$2:$W$2277),Data!$W$2:$W$2277,0)*IF(ISNUMBER(Data!$U$2:$U$2277),Data!$U$2:$U$2277,0))+Formula!$C$29*H44)/(SUMPRODUCT((Data!$O$2:$O$2277=A45)*(Data!$M$2:$M$2277="Kyrylo Budanov")*ISNUMBER(Data!$N$2:$N$2277)*IF(ISNUMBER(Data!$U$2:$U$2277),Data!$U$2:$U$2277,0))+Formula!$C$29)),IF(H44&lt;&gt;"",H44,""))</f>
        <v>6.324106845</v>
      </c>
      <c r="I45" s="70">
        <f>IF(E45&lt;&gt;"",IF(OR(I44="",AND(ABS(IFERROR(SUMPRODUCT((Data!$O$2:$O$2277=A45)*(Data!$M$2:$M$2277="Pyotr Poroshenko")*ISNUMBER(Data!$N$2:$N$2277)*IF(ISNUMBER(Data!$W$2:$W$2277),Data!$W$2:$W$2277,0)*IF(ISNUMBER(Data!$U$2:$U$2277),Data!$U$2:$U$2277,0))/SUMPRODUCT((Data!$O$2:$O$2277=A45)*(Data!$M$2:$M$2277="Pyotr Poroshenko")*ISNUMBER(Data!$N$2:$N$2277)*IF(ISNUMBER(Data!$U$2:$U$2277),Data!$U$2:$U$2277,0)),0)-IF(I44="",0,I44))&gt;Formula!$C$30,SUMPRODUCT((Data!$O$2:$O$2277=A45)*(Data!$M$2:$M$2277="Pyotr Poroshenko")*ISNUMBER(Data!$N$2:$N$2277)*IF(ISNUMBER(Data!$U$2:$U$2277),Data!$U$2:$U$2277,0))&gt;=Formula!$C$31)),E45,(SUMPRODUCT((Data!$O$2:$O$2277=A45)*(Data!$M$2:$M$2277="Pyotr Poroshenko")*ISNUMBER(Data!$N$2:$N$2277)*IF(ISNUMBER(Data!$W$2:$W$2277),Data!$W$2:$W$2277,0)*IF(ISNUMBER(Data!$U$2:$U$2277),Data!$U$2:$U$2277,0))+Formula!$C$29*I44)/(SUMPRODUCT((Data!$O$2:$O$2277=A45)*(Data!$M$2:$M$2277="Pyotr Poroshenko")*ISNUMBER(Data!$N$2:$N$2277)*IF(ISNUMBER(Data!$U$2:$U$2277),Data!$U$2:$U$2277,0))+Formula!$C$29)),IF(I44&lt;&gt;"",I44,""))</f>
        <v>7.204987355</v>
      </c>
      <c r="L45" s="71">
        <f t="shared" ref="L45:O45" si="47">IFERROR((IF(F43&lt;&gt;"",F43*1,0)+IF(F44&lt;&gt;"",F44*2,0)+IF(F45&lt;&gt;"",F45*3,0))/(IF(F43&lt;&gt;"",1,0)+IF(F44&lt;&gt;"",2,0)+IF(F45&lt;&gt;"",3,0)),"")</f>
        <v>34.89073845</v>
      </c>
      <c r="M45" s="71">
        <f t="shared" si="47"/>
        <v>28.99592652</v>
      </c>
      <c r="N45" s="71">
        <f t="shared" si="47"/>
        <v>5.880038291</v>
      </c>
      <c r="O45" s="71">
        <f t="shared" si="47"/>
        <v>7.170721703</v>
      </c>
    </row>
    <row r="46" ht="12.75" customHeight="1">
      <c r="A46" s="64">
        <v>45962.0</v>
      </c>
      <c r="B46" s="65">
        <f>IFERROR(IF(SUMPRODUCT((Data!$O$2:$O$2277=A46)*(Data!$M$2:$M$2277="Vladimir Zelenskiy")*ISNUMBER(Data!$N$2:$N$2277)*IF(ISNUMBER(Data!$U$2:$U$2277),Data!$U$2:$U$2277,0))&gt;0,SUMPRODUCT((Data!$O$2:$O$2277=A46)*(Data!$M$2:$M$2277="Vladimir Zelenskiy")*ISNUMBER(Data!$N$2:$N$2277)*IF(ISNUMBER(Data!$W$2:$W$2277),Data!$W$2:$W$2277,0)*IF(ISNUMBER(Data!$U$2:$U$2277),Data!$U$2:$U$2277,0))/SUMPRODUCT((Data!$O$2:$O$2277=A46)*(Data!$M$2:$M$2277="Vladimir Zelenskiy")*ISNUMBER(Data!$N$2:$N$2277)*IF(ISNUMBER(Data!$U$2:$U$2277),Data!$U$2:$U$2277,0)),""),"")</f>
        <v>30.56239961</v>
      </c>
      <c r="C46" s="65">
        <f>IFERROR(IF(SUMPRODUCT((Data!$O$2:$O$2277=A46)*(Data!$M$2:$M$2277="Valerii Zaluzhniy")*ISNUMBER(Data!$N$2:$N$2277)*IF(ISNUMBER(Data!$U$2:$U$2277),Data!$U$2:$U$2277,0))&gt;0,SUMPRODUCT((Data!$O$2:$O$2277=A46)*(Data!$M$2:$M$2277="Valerii Zaluzhniy")*ISNUMBER(Data!$N$2:$N$2277)*IF(ISNUMBER(Data!$W$2:$W$2277),Data!$W$2:$W$2277,0)*IF(ISNUMBER(Data!$U$2:$U$2277),Data!$U$2:$U$2277,0))/SUMPRODUCT((Data!$O$2:$O$2277=A46)*(Data!$M$2:$M$2277="Valerii Zaluzhniy")*ISNUMBER(Data!$N$2:$N$2277)*IF(ISNUMBER(Data!$U$2:$U$2277),Data!$U$2:$U$2277,0)),""),"")</f>
        <v>25.44494112</v>
      </c>
      <c r="D46" s="65">
        <f>IFERROR(IF(SUMPRODUCT((Data!$O$2:$O$2277=A46)*(Data!$M$2:$M$2277="Kyrylo Budanov")*ISNUMBER(Data!$N$2:$N$2277)*IF(ISNUMBER(Data!$U$2:$U$2277),Data!$U$2:$U$2277,0))&gt;0,SUMPRODUCT((Data!$O$2:$O$2277=A46)*(Data!$M$2:$M$2277="Kyrylo Budanov")*ISNUMBER(Data!$N$2:$N$2277)*IF(ISNUMBER(Data!$W$2:$W$2277),Data!$W$2:$W$2277,0)*IF(ISNUMBER(Data!$U$2:$U$2277),Data!$U$2:$U$2277,0))/SUMPRODUCT((Data!$O$2:$O$2277=A46)*(Data!$M$2:$M$2277="Kyrylo Budanov")*ISNUMBER(Data!$N$2:$N$2277)*IF(ISNUMBER(Data!$U$2:$U$2277),Data!$U$2:$U$2277,0)),""),"")</f>
        <v>5.450023951</v>
      </c>
      <c r="E46" s="65">
        <f>IFERROR(IF(SUMPRODUCT((Data!$O$2:$O$2277=A46)*(Data!$M$2:$M$2277="Pyotr Poroshenko")*ISNUMBER(Data!$N$2:$N$2277)*IF(ISNUMBER(Data!$U$2:$U$2277),Data!$U$2:$U$2277,0))&gt;0,SUMPRODUCT((Data!$O$2:$O$2277=A46)*(Data!$M$2:$M$2277="Pyotr Poroshenko")*ISNUMBER(Data!$N$2:$N$2277)*IF(ISNUMBER(Data!$W$2:$W$2277),Data!$W$2:$W$2277,0)*IF(ISNUMBER(Data!$U$2:$U$2277),Data!$U$2:$U$2277,0))/SUMPRODUCT((Data!$O$2:$O$2277=A46)*(Data!$M$2:$M$2277="Pyotr Poroshenko")*ISNUMBER(Data!$N$2:$N$2277)*IF(ISNUMBER(Data!$U$2:$U$2277),Data!$U$2:$U$2277,0)),""),"")</f>
        <v>6.628469583</v>
      </c>
      <c r="F46" s="66">
        <f>IF(B46&lt;&gt;"",IF(OR(F45="",AND(ABS(IFERROR(SUMPRODUCT((Data!$O$2:$O$2277=A46)*(Data!$M$2:$M$2277="Vladimir Zelenskiy")*ISNUMBER(Data!$N$2:$N$2277)*IF(ISNUMBER(Data!$W$2:$W$2277),Data!$W$2:$W$2277,0)*IF(ISNUMBER(Data!$U$2:$U$2277),Data!$U$2:$U$2277,0))/SUMPRODUCT((Data!$O$2:$O$2277=A46)*(Data!$M$2:$M$2277="Vladimir Zelenskiy")*ISNUMBER(Data!$N$2:$N$2277)*IF(ISNUMBER(Data!$U$2:$U$2277),Data!$U$2:$U$2277,0)),0)-IF(F45="",0,F45))&gt;Formula!$C$30,SUMPRODUCT((Data!$O$2:$O$2277=A46)*(Data!$M$2:$M$2277="Vladimir Zelenskiy")*ISNUMBER(Data!$N$2:$N$2277)*IF(ISNUMBER(Data!$U$2:$U$2277),Data!$U$2:$U$2277,0))&gt;=Formula!$C$31)),B46,(SUMPRODUCT((Data!$O$2:$O$2277=A46)*(Data!$M$2:$M$2277="Vladimir Zelenskiy")*ISNUMBER(Data!$N$2:$N$2277)*IF(ISNUMBER(Data!$W$2:$W$2277),Data!$W$2:$W$2277,0)*IF(ISNUMBER(Data!$U$2:$U$2277),Data!$U$2:$U$2277,0))+Formula!$C$29*F45)/(SUMPRODUCT((Data!$O$2:$O$2277=A46)*(Data!$M$2:$M$2277="Vladimir Zelenskiy")*ISNUMBER(Data!$N$2:$N$2277)*IF(ISNUMBER(Data!$U$2:$U$2277),Data!$U$2:$U$2277,0))+Formula!$C$29)),IF(F45&lt;&gt;"",F45,""))</f>
        <v>31.21483269</v>
      </c>
      <c r="G46" s="66">
        <f>IF(C46&lt;&gt;"",IF(OR(G45="",AND(ABS(IFERROR(SUMPRODUCT((Data!$O$2:$O$2277=A46)*(Data!$M$2:$M$2277="Valerii Zaluzhniy")*ISNUMBER(Data!$N$2:$N$2277)*IF(ISNUMBER(Data!$W$2:$W$2277),Data!$W$2:$W$2277,0)*IF(ISNUMBER(Data!$U$2:$U$2277),Data!$U$2:$U$2277,0))/SUMPRODUCT((Data!$O$2:$O$2277=A46)*(Data!$M$2:$M$2277="Valerii Zaluzhniy")*ISNUMBER(Data!$N$2:$N$2277)*IF(ISNUMBER(Data!$U$2:$U$2277),Data!$U$2:$U$2277,0)),0)-IF(G45="",0,G45))&gt;Formula!$C$30,SUMPRODUCT((Data!$O$2:$O$2277=A46)*(Data!$M$2:$M$2277="Valerii Zaluzhniy")*ISNUMBER(Data!$N$2:$N$2277)*IF(ISNUMBER(Data!$U$2:$U$2277),Data!$U$2:$U$2277,0))&gt;=Formula!$C$31)),C46,(SUMPRODUCT((Data!$O$2:$O$2277=A46)*(Data!$M$2:$M$2277="Valerii Zaluzhniy")*ISNUMBER(Data!$N$2:$N$2277)*IF(ISNUMBER(Data!$W$2:$W$2277),Data!$W$2:$W$2277,0)*IF(ISNUMBER(Data!$U$2:$U$2277),Data!$U$2:$U$2277,0))+Formula!$C$29*G45)/(SUMPRODUCT((Data!$O$2:$O$2277=A46)*(Data!$M$2:$M$2277="Valerii Zaluzhniy")*ISNUMBER(Data!$N$2:$N$2277)*IF(ISNUMBER(Data!$U$2:$U$2277),Data!$U$2:$U$2277,0))+Formula!$C$29)),IF(G45&lt;&gt;"",G45,""))</f>
        <v>26.44775393</v>
      </c>
      <c r="H46" s="66">
        <f>IF(D46&lt;&gt;"",IF(OR(H45="",AND(ABS(IFERROR(SUMPRODUCT((Data!$O$2:$O$2277=A46)*(Data!$M$2:$M$2277="Kyrylo Budanov")*ISNUMBER(Data!$N$2:$N$2277)*IF(ISNUMBER(Data!$W$2:$W$2277),Data!$W$2:$W$2277,0)*IF(ISNUMBER(Data!$U$2:$U$2277),Data!$U$2:$U$2277,0))/SUMPRODUCT((Data!$O$2:$O$2277=A46)*(Data!$M$2:$M$2277="Kyrylo Budanov")*ISNUMBER(Data!$N$2:$N$2277)*IF(ISNUMBER(Data!$U$2:$U$2277),Data!$U$2:$U$2277,0)),0)-IF(H45="",0,H45))&gt;Formula!$C$30,SUMPRODUCT((Data!$O$2:$O$2277=A46)*(Data!$M$2:$M$2277="Kyrylo Budanov")*ISNUMBER(Data!$N$2:$N$2277)*IF(ISNUMBER(Data!$U$2:$U$2277),Data!$U$2:$U$2277,0))&gt;=Formula!$C$31)),D46,(SUMPRODUCT((Data!$O$2:$O$2277=A46)*(Data!$M$2:$M$2277="Kyrylo Budanov")*ISNUMBER(Data!$N$2:$N$2277)*IF(ISNUMBER(Data!$W$2:$W$2277),Data!$W$2:$W$2277,0)*IF(ISNUMBER(Data!$U$2:$U$2277),Data!$U$2:$U$2277,0))+Formula!$C$29*H45)/(SUMPRODUCT((Data!$O$2:$O$2277=A46)*(Data!$M$2:$M$2277="Kyrylo Budanov")*ISNUMBER(Data!$N$2:$N$2277)*IF(ISNUMBER(Data!$U$2:$U$2277),Data!$U$2:$U$2277,0))+Formula!$C$29)),IF(H45&lt;&gt;"",H45,""))</f>
        <v>5.864512174</v>
      </c>
      <c r="I46" s="66">
        <f>IF(E46&lt;&gt;"",IF(OR(I45="",AND(ABS(IFERROR(SUMPRODUCT((Data!$O$2:$O$2277=A46)*(Data!$M$2:$M$2277="Pyotr Poroshenko")*ISNUMBER(Data!$N$2:$N$2277)*IF(ISNUMBER(Data!$W$2:$W$2277),Data!$W$2:$W$2277,0)*IF(ISNUMBER(Data!$U$2:$U$2277),Data!$U$2:$U$2277,0))/SUMPRODUCT((Data!$O$2:$O$2277=A46)*(Data!$M$2:$M$2277="Pyotr Poroshenko")*ISNUMBER(Data!$N$2:$N$2277)*IF(ISNUMBER(Data!$U$2:$U$2277),Data!$U$2:$U$2277,0)),0)-IF(I45="",0,I45))&gt;Formula!$C$30,SUMPRODUCT((Data!$O$2:$O$2277=A46)*(Data!$M$2:$M$2277="Pyotr Poroshenko")*ISNUMBER(Data!$N$2:$N$2277)*IF(ISNUMBER(Data!$U$2:$U$2277),Data!$U$2:$U$2277,0))&gt;=Formula!$C$31)),E46,(SUMPRODUCT((Data!$O$2:$O$2277=A46)*(Data!$M$2:$M$2277="Pyotr Poroshenko")*ISNUMBER(Data!$N$2:$N$2277)*IF(ISNUMBER(Data!$W$2:$W$2277),Data!$W$2:$W$2277,0)*IF(ISNUMBER(Data!$U$2:$U$2277),Data!$U$2:$U$2277,0))+Formula!$C$29*I45)/(SUMPRODUCT((Data!$O$2:$O$2277=A46)*(Data!$M$2:$M$2277="Pyotr Poroshenko")*ISNUMBER(Data!$N$2:$N$2277)*IF(ISNUMBER(Data!$U$2:$U$2277),Data!$U$2:$U$2277,0))+Formula!$C$29)),IF(I45&lt;&gt;"",I45,""))</f>
        <v>6.901853067</v>
      </c>
      <c r="L46" s="67">
        <f t="shared" ref="L46:O46" si="48">IFERROR((IF(F44&lt;&gt;"",F44*1,0)+IF(F45&lt;&gt;"",F45*2,0)+IF(F46&lt;&gt;"",F46*3,0))/(IF(F44&lt;&gt;"",1,0)+IF(F45&lt;&gt;"",2,0)+IF(F46&lt;&gt;"",3,0)),"")</f>
        <v>32.5607069</v>
      </c>
      <c r="M46" s="67">
        <f t="shared" si="48"/>
        <v>27.48246868</v>
      </c>
      <c r="N46" s="67">
        <f t="shared" si="48"/>
        <v>5.946286658</v>
      </c>
      <c r="O46" s="67">
        <f t="shared" si="48"/>
        <v>7.041998327</v>
      </c>
    </row>
    <row r="47" ht="12.75" customHeight="1">
      <c r="A47" s="68">
        <v>45992.0</v>
      </c>
      <c r="B47" s="69">
        <f>IFERROR(IF(SUMPRODUCT((Data!$O$2:$O$2277=A47)*(Data!$M$2:$M$2277="Vladimir Zelenskiy")*ISNUMBER(Data!$N$2:$N$2277)*IF(ISNUMBER(Data!$U$2:$U$2277),Data!$U$2:$U$2277,0))&gt;0,SUMPRODUCT((Data!$O$2:$O$2277=A47)*(Data!$M$2:$M$2277="Vladimir Zelenskiy")*ISNUMBER(Data!$N$2:$N$2277)*IF(ISNUMBER(Data!$W$2:$W$2277),Data!$W$2:$W$2277,0)*IF(ISNUMBER(Data!$U$2:$U$2277),Data!$U$2:$U$2277,0))/SUMPRODUCT((Data!$O$2:$O$2277=A47)*(Data!$M$2:$M$2277="Vladimir Zelenskiy")*ISNUMBER(Data!$N$2:$N$2277)*IF(ISNUMBER(Data!$U$2:$U$2277),Data!$U$2:$U$2277,0)),""),"")</f>
        <v>28.23041934</v>
      </c>
      <c r="C47" s="69">
        <f>IFERROR(IF(SUMPRODUCT((Data!$O$2:$O$2277=A47)*(Data!$M$2:$M$2277="Valerii Zaluzhniy")*ISNUMBER(Data!$N$2:$N$2277)*IF(ISNUMBER(Data!$U$2:$U$2277),Data!$U$2:$U$2277,0))&gt;0,SUMPRODUCT((Data!$O$2:$O$2277=A47)*(Data!$M$2:$M$2277="Valerii Zaluzhniy")*ISNUMBER(Data!$N$2:$N$2277)*IF(ISNUMBER(Data!$W$2:$W$2277),Data!$W$2:$W$2277,0)*IF(ISNUMBER(Data!$U$2:$U$2277),Data!$U$2:$U$2277,0))/SUMPRODUCT((Data!$O$2:$O$2277=A47)*(Data!$M$2:$M$2277="Valerii Zaluzhniy")*ISNUMBER(Data!$N$2:$N$2277)*IF(ISNUMBER(Data!$U$2:$U$2277),Data!$U$2:$U$2277,0)),""),"")</f>
        <v>26.25513165</v>
      </c>
      <c r="D47" s="69">
        <f>IFERROR(IF(SUMPRODUCT((Data!$O$2:$O$2277=A47)*(Data!$M$2:$M$2277="Kyrylo Budanov")*ISNUMBER(Data!$N$2:$N$2277)*IF(ISNUMBER(Data!$U$2:$U$2277),Data!$U$2:$U$2277,0))&gt;0,SUMPRODUCT((Data!$O$2:$O$2277=A47)*(Data!$M$2:$M$2277="Kyrylo Budanov")*ISNUMBER(Data!$N$2:$N$2277)*IF(ISNUMBER(Data!$W$2:$W$2277),Data!$W$2:$W$2277,0)*IF(ISNUMBER(Data!$U$2:$U$2277),Data!$U$2:$U$2277,0))/SUMPRODUCT((Data!$O$2:$O$2277=A47)*(Data!$M$2:$M$2277="Kyrylo Budanov")*ISNUMBER(Data!$N$2:$N$2277)*IF(ISNUMBER(Data!$U$2:$U$2277),Data!$U$2:$U$2277,0)),""),"")</f>
        <v>7.930078801</v>
      </c>
      <c r="E47" s="69">
        <f>IFERROR(IF(SUMPRODUCT((Data!$O$2:$O$2277=A47)*(Data!$M$2:$M$2277="Pyotr Poroshenko")*ISNUMBER(Data!$N$2:$N$2277)*IF(ISNUMBER(Data!$U$2:$U$2277),Data!$U$2:$U$2277,0))&gt;0,SUMPRODUCT((Data!$O$2:$O$2277=A47)*(Data!$M$2:$M$2277="Pyotr Poroshenko")*ISNUMBER(Data!$N$2:$N$2277)*IF(ISNUMBER(Data!$W$2:$W$2277),Data!$W$2:$W$2277,0)*IF(ISNUMBER(Data!$U$2:$U$2277),Data!$U$2:$U$2277,0))/SUMPRODUCT((Data!$O$2:$O$2277=A47)*(Data!$M$2:$M$2277="Pyotr Poroshenko")*ISNUMBER(Data!$N$2:$N$2277)*IF(ISNUMBER(Data!$U$2:$U$2277),Data!$U$2:$U$2277,0)),""),"")</f>
        <v>7.571836508</v>
      </c>
      <c r="F47" s="70">
        <f>IF(B47&lt;&gt;"",IF(OR(F46="",AND(ABS(IFERROR(SUMPRODUCT((Data!$O$2:$O$2277=A47)*(Data!$M$2:$M$2277="Vladimir Zelenskiy")*ISNUMBER(Data!$N$2:$N$2277)*IF(ISNUMBER(Data!$W$2:$W$2277),Data!$W$2:$W$2277,0)*IF(ISNUMBER(Data!$U$2:$U$2277),Data!$U$2:$U$2277,0))/SUMPRODUCT((Data!$O$2:$O$2277=A47)*(Data!$M$2:$M$2277="Vladimir Zelenskiy")*ISNUMBER(Data!$N$2:$N$2277)*IF(ISNUMBER(Data!$U$2:$U$2277),Data!$U$2:$U$2277,0)),0)-IF(F46="",0,F46))&gt;Formula!$C$30,SUMPRODUCT((Data!$O$2:$O$2277=A47)*(Data!$M$2:$M$2277="Vladimir Zelenskiy")*ISNUMBER(Data!$N$2:$N$2277)*IF(ISNUMBER(Data!$U$2:$U$2277),Data!$U$2:$U$2277,0))&gt;=Formula!$C$31)),B47,(SUMPRODUCT((Data!$O$2:$O$2277=A47)*(Data!$M$2:$M$2277="Vladimir Zelenskiy")*ISNUMBER(Data!$N$2:$N$2277)*IF(ISNUMBER(Data!$W$2:$W$2277),Data!$W$2:$W$2277,0)*IF(ISNUMBER(Data!$U$2:$U$2277),Data!$U$2:$U$2277,0))+Formula!$C$29*F46)/(SUMPRODUCT((Data!$O$2:$O$2277=A47)*(Data!$M$2:$M$2277="Vladimir Zelenskiy")*ISNUMBER(Data!$N$2:$N$2277)*IF(ISNUMBER(Data!$U$2:$U$2277),Data!$U$2:$U$2277,0))+Formula!$C$29)),IF(F46&lt;&gt;"",F46,""))</f>
        <v>29.22530363</v>
      </c>
      <c r="G47" s="70">
        <f>IF(C47&lt;&gt;"",IF(OR(G46="",AND(ABS(IFERROR(SUMPRODUCT((Data!$O$2:$O$2277=A47)*(Data!$M$2:$M$2277="Valerii Zaluzhniy")*ISNUMBER(Data!$N$2:$N$2277)*IF(ISNUMBER(Data!$W$2:$W$2277),Data!$W$2:$W$2277,0)*IF(ISNUMBER(Data!$U$2:$U$2277),Data!$U$2:$U$2277,0))/SUMPRODUCT((Data!$O$2:$O$2277=A47)*(Data!$M$2:$M$2277="Valerii Zaluzhniy")*ISNUMBER(Data!$N$2:$N$2277)*IF(ISNUMBER(Data!$U$2:$U$2277),Data!$U$2:$U$2277,0)),0)-IF(G46="",0,G46))&gt;Formula!$C$30,SUMPRODUCT((Data!$O$2:$O$2277=A47)*(Data!$M$2:$M$2277="Valerii Zaluzhniy")*ISNUMBER(Data!$N$2:$N$2277)*IF(ISNUMBER(Data!$U$2:$U$2277),Data!$U$2:$U$2277,0))&gt;=Formula!$C$31)),C47,(SUMPRODUCT((Data!$O$2:$O$2277=A47)*(Data!$M$2:$M$2277="Valerii Zaluzhniy")*ISNUMBER(Data!$N$2:$N$2277)*IF(ISNUMBER(Data!$W$2:$W$2277),Data!$W$2:$W$2277,0)*IF(ISNUMBER(Data!$U$2:$U$2277),Data!$U$2:$U$2277,0))+Formula!$C$29*G46)/(SUMPRODUCT((Data!$O$2:$O$2277=A47)*(Data!$M$2:$M$2277="Valerii Zaluzhniy")*ISNUMBER(Data!$N$2:$N$2277)*IF(ISNUMBER(Data!$U$2:$U$2277),Data!$U$2:$U$2277,0))+Formula!$C$29)),IF(G46&lt;&gt;"",G46,""))</f>
        <v>26.31934423</v>
      </c>
      <c r="H47" s="70">
        <f>IF(D47&lt;&gt;"",IF(OR(H46="",AND(ABS(IFERROR(SUMPRODUCT((Data!$O$2:$O$2277=A47)*(Data!$M$2:$M$2277="Kyrylo Budanov")*ISNUMBER(Data!$N$2:$N$2277)*IF(ISNUMBER(Data!$W$2:$W$2277),Data!$W$2:$W$2277,0)*IF(ISNUMBER(Data!$U$2:$U$2277),Data!$U$2:$U$2277,0))/SUMPRODUCT((Data!$O$2:$O$2277=A47)*(Data!$M$2:$M$2277="Kyrylo Budanov")*ISNUMBER(Data!$N$2:$N$2277)*IF(ISNUMBER(Data!$U$2:$U$2277),Data!$U$2:$U$2277,0)),0)-IF(H46="",0,H46))&gt;Formula!$C$30,SUMPRODUCT((Data!$O$2:$O$2277=A47)*(Data!$M$2:$M$2277="Kyrylo Budanov")*ISNUMBER(Data!$N$2:$N$2277)*IF(ISNUMBER(Data!$U$2:$U$2277),Data!$U$2:$U$2277,0))&gt;=Formula!$C$31)),D47,(SUMPRODUCT((Data!$O$2:$O$2277=A47)*(Data!$M$2:$M$2277="Kyrylo Budanov")*ISNUMBER(Data!$N$2:$N$2277)*IF(ISNUMBER(Data!$W$2:$W$2277),Data!$W$2:$W$2277,0)*IF(ISNUMBER(Data!$U$2:$U$2277),Data!$U$2:$U$2277,0))+Formula!$C$29*H46)/(SUMPRODUCT((Data!$O$2:$O$2277=A47)*(Data!$M$2:$M$2277="Kyrylo Budanov")*ISNUMBER(Data!$N$2:$N$2277)*IF(ISNUMBER(Data!$U$2:$U$2277),Data!$U$2:$U$2277,0))+Formula!$C$29)),IF(H46&lt;&gt;"",H46,""))</f>
        <v>7.241501329</v>
      </c>
      <c r="I47" s="70">
        <f>IF(E47&lt;&gt;"",IF(OR(I46="",AND(ABS(IFERROR(SUMPRODUCT((Data!$O$2:$O$2277=A47)*(Data!$M$2:$M$2277="Pyotr Poroshenko")*ISNUMBER(Data!$N$2:$N$2277)*IF(ISNUMBER(Data!$W$2:$W$2277),Data!$W$2:$W$2277,0)*IF(ISNUMBER(Data!$U$2:$U$2277),Data!$U$2:$U$2277,0))/SUMPRODUCT((Data!$O$2:$O$2277=A47)*(Data!$M$2:$M$2277="Pyotr Poroshenko")*ISNUMBER(Data!$N$2:$N$2277)*IF(ISNUMBER(Data!$U$2:$U$2277),Data!$U$2:$U$2277,0)),0)-IF(I46="",0,I46))&gt;Formula!$C$30,SUMPRODUCT((Data!$O$2:$O$2277=A47)*(Data!$M$2:$M$2277="Pyotr Poroshenko")*ISNUMBER(Data!$N$2:$N$2277)*IF(ISNUMBER(Data!$U$2:$U$2277),Data!$U$2:$U$2277,0))&gt;=Formula!$C$31)),E47,(SUMPRODUCT((Data!$O$2:$O$2277=A47)*(Data!$M$2:$M$2277="Pyotr Poroshenko")*ISNUMBER(Data!$N$2:$N$2277)*IF(ISNUMBER(Data!$W$2:$W$2277),Data!$W$2:$W$2277,0)*IF(ISNUMBER(Data!$U$2:$U$2277),Data!$U$2:$U$2277,0))+Formula!$C$29*I46)/(SUMPRODUCT((Data!$O$2:$O$2277=A47)*(Data!$M$2:$M$2277="Pyotr Poroshenko")*ISNUMBER(Data!$N$2:$N$2277)*IF(ISNUMBER(Data!$U$2:$U$2277),Data!$U$2:$U$2277,0))+Formula!$C$29)),IF(I46&lt;&gt;"",I46,""))</f>
        <v>7.34849077</v>
      </c>
      <c r="L47" s="71">
        <f t="shared" ref="L47:O47" si="49">IFERROR((IF(F45&lt;&gt;"",F45*1,0)+IF(F46&lt;&gt;"",F46*2,0)+IF(F47&lt;&gt;"",F47*3,0))/(IF(F45&lt;&gt;"",1,0)+IF(F46&lt;&gt;"",2,0)+IF(F47&lt;&gt;"",3,0)),"")</f>
        <v>30.34064045</v>
      </c>
      <c r="M47" s="71">
        <f t="shared" si="49"/>
        <v>26.56887297</v>
      </c>
      <c r="N47" s="71">
        <f t="shared" si="49"/>
        <v>6.629605864</v>
      </c>
      <c r="O47" s="71">
        <f t="shared" si="49"/>
        <v>7.1756943</v>
      </c>
    </row>
    <row r="48" ht="12.75" customHeight="1">
      <c r="A48" s="64">
        <v>46023.0</v>
      </c>
      <c r="B48" s="65">
        <f>IFERROR(IF(SUMPRODUCT((Data!$O$2:$O$2277=A48)*(Data!$M$2:$M$2277="Vladimir Zelenskiy")*ISNUMBER(Data!$N$2:$N$2277)*IF(ISNUMBER(Data!$U$2:$U$2277),Data!$U$2:$U$2277,0))&gt;0,SUMPRODUCT((Data!$O$2:$O$2277=A48)*(Data!$M$2:$M$2277="Vladimir Zelenskiy")*ISNUMBER(Data!$N$2:$N$2277)*IF(ISNUMBER(Data!$W$2:$W$2277),Data!$W$2:$W$2277,0)*IF(ISNUMBER(Data!$U$2:$U$2277),Data!$U$2:$U$2277,0))/SUMPRODUCT((Data!$O$2:$O$2277=A48)*(Data!$M$2:$M$2277="Vladimir Zelenskiy")*ISNUMBER(Data!$N$2:$N$2277)*IF(ISNUMBER(Data!$U$2:$U$2277),Data!$U$2:$U$2277,0)),""),"")</f>
        <v>27.07136965</v>
      </c>
      <c r="C48" s="65">
        <f>IFERROR(IF(SUMPRODUCT((Data!$O$2:$O$2277=A48)*(Data!$M$2:$M$2277="Valerii Zaluzhniy")*ISNUMBER(Data!$N$2:$N$2277)*IF(ISNUMBER(Data!$U$2:$U$2277),Data!$U$2:$U$2277,0))&gt;0,SUMPRODUCT((Data!$O$2:$O$2277=A48)*(Data!$M$2:$M$2277="Valerii Zaluzhniy")*ISNUMBER(Data!$N$2:$N$2277)*IF(ISNUMBER(Data!$W$2:$W$2277),Data!$W$2:$W$2277,0)*IF(ISNUMBER(Data!$U$2:$U$2277),Data!$U$2:$U$2277,0))/SUMPRODUCT((Data!$O$2:$O$2277=A48)*(Data!$M$2:$M$2277="Valerii Zaluzhniy")*ISNUMBER(Data!$N$2:$N$2277)*IF(ISNUMBER(Data!$U$2:$U$2277),Data!$U$2:$U$2277,0)),""),"")</f>
        <v>27.47378225</v>
      </c>
      <c r="D48" s="65">
        <f>IFERROR(IF(SUMPRODUCT((Data!$O$2:$O$2277=A48)*(Data!$M$2:$M$2277="Kyrylo Budanov")*ISNUMBER(Data!$N$2:$N$2277)*IF(ISNUMBER(Data!$U$2:$U$2277),Data!$U$2:$U$2277,0))&gt;0,SUMPRODUCT((Data!$O$2:$O$2277=A48)*(Data!$M$2:$M$2277="Kyrylo Budanov")*ISNUMBER(Data!$N$2:$N$2277)*IF(ISNUMBER(Data!$W$2:$W$2277),Data!$W$2:$W$2277,0)*IF(ISNUMBER(Data!$U$2:$U$2277),Data!$U$2:$U$2277,0))/SUMPRODUCT((Data!$O$2:$O$2277=A48)*(Data!$M$2:$M$2277="Kyrylo Budanov")*ISNUMBER(Data!$N$2:$N$2277)*IF(ISNUMBER(Data!$U$2:$U$2277),Data!$U$2:$U$2277,0)),""),"")</f>
        <v>8.252150693</v>
      </c>
      <c r="E48" s="65">
        <f>IFERROR(IF(SUMPRODUCT((Data!$O$2:$O$2277=A48)*(Data!$M$2:$M$2277="Pyotr Poroshenko")*ISNUMBER(Data!$N$2:$N$2277)*IF(ISNUMBER(Data!$U$2:$U$2277),Data!$U$2:$U$2277,0))&gt;0,SUMPRODUCT((Data!$O$2:$O$2277=A48)*(Data!$M$2:$M$2277="Pyotr Poroshenko")*ISNUMBER(Data!$N$2:$N$2277)*IF(ISNUMBER(Data!$W$2:$W$2277),Data!$W$2:$W$2277,0)*IF(ISNUMBER(Data!$U$2:$U$2277),Data!$U$2:$U$2277,0))/SUMPRODUCT((Data!$O$2:$O$2277=A48)*(Data!$M$2:$M$2277="Pyotr Poroshenko")*ISNUMBER(Data!$N$2:$N$2277)*IF(ISNUMBER(Data!$U$2:$U$2277),Data!$U$2:$U$2277,0)),""),"")</f>
        <v>10.21622493</v>
      </c>
      <c r="F48" s="66">
        <f>IF(B48&lt;&gt;"",IF(OR(F47="",AND(ABS(IFERROR(SUMPRODUCT((Data!$O$2:$O$2277=A48)*(Data!$M$2:$M$2277="Vladimir Zelenskiy")*ISNUMBER(Data!$N$2:$N$2277)*IF(ISNUMBER(Data!$W$2:$W$2277),Data!$W$2:$W$2277,0)*IF(ISNUMBER(Data!$U$2:$U$2277),Data!$U$2:$U$2277,0))/SUMPRODUCT((Data!$O$2:$O$2277=A48)*(Data!$M$2:$M$2277="Vladimir Zelenskiy")*ISNUMBER(Data!$N$2:$N$2277)*IF(ISNUMBER(Data!$U$2:$U$2277),Data!$U$2:$U$2277,0)),0)-IF(F47="",0,F47))&gt;Formula!$C$30,SUMPRODUCT((Data!$O$2:$O$2277=A48)*(Data!$M$2:$M$2277="Vladimir Zelenskiy")*ISNUMBER(Data!$N$2:$N$2277)*IF(ISNUMBER(Data!$U$2:$U$2277),Data!$U$2:$U$2277,0))&gt;=Formula!$C$31)),B48,(SUMPRODUCT((Data!$O$2:$O$2277=A48)*(Data!$M$2:$M$2277="Vladimir Zelenskiy")*ISNUMBER(Data!$N$2:$N$2277)*IF(ISNUMBER(Data!$W$2:$W$2277),Data!$W$2:$W$2277,0)*IF(ISNUMBER(Data!$U$2:$U$2277),Data!$U$2:$U$2277,0))+Formula!$C$29*F47)/(SUMPRODUCT((Data!$O$2:$O$2277=A48)*(Data!$M$2:$M$2277="Vladimir Zelenskiy")*ISNUMBER(Data!$N$2:$N$2277)*IF(ISNUMBER(Data!$U$2:$U$2277),Data!$U$2:$U$2277,0))+Formula!$C$29)),IF(F47&lt;&gt;"",F47,""))</f>
        <v>27.63764169</v>
      </c>
      <c r="G48" s="66">
        <f>IF(C48&lt;&gt;"",IF(OR(G47="",AND(ABS(IFERROR(SUMPRODUCT((Data!$O$2:$O$2277=A48)*(Data!$M$2:$M$2277="Valerii Zaluzhniy")*ISNUMBER(Data!$N$2:$N$2277)*IF(ISNUMBER(Data!$W$2:$W$2277),Data!$W$2:$W$2277,0)*IF(ISNUMBER(Data!$U$2:$U$2277),Data!$U$2:$U$2277,0))/SUMPRODUCT((Data!$O$2:$O$2277=A48)*(Data!$M$2:$M$2277="Valerii Zaluzhniy")*ISNUMBER(Data!$N$2:$N$2277)*IF(ISNUMBER(Data!$U$2:$U$2277),Data!$U$2:$U$2277,0)),0)-IF(G47="",0,G47))&gt;Formula!$C$30,SUMPRODUCT((Data!$O$2:$O$2277=A48)*(Data!$M$2:$M$2277="Valerii Zaluzhniy")*ISNUMBER(Data!$N$2:$N$2277)*IF(ISNUMBER(Data!$U$2:$U$2277),Data!$U$2:$U$2277,0))&gt;=Formula!$C$31)),C48,(SUMPRODUCT((Data!$O$2:$O$2277=A48)*(Data!$M$2:$M$2277="Valerii Zaluzhniy")*ISNUMBER(Data!$N$2:$N$2277)*IF(ISNUMBER(Data!$W$2:$W$2277),Data!$W$2:$W$2277,0)*IF(ISNUMBER(Data!$U$2:$U$2277),Data!$U$2:$U$2277,0))+Formula!$C$29*G47)/(SUMPRODUCT((Data!$O$2:$O$2277=A48)*(Data!$M$2:$M$2277="Valerii Zaluzhniy")*ISNUMBER(Data!$N$2:$N$2277)*IF(ISNUMBER(Data!$U$2:$U$2277),Data!$U$2:$U$2277,0))+Formula!$C$29)),IF(G47&lt;&gt;"",G47,""))</f>
        <v>27.17027899</v>
      </c>
      <c r="H48" s="66">
        <f>IF(D48&lt;&gt;"",IF(OR(H47="",AND(ABS(IFERROR(SUMPRODUCT((Data!$O$2:$O$2277=A48)*(Data!$M$2:$M$2277="Kyrylo Budanov")*ISNUMBER(Data!$N$2:$N$2277)*IF(ISNUMBER(Data!$W$2:$W$2277),Data!$W$2:$W$2277,0)*IF(ISNUMBER(Data!$U$2:$U$2277),Data!$U$2:$U$2277,0))/SUMPRODUCT((Data!$O$2:$O$2277=A48)*(Data!$M$2:$M$2277="Kyrylo Budanov")*ISNUMBER(Data!$N$2:$N$2277)*IF(ISNUMBER(Data!$U$2:$U$2277),Data!$U$2:$U$2277,0)),0)-IF(H47="",0,H47))&gt;Formula!$C$30,SUMPRODUCT((Data!$O$2:$O$2277=A48)*(Data!$M$2:$M$2277="Kyrylo Budanov")*ISNUMBER(Data!$N$2:$N$2277)*IF(ISNUMBER(Data!$U$2:$U$2277),Data!$U$2:$U$2277,0))&gt;=Formula!$C$31)),D48,(SUMPRODUCT((Data!$O$2:$O$2277=A48)*(Data!$M$2:$M$2277="Kyrylo Budanov")*ISNUMBER(Data!$N$2:$N$2277)*IF(ISNUMBER(Data!$W$2:$W$2277),Data!$W$2:$W$2277,0)*IF(ISNUMBER(Data!$U$2:$U$2277),Data!$U$2:$U$2277,0))+Formula!$C$29*H47)/(SUMPRODUCT((Data!$O$2:$O$2277=A48)*(Data!$M$2:$M$2277="Kyrylo Budanov")*ISNUMBER(Data!$N$2:$N$2277)*IF(ISNUMBER(Data!$U$2:$U$2277),Data!$U$2:$U$2277,0))+Formula!$C$29)),IF(H47&lt;&gt;"",H47,""))</f>
        <v>7.986449664</v>
      </c>
      <c r="I48" s="66">
        <f>IF(E48&lt;&gt;"",IF(OR(I47="",AND(ABS(IFERROR(SUMPRODUCT((Data!$O$2:$O$2277=A48)*(Data!$M$2:$M$2277="Pyotr Poroshenko")*ISNUMBER(Data!$N$2:$N$2277)*IF(ISNUMBER(Data!$W$2:$W$2277),Data!$W$2:$W$2277,0)*IF(ISNUMBER(Data!$U$2:$U$2277),Data!$U$2:$U$2277,0))/SUMPRODUCT((Data!$O$2:$O$2277=A48)*(Data!$M$2:$M$2277="Pyotr Poroshenko")*ISNUMBER(Data!$N$2:$N$2277)*IF(ISNUMBER(Data!$U$2:$U$2277),Data!$U$2:$U$2277,0)),0)-IF(I47="",0,I47))&gt;Formula!$C$30,SUMPRODUCT((Data!$O$2:$O$2277=A48)*(Data!$M$2:$M$2277="Pyotr Poroshenko")*ISNUMBER(Data!$N$2:$N$2277)*IF(ISNUMBER(Data!$U$2:$U$2277),Data!$U$2:$U$2277,0))&gt;=Formula!$C$31)),E48,(SUMPRODUCT((Data!$O$2:$O$2277=A48)*(Data!$M$2:$M$2277="Pyotr Poroshenko")*ISNUMBER(Data!$N$2:$N$2277)*IF(ISNUMBER(Data!$W$2:$W$2277),Data!$W$2:$W$2277,0)*IF(ISNUMBER(Data!$U$2:$U$2277),Data!$U$2:$U$2277,0))+Formula!$C$29*I47)/(SUMPRODUCT((Data!$O$2:$O$2277=A48)*(Data!$M$2:$M$2277="Pyotr Poroshenko")*ISNUMBER(Data!$N$2:$N$2277)*IF(ISNUMBER(Data!$U$2:$U$2277),Data!$U$2:$U$2277,0))+Formula!$C$29)),IF(I47&lt;&gt;"",I47,""))</f>
        <v>9.462293896</v>
      </c>
      <c r="L48" s="67">
        <f t="shared" ref="L48:O48" si="50">IFERROR((IF(F46&lt;&gt;"",F46*1,0)+IF(F47&lt;&gt;"",F47*2,0)+IF(F48&lt;&gt;"",F48*3,0))/(IF(F46&lt;&gt;"",1,0)+IF(F47&lt;&gt;"",2,0)+IF(F48&lt;&gt;"",3,0)),"")</f>
        <v>28.76306084</v>
      </c>
      <c r="M48" s="67">
        <f t="shared" si="50"/>
        <v>26.76621323</v>
      </c>
      <c r="N48" s="67">
        <f t="shared" si="50"/>
        <v>7.384477304</v>
      </c>
      <c r="O48" s="67">
        <f t="shared" si="50"/>
        <v>8.330952716</v>
      </c>
    </row>
    <row r="49" ht="12.75" customHeight="1">
      <c r="A49" s="68">
        <v>46054.0</v>
      </c>
      <c r="B49" s="69">
        <f>IFERROR(IF(SUMPRODUCT((Data!$O$2:$O$2277=A49)*(Data!$M$2:$M$2277="Vladimir Zelenskiy")*ISNUMBER(Data!$N$2:$N$2277)*IF(ISNUMBER(Data!$U$2:$U$2277),Data!$U$2:$U$2277,0))&gt;0,SUMPRODUCT((Data!$O$2:$O$2277=A49)*(Data!$M$2:$M$2277="Vladimir Zelenskiy")*ISNUMBER(Data!$N$2:$N$2277)*IF(ISNUMBER(Data!$W$2:$W$2277),Data!$W$2:$W$2277,0)*IF(ISNUMBER(Data!$U$2:$U$2277),Data!$U$2:$U$2277,0))/SUMPRODUCT((Data!$O$2:$O$2277=A49)*(Data!$M$2:$M$2277="Vladimir Zelenskiy")*ISNUMBER(Data!$N$2:$N$2277)*IF(ISNUMBER(Data!$U$2:$U$2277),Data!$U$2:$U$2277,0)),""),"")</f>
        <v>32.9</v>
      </c>
      <c r="C49" s="69">
        <f>IFERROR(IF(SUMPRODUCT((Data!$O$2:$O$2277=A49)*(Data!$M$2:$M$2277="Valerii Zaluzhniy")*ISNUMBER(Data!$N$2:$N$2277)*IF(ISNUMBER(Data!$U$2:$U$2277),Data!$U$2:$U$2277,0))&gt;0,SUMPRODUCT((Data!$O$2:$O$2277=A49)*(Data!$M$2:$M$2277="Valerii Zaluzhniy")*ISNUMBER(Data!$N$2:$N$2277)*IF(ISNUMBER(Data!$W$2:$W$2277),Data!$W$2:$W$2277,0)*IF(ISNUMBER(Data!$U$2:$U$2277),Data!$U$2:$U$2277,0))/SUMPRODUCT((Data!$O$2:$O$2277=A49)*(Data!$M$2:$M$2277="Valerii Zaluzhniy")*ISNUMBER(Data!$N$2:$N$2277)*IF(ISNUMBER(Data!$U$2:$U$2277),Data!$U$2:$U$2277,0)),""),"")</f>
        <v>15.9</v>
      </c>
      <c r="D49" s="69">
        <f>IFERROR(IF(SUMPRODUCT((Data!$O$2:$O$2277=A49)*(Data!$M$2:$M$2277="Kyrylo Budanov")*ISNUMBER(Data!$N$2:$N$2277)*IF(ISNUMBER(Data!$U$2:$U$2277),Data!$U$2:$U$2277,0))&gt;0,SUMPRODUCT((Data!$O$2:$O$2277=A49)*(Data!$M$2:$M$2277="Kyrylo Budanov")*ISNUMBER(Data!$N$2:$N$2277)*IF(ISNUMBER(Data!$W$2:$W$2277),Data!$W$2:$W$2277,0)*IF(ISNUMBER(Data!$U$2:$U$2277),Data!$U$2:$U$2277,0))/SUMPRODUCT((Data!$O$2:$O$2277=A49)*(Data!$M$2:$M$2277="Kyrylo Budanov")*ISNUMBER(Data!$N$2:$N$2277)*IF(ISNUMBER(Data!$U$2:$U$2277),Data!$U$2:$U$2277,0)),""),"")</f>
        <v>13.8</v>
      </c>
      <c r="E49" s="69">
        <f>IFERROR(IF(SUMPRODUCT((Data!$O$2:$O$2277=A49)*(Data!$M$2:$M$2277="Pyotr Poroshenko")*ISNUMBER(Data!$N$2:$N$2277)*IF(ISNUMBER(Data!$U$2:$U$2277),Data!$U$2:$U$2277,0))&gt;0,SUMPRODUCT((Data!$O$2:$O$2277=A49)*(Data!$M$2:$M$2277="Pyotr Poroshenko")*ISNUMBER(Data!$N$2:$N$2277)*IF(ISNUMBER(Data!$W$2:$W$2277),Data!$W$2:$W$2277,0)*IF(ISNUMBER(Data!$U$2:$U$2277),Data!$U$2:$U$2277,0))/SUMPRODUCT((Data!$O$2:$O$2277=A49)*(Data!$M$2:$M$2277="Pyotr Poroshenko")*ISNUMBER(Data!$N$2:$N$2277)*IF(ISNUMBER(Data!$U$2:$U$2277),Data!$U$2:$U$2277,0)),""),"")</f>
        <v>10.9</v>
      </c>
      <c r="F49" s="70">
        <f>IF(B49&lt;&gt;"",IF(OR(F48="",AND(ABS(IFERROR(SUMPRODUCT((Data!$O$2:$O$2277=A49)*(Data!$M$2:$M$2277="Vladimir Zelenskiy")*ISNUMBER(Data!$N$2:$N$2277)*IF(ISNUMBER(Data!$W$2:$W$2277),Data!$W$2:$W$2277,0)*IF(ISNUMBER(Data!$U$2:$U$2277),Data!$U$2:$U$2277,0))/SUMPRODUCT((Data!$O$2:$O$2277=A49)*(Data!$M$2:$M$2277="Vladimir Zelenskiy")*ISNUMBER(Data!$N$2:$N$2277)*IF(ISNUMBER(Data!$U$2:$U$2277),Data!$U$2:$U$2277,0)),0)-IF(F48="",0,F48))&gt;Formula!$C$30,SUMPRODUCT((Data!$O$2:$O$2277=A49)*(Data!$M$2:$M$2277="Vladimir Zelenskiy")*ISNUMBER(Data!$N$2:$N$2277)*IF(ISNUMBER(Data!$U$2:$U$2277),Data!$U$2:$U$2277,0))&gt;=Formula!$C$31)),B49,(SUMPRODUCT((Data!$O$2:$O$2277=A49)*(Data!$M$2:$M$2277="Vladimir Zelenskiy")*ISNUMBER(Data!$N$2:$N$2277)*IF(ISNUMBER(Data!$W$2:$W$2277),Data!$W$2:$W$2277,0)*IF(ISNUMBER(Data!$U$2:$U$2277),Data!$U$2:$U$2277,0))+Formula!$C$29*F48)/(SUMPRODUCT((Data!$O$2:$O$2277=A49)*(Data!$M$2:$M$2277="Vladimir Zelenskiy")*ISNUMBER(Data!$N$2:$N$2277)*IF(ISNUMBER(Data!$U$2:$U$2277),Data!$U$2:$U$2277,0))+Formula!$C$29)),IF(F48&lt;&gt;"",F48,""))</f>
        <v>28.5003724</v>
      </c>
      <c r="G49" s="70">
        <f>IF(C49&lt;&gt;"",IF(OR(G48="",AND(ABS(IFERROR(SUMPRODUCT((Data!$O$2:$O$2277=A49)*(Data!$M$2:$M$2277="Valerii Zaluzhniy")*ISNUMBER(Data!$N$2:$N$2277)*IF(ISNUMBER(Data!$W$2:$W$2277),Data!$W$2:$W$2277,0)*IF(ISNUMBER(Data!$U$2:$U$2277),Data!$U$2:$U$2277,0))/SUMPRODUCT((Data!$O$2:$O$2277=A49)*(Data!$M$2:$M$2277="Valerii Zaluzhniy")*ISNUMBER(Data!$N$2:$N$2277)*IF(ISNUMBER(Data!$U$2:$U$2277),Data!$U$2:$U$2277,0)),0)-IF(G48="",0,G48))&gt;Formula!$C$30,SUMPRODUCT((Data!$O$2:$O$2277=A49)*(Data!$M$2:$M$2277="Valerii Zaluzhniy")*ISNUMBER(Data!$N$2:$N$2277)*IF(ISNUMBER(Data!$U$2:$U$2277),Data!$U$2:$U$2277,0))&gt;=Formula!$C$31)),C49,(SUMPRODUCT((Data!$O$2:$O$2277=A49)*(Data!$M$2:$M$2277="Valerii Zaluzhniy")*ISNUMBER(Data!$N$2:$N$2277)*IF(ISNUMBER(Data!$W$2:$W$2277),Data!$W$2:$W$2277,0)*IF(ISNUMBER(Data!$U$2:$U$2277),Data!$U$2:$U$2277,0))+Formula!$C$29*G48)/(SUMPRODUCT((Data!$O$2:$O$2277=A49)*(Data!$M$2:$M$2277="Valerii Zaluzhniy")*ISNUMBER(Data!$N$2:$N$2277)*IF(ISNUMBER(Data!$U$2:$U$2277),Data!$U$2:$U$2277,0))+Formula!$C$29)),IF(G48&lt;&gt;"",G48,""))</f>
        <v>25.32258728</v>
      </c>
      <c r="H49" s="70">
        <f>IF(D49&lt;&gt;"",IF(OR(H48="",AND(ABS(IFERROR(SUMPRODUCT((Data!$O$2:$O$2277=A49)*(Data!$M$2:$M$2277="Kyrylo Budanov")*ISNUMBER(Data!$N$2:$N$2277)*IF(ISNUMBER(Data!$W$2:$W$2277),Data!$W$2:$W$2277,0)*IF(ISNUMBER(Data!$U$2:$U$2277),Data!$U$2:$U$2277,0))/SUMPRODUCT((Data!$O$2:$O$2277=A49)*(Data!$M$2:$M$2277="Kyrylo Budanov")*ISNUMBER(Data!$N$2:$N$2277)*IF(ISNUMBER(Data!$U$2:$U$2277),Data!$U$2:$U$2277,0)),0)-IF(H48="",0,H48))&gt;Formula!$C$30,SUMPRODUCT((Data!$O$2:$O$2277=A49)*(Data!$M$2:$M$2277="Kyrylo Budanov")*ISNUMBER(Data!$N$2:$N$2277)*IF(ISNUMBER(Data!$U$2:$U$2277),Data!$U$2:$U$2277,0))&gt;=Formula!$C$31)),D49,(SUMPRODUCT((Data!$O$2:$O$2277=A49)*(Data!$M$2:$M$2277="Kyrylo Budanov")*ISNUMBER(Data!$N$2:$N$2277)*IF(ISNUMBER(Data!$W$2:$W$2277),Data!$W$2:$W$2277,0)*IF(ISNUMBER(Data!$U$2:$U$2277),Data!$U$2:$U$2277,0))+Formula!$C$29*H48)/(SUMPRODUCT((Data!$O$2:$O$2277=A49)*(Data!$M$2:$M$2277="Kyrylo Budanov")*ISNUMBER(Data!$N$2:$N$2277)*IF(ISNUMBER(Data!$U$2:$U$2277),Data!$U$2:$U$2277,0))+Formula!$C$29)),IF(H48&lt;&gt;"",H48,""))</f>
        <v>8.939544863</v>
      </c>
      <c r="I49" s="70">
        <f>IF(E49&lt;&gt;"",IF(OR(I48="",AND(ABS(IFERROR(SUMPRODUCT((Data!$O$2:$O$2277=A49)*(Data!$M$2:$M$2277="Pyotr Poroshenko")*ISNUMBER(Data!$N$2:$N$2277)*IF(ISNUMBER(Data!$W$2:$W$2277),Data!$W$2:$W$2277,0)*IF(ISNUMBER(Data!$U$2:$U$2277),Data!$U$2:$U$2277,0))/SUMPRODUCT((Data!$O$2:$O$2277=A49)*(Data!$M$2:$M$2277="Pyotr Poroshenko")*ISNUMBER(Data!$N$2:$N$2277)*IF(ISNUMBER(Data!$U$2:$U$2277),Data!$U$2:$U$2277,0)),0)-IF(I48="",0,I48))&gt;Formula!$C$30,SUMPRODUCT((Data!$O$2:$O$2277=A49)*(Data!$M$2:$M$2277="Pyotr Poroshenko")*ISNUMBER(Data!$N$2:$N$2277)*IF(ISNUMBER(Data!$U$2:$U$2277),Data!$U$2:$U$2277,0))&gt;=Formula!$C$31)),E49,(SUMPRODUCT((Data!$O$2:$O$2277=A49)*(Data!$M$2:$M$2277="Pyotr Poroshenko")*ISNUMBER(Data!$N$2:$N$2277)*IF(ISNUMBER(Data!$W$2:$W$2277),Data!$W$2:$W$2277,0)*IF(ISNUMBER(Data!$U$2:$U$2277),Data!$U$2:$U$2277,0))+Formula!$C$29*I48)/(SUMPRODUCT((Data!$O$2:$O$2277=A49)*(Data!$M$2:$M$2277="Pyotr Poroshenko")*ISNUMBER(Data!$N$2:$N$2277)*IF(ISNUMBER(Data!$U$2:$U$2277),Data!$U$2:$U$2277,0))+Formula!$C$29)),IF(I48&lt;&gt;"",I48,""))</f>
        <v>9.697996816</v>
      </c>
      <c r="L49" s="71">
        <f t="shared" ref="L49:O49" si="51">IFERROR((IF(F47&lt;&gt;"",F47*1,0)+IF(F48&lt;&gt;"",F48*2,0)+IF(F49&lt;&gt;"",F49*3,0))/(IF(F47&lt;&gt;"",1,0)+IF(F48&lt;&gt;"",2,0)+IF(F49&lt;&gt;"",3,0)),"")</f>
        <v>28.33361737</v>
      </c>
      <c r="M49" s="71">
        <f t="shared" si="51"/>
        <v>26.10461068</v>
      </c>
      <c r="N49" s="71">
        <f t="shared" si="51"/>
        <v>8.338839208</v>
      </c>
      <c r="O49" s="71">
        <f t="shared" si="51"/>
        <v>9.227844835</v>
      </c>
    </row>
    <row r="50" ht="12.75" customHeight="1">
      <c r="A50" s="64">
        <v>46082.0</v>
      </c>
      <c r="B50" s="65">
        <f>IFERROR(IF(SUMPRODUCT((Data!$O$2:$O$2277=A50)*(Data!$M$2:$M$2277="Vladimir Zelenskiy")*ISNUMBER(Data!$N$2:$N$2277)*IF(ISNUMBER(Data!$U$2:$U$2277),Data!$U$2:$U$2277,0))&gt;0,SUMPRODUCT((Data!$O$2:$O$2277=A50)*(Data!$M$2:$M$2277="Vladimir Zelenskiy")*ISNUMBER(Data!$N$2:$N$2277)*IF(ISNUMBER(Data!$W$2:$W$2277),Data!$W$2:$W$2277,0)*IF(ISNUMBER(Data!$U$2:$U$2277),Data!$U$2:$U$2277,0))/SUMPRODUCT((Data!$O$2:$O$2277=A50)*(Data!$M$2:$M$2277="Vladimir Zelenskiy")*ISNUMBER(Data!$N$2:$N$2277)*IF(ISNUMBER(Data!$U$2:$U$2277),Data!$U$2:$U$2277,0)),""),"")</f>
        <v>29.3</v>
      </c>
      <c r="C50" s="65">
        <f>IFERROR(IF(SUMPRODUCT((Data!$O$2:$O$2277=A50)*(Data!$M$2:$M$2277="Valerii Zaluzhniy")*ISNUMBER(Data!$N$2:$N$2277)*IF(ISNUMBER(Data!$U$2:$U$2277),Data!$U$2:$U$2277,0))&gt;0,SUMPRODUCT((Data!$O$2:$O$2277=A50)*(Data!$M$2:$M$2277="Valerii Zaluzhniy")*ISNUMBER(Data!$N$2:$N$2277)*IF(ISNUMBER(Data!$W$2:$W$2277),Data!$W$2:$W$2277,0)*IF(ISNUMBER(Data!$U$2:$U$2277),Data!$U$2:$U$2277,0))/SUMPRODUCT((Data!$O$2:$O$2277=A50)*(Data!$M$2:$M$2277="Valerii Zaluzhniy")*ISNUMBER(Data!$N$2:$N$2277)*IF(ISNUMBER(Data!$U$2:$U$2277),Data!$U$2:$U$2277,0)),""),"")</f>
        <v>25</v>
      </c>
      <c r="D50" s="65">
        <f>IFERROR(IF(SUMPRODUCT((Data!$O$2:$O$2277=A50)*(Data!$M$2:$M$2277="Kyrylo Budanov")*ISNUMBER(Data!$N$2:$N$2277)*IF(ISNUMBER(Data!$U$2:$U$2277),Data!$U$2:$U$2277,0))&gt;0,SUMPRODUCT((Data!$O$2:$O$2277=A50)*(Data!$M$2:$M$2277="Kyrylo Budanov")*ISNUMBER(Data!$N$2:$N$2277)*IF(ISNUMBER(Data!$W$2:$W$2277),Data!$W$2:$W$2277,0)*IF(ISNUMBER(Data!$U$2:$U$2277),Data!$U$2:$U$2277,0))/SUMPRODUCT((Data!$O$2:$O$2277=A50)*(Data!$M$2:$M$2277="Kyrylo Budanov")*ISNUMBER(Data!$N$2:$N$2277)*IF(ISNUMBER(Data!$U$2:$U$2277),Data!$U$2:$U$2277,0)),""),"")</f>
        <v>13.7</v>
      </c>
      <c r="E50" s="65">
        <f>IFERROR(IF(SUMPRODUCT((Data!$O$2:$O$2277=A50)*(Data!$M$2:$M$2277="Pyotr Poroshenko")*ISNUMBER(Data!$N$2:$N$2277)*IF(ISNUMBER(Data!$U$2:$U$2277),Data!$U$2:$U$2277,0))&gt;0,SUMPRODUCT((Data!$O$2:$O$2277=A50)*(Data!$M$2:$M$2277="Pyotr Poroshenko")*ISNUMBER(Data!$N$2:$N$2277)*IF(ISNUMBER(Data!$W$2:$W$2277),Data!$W$2:$W$2277,0)*IF(ISNUMBER(Data!$U$2:$U$2277),Data!$U$2:$U$2277,0))/SUMPRODUCT((Data!$O$2:$O$2277=A50)*(Data!$M$2:$M$2277="Pyotr Poroshenko")*ISNUMBER(Data!$N$2:$N$2277)*IF(ISNUMBER(Data!$U$2:$U$2277),Data!$U$2:$U$2277,0)),""),"")</f>
        <v>7.4</v>
      </c>
      <c r="F50" s="66">
        <f>IF(B50&lt;&gt;"",IF(OR(F49="",AND(ABS(IFERROR(SUMPRODUCT((Data!$O$2:$O$2277=A50)*(Data!$M$2:$M$2277="Vladimir Zelenskiy")*ISNUMBER(Data!$N$2:$N$2277)*IF(ISNUMBER(Data!$W$2:$W$2277),Data!$W$2:$W$2277,0)*IF(ISNUMBER(Data!$U$2:$U$2277),Data!$U$2:$U$2277,0))/SUMPRODUCT((Data!$O$2:$O$2277=A50)*(Data!$M$2:$M$2277="Vladimir Zelenskiy")*ISNUMBER(Data!$N$2:$N$2277)*IF(ISNUMBER(Data!$U$2:$U$2277),Data!$U$2:$U$2277,0)),0)-IF(F49="",0,F49))&gt;Formula!$C$30,SUMPRODUCT((Data!$O$2:$O$2277=A50)*(Data!$M$2:$M$2277="Vladimir Zelenskiy")*ISNUMBER(Data!$N$2:$N$2277)*IF(ISNUMBER(Data!$U$2:$U$2277),Data!$U$2:$U$2277,0))&gt;=Formula!$C$31)),B50,(SUMPRODUCT((Data!$O$2:$O$2277=A50)*(Data!$M$2:$M$2277="Vladimir Zelenskiy")*ISNUMBER(Data!$N$2:$N$2277)*IF(ISNUMBER(Data!$W$2:$W$2277),Data!$W$2:$W$2277,0)*IF(ISNUMBER(Data!$U$2:$U$2277),Data!$U$2:$U$2277,0))+Formula!$C$29*F49)/(SUMPRODUCT((Data!$O$2:$O$2277=A50)*(Data!$M$2:$M$2277="Vladimir Zelenskiy")*ISNUMBER(Data!$N$2:$N$2277)*IF(ISNUMBER(Data!$U$2:$U$2277),Data!$U$2:$U$2277,0))+Formula!$C$29)),IF(F49&lt;&gt;"",F49,""))</f>
        <v>28.78161155</v>
      </c>
      <c r="G50" s="66">
        <f>IF(C50&lt;&gt;"",IF(OR(G49="",AND(ABS(IFERROR(SUMPRODUCT((Data!$O$2:$O$2277=A50)*(Data!$M$2:$M$2277="Valerii Zaluzhniy")*ISNUMBER(Data!$N$2:$N$2277)*IF(ISNUMBER(Data!$W$2:$W$2277),Data!$W$2:$W$2277,0)*IF(ISNUMBER(Data!$U$2:$U$2277),Data!$U$2:$U$2277,0))/SUMPRODUCT((Data!$O$2:$O$2277=A50)*(Data!$M$2:$M$2277="Valerii Zaluzhniy")*ISNUMBER(Data!$N$2:$N$2277)*IF(ISNUMBER(Data!$U$2:$U$2277),Data!$U$2:$U$2277,0)),0)-IF(G49="",0,G49))&gt;Formula!$C$30,SUMPRODUCT((Data!$O$2:$O$2277=A50)*(Data!$M$2:$M$2277="Valerii Zaluzhniy")*ISNUMBER(Data!$N$2:$N$2277)*IF(ISNUMBER(Data!$U$2:$U$2277),Data!$U$2:$U$2277,0))&gt;=Formula!$C$31)),C50,(SUMPRODUCT((Data!$O$2:$O$2277=A50)*(Data!$M$2:$M$2277="Valerii Zaluzhniy")*ISNUMBER(Data!$N$2:$N$2277)*IF(ISNUMBER(Data!$W$2:$W$2277),Data!$W$2:$W$2277,0)*IF(ISNUMBER(Data!$U$2:$U$2277),Data!$U$2:$U$2277,0))+Formula!$C$29*G49)/(SUMPRODUCT((Data!$O$2:$O$2277=A50)*(Data!$M$2:$M$2277="Valerii Zaluzhniy")*ISNUMBER(Data!$N$2:$N$2277)*IF(ISNUMBER(Data!$U$2:$U$2277),Data!$U$2:$U$2277,0))+Formula!$C$29)),IF(G49&lt;&gt;"",G49,""))</f>
        <v>25.20912925</v>
      </c>
      <c r="H50" s="66">
        <f>IF(D50&lt;&gt;"",IF(OR(H49="",AND(ABS(IFERROR(SUMPRODUCT((Data!$O$2:$O$2277=A50)*(Data!$M$2:$M$2277="Kyrylo Budanov")*ISNUMBER(Data!$N$2:$N$2277)*IF(ISNUMBER(Data!$W$2:$W$2277),Data!$W$2:$W$2277,0)*IF(ISNUMBER(Data!$U$2:$U$2277),Data!$U$2:$U$2277,0))/SUMPRODUCT((Data!$O$2:$O$2277=A50)*(Data!$M$2:$M$2277="Kyrylo Budanov")*ISNUMBER(Data!$N$2:$N$2277)*IF(ISNUMBER(Data!$U$2:$U$2277),Data!$U$2:$U$2277,0)),0)-IF(H49="",0,H49))&gt;Formula!$C$30,SUMPRODUCT((Data!$O$2:$O$2277=A50)*(Data!$M$2:$M$2277="Kyrylo Budanov")*ISNUMBER(Data!$N$2:$N$2277)*IF(ISNUMBER(Data!$U$2:$U$2277),Data!$U$2:$U$2277,0))&gt;=Formula!$C$31)),D50,(SUMPRODUCT((Data!$O$2:$O$2277=A50)*(Data!$M$2:$M$2277="Kyrylo Budanov")*ISNUMBER(Data!$N$2:$N$2277)*IF(ISNUMBER(Data!$W$2:$W$2277),Data!$W$2:$W$2277,0)*IF(ISNUMBER(Data!$U$2:$U$2277),Data!$U$2:$U$2277,0))+Formula!$C$29*H49)/(SUMPRODUCT((Data!$O$2:$O$2277=A50)*(Data!$M$2:$M$2277="Kyrylo Budanov")*ISNUMBER(Data!$N$2:$N$2277)*IF(ISNUMBER(Data!$U$2:$U$2277),Data!$U$2:$U$2277,0))+Formula!$C$29)),IF(H49&lt;&gt;"",H49,""))</f>
        <v>10.61385721</v>
      </c>
      <c r="I50" s="66">
        <f>IF(E50&lt;&gt;"",IF(OR(I49="",AND(ABS(IFERROR(SUMPRODUCT((Data!$O$2:$O$2277=A50)*(Data!$M$2:$M$2277="Pyotr Poroshenko")*ISNUMBER(Data!$N$2:$N$2277)*IF(ISNUMBER(Data!$W$2:$W$2277),Data!$W$2:$W$2277,0)*IF(ISNUMBER(Data!$U$2:$U$2277),Data!$U$2:$U$2277,0))/SUMPRODUCT((Data!$O$2:$O$2277=A50)*(Data!$M$2:$M$2277="Pyotr Poroshenko")*ISNUMBER(Data!$N$2:$N$2277)*IF(ISNUMBER(Data!$U$2:$U$2277),Data!$U$2:$U$2277,0)),0)-IF(I49="",0,I49))&gt;Formula!$C$30,SUMPRODUCT((Data!$O$2:$O$2277=A50)*(Data!$M$2:$M$2277="Pyotr Poroshenko")*ISNUMBER(Data!$N$2:$N$2277)*IF(ISNUMBER(Data!$U$2:$U$2277),Data!$U$2:$U$2277,0))&gt;=Formula!$C$31)),E50,(SUMPRODUCT((Data!$O$2:$O$2277=A50)*(Data!$M$2:$M$2277="Pyotr Poroshenko")*ISNUMBER(Data!$N$2:$N$2277)*IF(ISNUMBER(Data!$W$2:$W$2277),Data!$W$2:$W$2277,0)*IF(ISNUMBER(Data!$U$2:$U$2277),Data!$U$2:$U$2277,0))+Formula!$C$29*I49)/(SUMPRODUCT((Data!$O$2:$O$2277=A50)*(Data!$M$2:$M$2277="Pyotr Poroshenko")*ISNUMBER(Data!$N$2:$N$2277)*IF(ISNUMBER(Data!$U$2:$U$2277),Data!$U$2:$U$2277,0))+Formula!$C$29)),IF(I49&lt;&gt;"",I49,""))</f>
        <v>8.889762238</v>
      </c>
      <c r="L50" s="67">
        <f t="shared" ref="L50:O50" si="52">IFERROR((IF(F48&lt;&gt;"",F48*1,0)+IF(F49&lt;&gt;"",F49*2,0)+IF(F50&lt;&gt;"",F50*3,0))/(IF(F48&lt;&gt;"",1,0)+IF(F49&lt;&gt;"",2,0)+IF(F50&lt;&gt;"",3,0)),"")</f>
        <v>28.49720353</v>
      </c>
      <c r="M50" s="67">
        <f t="shared" si="52"/>
        <v>25.57380688</v>
      </c>
      <c r="N50" s="67">
        <f t="shared" si="52"/>
        <v>9.617851838</v>
      </c>
      <c r="O50" s="67">
        <f t="shared" si="52"/>
        <v>9.254595707</v>
      </c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L1:O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1.63"/>
    <col customWidth="1" min="2" max="3" width="12.63"/>
    <col customWidth="1" min="4" max="4" width="35.38"/>
    <col customWidth="1" min="5" max="5" width="17.38"/>
    <col customWidth="1" min="6" max="6" width="12.63"/>
  </cols>
  <sheetData>
    <row r="1" ht="15.75" customHeight="1">
      <c r="A1" s="8" t="s">
        <v>2</v>
      </c>
      <c r="B1" s="8"/>
      <c r="C1" s="8"/>
    </row>
    <row r="2" ht="15.75" customHeight="1">
      <c r="A2" s="8" t="s">
        <v>3396</v>
      </c>
    </row>
    <row r="3" ht="15.75" customHeight="1">
      <c r="A3" s="8" t="s">
        <v>3397</v>
      </c>
    </row>
    <row r="4" ht="15.75" customHeight="1">
      <c r="A4" s="8" t="s">
        <v>20</v>
      </c>
    </row>
    <row r="5" ht="15.75" customHeight="1">
      <c r="A5" s="8" t="s">
        <v>3398</v>
      </c>
    </row>
    <row r="6" ht="15.75" customHeight="1">
      <c r="A6" s="8" t="s">
        <v>3399</v>
      </c>
    </row>
    <row r="7" ht="15.75" customHeight="1">
      <c r="A7" s="8" t="s">
        <v>3400</v>
      </c>
    </row>
    <row r="8" ht="15.75" customHeight="1">
      <c r="A8" s="8" t="s">
        <v>115</v>
      </c>
    </row>
    <row r="9" ht="15.75" customHeight="1">
      <c r="A9" s="8" t="s">
        <v>3401</v>
      </c>
    </row>
    <row r="10" ht="15.75" customHeight="1">
      <c r="A10" s="8" t="s">
        <v>287</v>
      </c>
    </row>
    <row r="11" ht="15.75" customHeight="1">
      <c r="A11" s="8" t="s">
        <v>97</v>
      </c>
    </row>
    <row r="12" ht="15.75" customHeight="1">
      <c r="A12" s="8" t="s">
        <v>3402</v>
      </c>
    </row>
    <row r="13" ht="15.75" customHeight="1">
      <c r="A13" s="8" t="s">
        <v>3403</v>
      </c>
    </row>
    <row r="14" ht="15.75" customHeight="1">
      <c r="A14" s="8" t="s">
        <v>3404</v>
      </c>
    </row>
    <row r="15" ht="15.75" customHeight="1">
      <c r="A15" s="8" t="s">
        <v>3405</v>
      </c>
    </row>
    <row r="16" ht="15.75" customHeight="1">
      <c r="A16" s="8" t="s">
        <v>3406</v>
      </c>
    </row>
    <row r="17" ht="15.75" customHeight="1">
      <c r="A17" s="8" t="s">
        <v>3407</v>
      </c>
    </row>
    <row r="18" ht="15.75" customHeight="1">
      <c r="A18" s="8" t="s">
        <v>3408</v>
      </c>
    </row>
    <row r="19" ht="15.75" customHeight="1">
      <c r="A19" s="8" t="s">
        <v>57</v>
      </c>
    </row>
    <row r="20" ht="15.75" customHeight="1">
      <c r="A20" s="8" t="s">
        <v>3409</v>
      </c>
    </row>
    <row r="21" ht="15.75" customHeight="1">
      <c r="A21" s="8" t="s">
        <v>3410</v>
      </c>
    </row>
    <row r="22" ht="15.75" customHeight="1">
      <c r="A22" s="8" t="s">
        <v>3411</v>
      </c>
    </row>
    <row r="23" ht="15.75" customHeight="1">
      <c r="A23" s="8" t="s">
        <v>50</v>
      </c>
    </row>
    <row r="24" ht="15.75" customHeight="1">
      <c r="A24" s="8" t="s">
        <v>27</v>
      </c>
    </row>
    <row r="25" ht="15.75" customHeight="1">
      <c r="A25" s="8" t="s">
        <v>24</v>
      </c>
    </row>
    <row r="26" ht="15.75" customHeight="1">
      <c r="A26" s="8" t="s">
        <v>72</v>
      </c>
    </row>
    <row r="27" ht="15.75" customHeight="1">
      <c r="A27" s="8" t="s">
        <v>3412</v>
      </c>
    </row>
    <row r="28" ht="15.75" customHeight="1">
      <c r="A28" s="8" t="s">
        <v>3413</v>
      </c>
    </row>
    <row r="29" ht="15.75" customHeight="1">
      <c r="A29" s="8" t="s">
        <v>163</v>
      </c>
    </row>
    <row r="30" ht="15.75" customHeight="1">
      <c r="A30" s="8" t="s">
        <v>222</v>
      </c>
    </row>
    <row r="31" ht="15.75" customHeight="1">
      <c r="A31" s="13" t="s">
        <v>3414</v>
      </c>
    </row>
    <row r="32" ht="15.75" customHeight="1">
      <c r="A32" s="8" t="s">
        <v>61</v>
      </c>
    </row>
    <row r="33" ht="15.75" customHeight="1">
      <c r="A33" s="8" t="s">
        <v>53</v>
      </c>
    </row>
    <row r="34" ht="15.75" customHeight="1">
      <c r="A34" s="8" t="s">
        <v>30</v>
      </c>
    </row>
    <row r="35" ht="15.75" customHeight="1">
      <c r="A35" s="8" t="s">
        <v>156</v>
      </c>
    </row>
    <row r="36" ht="15.75" customHeight="1">
      <c r="A36" s="8" t="s">
        <v>285</v>
      </c>
    </row>
    <row r="37" ht="15.75" customHeight="1">
      <c r="A37" s="8" t="s">
        <v>172</v>
      </c>
    </row>
    <row r="38" ht="15.75" customHeight="1">
      <c r="A38" s="8" t="s">
        <v>283</v>
      </c>
    </row>
    <row r="39" ht="15.75" customHeight="1">
      <c r="A39" s="8" t="s">
        <v>91</v>
      </c>
    </row>
    <row r="40" ht="15.75" customHeight="1">
      <c r="A40" s="8" t="s">
        <v>3415</v>
      </c>
    </row>
    <row r="41" ht="15.75" customHeight="1">
      <c r="A41" s="8" t="s">
        <v>3416</v>
      </c>
    </row>
    <row r="42" ht="15.75" customHeight="1">
      <c r="A42" s="8" t="s">
        <v>3417</v>
      </c>
    </row>
    <row r="43" ht="15.75" customHeight="1">
      <c r="A43" s="8" t="s">
        <v>249</v>
      </c>
    </row>
    <row r="44" ht="15.75" customHeight="1">
      <c r="A44" s="8" t="s">
        <v>3418</v>
      </c>
    </row>
    <row r="45" ht="15.75" customHeight="1">
      <c r="A45" s="8" t="s">
        <v>158</v>
      </c>
    </row>
    <row r="46" ht="15.75" customHeight="1">
      <c r="A46" s="8" t="s">
        <v>220</v>
      </c>
    </row>
    <row r="47" ht="15.75" customHeight="1">
      <c r="A47" s="8" t="s">
        <v>36</v>
      </c>
    </row>
    <row r="48" ht="15.75" customHeight="1">
      <c r="A48" s="8" t="s">
        <v>40</v>
      </c>
    </row>
    <row r="49" ht="15.75" customHeight="1">
      <c r="A49" s="8" t="s">
        <v>43</v>
      </c>
    </row>
    <row r="50" ht="15.75" customHeight="1">
      <c r="A50" s="8" t="s">
        <v>3419</v>
      </c>
    </row>
    <row r="51" ht="15.75" customHeight="1">
      <c r="A51" s="8" t="s">
        <v>106</v>
      </c>
    </row>
    <row r="52" ht="15.75" customHeight="1">
      <c r="A52" s="8" t="s">
        <v>164</v>
      </c>
    </row>
    <row r="53" ht="15.75" customHeight="1">
      <c r="A53" s="8" t="s">
        <v>145</v>
      </c>
    </row>
    <row r="54" ht="15.75" customHeight="1">
      <c r="A54" s="8" t="s">
        <v>3420</v>
      </c>
    </row>
    <row r="55" ht="15.75" customHeight="1">
      <c r="A55" s="8" t="s">
        <v>3421</v>
      </c>
    </row>
    <row r="56" ht="15.75" customHeight="1">
      <c r="A56" s="8" t="s">
        <v>17</v>
      </c>
    </row>
    <row r="57" ht="15.75" customHeight="1">
      <c r="A57" s="8" t="s">
        <v>3422</v>
      </c>
    </row>
    <row r="58" ht="15.75" customHeight="1">
      <c r="A58" s="8" t="s">
        <v>229</v>
      </c>
    </row>
    <row r="59" ht="15.75" customHeight="1">
      <c r="A59" s="8" t="s">
        <v>3423</v>
      </c>
    </row>
    <row r="60" ht="15.75" customHeight="1">
      <c r="A60" s="8" t="s">
        <v>3424</v>
      </c>
    </row>
    <row r="61" ht="15.75" customHeight="1">
      <c r="A61" s="8" t="s">
        <v>3425</v>
      </c>
    </row>
    <row r="62" ht="15.75" customHeight="1">
      <c r="A62" s="8" t="s">
        <v>3426</v>
      </c>
    </row>
    <row r="63" ht="15.75" customHeight="1">
      <c r="A63" s="8" t="s">
        <v>3427</v>
      </c>
    </row>
    <row r="64" ht="15.75" customHeight="1">
      <c r="A64" s="8" t="s">
        <v>3428</v>
      </c>
    </row>
    <row r="65" ht="15.75" customHeight="1">
      <c r="A65" s="8" t="s">
        <v>261</v>
      </c>
    </row>
    <row r="66" ht="15.75" customHeight="1">
      <c r="A66" s="8" t="s">
        <v>293</v>
      </c>
    </row>
    <row r="67" ht="15.75" customHeight="1">
      <c r="A67" s="8" t="s">
        <v>3429</v>
      </c>
    </row>
    <row r="68" ht="15.75" customHeight="1">
      <c r="A68" s="8" t="s">
        <v>3430</v>
      </c>
    </row>
    <row r="69" ht="15.75" customHeight="1">
      <c r="A69" s="8" t="s">
        <v>155</v>
      </c>
    </row>
    <row r="70" ht="15.75" customHeight="1">
      <c r="A70" s="8" t="s">
        <v>65</v>
      </c>
    </row>
    <row r="71" ht="15.75" customHeight="1">
      <c r="A71" s="8" t="s">
        <v>3431</v>
      </c>
    </row>
    <row r="72" ht="15.75" customHeight="1">
      <c r="A72" s="8" t="s">
        <v>3432</v>
      </c>
    </row>
    <row r="73" ht="15.75" customHeight="1">
      <c r="A73" s="8" t="s">
        <v>3433</v>
      </c>
    </row>
    <row r="74" ht="15.75" customHeight="1">
      <c r="A74" s="8" t="s">
        <v>3434</v>
      </c>
    </row>
    <row r="75" ht="15.75" customHeight="1">
      <c r="A75" s="8" t="s">
        <v>138</v>
      </c>
    </row>
    <row r="76" ht="15.75" customHeight="1">
      <c r="A76" s="8" t="s">
        <v>3435</v>
      </c>
    </row>
    <row r="77" ht="15.75" customHeight="1">
      <c r="A77" s="8" t="s">
        <v>233</v>
      </c>
    </row>
    <row r="78" ht="15.75" customHeight="1">
      <c r="A78" s="8" t="s">
        <v>3436</v>
      </c>
    </row>
    <row r="79" ht="15.75" customHeight="1">
      <c r="A79" s="8" t="s">
        <v>286</v>
      </c>
    </row>
    <row r="80" ht="15.75" customHeight="1">
      <c r="A80" s="8" t="s">
        <v>3437</v>
      </c>
    </row>
    <row r="81" ht="15.75" customHeight="1">
      <c r="A81" s="8" t="s">
        <v>3438</v>
      </c>
    </row>
    <row r="82" ht="15.75" customHeight="1">
      <c r="A82" s="8" t="s">
        <v>85</v>
      </c>
    </row>
    <row r="83" ht="15.75" customHeight="1">
      <c r="A83" s="8" t="s">
        <v>3439</v>
      </c>
    </row>
    <row r="84" ht="15.75" customHeight="1">
      <c r="A84" s="8" t="s">
        <v>3440</v>
      </c>
    </row>
    <row r="85" ht="15.75" customHeight="1">
      <c r="A85" s="8" t="s">
        <v>3441</v>
      </c>
    </row>
    <row r="86" ht="15.75" customHeight="1">
      <c r="A86" s="8" t="s">
        <v>137</v>
      </c>
    </row>
    <row r="87" ht="15.75" customHeight="1">
      <c r="A87" s="8" t="s">
        <v>3442</v>
      </c>
    </row>
    <row r="88" ht="15.75" customHeight="1">
      <c r="A88" s="8" t="s">
        <v>3443</v>
      </c>
    </row>
    <row r="89" ht="15.75" customHeight="1">
      <c r="A89" s="8" t="s">
        <v>3444</v>
      </c>
    </row>
    <row r="90" ht="15.75" customHeight="1">
      <c r="A90" s="8" t="s">
        <v>3445</v>
      </c>
    </row>
    <row r="91" ht="15.75" customHeight="1">
      <c r="A91" s="8" t="s">
        <v>3446</v>
      </c>
    </row>
    <row r="92" ht="15.75" customHeight="1">
      <c r="A92" s="8" t="s">
        <v>240</v>
      </c>
    </row>
    <row r="93" ht="15.75" customHeight="1">
      <c r="A93" s="8" t="s">
        <v>150</v>
      </c>
    </row>
    <row r="94" ht="15.75" customHeight="1">
      <c r="A94" s="8" t="s">
        <v>3447</v>
      </c>
    </row>
    <row r="95" ht="15.75" customHeight="1">
      <c r="A95" s="8" t="s">
        <v>3448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31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2026-04-24T14:55:11Z</dcterms:created>
  <dc:creator>openpyxl</dc:creator>
</cp:coreProperties>
</file>